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chris.seaman\Desktop\GitRepos\burnet-hbv\input data\"/>
    </mc:Choice>
  </mc:AlternateContent>
  <xr:revisionPtr revIDLastSave="0" documentId="13_ncr:1_{9CB62381-9DC5-4DD1-839B-198B63A4A1FE}" xr6:coauthVersionLast="47" xr6:coauthVersionMax="47" xr10:uidLastSave="{00000000-0000-0000-0000-000000000000}"/>
  <bookViews>
    <workbookView xWindow="3660" yWindow="17172" windowWidth="23256" windowHeight="12456" xr2:uid="{00000000-000D-0000-FFFF-FFFF00000000}"/>
  </bookViews>
  <sheets>
    <sheet name="inputs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" l="1"/>
  <c r="E5" i="2"/>
  <c r="F5" i="2"/>
  <c r="G5" i="2"/>
  <c r="H5" i="2"/>
  <c r="I5" i="2"/>
  <c r="J5" i="2"/>
  <c r="K5" i="2"/>
  <c r="L5" i="2"/>
  <c r="M5" i="2"/>
  <c r="N5" i="2"/>
  <c r="D6" i="2"/>
  <c r="E6" i="2"/>
  <c r="F6" i="2"/>
  <c r="G6" i="2"/>
  <c r="H6" i="2"/>
  <c r="I6" i="2"/>
  <c r="J6" i="2"/>
  <c r="K6" i="2"/>
  <c r="L6" i="2"/>
  <c r="M6" i="2"/>
  <c r="N6" i="2"/>
  <c r="D7" i="2"/>
  <c r="E7" i="2"/>
  <c r="F7" i="2"/>
  <c r="G7" i="2"/>
  <c r="H7" i="2"/>
  <c r="I7" i="2"/>
  <c r="J7" i="2"/>
  <c r="K7" i="2"/>
  <c r="L7" i="2"/>
  <c r="M7" i="2"/>
  <c r="N7" i="2"/>
  <c r="C7" i="2"/>
  <c r="C6" i="2"/>
  <c r="C5" i="2"/>
</calcChain>
</file>

<file path=xl/sharedStrings.xml><?xml version="1.0" encoding="utf-8"?>
<sst xmlns="http://schemas.openxmlformats.org/spreadsheetml/2006/main" count="7" uniqueCount="7">
  <si>
    <t>diagnosed_meas</t>
  </si>
  <si>
    <t>linked_meas</t>
  </si>
  <si>
    <t>treat_cov</t>
  </si>
  <si>
    <t>diag_measure</t>
  </si>
  <si>
    <t>ltc_measure</t>
  </si>
  <si>
    <t>treat_measure</t>
  </si>
  <si>
    <t>par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</si>
</sst>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10" fontId="0" fillId="0" borderId="0" xfId="0" applyNumberFormat="1"/>
    <xf numFmtId="10" fontId="0" fillId="0" borderId="0" xfId="1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E81F81-D072-46B3-93FE-B7742C814869}">
  <dimension ref="A1:N7"/>
  <sheetViews>
    <sheetView tabSelected="1" workbookViewId="0">
      <selection activeCell="P14" sqref="P14"/>
    </sheetView>
  </sheetViews>
  <sheetFormatPr defaultRowHeight="14.5" x14ac:dyDescent="0.35"/>
  <cols>
    <col min="1" max="1" width="14.90625" bestFit="1" customWidth="1"/>
  </cols>
  <sheetData>
    <row r="1" spans="1:14" x14ac:dyDescent="0.35">
      <c r="A1" t="s">
        <v>6</v>
      </c>
      <c r="B1">
        <v>1980</v>
      </c>
      <c r="C1">
        <v>2013</v>
      </c>
      <c r="D1">
        <v>2014</v>
      </c>
      <c r="E1">
        <v>2015</v>
      </c>
      <c r="F1">
        <v>2016</v>
      </c>
      <c r="G1">
        <v>2017</v>
      </c>
      <c r="H1">
        <v>2018</v>
      </c>
      <c r="I1">
        <v>2019</v>
      </c>
      <c r="J1">
        <v>2020</v>
      </c>
      <c r="K1">
        <v>2021</v>
      </c>
      <c r="L1">
        <v>2022</v>
      </c>
      <c r="M1">
        <v>2023</v>
      </c>
      <c r="N1">
        <v>2024</v>
      </c>
    </row>
    <row r="2" spans="1:14" x14ac:dyDescent="0.35">
      <c r="A2" t="s">
        <v>0</v>
      </c>
      <c r="B2">
        <v>0</v>
      </c>
      <c r="C2" s="1">
        <v>0.71819999999999995</v>
      </c>
      <c r="D2" s="1">
        <v>0.71989999999999998</v>
      </c>
      <c r="E2" s="1">
        <v>0.72089999999999999</v>
      </c>
      <c r="F2" s="1">
        <v>0.71389999999999998</v>
      </c>
      <c r="G2" s="1">
        <v>0.70620000000000005</v>
      </c>
      <c r="H2" s="1">
        <v>0.70250000000000001</v>
      </c>
      <c r="I2" s="1">
        <v>0.6976</v>
      </c>
      <c r="J2" s="1">
        <v>0.71250000000000002</v>
      </c>
      <c r="K2" s="1">
        <v>0.73209999999999997</v>
      </c>
      <c r="L2" s="1">
        <v>0.71709999999999996</v>
      </c>
      <c r="M2" s="1">
        <v>0.68769999999999998</v>
      </c>
      <c r="N2" s="1">
        <v>0.67359999999999998</v>
      </c>
    </row>
    <row r="3" spans="1:14" x14ac:dyDescent="0.35">
      <c r="A3" t="s">
        <v>1</v>
      </c>
      <c r="B3">
        <v>0</v>
      </c>
      <c r="C3" s="1">
        <v>0.19</v>
      </c>
      <c r="D3" s="1">
        <v>0.21560000000000001</v>
      </c>
      <c r="E3" s="1">
        <v>0.22220000000000001</v>
      </c>
      <c r="F3" s="1">
        <v>0.23449999999999999</v>
      </c>
      <c r="G3" s="1">
        <v>0.2412</v>
      </c>
      <c r="H3" s="1">
        <v>0.25119999999999998</v>
      </c>
      <c r="I3" s="1">
        <v>0.25269999999999998</v>
      </c>
      <c r="J3" s="1">
        <v>0.24840000000000001</v>
      </c>
      <c r="K3" s="1">
        <v>0.2974</v>
      </c>
      <c r="L3" s="1">
        <v>0.28589999999999999</v>
      </c>
      <c r="M3" s="1">
        <v>0.27960000000000002</v>
      </c>
      <c r="N3" s="1">
        <v>0.27879999999999999</v>
      </c>
    </row>
    <row r="4" spans="1:14" x14ac:dyDescent="0.35">
      <c r="A4" t="s">
        <v>2</v>
      </c>
      <c r="B4">
        <v>0</v>
      </c>
      <c r="C4" s="1">
        <v>6.4899999999999999E-2</v>
      </c>
      <c r="D4" s="1">
        <v>7.9600000000000004E-2</v>
      </c>
      <c r="E4" s="1">
        <v>8.6199999999999999E-2</v>
      </c>
      <c r="F4" s="1">
        <v>9.3100000000000002E-2</v>
      </c>
      <c r="G4" s="1">
        <v>9.9599999999999994E-2</v>
      </c>
      <c r="H4" s="1">
        <v>0.10589999999999999</v>
      </c>
      <c r="I4" s="1">
        <v>0.1116</v>
      </c>
      <c r="J4" s="1">
        <v>0.1186</v>
      </c>
      <c r="K4" s="1">
        <v>0.12740000000000001</v>
      </c>
      <c r="L4" s="1">
        <v>0.12790000000000001</v>
      </c>
      <c r="M4" s="1">
        <v>0.12559999999999999</v>
      </c>
      <c r="N4" s="1">
        <v>0.12659999999999999</v>
      </c>
    </row>
    <row r="5" spans="1:14" x14ac:dyDescent="0.35">
      <c r="A5" t="s">
        <v>3</v>
      </c>
      <c r="B5">
        <v>0</v>
      </c>
      <c r="C5" s="2">
        <f>C2-C3</f>
        <v>0.5282</v>
      </c>
      <c r="D5" s="2">
        <f t="shared" ref="D5:N5" si="0">D2-D3</f>
        <v>0.50429999999999997</v>
      </c>
      <c r="E5" s="2">
        <f t="shared" si="0"/>
        <v>0.49869999999999998</v>
      </c>
      <c r="F5" s="2">
        <f t="shared" si="0"/>
        <v>0.47939999999999999</v>
      </c>
      <c r="G5" s="2">
        <f t="shared" si="0"/>
        <v>0.46500000000000008</v>
      </c>
      <c r="H5" s="2">
        <f t="shared" si="0"/>
        <v>0.45130000000000003</v>
      </c>
      <c r="I5" s="2">
        <f t="shared" si="0"/>
        <v>0.44490000000000002</v>
      </c>
      <c r="J5" s="2">
        <f t="shared" si="0"/>
        <v>0.46410000000000001</v>
      </c>
      <c r="K5" s="2">
        <f t="shared" si="0"/>
        <v>0.43469999999999998</v>
      </c>
      <c r="L5" s="2">
        <f t="shared" si="0"/>
        <v>0.43119999999999997</v>
      </c>
      <c r="M5" s="2">
        <f t="shared" si="0"/>
        <v>0.40809999999999996</v>
      </c>
      <c r="N5" s="2">
        <f t="shared" si="0"/>
        <v>0.39479999999999998</v>
      </c>
    </row>
    <row r="6" spans="1:14" x14ac:dyDescent="0.35">
      <c r="A6" t="s">
        <v>4</v>
      </c>
      <c r="B6">
        <v>0</v>
      </c>
      <c r="C6" s="2">
        <f>C3-C4</f>
        <v>0.12509999999999999</v>
      </c>
      <c r="D6" s="2">
        <f t="shared" ref="D6:N6" si="1">D3-D4</f>
        <v>0.13600000000000001</v>
      </c>
      <c r="E6" s="2">
        <f t="shared" si="1"/>
        <v>0.13600000000000001</v>
      </c>
      <c r="F6" s="2">
        <f t="shared" si="1"/>
        <v>0.14139999999999997</v>
      </c>
      <c r="G6" s="2">
        <f t="shared" si="1"/>
        <v>0.1416</v>
      </c>
      <c r="H6" s="2">
        <f t="shared" si="1"/>
        <v>0.14529999999999998</v>
      </c>
      <c r="I6" s="2">
        <f t="shared" si="1"/>
        <v>0.14109999999999998</v>
      </c>
      <c r="J6" s="2">
        <f t="shared" si="1"/>
        <v>0.12980000000000003</v>
      </c>
      <c r="K6" s="2">
        <f t="shared" si="1"/>
        <v>0.16999999999999998</v>
      </c>
      <c r="L6" s="2">
        <f t="shared" si="1"/>
        <v>0.15799999999999997</v>
      </c>
      <c r="M6" s="2">
        <f t="shared" si="1"/>
        <v>0.15400000000000003</v>
      </c>
      <c r="N6" s="2">
        <f t="shared" si="1"/>
        <v>0.1522</v>
      </c>
    </row>
    <row r="7" spans="1:14" x14ac:dyDescent="0.35">
      <c r="A7" t="s">
        <v>5</v>
      </c>
      <c r="B7">
        <v>0</v>
      </c>
      <c r="C7" s="2">
        <f>C4</f>
        <v>6.4899999999999999E-2</v>
      </c>
      <c r="D7" s="2">
        <f t="shared" ref="D7:N7" si="2">D4</f>
        <v>7.9600000000000004E-2</v>
      </c>
      <c r="E7" s="2">
        <f t="shared" si="2"/>
        <v>8.6199999999999999E-2</v>
      </c>
      <c r="F7" s="2">
        <f t="shared" si="2"/>
        <v>9.3100000000000002E-2</v>
      </c>
      <c r="G7" s="2">
        <f t="shared" si="2"/>
        <v>9.9599999999999994E-2</v>
      </c>
      <c r="H7" s="2">
        <f t="shared" si="2"/>
        <v>0.10589999999999999</v>
      </c>
      <c r="I7" s="2">
        <f t="shared" si="2"/>
        <v>0.1116</v>
      </c>
      <c r="J7" s="2">
        <f t="shared" si="2"/>
        <v>0.1186</v>
      </c>
      <c r="K7" s="2">
        <f t="shared" si="2"/>
        <v>0.12740000000000001</v>
      </c>
      <c r="L7" s="2">
        <f t="shared" si="2"/>
        <v>0.12790000000000001</v>
      </c>
      <c r="M7" s="2">
        <f t="shared" si="2"/>
        <v>0.12559999999999999</v>
      </c>
      <c r="N7" s="2">
        <f t="shared" si="2"/>
        <v>0.12659999999999999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Seaman</dc:creator>
  <cp:lastModifiedBy>Chris Seaman</cp:lastModifiedBy>
  <dcterms:created xsi:type="dcterms:W3CDTF">2015-06-05T18:17:20Z</dcterms:created>
  <dcterms:modified xsi:type="dcterms:W3CDTF">2026-09-23T03:32:52Z</dcterms:modified>
</cp:coreProperties>
</file>