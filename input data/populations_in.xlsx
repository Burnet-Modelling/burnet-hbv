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input data\"/>
    </mc:Choice>
  </mc:AlternateContent>
  <xr:revisionPtr revIDLastSave="0" documentId="13_ncr:1_{0656C635-0311-4026-84BE-5A1CC40AC913}" xr6:coauthVersionLast="47" xr6:coauthVersionMax="47" xr10:uidLastSave="{00000000-0000-0000-0000-000000000000}"/>
  <bookViews>
    <workbookView xWindow="-110" yWindow="-110" windowWidth="25820" windowHeight="13900" activeTab="1" xr2:uid="{4F13ACF4-9B68-4B14-8560-C72CBA962008}"/>
  </bookViews>
  <sheets>
    <sheet name="pop_size" sheetId="1" r:id="rId1"/>
    <sheet name="births" sheetId="2" r:id="rId2"/>
    <sheet name="acm" sheetId="3" r:id="rId3"/>
    <sheet name="migration" sheetId="5" r:id="rId4"/>
    <sheet name="aging" sheetId="6" r:id="rId5"/>
    <sheet name="calib_val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6" l="1"/>
  <c r="G3" i="6"/>
  <c r="H3" i="6"/>
  <c r="I3" i="6"/>
  <c r="J3" i="6"/>
  <c r="K3" i="6"/>
  <c r="L3" i="6"/>
  <c r="M3" i="6"/>
  <c r="N3" i="6"/>
  <c r="O3" i="6"/>
  <c r="P3" i="6"/>
  <c r="Q3" i="6"/>
  <c r="F4" i="6"/>
  <c r="G4" i="6"/>
  <c r="H4" i="6"/>
  <c r="I4" i="6"/>
  <c r="J4" i="6"/>
  <c r="K4" i="6"/>
  <c r="L4" i="6"/>
  <c r="M4" i="6"/>
  <c r="N4" i="6"/>
  <c r="O4" i="6"/>
  <c r="P4" i="6"/>
  <c r="Q4" i="6"/>
  <c r="F5" i="6"/>
  <c r="G5" i="6"/>
  <c r="H5" i="6"/>
  <c r="I5" i="6"/>
  <c r="J5" i="6"/>
  <c r="K5" i="6"/>
  <c r="L5" i="6"/>
  <c r="M5" i="6"/>
  <c r="N5" i="6"/>
  <c r="O5" i="6"/>
  <c r="P5" i="6"/>
  <c r="Q5" i="6"/>
  <c r="F6" i="6"/>
  <c r="G6" i="6"/>
  <c r="H6" i="6"/>
  <c r="I6" i="6"/>
  <c r="J6" i="6"/>
  <c r="K6" i="6"/>
  <c r="L6" i="6"/>
  <c r="M6" i="6"/>
  <c r="N6" i="6"/>
  <c r="O6" i="6"/>
  <c r="P6" i="6"/>
  <c r="Q6" i="6"/>
  <c r="F7" i="6"/>
  <c r="G7" i="6"/>
  <c r="H7" i="6"/>
  <c r="I7" i="6"/>
  <c r="J7" i="6"/>
  <c r="K7" i="6"/>
  <c r="L7" i="6"/>
  <c r="M7" i="6"/>
  <c r="N7" i="6"/>
  <c r="O7" i="6"/>
  <c r="P7" i="6"/>
  <c r="Q7" i="6"/>
  <c r="F8" i="6"/>
  <c r="G8" i="6"/>
  <c r="H8" i="6"/>
  <c r="I8" i="6"/>
  <c r="J8" i="6"/>
  <c r="K8" i="6"/>
  <c r="L8" i="6"/>
  <c r="M8" i="6"/>
  <c r="N8" i="6"/>
  <c r="O8" i="6"/>
  <c r="P8" i="6"/>
  <c r="Q8" i="6"/>
  <c r="F9" i="6"/>
  <c r="G9" i="6"/>
  <c r="H9" i="6"/>
  <c r="I9" i="6"/>
  <c r="J9" i="6"/>
  <c r="K9" i="6"/>
  <c r="L9" i="6"/>
  <c r="M9" i="6"/>
  <c r="N9" i="6"/>
  <c r="O9" i="6"/>
  <c r="P9" i="6"/>
  <c r="Q9" i="6"/>
  <c r="F10" i="6"/>
  <c r="G10" i="6"/>
  <c r="H10" i="6"/>
  <c r="I10" i="6"/>
  <c r="J10" i="6"/>
  <c r="K10" i="6"/>
  <c r="L10" i="6"/>
  <c r="M10" i="6"/>
  <c r="N10" i="6"/>
  <c r="O10" i="6"/>
  <c r="P10" i="6"/>
  <c r="Q10" i="6"/>
  <c r="F11" i="6"/>
  <c r="G11" i="6"/>
  <c r="H11" i="6"/>
  <c r="I11" i="6"/>
  <c r="J11" i="6"/>
  <c r="K11" i="6"/>
  <c r="L11" i="6"/>
  <c r="M11" i="6"/>
  <c r="N11" i="6"/>
  <c r="O11" i="6"/>
  <c r="P11" i="6"/>
  <c r="Q11" i="6"/>
  <c r="F12" i="6"/>
  <c r="G12" i="6"/>
  <c r="H12" i="6"/>
  <c r="I12" i="6"/>
  <c r="J12" i="6"/>
  <c r="K12" i="6"/>
  <c r="L12" i="6"/>
  <c r="M12" i="6"/>
  <c r="N12" i="6"/>
  <c r="O12" i="6"/>
  <c r="P12" i="6"/>
  <c r="Q12" i="6"/>
  <c r="F13" i="6"/>
  <c r="G13" i="6"/>
  <c r="H13" i="6"/>
  <c r="I13" i="6"/>
  <c r="J13" i="6"/>
  <c r="K13" i="6"/>
  <c r="L13" i="6"/>
  <c r="M13" i="6"/>
  <c r="N13" i="6"/>
  <c r="O13" i="6"/>
  <c r="P13" i="6"/>
  <c r="Q13" i="6"/>
  <c r="F14" i="6"/>
  <c r="G14" i="6"/>
  <c r="H14" i="6"/>
  <c r="I14" i="6"/>
  <c r="J14" i="6"/>
  <c r="K14" i="6"/>
  <c r="L14" i="6"/>
  <c r="M14" i="6"/>
  <c r="N14" i="6"/>
  <c r="O14" i="6"/>
  <c r="P14" i="6"/>
  <c r="Q14" i="6"/>
  <c r="F15" i="6"/>
  <c r="G15" i="6"/>
  <c r="H15" i="6"/>
  <c r="I15" i="6"/>
  <c r="J15" i="6"/>
  <c r="K15" i="6"/>
  <c r="L15" i="6"/>
  <c r="M15" i="6"/>
  <c r="N15" i="6"/>
  <c r="O15" i="6"/>
  <c r="P15" i="6"/>
  <c r="Q15" i="6"/>
  <c r="F16" i="6"/>
  <c r="G16" i="6"/>
  <c r="H16" i="6"/>
  <c r="I16" i="6"/>
  <c r="J16" i="6"/>
  <c r="K16" i="6"/>
  <c r="L16" i="6"/>
  <c r="M16" i="6"/>
  <c r="N16" i="6"/>
  <c r="O16" i="6"/>
  <c r="P16" i="6"/>
  <c r="Q16" i="6"/>
  <c r="F17" i="6"/>
  <c r="G17" i="6"/>
  <c r="H17" i="6"/>
  <c r="I17" i="6"/>
  <c r="J17" i="6"/>
  <c r="K17" i="6"/>
  <c r="L17" i="6"/>
  <c r="M17" i="6"/>
  <c r="N17" i="6"/>
  <c r="O17" i="6"/>
  <c r="P17" i="6"/>
  <c r="Q17" i="6"/>
  <c r="F18" i="6"/>
  <c r="G18" i="6"/>
  <c r="H18" i="6"/>
  <c r="I18" i="6"/>
  <c r="J18" i="6"/>
  <c r="K18" i="6"/>
  <c r="L18" i="6"/>
  <c r="M18" i="6"/>
  <c r="N18" i="6"/>
  <c r="O18" i="6"/>
  <c r="P18" i="6"/>
  <c r="Q18" i="6"/>
  <c r="F19" i="6"/>
  <c r="G19" i="6"/>
  <c r="H19" i="6"/>
  <c r="I19" i="6"/>
  <c r="J19" i="6"/>
  <c r="K19" i="6"/>
  <c r="L19" i="6"/>
  <c r="M19" i="6"/>
  <c r="N19" i="6"/>
  <c r="O19" i="6"/>
  <c r="P19" i="6"/>
  <c r="Q19" i="6"/>
  <c r="F20" i="6"/>
  <c r="G20" i="6"/>
  <c r="H20" i="6"/>
  <c r="I20" i="6"/>
  <c r="J20" i="6"/>
  <c r="K20" i="6"/>
  <c r="L20" i="6"/>
  <c r="M20" i="6"/>
  <c r="N20" i="6"/>
  <c r="O20" i="6"/>
  <c r="P20" i="6"/>
  <c r="Q20" i="6"/>
  <c r="F21" i="6"/>
  <c r="G21" i="6"/>
  <c r="H21" i="6"/>
  <c r="I21" i="6"/>
  <c r="J21" i="6"/>
  <c r="K21" i="6"/>
  <c r="L21" i="6"/>
  <c r="M21" i="6"/>
  <c r="N21" i="6"/>
  <c r="O21" i="6"/>
  <c r="P21" i="6"/>
  <c r="Q21" i="6"/>
  <c r="F22" i="6"/>
  <c r="G22" i="6"/>
  <c r="H22" i="6"/>
  <c r="I22" i="6"/>
  <c r="J22" i="6"/>
  <c r="K22" i="6"/>
  <c r="L22" i="6"/>
  <c r="M22" i="6"/>
  <c r="N22" i="6"/>
  <c r="O22" i="6"/>
  <c r="P22" i="6"/>
  <c r="Q22" i="6"/>
  <c r="F23" i="6"/>
  <c r="G23" i="6"/>
  <c r="H23" i="6"/>
  <c r="I23" i="6"/>
  <c r="J23" i="6"/>
  <c r="K23" i="6"/>
  <c r="L23" i="6"/>
  <c r="M23" i="6"/>
  <c r="N23" i="6"/>
  <c r="O23" i="6"/>
  <c r="P23" i="6"/>
  <c r="Q23" i="6"/>
  <c r="F24" i="6"/>
  <c r="G24" i="6"/>
  <c r="H24" i="6"/>
  <c r="I24" i="6"/>
  <c r="J24" i="6"/>
  <c r="K24" i="6"/>
  <c r="L24" i="6"/>
  <c r="M24" i="6"/>
  <c r="N24" i="6"/>
  <c r="O24" i="6"/>
  <c r="P24" i="6"/>
  <c r="Q24" i="6"/>
  <c r="F25" i="6"/>
  <c r="G25" i="6"/>
  <c r="H25" i="6"/>
  <c r="I25" i="6"/>
  <c r="J25" i="6"/>
  <c r="K25" i="6"/>
  <c r="L25" i="6"/>
  <c r="M25" i="6"/>
  <c r="N25" i="6"/>
  <c r="O25" i="6"/>
  <c r="P25" i="6"/>
  <c r="Q25" i="6"/>
  <c r="F26" i="6"/>
  <c r="G26" i="6"/>
  <c r="H26" i="6"/>
  <c r="I26" i="6"/>
  <c r="J26" i="6"/>
  <c r="K26" i="6"/>
  <c r="L26" i="6"/>
  <c r="M26" i="6"/>
  <c r="N26" i="6"/>
  <c r="O26" i="6"/>
  <c r="P26" i="6"/>
  <c r="Q26" i="6"/>
  <c r="F27" i="6"/>
  <c r="G27" i="6"/>
  <c r="H27" i="6"/>
  <c r="I27" i="6"/>
  <c r="J27" i="6"/>
  <c r="K27" i="6"/>
  <c r="L27" i="6"/>
  <c r="M27" i="6"/>
  <c r="N27" i="6"/>
  <c r="O27" i="6"/>
  <c r="P27" i="6"/>
  <c r="Q27" i="6"/>
  <c r="F28" i="6"/>
  <c r="G28" i="6"/>
  <c r="H28" i="6"/>
  <c r="I28" i="6"/>
  <c r="J28" i="6"/>
  <c r="K28" i="6"/>
  <c r="L28" i="6"/>
  <c r="M28" i="6"/>
  <c r="N28" i="6"/>
  <c r="O28" i="6"/>
  <c r="P28" i="6"/>
  <c r="Q28" i="6"/>
  <c r="F29" i="6"/>
  <c r="G29" i="6"/>
  <c r="H29" i="6"/>
  <c r="I29" i="6"/>
  <c r="J29" i="6"/>
  <c r="K29" i="6"/>
  <c r="L29" i="6"/>
  <c r="M29" i="6"/>
  <c r="N29" i="6"/>
  <c r="O29" i="6"/>
  <c r="P29" i="6"/>
  <c r="Q29" i="6"/>
  <c r="F30" i="6"/>
  <c r="G30" i="6"/>
  <c r="H30" i="6"/>
  <c r="I30" i="6"/>
  <c r="J30" i="6"/>
  <c r="K30" i="6"/>
  <c r="L30" i="6"/>
  <c r="M30" i="6"/>
  <c r="N30" i="6"/>
  <c r="O30" i="6"/>
  <c r="P30" i="6"/>
  <c r="Q30" i="6"/>
  <c r="F31" i="6"/>
  <c r="G31" i="6"/>
  <c r="H31" i="6"/>
  <c r="I31" i="6"/>
  <c r="J31" i="6"/>
  <c r="K31" i="6"/>
  <c r="L31" i="6"/>
  <c r="M31" i="6"/>
  <c r="N31" i="6"/>
  <c r="O31" i="6"/>
  <c r="P31" i="6"/>
  <c r="Q31" i="6"/>
  <c r="F32" i="6"/>
  <c r="G32" i="6"/>
  <c r="H32" i="6"/>
  <c r="I32" i="6"/>
  <c r="J32" i="6"/>
  <c r="K32" i="6"/>
  <c r="L32" i="6"/>
  <c r="M32" i="6"/>
  <c r="N32" i="6"/>
  <c r="O32" i="6"/>
  <c r="P32" i="6"/>
  <c r="Q32" i="6"/>
  <c r="F33" i="6"/>
  <c r="G33" i="6"/>
  <c r="H33" i="6"/>
  <c r="I33" i="6"/>
  <c r="J33" i="6"/>
  <c r="K33" i="6"/>
  <c r="L33" i="6"/>
  <c r="M33" i="6"/>
  <c r="N33" i="6"/>
  <c r="O33" i="6"/>
  <c r="P33" i="6"/>
  <c r="Q33" i="6"/>
  <c r="F34" i="6"/>
  <c r="G34" i="6"/>
  <c r="H34" i="6"/>
  <c r="I34" i="6"/>
  <c r="J34" i="6"/>
  <c r="K34" i="6"/>
  <c r="L34" i="6"/>
  <c r="M34" i="6"/>
  <c r="N34" i="6"/>
  <c r="O34" i="6"/>
  <c r="P34" i="6"/>
  <c r="Q34" i="6"/>
  <c r="F35" i="6"/>
  <c r="G35" i="6"/>
  <c r="H35" i="6"/>
  <c r="I35" i="6"/>
  <c r="J35" i="6"/>
  <c r="K35" i="6"/>
  <c r="L35" i="6"/>
  <c r="M35" i="6"/>
  <c r="N35" i="6"/>
  <c r="O35" i="6"/>
  <c r="P35" i="6"/>
  <c r="Q35" i="6"/>
  <c r="F36" i="6"/>
  <c r="G36" i="6"/>
  <c r="H36" i="6"/>
  <c r="I36" i="6"/>
  <c r="J36" i="6"/>
  <c r="K36" i="6"/>
  <c r="L36" i="6"/>
  <c r="M36" i="6"/>
  <c r="N36" i="6"/>
  <c r="O36" i="6"/>
  <c r="P36" i="6"/>
  <c r="Q36" i="6"/>
  <c r="F37" i="6"/>
  <c r="G37" i="6"/>
  <c r="H37" i="6"/>
  <c r="I37" i="6"/>
  <c r="J37" i="6"/>
  <c r="K37" i="6"/>
  <c r="L37" i="6"/>
  <c r="M37" i="6"/>
  <c r="N37" i="6"/>
  <c r="O37" i="6"/>
  <c r="P37" i="6"/>
  <c r="Q37" i="6"/>
  <c r="F38" i="6"/>
  <c r="G38" i="6"/>
  <c r="H38" i="6"/>
  <c r="I38" i="6"/>
  <c r="J38" i="6"/>
  <c r="K38" i="6"/>
  <c r="L38" i="6"/>
  <c r="M38" i="6"/>
  <c r="N38" i="6"/>
  <c r="O38" i="6"/>
  <c r="P38" i="6"/>
  <c r="Q38" i="6"/>
  <c r="F39" i="6"/>
  <c r="G39" i="6"/>
  <c r="H39" i="6"/>
  <c r="I39" i="6"/>
  <c r="J39" i="6"/>
  <c r="K39" i="6"/>
  <c r="L39" i="6"/>
  <c r="M39" i="6"/>
  <c r="N39" i="6"/>
  <c r="O39" i="6"/>
  <c r="P39" i="6"/>
  <c r="Q39" i="6"/>
  <c r="F40" i="6"/>
  <c r="G40" i="6"/>
  <c r="H40" i="6"/>
  <c r="I40" i="6"/>
  <c r="J40" i="6"/>
  <c r="K40" i="6"/>
  <c r="L40" i="6"/>
  <c r="M40" i="6"/>
  <c r="N40" i="6"/>
  <c r="O40" i="6"/>
  <c r="P40" i="6"/>
  <c r="Q40" i="6"/>
  <c r="F41" i="6"/>
  <c r="G41" i="6"/>
  <c r="H41" i="6"/>
  <c r="I41" i="6"/>
  <c r="J41" i="6"/>
  <c r="K41" i="6"/>
  <c r="L41" i="6"/>
  <c r="M41" i="6"/>
  <c r="N41" i="6"/>
  <c r="O41" i="6"/>
  <c r="P41" i="6"/>
  <c r="Q41" i="6"/>
  <c r="F42" i="6"/>
  <c r="G42" i="6"/>
  <c r="H42" i="6"/>
  <c r="I42" i="6"/>
  <c r="J42" i="6"/>
  <c r="K42" i="6"/>
  <c r="L42" i="6"/>
  <c r="M42" i="6"/>
  <c r="N42" i="6"/>
  <c r="O42" i="6"/>
  <c r="P42" i="6"/>
  <c r="Q42" i="6"/>
  <c r="F43" i="6"/>
  <c r="G43" i="6"/>
  <c r="H43" i="6"/>
  <c r="I43" i="6"/>
  <c r="J43" i="6"/>
  <c r="K43" i="6"/>
  <c r="L43" i="6"/>
  <c r="M43" i="6"/>
  <c r="N43" i="6"/>
  <c r="O43" i="6"/>
  <c r="P43" i="6"/>
  <c r="Q43" i="6"/>
  <c r="F44" i="6"/>
  <c r="G44" i="6"/>
  <c r="H44" i="6"/>
  <c r="I44" i="6"/>
  <c r="J44" i="6"/>
  <c r="K44" i="6"/>
  <c r="L44" i="6"/>
  <c r="M44" i="6"/>
  <c r="N44" i="6"/>
  <c r="O44" i="6"/>
  <c r="P44" i="6"/>
  <c r="Q44" i="6"/>
  <c r="F45" i="6"/>
  <c r="G45" i="6"/>
  <c r="H45" i="6"/>
  <c r="I45" i="6"/>
  <c r="J45" i="6"/>
  <c r="K45" i="6"/>
  <c r="L45" i="6"/>
  <c r="M45" i="6"/>
  <c r="N45" i="6"/>
  <c r="O45" i="6"/>
  <c r="P45" i="6"/>
  <c r="Q45" i="6"/>
  <c r="F46" i="6"/>
  <c r="G46" i="6"/>
  <c r="H46" i="6"/>
  <c r="I46" i="6"/>
  <c r="J46" i="6"/>
  <c r="K46" i="6"/>
  <c r="L46" i="6"/>
  <c r="M46" i="6"/>
  <c r="N46" i="6"/>
  <c r="O46" i="6"/>
  <c r="P46" i="6"/>
  <c r="Q46" i="6"/>
  <c r="F47" i="6"/>
  <c r="G47" i="6"/>
  <c r="H47" i="6"/>
  <c r="I47" i="6"/>
  <c r="J47" i="6"/>
  <c r="K47" i="6"/>
  <c r="L47" i="6"/>
  <c r="M47" i="6"/>
  <c r="N47" i="6"/>
  <c r="O47" i="6"/>
  <c r="P47" i="6"/>
  <c r="Q47" i="6"/>
  <c r="F48" i="6"/>
  <c r="G48" i="6"/>
  <c r="H48" i="6"/>
  <c r="I48" i="6"/>
  <c r="J48" i="6"/>
  <c r="K48" i="6"/>
  <c r="L48" i="6"/>
  <c r="M48" i="6"/>
  <c r="N48" i="6"/>
  <c r="O48" i="6"/>
  <c r="P48" i="6"/>
  <c r="Q48" i="6"/>
  <c r="F49" i="6"/>
  <c r="G49" i="6"/>
  <c r="H49" i="6"/>
  <c r="I49" i="6"/>
  <c r="J49" i="6"/>
  <c r="K49" i="6"/>
  <c r="L49" i="6"/>
  <c r="M49" i="6"/>
  <c r="N49" i="6"/>
  <c r="O49" i="6"/>
  <c r="P49" i="6"/>
  <c r="Q49" i="6"/>
  <c r="F50" i="6"/>
  <c r="G50" i="6"/>
  <c r="H50" i="6"/>
  <c r="I50" i="6"/>
  <c r="J50" i="6"/>
  <c r="K50" i="6"/>
  <c r="L50" i="6"/>
  <c r="M50" i="6"/>
  <c r="N50" i="6"/>
  <c r="O50" i="6"/>
  <c r="P50" i="6"/>
  <c r="Q50" i="6"/>
  <c r="F51" i="6"/>
  <c r="G51" i="6"/>
  <c r="H51" i="6"/>
  <c r="I51" i="6"/>
  <c r="J51" i="6"/>
  <c r="K51" i="6"/>
  <c r="L51" i="6"/>
  <c r="M51" i="6"/>
  <c r="N51" i="6"/>
  <c r="O51" i="6"/>
  <c r="P51" i="6"/>
  <c r="Q51" i="6"/>
  <c r="F52" i="6"/>
  <c r="G52" i="6"/>
  <c r="H52" i="6"/>
  <c r="I52" i="6"/>
  <c r="J52" i="6"/>
  <c r="K52" i="6"/>
  <c r="L52" i="6"/>
  <c r="M52" i="6"/>
  <c r="N52" i="6"/>
  <c r="O52" i="6"/>
  <c r="P52" i="6"/>
  <c r="Q52" i="6"/>
  <c r="F53" i="6"/>
  <c r="G53" i="6"/>
  <c r="H53" i="6"/>
  <c r="I53" i="6"/>
  <c r="J53" i="6"/>
  <c r="K53" i="6"/>
  <c r="L53" i="6"/>
  <c r="M53" i="6"/>
  <c r="N53" i="6"/>
  <c r="O53" i="6"/>
  <c r="P53" i="6"/>
  <c r="Q53" i="6"/>
  <c r="F54" i="6"/>
  <c r="G54" i="6"/>
  <c r="H54" i="6"/>
  <c r="I54" i="6"/>
  <c r="J54" i="6"/>
  <c r="K54" i="6"/>
  <c r="L54" i="6"/>
  <c r="M54" i="6"/>
  <c r="N54" i="6"/>
  <c r="O54" i="6"/>
  <c r="P54" i="6"/>
  <c r="Q54" i="6"/>
  <c r="F55" i="6"/>
  <c r="G55" i="6"/>
  <c r="H55" i="6"/>
  <c r="I55" i="6"/>
  <c r="J55" i="6"/>
  <c r="K55" i="6"/>
  <c r="L55" i="6"/>
  <c r="M55" i="6"/>
  <c r="N55" i="6"/>
  <c r="O55" i="6"/>
  <c r="P55" i="6"/>
  <c r="Q55" i="6"/>
  <c r="F56" i="6"/>
  <c r="G56" i="6"/>
  <c r="H56" i="6"/>
  <c r="I56" i="6"/>
  <c r="J56" i="6"/>
  <c r="K56" i="6"/>
  <c r="L56" i="6"/>
  <c r="M56" i="6"/>
  <c r="N56" i="6"/>
  <c r="O56" i="6"/>
  <c r="P56" i="6"/>
  <c r="Q56" i="6"/>
  <c r="F57" i="6"/>
  <c r="G57" i="6"/>
  <c r="H57" i="6"/>
  <c r="I57" i="6"/>
  <c r="J57" i="6"/>
  <c r="K57" i="6"/>
  <c r="L57" i="6"/>
  <c r="M57" i="6"/>
  <c r="N57" i="6"/>
  <c r="O57" i="6"/>
  <c r="P57" i="6"/>
  <c r="Q57" i="6"/>
  <c r="F58" i="6"/>
  <c r="G58" i="6"/>
  <c r="H58" i="6"/>
  <c r="I58" i="6"/>
  <c r="J58" i="6"/>
  <c r="K58" i="6"/>
  <c r="L58" i="6"/>
  <c r="M58" i="6"/>
  <c r="N58" i="6"/>
  <c r="O58" i="6"/>
  <c r="P58" i="6"/>
  <c r="Q58" i="6"/>
  <c r="F59" i="6"/>
  <c r="G59" i="6"/>
  <c r="H59" i="6"/>
  <c r="I59" i="6"/>
  <c r="J59" i="6"/>
  <c r="K59" i="6"/>
  <c r="L59" i="6"/>
  <c r="M59" i="6"/>
  <c r="N59" i="6"/>
  <c r="O59" i="6"/>
  <c r="P59" i="6"/>
  <c r="Q59" i="6"/>
  <c r="F60" i="6"/>
  <c r="G60" i="6"/>
  <c r="H60" i="6"/>
  <c r="I60" i="6"/>
  <c r="J60" i="6"/>
  <c r="K60" i="6"/>
  <c r="L60" i="6"/>
  <c r="M60" i="6"/>
  <c r="N60" i="6"/>
  <c r="O60" i="6"/>
  <c r="P60" i="6"/>
  <c r="Q60" i="6"/>
  <c r="F61" i="6"/>
  <c r="G61" i="6"/>
  <c r="H61" i="6"/>
  <c r="I61" i="6"/>
  <c r="J61" i="6"/>
  <c r="K61" i="6"/>
  <c r="L61" i="6"/>
  <c r="M61" i="6"/>
  <c r="N61" i="6"/>
  <c r="O61" i="6"/>
  <c r="P61" i="6"/>
  <c r="Q61" i="6"/>
  <c r="F62" i="6"/>
  <c r="G62" i="6"/>
  <c r="H62" i="6"/>
  <c r="I62" i="6"/>
  <c r="J62" i="6"/>
  <c r="K62" i="6"/>
  <c r="L62" i="6"/>
  <c r="M62" i="6"/>
  <c r="N62" i="6"/>
  <c r="O62" i="6"/>
  <c r="P62" i="6"/>
  <c r="Q62" i="6"/>
  <c r="F63" i="6"/>
  <c r="G63" i="6"/>
  <c r="H63" i="6"/>
  <c r="I63" i="6"/>
  <c r="J63" i="6"/>
  <c r="K63" i="6"/>
  <c r="L63" i="6"/>
  <c r="M63" i="6"/>
  <c r="N63" i="6"/>
  <c r="O63" i="6"/>
  <c r="P63" i="6"/>
  <c r="Q63" i="6"/>
  <c r="F64" i="6"/>
  <c r="G64" i="6"/>
  <c r="H64" i="6"/>
  <c r="I64" i="6"/>
  <c r="J64" i="6"/>
  <c r="K64" i="6"/>
  <c r="L64" i="6"/>
  <c r="M64" i="6"/>
  <c r="N64" i="6"/>
  <c r="O64" i="6"/>
  <c r="P64" i="6"/>
  <c r="Q64" i="6"/>
  <c r="F65" i="6"/>
  <c r="G65" i="6"/>
  <c r="H65" i="6"/>
  <c r="I65" i="6"/>
  <c r="J65" i="6"/>
  <c r="K65" i="6"/>
  <c r="L65" i="6"/>
  <c r="M65" i="6"/>
  <c r="N65" i="6"/>
  <c r="O65" i="6"/>
  <c r="P65" i="6"/>
  <c r="Q65" i="6"/>
  <c r="F66" i="6"/>
  <c r="G66" i="6"/>
  <c r="H66" i="6"/>
  <c r="I66" i="6"/>
  <c r="J66" i="6"/>
  <c r="K66" i="6"/>
  <c r="L66" i="6"/>
  <c r="M66" i="6"/>
  <c r="N66" i="6"/>
  <c r="O66" i="6"/>
  <c r="P66" i="6"/>
  <c r="Q66" i="6"/>
  <c r="F67" i="6"/>
  <c r="G67" i="6"/>
  <c r="H67" i="6"/>
  <c r="I67" i="6"/>
  <c r="J67" i="6"/>
  <c r="K67" i="6"/>
  <c r="L67" i="6"/>
  <c r="M67" i="6"/>
  <c r="N67" i="6"/>
  <c r="O67" i="6"/>
  <c r="P67" i="6"/>
  <c r="Q67" i="6"/>
  <c r="F68" i="6"/>
  <c r="G68" i="6"/>
  <c r="H68" i="6"/>
  <c r="I68" i="6"/>
  <c r="J68" i="6"/>
  <c r="K68" i="6"/>
  <c r="L68" i="6"/>
  <c r="M68" i="6"/>
  <c r="N68" i="6"/>
  <c r="O68" i="6"/>
  <c r="P68" i="6"/>
  <c r="Q68" i="6"/>
  <c r="F69" i="6"/>
  <c r="G69" i="6"/>
  <c r="H69" i="6"/>
  <c r="I69" i="6"/>
  <c r="J69" i="6"/>
  <c r="K69" i="6"/>
  <c r="L69" i="6"/>
  <c r="M69" i="6"/>
  <c r="N69" i="6"/>
  <c r="O69" i="6"/>
  <c r="P69" i="6"/>
  <c r="Q69" i="6"/>
  <c r="F70" i="6"/>
  <c r="G70" i="6"/>
  <c r="H70" i="6"/>
  <c r="I70" i="6"/>
  <c r="J70" i="6"/>
  <c r="K70" i="6"/>
  <c r="L70" i="6"/>
  <c r="M70" i="6"/>
  <c r="N70" i="6"/>
  <c r="O70" i="6"/>
  <c r="P70" i="6"/>
  <c r="Q70" i="6"/>
  <c r="F71" i="6"/>
  <c r="G71" i="6"/>
  <c r="H71" i="6"/>
  <c r="I71" i="6"/>
  <c r="J71" i="6"/>
  <c r="K71" i="6"/>
  <c r="L71" i="6"/>
  <c r="M71" i="6"/>
  <c r="N71" i="6"/>
  <c r="O71" i="6"/>
  <c r="P71" i="6"/>
  <c r="Q71" i="6"/>
  <c r="F72" i="6"/>
  <c r="G72" i="6"/>
  <c r="H72" i="6"/>
  <c r="I72" i="6"/>
  <c r="J72" i="6"/>
  <c r="K72" i="6"/>
  <c r="L72" i="6"/>
  <c r="M72" i="6"/>
  <c r="N72" i="6"/>
  <c r="O72" i="6"/>
  <c r="P72" i="6"/>
  <c r="Q72" i="6"/>
  <c r="F73" i="6"/>
  <c r="G73" i="6"/>
  <c r="H73" i="6"/>
  <c r="I73" i="6"/>
  <c r="J73" i="6"/>
  <c r="K73" i="6"/>
  <c r="L73" i="6"/>
  <c r="M73" i="6"/>
  <c r="N73" i="6"/>
  <c r="O73" i="6"/>
  <c r="P73" i="6"/>
  <c r="Q73" i="6"/>
  <c r="F74" i="6"/>
  <c r="G74" i="6"/>
  <c r="H74" i="6"/>
  <c r="I74" i="6"/>
  <c r="J74" i="6"/>
  <c r="K74" i="6"/>
  <c r="L74" i="6"/>
  <c r="M74" i="6"/>
  <c r="N74" i="6"/>
  <c r="O74" i="6"/>
  <c r="P74" i="6"/>
  <c r="Q74" i="6"/>
  <c r="F75" i="6"/>
  <c r="G75" i="6"/>
  <c r="H75" i="6"/>
  <c r="I75" i="6"/>
  <c r="J75" i="6"/>
  <c r="K75" i="6"/>
  <c r="L75" i="6"/>
  <c r="M75" i="6"/>
  <c r="N75" i="6"/>
  <c r="O75" i="6"/>
  <c r="P75" i="6"/>
  <c r="Q75" i="6"/>
  <c r="F76" i="6"/>
  <c r="G76" i="6"/>
  <c r="H76" i="6"/>
  <c r="I76" i="6"/>
  <c r="J76" i="6"/>
  <c r="K76" i="6"/>
  <c r="L76" i="6"/>
  <c r="M76" i="6"/>
  <c r="N76" i="6"/>
  <c r="O76" i="6"/>
  <c r="P76" i="6"/>
  <c r="Q76" i="6"/>
  <c r="F77" i="6"/>
  <c r="G77" i="6"/>
  <c r="H77" i="6"/>
  <c r="I77" i="6"/>
  <c r="J77" i="6"/>
  <c r="K77" i="6"/>
  <c r="L77" i="6"/>
  <c r="M77" i="6"/>
  <c r="N77" i="6"/>
  <c r="O77" i="6"/>
  <c r="P77" i="6"/>
  <c r="Q77" i="6"/>
  <c r="F78" i="6"/>
  <c r="G78" i="6"/>
  <c r="H78" i="6"/>
  <c r="I78" i="6"/>
  <c r="J78" i="6"/>
  <c r="K78" i="6"/>
  <c r="L78" i="6"/>
  <c r="M78" i="6"/>
  <c r="N78" i="6"/>
  <c r="O78" i="6"/>
  <c r="P78" i="6"/>
  <c r="Q78" i="6"/>
  <c r="F79" i="6"/>
  <c r="G79" i="6"/>
  <c r="H79" i="6"/>
  <c r="I79" i="6"/>
  <c r="J79" i="6"/>
  <c r="K79" i="6"/>
  <c r="L79" i="6"/>
  <c r="M79" i="6"/>
  <c r="N79" i="6"/>
  <c r="O79" i="6"/>
  <c r="P79" i="6"/>
  <c r="Q79" i="6"/>
  <c r="F80" i="6"/>
  <c r="G80" i="6"/>
  <c r="H80" i="6"/>
  <c r="I80" i="6"/>
  <c r="J80" i="6"/>
  <c r="K80" i="6"/>
  <c r="L80" i="6"/>
  <c r="M80" i="6"/>
  <c r="N80" i="6"/>
  <c r="O80" i="6"/>
  <c r="P80" i="6"/>
  <c r="Q80" i="6"/>
  <c r="F81" i="6"/>
  <c r="G81" i="6"/>
  <c r="H81" i="6"/>
  <c r="I81" i="6"/>
  <c r="J81" i="6"/>
  <c r="K81" i="6"/>
  <c r="L81" i="6"/>
  <c r="M81" i="6"/>
  <c r="N81" i="6"/>
  <c r="O81" i="6"/>
  <c r="P81" i="6"/>
  <c r="Q81" i="6"/>
  <c r="F82" i="6"/>
  <c r="G82" i="6"/>
  <c r="H82" i="6"/>
  <c r="I82" i="6"/>
  <c r="J82" i="6"/>
  <c r="K82" i="6"/>
  <c r="L82" i="6"/>
  <c r="M82" i="6"/>
  <c r="N82" i="6"/>
  <c r="O82" i="6"/>
  <c r="P82" i="6"/>
  <c r="Q82" i="6"/>
  <c r="F83" i="6"/>
  <c r="G83" i="6"/>
  <c r="H83" i="6"/>
  <c r="I83" i="6"/>
  <c r="J83" i="6"/>
  <c r="K83" i="6"/>
  <c r="L83" i="6"/>
  <c r="M83" i="6"/>
  <c r="N83" i="6"/>
  <c r="O83" i="6"/>
  <c r="P83" i="6"/>
  <c r="Q83" i="6"/>
  <c r="F84" i="6"/>
  <c r="G84" i="6"/>
  <c r="H84" i="6"/>
  <c r="I84" i="6"/>
  <c r="J84" i="6"/>
  <c r="K84" i="6"/>
  <c r="L84" i="6"/>
  <c r="M84" i="6"/>
  <c r="N84" i="6"/>
  <c r="O84" i="6"/>
  <c r="P84" i="6"/>
  <c r="Q84" i="6"/>
  <c r="F85" i="6"/>
  <c r="G85" i="6"/>
  <c r="H85" i="6"/>
  <c r="I85" i="6"/>
  <c r="J85" i="6"/>
  <c r="K85" i="6"/>
  <c r="L85" i="6"/>
  <c r="M85" i="6"/>
  <c r="N85" i="6"/>
  <c r="O85" i="6"/>
  <c r="P85" i="6"/>
  <c r="Q85" i="6"/>
  <c r="F86" i="6"/>
  <c r="G86" i="6"/>
  <c r="H86" i="6"/>
  <c r="I86" i="6"/>
  <c r="J86" i="6"/>
  <c r="K86" i="6"/>
  <c r="L86" i="6"/>
  <c r="M86" i="6"/>
  <c r="N86" i="6"/>
  <c r="O86" i="6"/>
  <c r="P86" i="6"/>
  <c r="Q86" i="6"/>
  <c r="F87" i="6"/>
  <c r="G87" i="6"/>
  <c r="H87" i="6"/>
  <c r="I87" i="6"/>
  <c r="J87" i="6"/>
  <c r="K87" i="6"/>
  <c r="L87" i="6"/>
  <c r="M87" i="6"/>
  <c r="N87" i="6"/>
  <c r="O87" i="6"/>
  <c r="P87" i="6"/>
  <c r="Q87" i="6"/>
  <c r="F88" i="6"/>
  <c r="G88" i="6"/>
  <c r="H88" i="6"/>
  <c r="I88" i="6"/>
  <c r="J88" i="6"/>
  <c r="K88" i="6"/>
  <c r="L88" i="6"/>
  <c r="M88" i="6"/>
  <c r="N88" i="6"/>
  <c r="O88" i="6"/>
  <c r="P88" i="6"/>
  <c r="Q88" i="6"/>
  <c r="F89" i="6"/>
  <c r="G89" i="6"/>
  <c r="H89" i="6"/>
  <c r="I89" i="6"/>
  <c r="J89" i="6"/>
  <c r="K89" i="6"/>
  <c r="L89" i="6"/>
  <c r="M89" i="6"/>
  <c r="N89" i="6"/>
  <c r="O89" i="6"/>
  <c r="P89" i="6"/>
  <c r="Q89" i="6"/>
  <c r="F90" i="6"/>
  <c r="G90" i="6"/>
  <c r="H90" i="6"/>
  <c r="I90" i="6"/>
  <c r="J90" i="6"/>
  <c r="K90" i="6"/>
  <c r="L90" i="6"/>
  <c r="M90" i="6"/>
  <c r="N90" i="6"/>
  <c r="O90" i="6"/>
  <c r="P90" i="6"/>
  <c r="Q90" i="6"/>
  <c r="F91" i="6"/>
  <c r="G91" i="6"/>
  <c r="H91" i="6"/>
  <c r="I91" i="6"/>
  <c r="J91" i="6"/>
  <c r="K91" i="6"/>
  <c r="L91" i="6"/>
  <c r="M91" i="6"/>
  <c r="N91" i="6"/>
  <c r="O91" i="6"/>
  <c r="P91" i="6"/>
  <c r="Q91" i="6"/>
  <c r="F92" i="6"/>
  <c r="G92" i="6"/>
  <c r="H92" i="6"/>
  <c r="I92" i="6"/>
  <c r="J92" i="6"/>
  <c r="K92" i="6"/>
  <c r="L92" i="6"/>
  <c r="M92" i="6"/>
  <c r="N92" i="6"/>
  <c r="O92" i="6"/>
  <c r="P92" i="6"/>
  <c r="Q92" i="6"/>
  <c r="Q2" i="6" l="1"/>
  <c r="P2" i="6"/>
  <c r="O2" i="6"/>
  <c r="N2" i="6"/>
  <c r="M2" i="6"/>
  <c r="L2" i="6"/>
  <c r="K2" i="6"/>
  <c r="J2" i="6"/>
  <c r="I2" i="6"/>
  <c r="H2" i="6"/>
  <c r="G2" i="6"/>
  <c r="F2" i="6"/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2" i="4"/>
</calcChain>
</file>

<file path=xl/sharedStrings.xml><?xml version="1.0" encoding="utf-8"?>
<sst xmlns="http://schemas.openxmlformats.org/spreadsheetml/2006/main" count="99" uniqueCount="26">
  <si>
    <t>year</t>
  </si>
  <si>
    <t>atsi_0-14_M</t>
  </si>
  <si>
    <t>atsi_15-64_M</t>
  </si>
  <si>
    <t>atsi_0-14_F</t>
  </si>
  <si>
    <t>atsi_15-64_F</t>
  </si>
  <si>
    <t>ausb_0-14_M</t>
  </si>
  <si>
    <t>ausb_15-64_M</t>
  </si>
  <si>
    <t>ausb_0-14_F</t>
  </si>
  <si>
    <t>ausb_15-64_F</t>
  </si>
  <si>
    <t>lros_0-14_M</t>
  </si>
  <si>
    <t>lros_15-64_M</t>
  </si>
  <si>
    <t>lros_0-14_F</t>
  </si>
  <si>
    <t>lros_15-64_F</t>
  </si>
  <si>
    <t>hros_0-14_M</t>
  </si>
  <si>
    <t>hros_15-64_M</t>
  </si>
  <si>
    <t>hros_0-14_F</t>
  </si>
  <si>
    <t>hros_15-64_F</t>
  </si>
  <si>
    <t>total_pop</t>
  </si>
  <si>
    <t>atsi_65+_M</t>
  </si>
  <si>
    <t>atsi_65+_F</t>
  </si>
  <si>
    <t>ausb_65+_M</t>
  </si>
  <si>
    <t>ausb_65+_F</t>
  </si>
  <si>
    <t>lros_65+_M</t>
  </si>
  <si>
    <t>lros_65+_F</t>
  </si>
  <si>
    <t>hros_65+_M</t>
  </si>
  <si>
    <t>hros_65+_F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</si>
</sst>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70F1-47DE-4FF7-ADAA-5982D89E7BA8}">
  <dimension ref="A1:Y93"/>
  <sheetViews>
    <sheetView workbookViewId="0">
      <selection sqref="A1:XFD1"/>
    </sheetView>
  </sheetViews>
  <sheetFormatPr defaultRowHeight="14.5" x14ac:dyDescent="0.35"/>
  <cols>
    <col min="2" max="2" width="10.54296875" bestFit="1" customWidth="1"/>
    <col min="3" max="3" width="11.54296875" bestFit="1" customWidth="1"/>
    <col min="4" max="4" width="9.08984375" bestFit="1" customWidth="1"/>
    <col min="5" max="5" width="10.54296875" bestFit="1" customWidth="1"/>
    <col min="6" max="6" width="11.7265625" customWidth="1"/>
    <col min="7" max="7" width="8.6328125" bestFit="1" customWidth="1"/>
    <col min="8" max="13" width="12.7265625" bestFit="1" customWidth="1"/>
    <col min="14" max="14" width="11.26953125" bestFit="1" customWidth="1"/>
    <col min="15" max="15" width="12.7265625" bestFit="1" customWidth="1"/>
    <col min="16" max="17" width="11.26953125" bestFit="1" customWidth="1"/>
    <col min="18" max="18" width="12.81640625" bestFit="1" customWidth="1"/>
    <col min="19" max="19" width="12.7265625" bestFit="1" customWidth="1"/>
    <col min="20" max="20" width="11.26953125" bestFit="1" customWidth="1"/>
    <col min="21" max="21" width="12.81640625" bestFit="1" customWidth="1"/>
    <col min="22" max="22" width="12.7265625" bestFit="1" customWidth="1"/>
    <col min="23" max="23" width="11.26953125" bestFit="1" customWidth="1"/>
    <col min="24" max="24" width="12.81640625" bestFit="1" customWidth="1"/>
    <col min="25" max="25" width="12.7265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18</v>
      </c>
      <c r="E1" t="s">
        <v>3</v>
      </c>
      <c r="F1" t="s">
        <v>4</v>
      </c>
      <c r="G1" t="s">
        <v>19</v>
      </c>
      <c r="H1" t="s">
        <v>5</v>
      </c>
      <c r="I1" t="s">
        <v>6</v>
      </c>
      <c r="J1" t="s">
        <v>20</v>
      </c>
      <c r="K1" t="s">
        <v>7</v>
      </c>
      <c r="L1" t="s">
        <v>8</v>
      </c>
      <c r="M1" t="s">
        <v>21</v>
      </c>
      <c r="N1" t="s">
        <v>9</v>
      </c>
      <c r="O1" t="s">
        <v>10</v>
      </c>
      <c r="P1" t="s">
        <v>22</v>
      </c>
      <c r="Q1" t="s">
        <v>11</v>
      </c>
      <c r="R1" t="s">
        <v>12</v>
      </c>
      <c r="S1" t="s">
        <v>23</v>
      </c>
      <c r="T1" t="s">
        <v>13</v>
      </c>
      <c r="U1" t="s">
        <v>14</v>
      </c>
      <c r="V1" t="s">
        <v>24</v>
      </c>
      <c r="W1" t="s">
        <v>15</v>
      </c>
      <c r="X1" t="s">
        <v>16</v>
      </c>
      <c r="Y1" t="s">
        <v>25</v>
      </c>
    </row>
    <row r="2" spans="1:25" x14ac:dyDescent="0.35">
      <c r="A2">
        <v>1980</v>
      </c>
      <c r="B2" s="1">
        <v>72972.052442571614</v>
      </c>
      <c r="C2" s="1">
        <v>116088.4472075628</v>
      </c>
      <c r="D2" s="1">
        <v>5988.7512044331106</v>
      </c>
      <c r="E2" s="1">
        <v>69603.984961125985</v>
      </c>
      <c r="F2" s="1">
        <v>118350.92887014931</v>
      </c>
      <c r="G2" s="1">
        <v>7189.212163614663</v>
      </c>
      <c r="H2" s="1">
        <v>1452404.642255713</v>
      </c>
      <c r="I2" s="1">
        <v>3764777.1640227805</v>
      </c>
      <c r="J2" s="1">
        <v>468654.75004127121</v>
      </c>
      <c r="K2" s="1">
        <v>1388056.0559709438</v>
      </c>
      <c r="L2" s="1">
        <v>3667192.7526193615</v>
      </c>
      <c r="M2" s="1">
        <v>645824.0831177627</v>
      </c>
      <c r="N2" s="1">
        <v>196602.96565252179</v>
      </c>
      <c r="O2" s="1">
        <v>509614.42419946077</v>
      </c>
      <c r="P2" s="1">
        <v>63438.873055483578</v>
      </c>
      <c r="Q2" s="1">
        <v>187892.49852024624</v>
      </c>
      <c r="R2" s="1">
        <v>496405.03053243743</v>
      </c>
      <c r="S2" s="1">
        <v>87421.181629918065</v>
      </c>
      <c r="T2" s="1">
        <v>175621.3396491936</v>
      </c>
      <c r="U2" s="1">
        <v>455227.96457019635</v>
      </c>
      <c r="V2" s="1">
        <v>56668.625698812044</v>
      </c>
      <c r="W2" s="1">
        <v>167840.46054768405</v>
      </c>
      <c r="X2" s="1">
        <v>443428.2879780521</v>
      </c>
      <c r="Y2" s="1">
        <v>78091.523088704518</v>
      </c>
    </row>
    <row r="3" spans="1:25" x14ac:dyDescent="0.35">
      <c r="A3">
        <v>1981</v>
      </c>
      <c r="B3" s="1">
        <v>74700.102051270718</v>
      </c>
      <c r="C3" s="1">
        <v>118837.53523587872</v>
      </c>
      <c r="D3" s="1">
        <v>6130.5706932512621</v>
      </c>
      <c r="E3" s="1">
        <v>71252.275436039374</v>
      </c>
      <c r="F3" s="1">
        <v>121153.59467818847</v>
      </c>
      <c r="G3" s="1">
        <v>7359.4597426582441</v>
      </c>
      <c r="H3" s="1">
        <v>1452907.1709712911</v>
      </c>
      <c r="I3" s="1">
        <v>3821257.1730227121</v>
      </c>
      <c r="J3" s="1">
        <v>481223.09686955856</v>
      </c>
      <c r="K3" s="1">
        <v>1389285.4013037849</v>
      </c>
      <c r="L3" s="1">
        <v>3723910.3438255182</v>
      </c>
      <c r="M3" s="1">
        <v>663335.02496432944</v>
      </c>
      <c r="N3" s="1">
        <v>196896.36028674874</v>
      </c>
      <c r="O3" s="1">
        <v>517852.51261773135</v>
      </c>
      <c r="P3" s="1">
        <v>65214.817679088897</v>
      </c>
      <c r="Q3" s="1">
        <v>188274.40897917867</v>
      </c>
      <c r="R3" s="1">
        <v>504660.1788352711</v>
      </c>
      <c r="S3" s="1">
        <v>89894.423178379948</v>
      </c>
      <c r="T3" s="1">
        <v>180054.36669068955</v>
      </c>
      <c r="U3" s="1">
        <v>473556.7791236777</v>
      </c>
      <c r="V3" s="1">
        <v>59636.514758101366</v>
      </c>
      <c r="W3" s="1">
        <v>172169.9142809973</v>
      </c>
      <c r="X3" s="1">
        <v>461492.88266102213</v>
      </c>
      <c r="Y3" s="1">
        <v>82205.092114632484</v>
      </c>
    </row>
    <row r="4" spans="1:25" x14ac:dyDescent="0.35">
      <c r="A4">
        <v>1982</v>
      </c>
      <c r="B4" s="1">
        <v>76469.073565688086</v>
      </c>
      <c r="C4" s="1">
        <v>121651.72435882737</v>
      </c>
      <c r="D4" s="1">
        <v>6275.7486063421984</v>
      </c>
      <c r="E4" s="1">
        <v>72939.599042334637</v>
      </c>
      <c r="F4" s="1">
        <v>124022.63035511279</v>
      </c>
      <c r="G4" s="1">
        <v>7533.7389509694794</v>
      </c>
      <c r="H4" s="1">
        <v>1460296.1575888437</v>
      </c>
      <c r="I4" s="1">
        <v>3901273.1668590908</v>
      </c>
      <c r="J4" s="1">
        <v>495385.53360656428</v>
      </c>
      <c r="K4" s="1">
        <v>1394592.2403603864</v>
      </c>
      <c r="L4" s="1">
        <v>3796412.8374980404</v>
      </c>
      <c r="M4" s="1">
        <v>683671.52527293027</v>
      </c>
      <c r="N4" s="1">
        <v>195683.47746203004</v>
      </c>
      <c r="O4" s="1">
        <v>522780.73584799364</v>
      </c>
      <c r="P4" s="1">
        <v>66382.948004585254</v>
      </c>
      <c r="Q4" s="1">
        <v>186878.98192232326</v>
      </c>
      <c r="R4" s="1">
        <v>508729.17939449684</v>
      </c>
      <c r="S4" s="1">
        <v>91613.7598609259</v>
      </c>
      <c r="T4" s="1">
        <v>183184.29138343825</v>
      </c>
      <c r="U4" s="1">
        <v>489388.37293408788</v>
      </c>
      <c r="V4" s="1">
        <v>62142.769782508258</v>
      </c>
      <c r="W4" s="1">
        <v>174942.17867495582</v>
      </c>
      <c r="X4" s="1">
        <v>476234.35275234992</v>
      </c>
      <c r="Y4" s="1">
        <v>85761.975915174378</v>
      </c>
    </row>
    <row r="5" spans="1:25" x14ac:dyDescent="0.35">
      <c r="A5">
        <v>1983</v>
      </c>
      <c r="B5" s="1">
        <v>78279.936056595325</v>
      </c>
      <c r="C5" s="1">
        <v>124532.5562340344</v>
      </c>
      <c r="D5" s="1">
        <v>6424.364474479089</v>
      </c>
      <c r="E5" s="1">
        <v>74666.880122758826</v>
      </c>
      <c r="F5" s="1">
        <v>126959.60760436382</v>
      </c>
      <c r="G5" s="1">
        <v>7712.1452614745776</v>
      </c>
      <c r="H5" s="1">
        <v>1460639.43870712</v>
      </c>
      <c r="I5" s="1">
        <v>3962636.4189064107</v>
      </c>
      <c r="J5" s="1">
        <v>506071.69297173811</v>
      </c>
      <c r="K5" s="1">
        <v>1392632.5960626523</v>
      </c>
      <c r="L5" s="1">
        <v>3852537.0511697396</v>
      </c>
      <c r="M5" s="1">
        <v>700575.73480765068</v>
      </c>
      <c r="N5" s="1">
        <v>194699.33260151072</v>
      </c>
      <c r="O5" s="1">
        <v>528208.84172922873</v>
      </c>
      <c r="P5" s="1">
        <v>67458.00384339146</v>
      </c>
      <c r="Q5" s="1">
        <v>185634.20227274598</v>
      </c>
      <c r="R5" s="1">
        <v>513532.89032731915</v>
      </c>
      <c r="S5" s="1">
        <v>93384.872672340003</v>
      </c>
      <c r="T5" s="1">
        <v>186577.292634774</v>
      </c>
      <c r="U5" s="1">
        <v>506174.18313032598</v>
      </c>
      <c r="V5" s="1">
        <v>64643.93871039134</v>
      </c>
      <c r="W5" s="1">
        <v>177890.32154184289</v>
      </c>
      <c r="X5" s="1">
        <v>492110.4508985774</v>
      </c>
      <c r="Y5" s="1">
        <v>89489.247258534757</v>
      </c>
    </row>
    <row r="6" spans="1:25" x14ac:dyDescent="0.35">
      <c r="A6">
        <v>1984</v>
      </c>
      <c r="B6" s="1">
        <v>80133.68154330815</v>
      </c>
      <c r="C6" s="1">
        <v>127481.60902708666</v>
      </c>
      <c r="D6" s="1">
        <v>6576.4997118016354</v>
      </c>
      <c r="E6" s="1">
        <v>76435.064909399691</v>
      </c>
      <c r="F6" s="1">
        <v>129966.13534885849</v>
      </c>
      <c r="G6" s="1">
        <v>7894.7764079920726</v>
      </c>
      <c r="H6" s="1">
        <v>1451565.9722177</v>
      </c>
      <c r="I6" s="1">
        <v>4021474.5576505475</v>
      </c>
      <c r="J6" s="1">
        <v>517663.4762282531</v>
      </c>
      <c r="K6" s="1">
        <v>1383189.1405917555</v>
      </c>
      <c r="L6" s="1">
        <v>3908308.4288037042</v>
      </c>
      <c r="M6" s="1">
        <v>717313.78508487029</v>
      </c>
      <c r="N6" s="1">
        <v>192442.10955766492</v>
      </c>
      <c r="O6" s="1">
        <v>533149.06950070208</v>
      </c>
      <c r="P6" s="1">
        <v>68629.503111125916</v>
      </c>
      <c r="Q6" s="1">
        <v>183377.01573842749</v>
      </c>
      <c r="R6" s="1">
        <v>518146.01143611496</v>
      </c>
      <c r="S6" s="1">
        <v>95098.24607256845</v>
      </c>
      <c r="T6" s="1">
        <v>188777.23668132702</v>
      </c>
      <c r="U6" s="1">
        <v>522995.76382166398</v>
      </c>
      <c r="V6" s="1">
        <v>67322.520948819365</v>
      </c>
      <c r="W6" s="1">
        <v>179884.77876041739</v>
      </c>
      <c r="X6" s="1">
        <v>508278.42441132263</v>
      </c>
      <c r="Y6" s="1">
        <v>93287.192434569195</v>
      </c>
    </row>
    <row r="7" spans="1:25" x14ac:dyDescent="0.35">
      <c r="A7">
        <v>1985</v>
      </c>
      <c r="B7" s="1">
        <v>82031.32553713044</v>
      </c>
      <c r="C7" s="1">
        <v>130500.49827607628</v>
      </c>
      <c r="D7" s="1">
        <v>6732.2376604160354</v>
      </c>
      <c r="E7" s="1">
        <v>78245.122042046831</v>
      </c>
      <c r="F7" s="1">
        <v>133043.86061238285</v>
      </c>
      <c r="G7" s="1">
        <v>8081.732438772955</v>
      </c>
      <c r="H7" s="1">
        <v>1446087.1981745928</v>
      </c>
      <c r="I7" s="1">
        <v>4089196.9813653477</v>
      </c>
      <c r="J7" s="1">
        <v>534179.25977295055</v>
      </c>
      <c r="K7" s="1">
        <v>1377602.327342699</v>
      </c>
      <c r="L7" s="1">
        <v>3971935.5503949928</v>
      </c>
      <c r="M7" s="1">
        <v>737943.04390849185</v>
      </c>
      <c r="N7" s="1">
        <v>189496.19403253793</v>
      </c>
      <c r="O7" s="1">
        <v>535850.9954283688</v>
      </c>
      <c r="P7" s="1">
        <v>69999.19284664822</v>
      </c>
      <c r="Q7" s="1">
        <v>180521.89262952737</v>
      </c>
      <c r="R7" s="1">
        <v>520484.98229738977</v>
      </c>
      <c r="S7" s="1">
        <v>96700.529822795652</v>
      </c>
      <c r="T7" s="1">
        <v>190284.28225573897</v>
      </c>
      <c r="U7" s="1">
        <v>538079.52493020741</v>
      </c>
      <c r="V7" s="1">
        <v>70290.309719985264</v>
      </c>
      <c r="W7" s="1">
        <v>181272.6579857269</v>
      </c>
      <c r="X7" s="1">
        <v>522649.60669523466</v>
      </c>
      <c r="Y7" s="1">
        <v>97102.693829939584</v>
      </c>
    </row>
    <row r="8" spans="1:25" x14ac:dyDescent="0.35">
      <c r="A8">
        <v>1986</v>
      </c>
      <c r="B8" s="1">
        <v>83973.90759766745</v>
      </c>
      <c r="C8" s="1">
        <v>133590.87777661841</v>
      </c>
      <c r="D8" s="1">
        <v>6891.6636360511156</v>
      </c>
      <c r="E8" s="1">
        <v>80098.043098827853</v>
      </c>
      <c r="F8" s="1">
        <v>136194.46942185794</v>
      </c>
      <c r="G8" s="1">
        <v>8273.1157713086977</v>
      </c>
      <c r="H8" s="1">
        <v>1433391.739090245</v>
      </c>
      <c r="I8" s="1">
        <v>4161696.3066786951</v>
      </c>
      <c r="J8" s="1">
        <v>555514.82006388356</v>
      </c>
      <c r="K8" s="1">
        <v>1363146.0859088271</v>
      </c>
      <c r="L8" s="1">
        <v>4038549.7946873107</v>
      </c>
      <c r="M8" s="1">
        <v>763039.64042489487</v>
      </c>
      <c r="N8" s="1">
        <v>186760.76762750896</v>
      </c>
      <c r="O8" s="1">
        <v>542239.4839258577</v>
      </c>
      <c r="P8" s="1">
        <v>72379.637327501376</v>
      </c>
      <c r="Q8" s="1">
        <v>177608.25770793605</v>
      </c>
      <c r="R8" s="1">
        <v>526194.36765864771</v>
      </c>
      <c r="S8" s="1">
        <v>99418.648154354785</v>
      </c>
      <c r="T8" s="1">
        <v>191973.58568457852</v>
      </c>
      <c r="U8" s="1">
        <v>557374.33161882905</v>
      </c>
      <c r="V8" s="1">
        <v>74399.878972563922</v>
      </c>
      <c r="W8" s="1">
        <v>182565.61328440893</v>
      </c>
      <c r="X8" s="1">
        <v>540881.36823218386</v>
      </c>
      <c r="Y8" s="1">
        <v>102193.59564944169</v>
      </c>
    </row>
    <row r="9" spans="1:25" x14ac:dyDescent="0.35">
      <c r="A9">
        <v>1987</v>
      </c>
      <c r="B9" s="1">
        <v>85962.491902313181</v>
      </c>
      <c r="C9" s="1">
        <v>136754.44048782668</v>
      </c>
      <c r="D9" s="1">
        <v>7054.8649747956479</v>
      </c>
      <c r="E9" s="1">
        <v>81994.843139410834</v>
      </c>
      <c r="F9" s="1">
        <v>139419.6877309721</v>
      </c>
      <c r="G9" s="1">
        <v>8469.0312484371971</v>
      </c>
      <c r="H9" s="1">
        <v>1421970.8283809773</v>
      </c>
      <c r="I9" s="1">
        <v>4219668.7328955932</v>
      </c>
      <c r="J9" s="1">
        <v>574485.20239986107</v>
      </c>
      <c r="K9" s="1">
        <v>1351305.8636061442</v>
      </c>
      <c r="L9" s="1">
        <v>4102453.5380679946</v>
      </c>
      <c r="M9" s="1">
        <v>783840.12337623152</v>
      </c>
      <c r="N9" s="1">
        <v>185809.04041336433</v>
      </c>
      <c r="O9" s="1">
        <v>551384.44648285164</v>
      </c>
      <c r="P9" s="1">
        <v>75068.026754903563</v>
      </c>
      <c r="Q9" s="1">
        <v>176575.24388702796</v>
      </c>
      <c r="R9" s="1">
        <v>536067.92772024137</v>
      </c>
      <c r="S9" s="1">
        <v>102424.45080807895</v>
      </c>
      <c r="T9" s="1">
        <v>196751.63930334526</v>
      </c>
      <c r="U9" s="1">
        <v>583856.3801337292</v>
      </c>
      <c r="V9" s="1">
        <v>79488.905870439761</v>
      </c>
      <c r="W9" s="1">
        <v>186974.04936741688</v>
      </c>
      <c r="X9" s="1">
        <v>567637.8464807925</v>
      </c>
      <c r="Y9" s="1">
        <v>108456.39456725234</v>
      </c>
    </row>
    <row r="10" spans="1:25" x14ac:dyDescent="0.35">
      <c r="A10">
        <v>1988</v>
      </c>
      <c r="B10" s="1">
        <v>87998.167829223647</v>
      </c>
      <c r="C10" s="1">
        <v>139992.91945974313</v>
      </c>
      <c r="D10" s="1">
        <v>7221.9310809424478</v>
      </c>
      <c r="E10" s="1">
        <v>83936.561261069961</v>
      </c>
      <c r="F10" s="1">
        <v>142721.282365686</v>
      </c>
      <c r="G10" s="1">
        <v>8669.5861957773413</v>
      </c>
      <c r="H10" s="1">
        <v>1420052.3082540594</v>
      </c>
      <c r="I10" s="1">
        <v>4279944.8782241018</v>
      </c>
      <c r="J10" s="1">
        <v>590782.41910146025</v>
      </c>
      <c r="K10" s="1">
        <v>1348718.2644100601</v>
      </c>
      <c r="L10" s="1">
        <v>4165898.2233429365</v>
      </c>
      <c r="M10" s="1">
        <v>802978.39483631484</v>
      </c>
      <c r="N10" s="1">
        <v>186017.51907687137</v>
      </c>
      <c r="O10" s="1">
        <v>560644.649077654</v>
      </c>
      <c r="P10" s="1">
        <v>77388.613980425842</v>
      </c>
      <c r="Q10" s="1">
        <v>176673.22817684381</v>
      </c>
      <c r="R10" s="1">
        <v>545705.28686071304</v>
      </c>
      <c r="S10" s="1">
        <v>105184.89214205519</v>
      </c>
      <c r="T10" s="1">
        <v>202914.00483984555</v>
      </c>
      <c r="U10" s="1">
        <v>611569.55323850119</v>
      </c>
      <c r="V10" s="1">
        <v>84418.035837171541</v>
      </c>
      <c r="W10" s="1">
        <v>192720.94615202615</v>
      </c>
      <c r="X10" s="1">
        <v>595273.20743066445</v>
      </c>
      <c r="Y10" s="1">
        <v>114739.12682585268</v>
      </c>
    </row>
    <row r="11" spans="1:25" x14ac:dyDescent="0.35">
      <c r="A11">
        <v>1989</v>
      </c>
      <c r="B11" s="1">
        <v>90082.050554095607</v>
      </c>
      <c r="C11" s="1">
        <v>143308.08878273066</v>
      </c>
      <c r="D11" s="1">
        <v>7392.9534759654734</v>
      </c>
      <c r="E11" s="1">
        <v>85924.261167919758</v>
      </c>
      <c r="F11" s="1">
        <v>146101.06199212791</v>
      </c>
      <c r="G11" s="1">
        <v>8874.8904805237016</v>
      </c>
      <c r="H11" s="1">
        <v>1423456.5744666974</v>
      </c>
      <c r="I11" s="1">
        <v>4338465.5505719045</v>
      </c>
      <c r="J11" s="1">
        <v>608880.09438179503</v>
      </c>
      <c r="K11" s="1">
        <v>1351792.3657666869</v>
      </c>
      <c r="L11" s="1">
        <v>4227244.8395221569</v>
      </c>
      <c r="M11" s="1">
        <v>822357.54164423048</v>
      </c>
      <c r="N11" s="1">
        <v>186846.22215877209</v>
      </c>
      <c r="O11" s="1">
        <v>569477.08320082841</v>
      </c>
      <c r="P11" s="1">
        <v>79923.01797161474</v>
      </c>
      <c r="Q11" s="1">
        <v>177439.41137171912</v>
      </c>
      <c r="R11" s="1">
        <v>554877.99387262482</v>
      </c>
      <c r="S11" s="1">
        <v>107944.56443293094</v>
      </c>
      <c r="T11" s="1">
        <v>209974.15282043509</v>
      </c>
      <c r="U11" s="1">
        <v>639967.27744453633</v>
      </c>
      <c r="V11" s="1">
        <v>89815.934170624809</v>
      </c>
      <c r="W11" s="1">
        <v>199402.96169367436</v>
      </c>
      <c r="X11" s="1">
        <v>623561.10461309133</v>
      </c>
      <c r="Y11" s="1">
        <v>121306.0034423149</v>
      </c>
    </row>
    <row r="12" spans="1:25" x14ac:dyDescent="0.35">
      <c r="A12">
        <v>1990</v>
      </c>
      <c r="B12" s="1">
        <v>92215.281661077606</v>
      </c>
      <c r="C12" s="1">
        <v>146701.76455934808</v>
      </c>
      <c r="D12" s="1">
        <v>7568.0258486567409</v>
      </c>
      <c r="E12" s="1">
        <v>87959.031753629068</v>
      </c>
      <c r="F12" s="1">
        <v>149560.87810740998</v>
      </c>
      <c r="G12" s="1">
        <v>9085.0565716335223</v>
      </c>
      <c r="H12" s="1">
        <v>1428942.0715860205</v>
      </c>
      <c r="I12" s="1">
        <v>4385354.9764082683</v>
      </c>
      <c r="J12" s="1">
        <v>623969.63186389639</v>
      </c>
      <c r="K12" s="1">
        <v>1355842.464263923</v>
      </c>
      <c r="L12" s="1">
        <v>4277507.011954328</v>
      </c>
      <c r="M12" s="1">
        <v>838001.41593069746</v>
      </c>
      <c r="N12" s="1">
        <v>187871.79930242937</v>
      </c>
      <c r="O12" s="1">
        <v>576569.57995731267</v>
      </c>
      <c r="P12" s="1">
        <v>82037.123673062641</v>
      </c>
      <c r="Q12" s="1">
        <v>178260.94451063193</v>
      </c>
      <c r="R12" s="1">
        <v>562390.14502012357</v>
      </c>
      <c r="S12" s="1">
        <v>110177.198194004</v>
      </c>
      <c r="T12" s="1">
        <v>217514.84745047247</v>
      </c>
      <c r="U12" s="1">
        <v>667542.67907507136</v>
      </c>
      <c r="V12" s="1">
        <v>94981.218614384226</v>
      </c>
      <c r="W12" s="1">
        <v>206387.55947181609</v>
      </c>
      <c r="X12" s="1">
        <v>651125.96491813892</v>
      </c>
      <c r="Y12" s="1">
        <v>127561.32930366498</v>
      </c>
    </row>
    <row r="13" spans="1:25" x14ac:dyDescent="0.35">
      <c r="A13">
        <v>1991</v>
      </c>
      <c r="B13" s="1">
        <v>94399.029768147913</v>
      </c>
      <c r="C13" s="1">
        <v>150175.8058992399</v>
      </c>
      <c r="D13" s="1">
        <v>7747.2441064505456</v>
      </c>
      <c r="E13" s="1">
        <v>90041.987697934324</v>
      </c>
      <c r="F13" s="1">
        <v>153102.6260539077</v>
      </c>
      <c r="G13" s="1">
        <v>9300.1996014390188</v>
      </c>
      <c r="H13" s="1">
        <v>1432689.7769296854</v>
      </c>
      <c r="I13" s="1">
        <v>4406603.6504280893</v>
      </c>
      <c r="J13" s="1">
        <v>642098.93581750081</v>
      </c>
      <c r="K13" s="1">
        <v>1358154.184534101</v>
      </c>
      <c r="L13" s="1">
        <v>4307893.5898082219</v>
      </c>
      <c r="M13" s="1">
        <v>856493.4203088847</v>
      </c>
      <c r="N13" s="1">
        <v>189677.40127840111</v>
      </c>
      <c r="O13" s="1">
        <v>583401.33526208415</v>
      </c>
      <c r="P13" s="1">
        <v>85009.092317595161</v>
      </c>
      <c r="Q13" s="1">
        <v>179809.446822386</v>
      </c>
      <c r="R13" s="1">
        <v>570332.86218444805</v>
      </c>
      <c r="S13" s="1">
        <v>113393.31709645598</v>
      </c>
      <c r="T13" s="1">
        <v>226264.79202376559</v>
      </c>
      <c r="U13" s="1">
        <v>695935.20841058693</v>
      </c>
      <c r="V13" s="1">
        <v>101406.72775845347</v>
      </c>
      <c r="W13" s="1">
        <v>214493.3809455788</v>
      </c>
      <c r="X13" s="1">
        <v>680345.9219534226</v>
      </c>
      <c r="Y13" s="1">
        <v>135266.06299322023</v>
      </c>
    </row>
    <row r="14" spans="1:25" x14ac:dyDescent="0.35">
      <c r="A14">
        <v>1992</v>
      </c>
      <c r="B14" s="1">
        <v>96634.491167302083</v>
      </c>
      <c r="C14" s="1">
        <v>153732.11593758623</v>
      </c>
      <c r="D14" s="1">
        <v>7930.706427963074</v>
      </c>
      <c r="E14" s="1">
        <v>92174.270077278896</v>
      </c>
      <c r="F14" s="1">
        <v>156728.24605755869</v>
      </c>
      <c r="G14" s="1">
        <v>9520.4374287186893</v>
      </c>
      <c r="H14" s="1">
        <v>1430139.6822923447</v>
      </c>
      <c r="I14" s="1">
        <v>4411653.7098439969</v>
      </c>
      <c r="J14" s="1">
        <v>656224.83775689639</v>
      </c>
      <c r="K14" s="1">
        <v>1356924.1313105726</v>
      </c>
      <c r="L14" s="1">
        <v>4318993.7237817375</v>
      </c>
      <c r="M14" s="1">
        <v>869776.34461731534</v>
      </c>
      <c r="N14" s="1">
        <v>194175.49587313071</v>
      </c>
      <c r="O14" s="1">
        <v>598986.97822048399</v>
      </c>
      <c r="P14" s="1">
        <v>89098.138352098904</v>
      </c>
      <c r="Q14" s="1">
        <v>184234.74246733577</v>
      </c>
      <c r="R14" s="1">
        <v>586406.18002013129</v>
      </c>
      <c r="S14" s="1">
        <v>118092.83743814222</v>
      </c>
      <c r="T14" s="1">
        <v>235424.33066722253</v>
      </c>
      <c r="U14" s="1">
        <v>726230.19599793362</v>
      </c>
      <c r="V14" s="1">
        <v>108025.31746304163</v>
      </c>
      <c r="W14" s="1">
        <v>223371.85614481283</v>
      </c>
      <c r="X14" s="1">
        <v>710976.85014057264</v>
      </c>
      <c r="Y14" s="1">
        <v>143179.38051582378</v>
      </c>
    </row>
    <row r="15" spans="1:25" x14ac:dyDescent="0.35">
      <c r="A15">
        <v>1993</v>
      </c>
      <c r="B15" s="1">
        <v>98922.8904799007</v>
      </c>
      <c r="C15" s="1">
        <v>157372.64287767059</v>
      </c>
      <c r="D15" s="1">
        <v>8118.5133167762178</v>
      </c>
      <c r="E15" s="1">
        <v>94357.046989912953</v>
      </c>
      <c r="F15" s="1">
        <v>160439.72429074944</v>
      </c>
      <c r="G15" s="1">
        <v>9745.8907032622392</v>
      </c>
      <c r="H15" s="1">
        <v>1436998.7243304765</v>
      </c>
      <c r="I15" s="1">
        <v>4445719.2449841937</v>
      </c>
      <c r="J15" s="1">
        <v>675807.81474608229</v>
      </c>
      <c r="K15" s="1">
        <v>1364242.0738177672</v>
      </c>
      <c r="L15" s="1">
        <v>4357762.0822961237</v>
      </c>
      <c r="M15" s="1">
        <v>890975.55415848806</v>
      </c>
      <c r="N15" s="1">
        <v>192281.30216898274</v>
      </c>
      <c r="O15" s="1">
        <v>594870.87290320836</v>
      </c>
      <c r="P15" s="1">
        <v>90428.199020075786</v>
      </c>
      <c r="Q15" s="1">
        <v>182545.91182717471</v>
      </c>
      <c r="R15" s="1">
        <v>583101.53901974857</v>
      </c>
      <c r="S15" s="1">
        <v>119219.27059061601</v>
      </c>
      <c r="T15" s="1">
        <v>236952.08302064013</v>
      </c>
      <c r="U15" s="1">
        <v>733071.23923492746</v>
      </c>
      <c r="V15" s="1">
        <v>111436.47291706569</v>
      </c>
      <c r="W15" s="1">
        <v>224954.96736514533</v>
      </c>
      <c r="X15" s="1">
        <v>718567.65439337911</v>
      </c>
      <c r="Y15" s="1">
        <v>146916.2845476337</v>
      </c>
    </row>
    <row r="16" spans="1:25" x14ac:dyDescent="0.35">
      <c r="A16">
        <v>1994</v>
      </c>
      <c r="B16" s="1">
        <v>101265.48132753663</v>
      </c>
      <c r="C16" s="1">
        <v>161099.38105813658</v>
      </c>
      <c r="D16" s="1">
        <v>8310.7676564950361</v>
      </c>
      <c r="E16" s="1">
        <v>96591.514195796233</v>
      </c>
      <c r="F16" s="1">
        <v>164239.09396037212</v>
      </c>
      <c r="G16" s="1">
        <v>9976.6829319644603</v>
      </c>
      <c r="H16" s="1">
        <v>1442578.4593777969</v>
      </c>
      <c r="I16" s="1">
        <v>4480532.6865852345</v>
      </c>
      <c r="J16" s="1">
        <v>693499.90890449891</v>
      </c>
      <c r="K16" s="1">
        <v>1370165.3240692369</v>
      </c>
      <c r="L16" s="1">
        <v>4397208.1276505142</v>
      </c>
      <c r="M16" s="1">
        <v>909284.0041423873</v>
      </c>
      <c r="N16" s="1">
        <v>191292.63576881</v>
      </c>
      <c r="O16" s="1">
        <v>594139.54346363421</v>
      </c>
      <c r="P16" s="1">
        <v>91961.32426446311</v>
      </c>
      <c r="Q16" s="1">
        <v>181690.31609780053</v>
      </c>
      <c r="R16" s="1">
        <v>583090.31809964869</v>
      </c>
      <c r="S16" s="1">
        <v>120575.30228881772</v>
      </c>
      <c r="T16" s="1">
        <v>239607.42352585663</v>
      </c>
      <c r="U16" s="1">
        <v>744201.38889299438</v>
      </c>
      <c r="V16" s="1">
        <v>115187.99917454306</v>
      </c>
      <c r="W16" s="1">
        <v>227579.84563716632</v>
      </c>
      <c r="X16" s="1">
        <v>730361.46028946596</v>
      </c>
      <c r="Y16" s="1">
        <v>151029.01063683047</v>
      </c>
    </row>
    <row r="17" spans="1:25" x14ac:dyDescent="0.35">
      <c r="A17">
        <v>1995</v>
      </c>
      <c r="B17" s="1">
        <v>103663.54701878864</v>
      </c>
      <c r="C17" s="1">
        <v>164914.3720455186</v>
      </c>
      <c r="D17" s="1">
        <v>8507.5747671090285</v>
      </c>
      <c r="E17" s="1">
        <v>98878.895771654439</v>
      </c>
      <c r="F17" s="1">
        <v>168128.43642164755</v>
      </c>
      <c r="G17" s="1">
        <v>10212.94054648426</v>
      </c>
      <c r="H17" s="1">
        <v>1448230.3643425514</v>
      </c>
      <c r="I17" s="1">
        <v>4520147.8778969962</v>
      </c>
      <c r="J17" s="1">
        <v>709113.68300409324</v>
      </c>
      <c r="K17" s="1">
        <v>1376330.1341515977</v>
      </c>
      <c r="L17" s="1">
        <v>4440999.2723917533</v>
      </c>
      <c r="M17" s="1">
        <v>924671.79171975364</v>
      </c>
      <c r="N17" s="1">
        <v>191375.96053879493</v>
      </c>
      <c r="O17" s="1">
        <v>597313.56502985361</v>
      </c>
      <c r="P17" s="1">
        <v>93705.611729607321</v>
      </c>
      <c r="Q17" s="1">
        <v>181874.72651239694</v>
      </c>
      <c r="R17" s="1">
        <v>586854.49665453448</v>
      </c>
      <c r="S17" s="1">
        <v>122190.47237269489</v>
      </c>
      <c r="T17" s="1">
        <v>243658.12809986487</v>
      </c>
      <c r="U17" s="1">
        <v>760494.18502763158</v>
      </c>
      <c r="V17" s="1">
        <v>119305.13049919052</v>
      </c>
      <c r="W17" s="1">
        <v>231561.24356435094</v>
      </c>
      <c r="X17" s="1">
        <v>747177.79453206505</v>
      </c>
      <c r="Y17" s="1">
        <v>155571.79536106728</v>
      </c>
    </row>
    <row r="18" spans="1:25" x14ac:dyDescent="0.35">
      <c r="A18">
        <v>1996</v>
      </c>
      <c r="B18" s="1">
        <v>106118.40125223857</v>
      </c>
      <c r="C18" s="1">
        <v>168819.70575264422</v>
      </c>
      <c r="D18" s="1">
        <v>8709.0424626881122</v>
      </c>
      <c r="E18" s="1">
        <v>101220.44478154801</v>
      </c>
      <c r="F18" s="1">
        <v>172109.88231832511</v>
      </c>
      <c r="G18" s="1">
        <v>10454.792972505969</v>
      </c>
      <c r="H18" s="1">
        <v>1449932.657239533</v>
      </c>
      <c r="I18" s="1">
        <v>4560124.3266877215</v>
      </c>
      <c r="J18" s="1">
        <v>725489.16043111833</v>
      </c>
      <c r="K18" s="1">
        <v>1378185.9098525527</v>
      </c>
      <c r="L18" s="1">
        <v>4488184.1932618441</v>
      </c>
      <c r="M18" s="1">
        <v>941259.49079008785</v>
      </c>
      <c r="N18" s="1">
        <v>191989.94491112884</v>
      </c>
      <c r="O18" s="1">
        <v>603819.780109994</v>
      </c>
      <c r="P18" s="1">
        <v>96064.202188516516</v>
      </c>
      <c r="Q18" s="1">
        <v>182489.74225716281</v>
      </c>
      <c r="R18" s="1">
        <v>594293.97062886332</v>
      </c>
      <c r="S18" s="1">
        <v>124635.00072335565</v>
      </c>
      <c r="T18" s="1">
        <v>248471.99659709958</v>
      </c>
      <c r="U18" s="1">
        <v>781459.18744963978</v>
      </c>
      <c r="V18" s="1">
        <v>124325.59491767718</v>
      </c>
      <c r="W18" s="1">
        <v>236176.9031087365</v>
      </c>
      <c r="X18" s="1">
        <v>769130.953790967</v>
      </c>
      <c r="Y18" s="1">
        <v>161301.71551405048</v>
      </c>
    </row>
    <row r="19" spans="1:25" x14ac:dyDescent="0.35">
      <c r="A19">
        <v>1997</v>
      </c>
      <c r="B19" s="1">
        <v>108631.38883613612</v>
      </c>
      <c r="C19" s="1">
        <v>172817.52158352194</v>
      </c>
      <c r="D19" s="1">
        <v>8915.2811104448792</v>
      </c>
      <c r="E19" s="1">
        <v>103617.44396332049</v>
      </c>
      <c r="F19" s="1">
        <v>176185.612749883</v>
      </c>
      <c r="G19" s="1">
        <v>10702.37270064075</v>
      </c>
      <c r="H19" s="1">
        <v>1453241.5047626838</v>
      </c>
      <c r="I19" s="1">
        <v>4604314.4059454389</v>
      </c>
      <c r="J19" s="1">
        <v>742522.51338828879</v>
      </c>
      <c r="K19" s="1">
        <v>1381699.5374801331</v>
      </c>
      <c r="L19" s="1">
        <v>4544941.6330208397</v>
      </c>
      <c r="M19" s="1">
        <v>958222.78513860865</v>
      </c>
      <c r="N19" s="1">
        <v>190297.84401141826</v>
      </c>
      <c r="O19" s="1">
        <v>602921.88306665129</v>
      </c>
      <c r="P19" s="1">
        <v>97231.212406643564</v>
      </c>
      <c r="Q19" s="1">
        <v>180929.62676357134</v>
      </c>
      <c r="R19" s="1">
        <v>595147.18722738279</v>
      </c>
      <c r="S19" s="1">
        <v>125476.54983489569</v>
      </c>
      <c r="T19" s="1">
        <v>251169.26238976207</v>
      </c>
      <c r="U19" s="1">
        <v>795781.18940438831</v>
      </c>
      <c r="V19" s="1">
        <v>128332.99309462278</v>
      </c>
      <c r="W19" s="1">
        <v>238804.39179297502</v>
      </c>
      <c r="X19" s="1">
        <v>785519.56700189458</v>
      </c>
      <c r="Y19" s="1">
        <v>165613.29232585503</v>
      </c>
    </row>
    <row r="20" spans="1:25" x14ac:dyDescent="0.35">
      <c r="A20">
        <v>1998</v>
      </c>
      <c r="B20" s="1">
        <v>111203.88642510632</v>
      </c>
      <c r="C20" s="1">
        <v>176910.00960534066</v>
      </c>
      <c r="D20" s="1">
        <v>9126.4036911955172</v>
      </c>
      <c r="E20" s="1">
        <v>106071.20643130274</v>
      </c>
      <c r="F20" s="1">
        <v>180357.8604663694</v>
      </c>
      <c r="G20" s="1">
        <v>10955.8153590071</v>
      </c>
      <c r="H20" s="1">
        <v>1456370.0072255183</v>
      </c>
      <c r="I20" s="1">
        <v>4654699.0006230986</v>
      </c>
      <c r="J20" s="1">
        <v>759384.26596516185</v>
      </c>
      <c r="K20" s="1">
        <v>1384650.8494607597</v>
      </c>
      <c r="L20" s="1">
        <v>4603764.5871618288</v>
      </c>
      <c r="M20" s="1">
        <v>975083.66180428257</v>
      </c>
      <c r="N20" s="1">
        <v>188567.44133371007</v>
      </c>
      <c r="O20" s="1">
        <v>602679.7286207499</v>
      </c>
      <c r="P20" s="1">
        <v>98323.329450408288</v>
      </c>
      <c r="Q20" s="1">
        <v>179281.40961978238</v>
      </c>
      <c r="R20" s="1">
        <v>596084.85782927962</v>
      </c>
      <c r="S20" s="1">
        <v>126251.59147778727</v>
      </c>
      <c r="T20" s="1">
        <v>251377.66501566526</v>
      </c>
      <c r="U20" s="1">
        <v>803427.26115081087</v>
      </c>
      <c r="V20" s="1">
        <v>131074.00089323433</v>
      </c>
      <c r="W20" s="1">
        <v>238998.53448815536</v>
      </c>
      <c r="X20" s="1">
        <v>794635.69454252266</v>
      </c>
      <c r="Y20" s="1">
        <v>168304.93135892306</v>
      </c>
    </row>
    <row r="21" spans="1:25" x14ac:dyDescent="0.35">
      <c r="A21">
        <v>1999</v>
      </c>
      <c r="B21" s="1">
        <v>113837.30327430289</v>
      </c>
      <c r="C21" s="1">
        <v>181099.41174822339</v>
      </c>
      <c r="D21" s="1">
        <v>9342.5258612524976</v>
      </c>
      <c r="E21" s="1">
        <v>108583.07639565799</v>
      </c>
      <c r="F21" s="1">
        <v>184628.91109153847</v>
      </c>
      <c r="G21" s="1">
        <v>11215.25978753008</v>
      </c>
      <c r="H21" s="1">
        <v>1461501.9537820611</v>
      </c>
      <c r="I21" s="1">
        <v>4709954.7343656169</v>
      </c>
      <c r="J21" s="1">
        <v>777096.39661269693</v>
      </c>
      <c r="K21" s="1">
        <v>1389666.7622517389</v>
      </c>
      <c r="L21" s="1">
        <v>4667890.8193706069</v>
      </c>
      <c r="M21" s="1">
        <v>992425.0602233893</v>
      </c>
      <c r="N21" s="1">
        <v>186273.72661900028</v>
      </c>
      <c r="O21" s="1">
        <v>600300.81951427611</v>
      </c>
      <c r="P21" s="1">
        <v>99043.75520310062</v>
      </c>
      <c r="Q21" s="1">
        <v>177118.07082660432</v>
      </c>
      <c r="R21" s="1">
        <v>594939.62093220861</v>
      </c>
      <c r="S21" s="1">
        <v>126488.1746339856</v>
      </c>
      <c r="T21" s="1">
        <v>252747.01632463574</v>
      </c>
      <c r="U21" s="1">
        <v>814523.03437188442</v>
      </c>
      <c r="V21" s="1">
        <v>134388.32232295009</v>
      </c>
      <c r="W21" s="1">
        <v>240324.09052599868</v>
      </c>
      <c r="X21" s="1">
        <v>807248.6486056461</v>
      </c>
      <c r="Y21" s="1">
        <v>171626.50535509491</v>
      </c>
    </row>
    <row r="22" spans="1:25" x14ac:dyDescent="0.35">
      <c r="A22">
        <v>2000</v>
      </c>
      <c r="B22" s="1">
        <v>116533.08201142054</v>
      </c>
      <c r="C22" s="1">
        <v>185388.02303339232</v>
      </c>
      <c r="D22" s="1">
        <v>9563.7660157829469</v>
      </c>
      <c r="E22" s="1">
        <v>111154.42989876153</v>
      </c>
      <c r="F22" s="1">
        <v>189001.10437495142</v>
      </c>
      <c r="G22" s="1">
        <v>11480.848114000029</v>
      </c>
      <c r="H22" s="1">
        <v>1466860.7168512063</v>
      </c>
      <c r="I22" s="1">
        <v>4770533.4422642877</v>
      </c>
      <c r="J22" s="1">
        <v>794230.54016784718</v>
      </c>
      <c r="K22" s="1">
        <v>1394193.2389779538</v>
      </c>
      <c r="L22" s="1">
        <v>4736510.9296312872</v>
      </c>
      <c r="M22" s="1">
        <v>1010045.30695222</v>
      </c>
      <c r="N22" s="1">
        <v>184453.95815298456</v>
      </c>
      <c r="O22" s="1">
        <v>599882.29681120371</v>
      </c>
      <c r="P22" s="1">
        <v>99872.445377377153</v>
      </c>
      <c r="Q22" s="1">
        <v>175316.20992049473</v>
      </c>
      <c r="R22" s="1">
        <v>595604.05345150817</v>
      </c>
      <c r="S22" s="1">
        <v>127010.59660327766</v>
      </c>
      <c r="T22" s="1">
        <v>253699.24298438872</v>
      </c>
      <c r="U22" s="1">
        <v>825082.23789111595</v>
      </c>
      <c r="V22" s="1">
        <v>137365.24843899277</v>
      </c>
      <c r="W22" s="1">
        <v>241131.12120279015</v>
      </c>
      <c r="X22" s="1">
        <v>819197.91254225292</v>
      </c>
      <c r="Y22" s="1">
        <v>174691.24833050236</v>
      </c>
    </row>
    <row r="23" spans="1:25" x14ac:dyDescent="0.35">
      <c r="A23">
        <v>2001</v>
      </c>
      <c r="B23" s="1">
        <v>119292.69942698952</v>
      </c>
      <c r="C23" s="1">
        <v>189778.19283041795</v>
      </c>
      <c r="D23" s="1">
        <v>9790.245353667402</v>
      </c>
      <c r="E23" s="1">
        <v>113786.67556901849</v>
      </c>
      <c r="F23" s="1">
        <v>193476.83547372877</v>
      </c>
      <c r="G23" s="1">
        <v>11752.72583193245</v>
      </c>
      <c r="H23" s="1">
        <v>1469754.5571406451</v>
      </c>
      <c r="I23" s="1">
        <v>4823250.9037134089</v>
      </c>
      <c r="J23" s="1">
        <v>814834.51832302986</v>
      </c>
      <c r="K23" s="1">
        <v>1396426.5804874247</v>
      </c>
      <c r="L23" s="1">
        <v>4798587.0415207027</v>
      </c>
      <c r="M23" s="1">
        <v>1028863.766835244</v>
      </c>
      <c r="N23" s="1">
        <v>184071.18283719724</v>
      </c>
      <c r="O23" s="1">
        <v>604061.06220506132</v>
      </c>
      <c r="P23" s="1">
        <v>102049.38836596867</v>
      </c>
      <c r="Q23" s="1">
        <v>174887.63084068178</v>
      </c>
      <c r="R23" s="1">
        <v>600972.17483601847</v>
      </c>
      <c r="S23" s="1">
        <v>128854.28360782756</v>
      </c>
      <c r="T23" s="1">
        <v>257428.56059516818</v>
      </c>
      <c r="U23" s="1">
        <v>844795.84125111206</v>
      </c>
      <c r="V23" s="1">
        <v>142718.84795733419</v>
      </c>
      <c r="W23" s="1">
        <v>244585.11310287495</v>
      </c>
      <c r="X23" s="1">
        <v>840475.94816955028</v>
      </c>
      <c r="Y23" s="1">
        <v>180206.22372499609</v>
      </c>
    </row>
    <row r="24" spans="1:25" x14ac:dyDescent="0.35">
      <c r="A24">
        <v>2002</v>
      </c>
      <c r="B24" s="1">
        <v>122117.66728338494</v>
      </c>
      <c r="C24" s="1">
        <v>194272.32614424126</v>
      </c>
      <c r="D24" s="1">
        <v>10022.08794389449</v>
      </c>
      <c r="E24" s="1">
        <v>116481.25539253323</v>
      </c>
      <c r="F24" s="1">
        <v>198058.55626465532</v>
      </c>
      <c r="G24" s="1">
        <v>12031.041880271659</v>
      </c>
      <c r="H24" s="1">
        <v>1465771.0031936436</v>
      </c>
      <c r="I24" s="1">
        <v>4873184.1048473679</v>
      </c>
      <c r="J24" s="1">
        <v>831782.28654703288</v>
      </c>
      <c r="K24" s="1">
        <v>1392076.4251139271</v>
      </c>
      <c r="L24" s="1">
        <v>4846703.2533450089</v>
      </c>
      <c r="M24" s="1">
        <v>1042471.0858778317</v>
      </c>
      <c r="N24" s="1">
        <v>183242.68666847522</v>
      </c>
      <c r="O24" s="1">
        <v>609218.86574145081</v>
      </c>
      <c r="P24" s="1">
        <v>103984.87934202216</v>
      </c>
      <c r="Q24" s="1">
        <v>174029.79294168958</v>
      </c>
      <c r="R24" s="1">
        <v>605908.37429088412</v>
      </c>
      <c r="S24" s="1">
        <v>130324.04252386498</v>
      </c>
      <c r="T24" s="1">
        <v>262030.64285449608</v>
      </c>
      <c r="U24" s="1">
        <v>871161.70326694124</v>
      </c>
      <c r="V24" s="1">
        <v>148694.74616705044</v>
      </c>
      <c r="W24" s="1">
        <v>248856.52655185017</v>
      </c>
      <c r="X24" s="1">
        <v>866427.81609945127</v>
      </c>
      <c r="Y24" s="1">
        <v>186358.82971803177</v>
      </c>
    </row>
    <row r="25" spans="1:25" x14ac:dyDescent="0.35">
      <c r="A25">
        <v>2003</v>
      </c>
      <c r="B25" s="1">
        <v>125009.53314299435</v>
      </c>
      <c r="C25" s="1">
        <v>198872.88493267362</v>
      </c>
      <c r="D25" s="1">
        <v>10259.42079352791</v>
      </c>
      <c r="E25" s="1">
        <v>119239.64550305199</v>
      </c>
      <c r="F25" s="1">
        <v>202748.77668735755</v>
      </c>
      <c r="G25" s="1">
        <v>12315.948724981939</v>
      </c>
      <c r="H25" s="1">
        <v>1460362.6726787523</v>
      </c>
      <c r="I25" s="1">
        <v>4915304.8679114375</v>
      </c>
      <c r="J25" s="1">
        <v>846772.20251374459</v>
      </c>
      <c r="K25" s="1">
        <v>1385858.0708356684</v>
      </c>
      <c r="L25" s="1">
        <v>4893018.306610859</v>
      </c>
      <c r="M25" s="1">
        <v>1054634.0431741138</v>
      </c>
      <c r="N25" s="1">
        <v>183842.52934094495</v>
      </c>
      <c r="O25" s="1">
        <v>618779.22265784966</v>
      </c>
      <c r="P25" s="1">
        <v>106598.68702353109</v>
      </c>
      <c r="Q25" s="1">
        <v>174463.27396375302</v>
      </c>
      <c r="R25" s="1">
        <v>615973.60602818406</v>
      </c>
      <c r="S25" s="1">
        <v>132766.05438740028</v>
      </c>
      <c r="T25" s="1">
        <v>267264.26483730838</v>
      </c>
      <c r="U25" s="1">
        <v>899561.02449803951</v>
      </c>
      <c r="V25" s="1">
        <v>154969.68966919632</v>
      </c>
      <c r="W25" s="1">
        <v>253629.00969752675</v>
      </c>
      <c r="X25" s="1">
        <v>895482.3106735996</v>
      </c>
      <c r="Y25" s="1">
        <v>193010.95371350402</v>
      </c>
    </row>
    <row r="26" spans="1:25" x14ac:dyDescent="0.35">
      <c r="A26">
        <v>2004</v>
      </c>
      <c r="B26" s="1">
        <v>127969.88121599689</v>
      </c>
      <c r="C26" s="1">
        <v>203582.38945509645</v>
      </c>
      <c r="D26" s="1">
        <v>10502.37391728289</v>
      </c>
      <c r="E26" s="1">
        <v>122063.35699061264</v>
      </c>
      <c r="F26" s="1">
        <v>207550.06611928818</v>
      </c>
      <c r="G26" s="1">
        <v>12607.602442570769</v>
      </c>
      <c r="H26" s="1">
        <v>1456488.4145134105</v>
      </c>
      <c r="I26" s="1">
        <v>4959977.3372352161</v>
      </c>
      <c r="J26" s="1">
        <v>863603.27107503056</v>
      </c>
      <c r="K26" s="1">
        <v>1381344.9459731532</v>
      </c>
      <c r="L26" s="1">
        <v>4937266.1736171022</v>
      </c>
      <c r="M26" s="1">
        <v>1068635.960938761</v>
      </c>
      <c r="N26" s="1">
        <v>184410.48040156238</v>
      </c>
      <c r="O26" s="1">
        <v>627997.99464658683</v>
      </c>
      <c r="P26" s="1">
        <v>109343.46782875885</v>
      </c>
      <c r="Q26" s="1">
        <v>174896.33460097393</v>
      </c>
      <c r="R26" s="1">
        <v>625122.4643288987</v>
      </c>
      <c r="S26" s="1">
        <v>135303.28766599862</v>
      </c>
      <c r="T26" s="1">
        <v>270503.22386903036</v>
      </c>
      <c r="U26" s="1">
        <v>921181.27866310033</v>
      </c>
      <c r="V26" s="1">
        <v>160390.88717892786</v>
      </c>
      <c r="W26" s="1">
        <v>256547.36243526032</v>
      </c>
      <c r="X26" s="1">
        <v>916963.29593471077</v>
      </c>
      <c r="Y26" s="1">
        <v>198470.14895266958</v>
      </c>
    </row>
    <row r="27" spans="1:25" x14ac:dyDescent="0.35">
      <c r="A27">
        <v>2005</v>
      </c>
      <c r="B27" s="1">
        <v>131000.33322821905</v>
      </c>
      <c r="C27" s="1">
        <v>208403.41965309955</v>
      </c>
      <c r="D27" s="1">
        <v>10751.08040875036</v>
      </c>
      <c r="E27" s="1">
        <v>124953.93672934378</v>
      </c>
      <c r="F27" s="1">
        <v>212465.05478327244</v>
      </c>
      <c r="G27" s="1">
        <v>12906.16280559008</v>
      </c>
      <c r="H27" s="1">
        <v>1450403.9434130099</v>
      </c>
      <c r="I27" s="1">
        <v>4998830.03590295</v>
      </c>
      <c r="J27" s="1">
        <v>880230.47105016722</v>
      </c>
      <c r="K27" s="1">
        <v>1374993.0979591573</v>
      </c>
      <c r="L27" s="1">
        <v>4976984.7524742791</v>
      </c>
      <c r="M27" s="1">
        <v>1081641.6205933627</v>
      </c>
      <c r="N27" s="1">
        <v>186676.87091357246</v>
      </c>
      <c r="O27" s="1">
        <v>643383.4888336485</v>
      </c>
      <c r="P27" s="1">
        <v>113291.65972326274</v>
      </c>
      <c r="Q27" s="1">
        <v>176970.98123628306</v>
      </c>
      <c r="R27" s="1">
        <v>640571.85199743835</v>
      </c>
      <c r="S27" s="1">
        <v>139214.64713279362</v>
      </c>
      <c r="T27" s="1">
        <v>276380.85244519846</v>
      </c>
      <c r="U27" s="1">
        <v>952549.05561030132</v>
      </c>
      <c r="V27" s="1">
        <v>167731.78881781964</v>
      </c>
      <c r="W27" s="1">
        <v>262010.98407521573</v>
      </c>
      <c r="X27" s="1">
        <v>948386.34074500971</v>
      </c>
      <c r="Y27" s="1">
        <v>206111.56946825358</v>
      </c>
    </row>
    <row r="28" spans="1:25" x14ac:dyDescent="0.35">
      <c r="A28">
        <v>2006</v>
      </c>
      <c r="B28" s="1">
        <v>134102.54930954182</v>
      </c>
      <c r="C28" s="1">
        <v>213338.61656381426</v>
      </c>
      <c r="D28" s="1">
        <v>11005.676513307721</v>
      </c>
      <c r="E28" s="1">
        <v>127912.96822486716</v>
      </c>
      <c r="F28" s="1">
        <v>217496.43518838586</v>
      </c>
      <c r="G28" s="1">
        <v>13211.79337016216</v>
      </c>
      <c r="H28" s="1">
        <v>1447408.1458206053</v>
      </c>
      <c r="I28" s="1">
        <v>5045991.4731108835</v>
      </c>
      <c r="J28" s="1">
        <v>896537.15790896595</v>
      </c>
      <c r="K28" s="1">
        <v>1372831.95195845</v>
      </c>
      <c r="L28" s="1">
        <v>5022683.2078679577</v>
      </c>
      <c r="M28" s="1">
        <v>1093907.1257988978</v>
      </c>
      <c r="N28" s="1">
        <v>190246.5727140962</v>
      </c>
      <c r="O28" s="1">
        <v>663242.49070716603</v>
      </c>
      <c r="P28" s="1">
        <v>117840.37701840955</v>
      </c>
      <c r="Q28" s="1">
        <v>180444.31664050388</v>
      </c>
      <c r="R28" s="1">
        <v>660178.86446519557</v>
      </c>
      <c r="S28" s="1">
        <v>143782.58278543764</v>
      </c>
      <c r="T28" s="1">
        <v>281984.7321557565</v>
      </c>
      <c r="U28" s="1">
        <v>983062.41961813578</v>
      </c>
      <c r="V28" s="1">
        <v>174663.78855931677</v>
      </c>
      <c r="W28" s="1">
        <v>267455.76317617885</v>
      </c>
      <c r="X28" s="1">
        <v>978521.49247846182</v>
      </c>
      <c r="Y28" s="1">
        <v>213115.49804550252</v>
      </c>
    </row>
    <row r="29" spans="1:25" x14ac:dyDescent="0.35">
      <c r="A29">
        <v>2007</v>
      </c>
      <c r="B29" s="1">
        <v>137278.22890334629</v>
      </c>
      <c r="C29" s="1">
        <v>218390.68376671546</v>
      </c>
      <c r="D29" s="1">
        <v>11266.3017027562</v>
      </c>
      <c r="E29" s="1">
        <v>130942.0724817671</v>
      </c>
      <c r="F29" s="1">
        <v>222646.96360495361</v>
      </c>
      <c r="G29" s="1">
        <v>13524.66156557833</v>
      </c>
      <c r="H29" s="1">
        <v>1452428.4215513936</v>
      </c>
      <c r="I29" s="1">
        <v>5108858.8308587307</v>
      </c>
      <c r="J29" s="1">
        <v>918751.63602463563</v>
      </c>
      <c r="K29" s="1">
        <v>1377773.4617111564</v>
      </c>
      <c r="L29" s="1">
        <v>5079873.0702598905</v>
      </c>
      <c r="M29" s="1">
        <v>1112400.8224873818</v>
      </c>
      <c r="N29" s="1">
        <v>196402.09562592959</v>
      </c>
      <c r="O29" s="1">
        <v>690836.50922083436</v>
      </c>
      <c r="P29" s="1">
        <v>124236.58474147037</v>
      </c>
      <c r="Q29" s="1">
        <v>186307.00911844394</v>
      </c>
      <c r="R29" s="1">
        <v>686916.96038768569</v>
      </c>
      <c r="S29" s="1">
        <v>150422.45763764734</v>
      </c>
      <c r="T29" s="1">
        <v>290326.25391933048</v>
      </c>
      <c r="U29" s="1">
        <v>1021210.9761537202</v>
      </c>
      <c r="V29" s="1">
        <v>183649.47753113785</v>
      </c>
      <c r="W29" s="1">
        <v>275403.45668863255</v>
      </c>
      <c r="X29" s="1">
        <v>1015417.0057474711</v>
      </c>
      <c r="Y29" s="1">
        <v>222358.05830939248</v>
      </c>
    </row>
    <row r="30" spans="1:25" x14ac:dyDescent="0.35">
      <c r="A30">
        <v>2008</v>
      </c>
      <c r="B30" s="1">
        <v>140529.1116974958</v>
      </c>
      <c r="C30" s="1">
        <v>223562.38886468569</v>
      </c>
      <c r="D30" s="1">
        <v>11533.098751725811</v>
      </c>
      <c r="E30" s="1">
        <v>134042.9088916028</v>
      </c>
      <c r="F30" s="1">
        <v>227919.4615744793</v>
      </c>
      <c r="G30" s="1">
        <v>13844.93878601938</v>
      </c>
      <c r="H30" s="1">
        <v>1457065.317120458</v>
      </c>
      <c r="I30" s="1">
        <v>5172294.7274624035</v>
      </c>
      <c r="J30" s="1">
        <v>936383.89272621938</v>
      </c>
      <c r="K30" s="1">
        <v>1382067.0756024306</v>
      </c>
      <c r="L30" s="1">
        <v>5135312.6515117362</v>
      </c>
      <c r="M30" s="1">
        <v>1126219.5174207736</v>
      </c>
      <c r="N30" s="1">
        <v>204786.53990243838</v>
      </c>
      <c r="O30" s="1">
        <v>726951.85874435573</v>
      </c>
      <c r="P30" s="1">
        <v>131606.19167762779</v>
      </c>
      <c r="Q30" s="1">
        <v>194245.74245239893</v>
      </c>
      <c r="R30" s="1">
        <v>721754.12925113481</v>
      </c>
      <c r="S30" s="1">
        <v>158287.06883160764</v>
      </c>
      <c r="T30" s="1">
        <v>301848.03127960773</v>
      </c>
      <c r="U30" s="1">
        <v>1071501.0249285556</v>
      </c>
      <c r="V30" s="1">
        <v>193982.81684442697</v>
      </c>
      <c r="W30" s="1">
        <v>286311.27305356757</v>
      </c>
      <c r="X30" s="1">
        <v>1063839.7576626497</v>
      </c>
      <c r="Y30" s="1">
        <v>233309.47496159939</v>
      </c>
    </row>
    <row r="31" spans="1:25" x14ac:dyDescent="0.35">
      <c r="A31">
        <v>2009</v>
      </c>
      <c r="B31" s="1">
        <v>143856.97857736467</v>
      </c>
      <c r="C31" s="1">
        <v>228856.56500015195</v>
      </c>
      <c r="D31" s="1">
        <v>11806.21381588948</v>
      </c>
      <c r="E31" s="1">
        <v>137217.17614194928</v>
      </c>
      <c r="F31" s="1">
        <v>233316.81745533034</v>
      </c>
      <c r="G31" s="1">
        <v>14172.800484448</v>
      </c>
      <c r="H31" s="1">
        <v>1464421.4237670596</v>
      </c>
      <c r="I31" s="1">
        <v>5240943.7121598879</v>
      </c>
      <c r="J31" s="1">
        <v>961014.91463150526</v>
      </c>
      <c r="K31" s="1">
        <v>1389025.4383595253</v>
      </c>
      <c r="L31" s="1">
        <v>5196179.2703528767</v>
      </c>
      <c r="M31" s="1">
        <v>1147321.1068434464</v>
      </c>
      <c r="N31" s="1">
        <v>213170.30500780811</v>
      </c>
      <c r="O31" s="1">
        <v>762904.41502554028</v>
      </c>
      <c r="P31" s="1">
        <v>139891.31758402698</v>
      </c>
      <c r="Q31" s="1">
        <v>202195.19569511831</v>
      </c>
      <c r="R31" s="1">
        <v>756388.22401751904</v>
      </c>
      <c r="S31" s="1">
        <v>167011.20751058959</v>
      </c>
      <c r="T31" s="1">
        <v>312111.29264776758</v>
      </c>
      <c r="U31" s="1">
        <v>1116999.3078144195</v>
      </c>
      <c r="V31" s="1">
        <v>204820.5539685782</v>
      </c>
      <c r="W31" s="1">
        <v>296042.18980340712</v>
      </c>
      <c r="X31" s="1">
        <v>1107458.6881742741</v>
      </c>
      <c r="Y31" s="1">
        <v>244527.88516151617</v>
      </c>
    </row>
    <row r="32" spans="1:25" x14ac:dyDescent="0.35">
      <c r="A32">
        <v>2010</v>
      </c>
      <c r="B32" s="1">
        <v>147263.65260143558</v>
      </c>
      <c r="C32" s="1">
        <v>234276.11240712626</v>
      </c>
      <c r="D32" s="1">
        <v>12085.79651202951</v>
      </c>
      <c r="E32" s="1">
        <v>140466.61314696568</v>
      </c>
      <c r="F32" s="1">
        <v>238841.9880050268</v>
      </c>
      <c r="G32" s="1">
        <v>14508.42626872473</v>
      </c>
      <c r="H32" s="1">
        <v>1471121.7256431477</v>
      </c>
      <c r="I32" s="1">
        <v>5286656.132605576</v>
      </c>
      <c r="J32" s="1">
        <v>993114.72815668234</v>
      </c>
      <c r="K32" s="1">
        <v>1395617.6235632743</v>
      </c>
      <c r="L32" s="1">
        <v>5248942.6407923149</v>
      </c>
      <c r="M32" s="1">
        <v>1176624.4815450248</v>
      </c>
      <c r="N32" s="1">
        <v>216885.51620904403</v>
      </c>
      <c r="O32" s="1">
        <v>779404.67083959095</v>
      </c>
      <c r="P32" s="1">
        <v>146413.58136214112</v>
      </c>
      <c r="Q32" s="1">
        <v>205754.04702464695</v>
      </c>
      <c r="R32" s="1">
        <v>773844.62098281342</v>
      </c>
      <c r="S32" s="1">
        <v>173468.17983571402</v>
      </c>
      <c r="T32" s="1">
        <v>318980.10554637271</v>
      </c>
      <c r="U32" s="1">
        <v>1146294.0841477064</v>
      </c>
      <c r="V32" s="1">
        <v>215334.893969147</v>
      </c>
      <c r="W32" s="1">
        <v>302608.71626511327</v>
      </c>
      <c r="X32" s="1">
        <v>1138116.7502198445</v>
      </c>
      <c r="Y32" s="1">
        <v>255124.91235053653</v>
      </c>
    </row>
    <row r="33" spans="1:25" x14ac:dyDescent="0.35">
      <c r="A33">
        <v>2011</v>
      </c>
      <c r="B33" s="1">
        <v>150751</v>
      </c>
      <c r="C33" s="1">
        <v>239824</v>
      </c>
      <c r="D33" s="1">
        <v>12372</v>
      </c>
      <c r="E33" s="1">
        <v>143793</v>
      </c>
      <c r="F33" s="1">
        <v>244498</v>
      </c>
      <c r="G33" s="1">
        <v>14852</v>
      </c>
      <c r="H33" s="1">
        <v>1477734.0440000002</v>
      </c>
      <c r="I33" s="1">
        <v>5326455.6230000006</v>
      </c>
      <c r="J33" s="1">
        <v>1028685.1300000001</v>
      </c>
      <c r="K33" s="1">
        <v>1401725.3950000003</v>
      </c>
      <c r="L33" s="1">
        <v>5298028.495000001</v>
      </c>
      <c r="M33" s="1">
        <v>1208677.0670000003</v>
      </c>
      <c r="N33" s="1">
        <v>219280.09730655051</v>
      </c>
      <c r="O33" s="1">
        <v>790389.65912222234</v>
      </c>
      <c r="P33" s="1">
        <v>152645.98952705832</v>
      </c>
      <c r="Q33" s="1">
        <v>208001.21798687</v>
      </c>
      <c r="R33" s="1">
        <v>786171.37409367098</v>
      </c>
      <c r="S33" s="1">
        <v>179354.88861482579</v>
      </c>
      <c r="T33" s="1">
        <v>324509.85869344941</v>
      </c>
      <c r="U33" s="1">
        <v>1169687.7178777773</v>
      </c>
      <c r="V33" s="1">
        <v>225898.88047294162</v>
      </c>
      <c r="W33" s="1">
        <v>307818.38701312989</v>
      </c>
      <c r="X33" s="1">
        <v>1163445.1309063286</v>
      </c>
      <c r="Y33" s="1">
        <v>265425.04438517417</v>
      </c>
    </row>
    <row r="34" spans="1:25" x14ac:dyDescent="0.35">
      <c r="A34">
        <v>2012</v>
      </c>
      <c r="B34" s="1">
        <v>153528</v>
      </c>
      <c r="C34" s="1">
        <v>245600</v>
      </c>
      <c r="D34" s="1">
        <v>13381</v>
      </c>
      <c r="E34" s="1">
        <v>146410</v>
      </c>
      <c r="F34" s="1">
        <v>250310</v>
      </c>
      <c r="G34" s="1">
        <v>15950</v>
      </c>
      <c r="H34" s="1">
        <v>1494245.2660000001</v>
      </c>
      <c r="I34" s="1">
        <v>5361127.7319999998</v>
      </c>
      <c r="J34" s="1">
        <v>1069268.692</v>
      </c>
      <c r="K34" s="1">
        <v>1416703.446</v>
      </c>
      <c r="L34" s="1">
        <v>5340099.9840000002</v>
      </c>
      <c r="M34" s="1">
        <v>1245878.8019999999</v>
      </c>
      <c r="N34" s="1">
        <v>226508.89508697559</v>
      </c>
      <c r="O34" s="1">
        <v>812679.91716392245</v>
      </c>
      <c r="P34" s="1">
        <v>162087.76128457588</v>
      </c>
      <c r="Q34" s="1">
        <v>214754.52492373547</v>
      </c>
      <c r="R34" s="1">
        <v>809492.37354305654</v>
      </c>
      <c r="S34" s="1">
        <v>188859.64525003542</v>
      </c>
      <c r="T34" s="1">
        <v>334603.83891302446</v>
      </c>
      <c r="U34" s="1">
        <v>1200508.3508360777</v>
      </c>
      <c r="V34" s="1">
        <v>239439.54671542413</v>
      </c>
      <c r="W34" s="1">
        <v>317240.02907626453</v>
      </c>
      <c r="X34" s="1">
        <v>1195799.6424569434</v>
      </c>
      <c r="Y34" s="1">
        <v>278987.55274996458</v>
      </c>
    </row>
    <row r="35" spans="1:25" x14ac:dyDescent="0.35">
      <c r="A35">
        <v>2013</v>
      </c>
      <c r="B35" s="1">
        <v>156065</v>
      </c>
      <c r="C35" s="1">
        <v>251606</v>
      </c>
      <c r="D35" s="1">
        <v>14470</v>
      </c>
      <c r="E35" s="1">
        <v>148655</v>
      </c>
      <c r="F35" s="1">
        <v>256242</v>
      </c>
      <c r="G35" s="1">
        <v>16958</v>
      </c>
      <c r="H35" s="1">
        <v>1511954.2290000003</v>
      </c>
      <c r="I35" s="1">
        <v>5395923.2430000007</v>
      </c>
      <c r="J35" s="1">
        <v>1105871.8800000001</v>
      </c>
      <c r="K35" s="1">
        <v>1432973.7090000003</v>
      </c>
      <c r="L35" s="1">
        <v>5385436.1280000005</v>
      </c>
      <c r="M35" s="1">
        <v>1279268.9700000002</v>
      </c>
      <c r="N35" s="1">
        <v>233256.90833204394</v>
      </c>
      <c r="O35" s="1">
        <v>832456.66377854103</v>
      </c>
      <c r="P35" s="1">
        <v>170608.50837445891</v>
      </c>
      <c r="Q35" s="1">
        <v>221072.17974681297</v>
      </c>
      <c r="R35" s="1">
        <v>830838.76293517975</v>
      </c>
      <c r="S35" s="1">
        <v>197359.36389071622</v>
      </c>
      <c r="T35" s="1">
        <v>346011.86266795604</v>
      </c>
      <c r="U35" s="1">
        <v>1234861.0932214588</v>
      </c>
      <c r="V35" s="1">
        <v>253079.61162554103</v>
      </c>
      <c r="W35" s="1">
        <v>327937.111253187</v>
      </c>
      <c r="X35" s="1">
        <v>1232461.10906482</v>
      </c>
      <c r="Y35" s="1">
        <v>292761.66610928375</v>
      </c>
    </row>
    <row r="36" spans="1:25" x14ac:dyDescent="0.35">
      <c r="A36">
        <v>2014</v>
      </c>
      <c r="B36" s="1">
        <v>158412</v>
      </c>
      <c r="C36" s="1">
        <v>257757</v>
      </c>
      <c r="D36" s="1">
        <v>15454</v>
      </c>
      <c r="E36" s="1">
        <v>150505</v>
      </c>
      <c r="F36" s="1">
        <v>262096</v>
      </c>
      <c r="G36" s="1">
        <v>18137</v>
      </c>
      <c r="H36" s="1">
        <v>1526927.76</v>
      </c>
      <c r="I36" s="1">
        <v>5421777.8399999999</v>
      </c>
      <c r="J36" s="1">
        <v>1141403.76</v>
      </c>
      <c r="K36" s="1">
        <v>1447251.8399999999</v>
      </c>
      <c r="L36" s="1">
        <v>5431475.5199999996</v>
      </c>
      <c r="M36" s="1">
        <v>1312757.28</v>
      </c>
      <c r="N36" s="1">
        <v>239023.23824954341</v>
      </c>
      <c r="O36" s="1">
        <v>848717.88327852183</v>
      </c>
      <c r="P36" s="1">
        <v>178673.82466437356</v>
      </c>
      <c r="Q36" s="1">
        <v>226550.87583148666</v>
      </c>
      <c r="R36" s="1">
        <v>850235.94519201259</v>
      </c>
      <c r="S36" s="1">
        <v>205497.27650590526</v>
      </c>
      <c r="T36" s="1">
        <v>354782.00175045669</v>
      </c>
      <c r="U36" s="1">
        <v>1259751.2767214784</v>
      </c>
      <c r="V36" s="1">
        <v>265205.41533562652</v>
      </c>
      <c r="W36" s="1">
        <v>336269.28416851338</v>
      </c>
      <c r="X36" s="1">
        <v>1262004.5348079875</v>
      </c>
      <c r="Y36" s="1">
        <v>305019.44349409477</v>
      </c>
    </row>
    <row r="37" spans="1:25" x14ac:dyDescent="0.35">
      <c r="A37">
        <v>2015</v>
      </c>
      <c r="B37" s="1">
        <v>160505</v>
      </c>
      <c r="C37" s="1">
        <v>263785</v>
      </c>
      <c r="D37" s="1">
        <v>16596</v>
      </c>
      <c r="E37" s="1">
        <v>152390</v>
      </c>
      <c r="F37" s="1">
        <v>267841</v>
      </c>
      <c r="G37" s="1">
        <v>19444</v>
      </c>
      <c r="H37" s="1">
        <v>1541409.4679999999</v>
      </c>
      <c r="I37" s="1">
        <v>5446526.307</v>
      </c>
      <c r="J37" s="1">
        <v>1176375.4469999999</v>
      </c>
      <c r="K37" s="1">
        <v>1460398.5060000001</v>
      </c>
      <c r="L37" s="1">
        <v>5473776.6090000002</v>
      </c>
      <c r="M37" s="1">
        <v>1346219.841</v>
      </c>
      <c r="N37" s="1">
        <v>244803.52354266576</v>
      </c>
      <c r="O37" s="1">
        <v>865006.25479577191</v>
      </c>
      <c r="P37" s="1">
        <v>186829.5611342894</v>
      </c>
      <c r="Q37" s="1">
        <v>231937.5269629815</v>
      </c>
      <c r="R37" s="1">
        <v>869334.09245714126</v>
      </c>
      <c r="S37" s="1">
        <v>213803.90310399164</v>
      </c>
      <c r="T37" s="1">
        <v>363591.00845733425</v>
      </c>
      <c r="U37" s="1">
        <v>1284738.4382042286</v>
      </c>
      <c r="V37" s="1">
        <v>277485.99186571065</v>
      </c>
      <c r="W37" s="1">
        <v>344481.96703701856</v>
      </c>
      <c r="X37" s="1">
        <v>1291166.298542859</v>
      </c>
      <c r="Y37" s="1">
        <v>317549.25589600846</v>
      </c>
    </row>
    <row r="38" spans="1:25" x14ac:dyDescent="0.35">
      <c r="A38">
        <v>2016</v>
      </c>
      <c r="B38" s="1">
        <v>162419</v>
      </c>
      <c r="C38" s="1">
        <v>269829</v>
      </c>
      <c r="D38" s="1">
        <v>17808</v>
      </c>
      <c r="E38" s="1">
        <v>153894</v>
      </c>
      <c r="F38" s="1">
        <v>273759</v>
      </c>
      <c r="G38" s="1">
        <v>20806</v>
      </c>
      <c r="H38" s="1">
        <v>1560190.6739999999</v>
      </c>
      <c r="I38" s="1">
        <v>5476240.0559999999</v>
      </c>
      <c r="J38" s="1">
        <v>1212399.132</v>
      </c>
      <c r="K38" s="1">
        <v>1478796.102</v>
      </c>
      <c r="L38" s="1">
        <v>5521124.2379999999</v>
      </c>
      <c r="M38" s="1">
        <v>1382017.686</v>
      </c>
      <c r="N38" s="1">
        <v>251181.34245383422</v>
      </c>
      <c r="O38" s="1">
        <v>881641.80941998132</v>
      </c>
      <c r="P38" s="1">
        <v>195188.98980780816</v>
      </c>
      <c r="Q38" s="1">
        <v>238077.30446404216</v>
      </c>
      <c r="R38" s="1">
        <v>888867.89356314426</v>
      </c>
      <c r="S38" s="1">
        <v>222496.55984318585</v>
      </c>
      <c r="T38" s="1">
        <v>373768.98354616587</v>
      </c>
      <c r="U38" s="1">
        <v>1311922.1345800189</v>
      </c>
      <c r="V38" s="1">
        <v>290449.87819219189</v>
      </c>
      <c r="W38" s="1">
        <v>354269.59353595792</v>
      </c>
      <c r="X38" s="1">
        <v>1322674.8684368557</v>
      </c>
      <c r="Y38" s="1">
        <v>331084.75415681413</v>
      </c>
    </row>
    <row r="39" spans="1:25" x14ac:dyDescent="0.35">
      <c r="A39">
        <v>2017</v>
      </c>
      <c r="B39" s="1">
        <v>164048</v>
      </c>
      <c r="C39" s="1">
        <v>275900</v>
      </c>
      <c r="D39" s="1">
        <v>19048</v>
      </c>
      <c r="E39" s="1">
        <v>155421</v>
      </c>
      <c r="F39" s="1">
        <v>279406</v>
      </c>
      <c r="G39" s="1">
        <v>22255</v>
      </c>
      <c r="H39" s="1">
        <v>1574550.67</v>
      </c>
      <c r="I39" s="1">
        <v>5519376.7000000002</v>
      </c>
      <c r="J39" s="1">
        <v>1244732.24</v>
      </c>
      <c r="K39" s="1">
        <v>1490059.25</v>
      </c>
      <c r="L39" s="1">
        <v>5565995.2999999998</v>
      </c>
      <c r="M39" s="1">
        <v>1415607.94</v>
      </c>
      <c r="N39" s="1">
        <v>258285.40591652796</v>
      </c>
      <c r="O39" s="1">
        <v>905384.93204904394</v>
      </c>
      <c r="P39" s="1">
        <v>204182.80465104949</v>
      </c>
      <c r="Q39" s="1">
        <v>244425.64190451059</v>
      </c>
      <c r="R39" s="1">
        <v>913032.13213836215</v>
      </c>
      <c r="S39" s="1">
        <v>232212.8327579067</v>
      </c>
      <c r="T39" s="1">
        <v>384840.924083472</v>
      </c>
      <c r="U39" s="1">
        <v>1349008.3679509559</v>
      </c>
      <c r="V39" s="1">
        <v>304228.95534895046</v>
      </c>
      <c r="W39" s="1">
        <v>364190.10809548938</v>
      </c>
      <c r="X39" s="1">
        <v>1360402.5678616376</v>
      </c>
      <c r="Y39" s="1">
        <v>345993.22724209324</v>
      </c>
    </row>
    <row r="40" spans="1:25" x14ac:dyDescent="0.35">
      <c r="A40">
        <v>2018</v>
      </c>
      <c r="B40" s="1">
        <v>165589</v>
      </c>
      <c r="C40" s="1">
        <v>281863</v>
      </c>
      <c r="D40" s="1">
        <v>20331</v>
      </c>
      <c r="E40" s="1">
        <v>156575</v>
      </c>
      <c r="F40" s="1">
        <v>285023</v>
      </c>
      <c r="G40" s="1">
        <v>23826</v>
      </c>
      <c r="H40" s="1">
        <v>1583932.18</v>
      </c>
      <c r="I40" s="1">
        <v>5556150.1059999997</v>
      </c>
      <c r="J40" s="1">
        <v>1277158.942</v>
      </c>
      <c r="K40" s="1">
        <v>1496790.5999999999</v>
      </c>
      <c r="L40" s="1">
        <v>5600369.0039999997</v>
      </c>
      <c r="M40" s="1">
        <v>1450815.1739999999</v>
      </c>
      <c r="N40" s="1">
        <v>266389.59504814656</v>
      </c>
      <c r="O40" s="1">
        <v>934446.93873449601</v>
      </c>
      <c r="P40" s="1">
        <v>214795.72021290669</v>
      </c>
      <c r="Q40" s="1">
        <v>251733.91060586472</v>
      </c>
      <c r="R40" s="1">
        <v>941883.78134709783</v>
      </c>
      <c r="S40" s="1">
        <v>244001.65081030576</v>
      </c>
      <c r="T40" s="1">
        <v>393208.22495185339</v>
      </c>
      <c r="U40" s="1">
        <v>1379303.9552655038</v>
      </c>
      <c r="V40" s="1">
        <v>317052.3377870933</v>
      </c>
      <c r="W40" s="1">
        <v>371575.48939413531</v>
      </c>
      <c r="X40" s="1">
        <v>1390281.214652902</v>
      </c>
      <c r="Y40" s="1">
        <v>360162.17518969427</v>
      </c>
    </row>
    <row r="41" spans="1:25" x14ac:dyDescent="0.35">
      <c r="A41">
        <v>2019</v>
      </c>
      <c r="B41" s="1">
        <v>167029</v>
      </c>
      <c r="C41" s="1">
        <v>287975</v>
      </c>
      <c r="D41" s="1">
        <v>21620</v>
      </c>
      <c r="E41" s="1">
        <v>157679</v>
      </c>
      <c r="F41" s="1">
        <v>290664</v>
      </c>
      <c r="G41" s="1">
        <v>25447</v>
      </c>
      <c r="H41" s="1">
        <v>1590745.338</v>
      </c>
      <c r="I41" s="1">
        <v>5594148.1439999994</v>
      </c>
      <c r="J41" s="1">
        <v>1309725.612</v>
      </c>
      <c r="K41" s="1">
        <v>1502635.9139999999</v>
      </c>
      <c r="L41" s="1">
        <v>5632092.648</v>
      </c>
      <c r="M41" s="1">
        <v>1488509.568</v>
      </c>
      <c r="N41" s="1">
        <v>275961.11212432204</v>
      </c>
      <c r="O41" s="1">
        <v>970467.93495393032</v>
      </c>
      <c r="P41" s="1">
        <v>227210.05545717856</v>
      </c>
      <c r="Q41" s="1">
        <v>260675.9661899994</v>
      </c>
      <c r="R41" s="1">
        <v>977050.51437296614</v>
      </c>
      <c r="S41" s="1">
        <v>258225.34002169379</v>
      </c>
      <c r="T41" s="1">
        <v>399312.54987567797</v>
      </c>
      <c r="U41" s="1">
        <v>1404255.9210460694</v>
      </c>
      <c r="V41" s="1">
        <v>328770.33254282136</v>
      </c>
      <c r="W41" s="1">
        <v>377195.11981000059</v>
      </c>
      <c r="X41" s="1">
        <v>1413780.8376270337</v>
      </c>
      <c r="Y41" s="1">
        <v>373649.09197830624</v>
      </c>
    </row>
    <row r="42" spans="1:25" x14ac:dyDescent="0.35">
      <c r="A42">
        <v>2020</v>
      </c>
      <c r="B42" s="1">
        <v>167530</v>
      </c>
      <c r="C42" s="1">
        <v>294421</v>
      </c>
      <c r="D42" s="1">
        <v>23099</v>
      </c>
      <c r="E42" s="1">
        <v>158204</v>
      </c>
      <c r="F42" s="1">
        <v>296816</v>
      </c>
      <c r="G42" s="1">
        <v>27053</v>
      </c>
      <c r="H42" s="1">
        <v>1597559.3720000002</v>
      </c>
      <c r="I42" s="1">
        <v>5627564.9100000001</v>
      </c>
      <c r="J42" s="1">
        <v>1357631.6070000001</v>
      </c>
      <c r="K42" s="1">
        <v>1508976.8060000001</v>
      </c>
      <c r="L42" s="1">
        <v>5667576.5880000005</v>
      </c>
      <c r="M42" s="1">
        <v>1542860.3420000002</v>
      </c>
      <c r="N42" s="1">
        <v>282722.63031488215</v>
      </c>
      <c r="O42" s="1">
        <v>995919.13859895838</v>
      </c>
      <c r="P42" s="1">
        <v>240262.23103629373</v>
      </c>
      <c r="Q42" s="1">
        <v>267046.03231263801</v>
      </c>
      <c r="R42" s="1">
        <v>1003000.0690768725</v>
      </c>
      <c r="S42" s="1">
        <v>273042.45572586992</v>
      </c>
      <c r="T42" s="1">
        <v>398689.99768511788</v>
      </c>
      <c r="U42" s="1">
        <v>1404425.9514010414</v>
      </c>
      <c r="V42" s="1">
        <v>338813.1619637062</v>
      </c>
      <c r="W42" s="1">
        <v>376583.16168736201</v>
      </c>
      <c r="X42" s="1">
        <v>1414411.3429231273</v>
      </c>
      <c r="Y42" s="1">
        <v>385039.20227413002</v>
      </c>
    </row>
    <row r="43" spans="1:25" x14ac:dyDescent="0.35">
      <c r="A43">
        <v>2021</v>
      </c>
      <c r="B43" s="1">
        <v>167662</v>
      </c>
      <c r="C43" s="1">
        <v>301096</v>
      </c>
      <c r="D43" s="1">
        <v>24600</v>
      </c>
      <c r="E43" s="1">
        <v>158180</v>
      </c>
      <c r="F43" s="1">
        <v>303423</v>
      </c>
      <c r="G43" s="1">
        <v>28748</v>
      </c>
      <c r="H43" s="1">
        <v>1608381.1660000002</v>
      </c>
      <c r="I43" s="1">
        <v>5646529.0280000009</v>
      </c>
      <c r="J43" s="1">
        <v>1410118.57</v>
      </c>
      <c r="K43" s="1">
        <v>1518708.1140000001</v>
      </c>
      <c r="L43" s="1">
        <v>5678049.9160000002</v>
      </c>
      <c r="M43" s="1">
        <v>1602317.2270000002</v>
      </c>
      <c r="N43" s="1">
        <v>277263.3139255314</v>
      </c>
      <c r="O43" s="1">
        <v>973385.77668969671</v>
      </c>
      <c r="P43" s="1">
        <v>243085.50486106068</v>
      </c>
      <c r="Q43" s="1">
        <v>261804.88398807435</v>
      </c>
      <c r="R43" s="1">
        <v>978819.55448410497</v>
      </c>
      <c r="S43" s="1">
        <v>276217.97227510432</v>
      </c>
      <c r="T43" s="1">
        <v>389293.52007446851</v>
      </c>
      <c r="U43" s="1">
        <v>1366689.1953103035</v>
      </c>
      <c r="V43" s="1">
        <v>341305.92513893923</v>
      </c>
      <c r="W43" s="1">
        <v>367589.00201192556</v>
      </c>
      <c r="X43" s="1">
        <v>1374318.5295158948</v>
      </c>
      <c r="Y43" s="1">
        <v>387825.80072489561</v>
      </c>
    </row>
    <row r="44" spans="1:25" x14ac:dyDescent="0.35">
      <c r="A44">
        <v>2022</v>
      </c>
      <c r="B44" s="1">
        <v>168428</v>
      </c>
      <c r="C44" s="1">
        <v>308211</v>
      </c>
      <c r="D44" s="1">
        <v>26097</v>
      </c>
      <c r="E44" s="1">
        <v>158701</v>
      </c>
      <c r="F44" s="1">
        <v>310376</v>
      </c>
      <c r="G44" s="1">
        <v>30369</v>
      </c>
      <c r="H44" s="1">
        <v>1607657.3250000002</v>
      </c>
      <c r="I44" s="1">
        <v>5695902.9749999996</v>
      </c>
      <c r="J44" s="1">
        <v>1443209.73</v>
      </c>
      <c r="K44" s="1">
        <v>1520285.2650000001</v>
      </c>
      <c r="L44" s="1">
        <v>5723218.9050000003</v>
      </c>
      <c r="M44" s="1">
        <v>1642395.4950000001</v>
      </c>
      <c r="N44" s="1">
        <v>279821.83927865839</v>
      </c>
      <c r="O44" s="1">
        <v>991404.08968514611</v>
      </c>
      <c r="P44" s="1">
        <v>251198.80638335409</v>
      </c>
      <c r="Q44" s="1">
        <v>264614.23865968612</v>
      </c>
      <c r="R44" s="1">
        <v>996158.58161283785</v>
      </c>
      <c r="S44" s="1">
        <v>285868.21400753583</v>
      </c>
      <c r="T44" s="1">
        <v>392885.83572134154</v>
      </c>
      <c r="U44" s="1">
        <v>1391987.9353148537</v>
      </c>
      <c r="V44" s="1">
        <v>352697.46361664589</v>
      </c>
      <c r="W44" s="1">
        <v>371533.49634031387</v>
      </c>
      <c r="X44" s="1">
        <v>1398663.5133871618</v>
      </c>
      <c r="Y44" s="1">
        <v>401375.29099246417</v>
      </c>
    </row>
    <row r="45" spans="1:25" x14ac:dyDescent="0.35">
      <c r="A45">
        <v>2023</v>
      </c>
      <c r="B45" s="1">
        <v>169111</v>
      </c>
      <c r="C45" s="1">
        <v>315592</v>
      </c>
      <c r="D45" s="1">
        <v>27565</v>
      </c>
      <c r="E45" s="1">
        <v>159379</v>
      </c>
      <c r="F45" s="1">
        <v>317258</v>
      </c>
      <c r="G45" s="1">
        <v>32051</v>
      </c>
      <c r="H45" s="1">
        <v>1639476.0521311995</v>
      </c>
      <c r="I45" s="1">
        <v>5723480.7889761981</v>
      </c>
      <c r="J45" s="1">
        <v>1464418.8771783262</v>
      </c>
      <c r="K45" s="1">
        <v>1551086.594984713</v>
      </c>
      <c r="L45" s="1">
        <v>5740966.7957627131</v>
      </c>
      <c r="M45" s="1">
        <v>1674284.2430579008</v>
      </c>
      <c r="N45" s="1">
        <v>274191.16915031453</v>
      </c>
      <c r="O45" s="1">
        <v>1041220.6488165867</v>
      </c>
      <c r="P45" s="1">
        <v>271988.0763008013</v>
      </c>
      <c r="Q45" s="1">
        <v>259722.05217334631</v>
      </c>
      <c r="R45" s="1">
        <v>1051763.446316496</v>
      </c>
      <c r="S45" s="1">
        <v>307088.14241042355</v>
      </c>
      <c r="T45" s="1">
        <v>386237.77871848602</v>
      </c>
      <c r="U45" s="1">
        <v>1467490.5622072152</v>
      </c>
      <c r="V45" s="1">
        <v>382333.04652087233</v>
      </c>
      <c r="W45" s="1">
        <v>365894.35284194065</v>
      </c>
      <c r="X45" s="1">
        <v>1481140.7579207907</v>
      </c>
      <c r="Y45" s="1">
        <v>431627.61453167564</v>
      </c>
    </row>
    <row r="46" spans="1:25" x14ac:dyDescent="0.35">
      <c r="A46">
        <v>2024</v>
      </c>
      <c r="B46" s="1">
        <v>170077</v>
      </c>
      <c r="C46" s="1">
        <v>322713</v>
      </c>
      <c r="D46" s="1">
        <v>29127</v>
      </c>
      <c r="E46" s="1">
        <v>160203</v>
      </c>
      <c r="F46" s="1">
        <v>324011</v>
      </c>
      <c r="G46" s="1">
        <v>33828</v>
      </c>
      <c r="H46" s="1">
        <v>1662179.9433468329</v>
      </c>
      <c r="I46" s="1">
        <v>5721845.801532249</v>
      </c>
      <c r="J46" s="1">
        <v>1484029.5092045586</v>
      </c>
      <c r="K46" s="1">
        <v>1573399.2276696134</v>
      </c>
      <c r="L46" s="1">
        <v>5727797.9172841441</v>
      </c>
      <c r="M46" s="1">
        <v>1703687.9108906961</v>
      </c>
      <c r="N46" s="1">
        <v>268939.88090850861</v>
      </c>
      <c r="O46" s="1">
        <v>1089344.5771347894</v>
      </c>
      <c r="P46" s="1">
        <v>293365.03969170141</v>
      </c>
      <c r="Q46" s="1">
        <v>255159.72076116089</v>
      </c>
      <c r="R46" s="1">
        <v>1104428.6609795112</v>
      </c>
      <c r="S46" s="1">
        <v>329179.24902569107</v>
      </c>
      <c r="T46" s="1">
        <v>380038.17574465845</v>
      </c>
      <c r="U46" s="1">
        <v>1540550.6213329614</v>
      </c>
      <c r="V46" s="1">
        <v>412917.45110374014</v>
      </c>
      <c r="W46" s="1">
        <v>360636.05156922567</v>
      </c>
      <c r="X46" s="1">
        <v>1561107.4217363447</v>
      </c>
      <c r="Y46" s="1">
        <v>463199.84008361271</v>
      </c>
    </row>
    <row r="47" spans="1:25" x14ac:dyDescent="0.35">
      <c r="A47">
        <v>2025</v>
      </c>
      <c r="B47" s="1">
        <v>171277</v>
      </c>
      <c r="C47" s="1">
        <v>329642</v>
      </c>
      <c r="D47" s="1">
        <v>30761</v>
      </c>
      <c r="E47" s="1">
        <v>161213</v>
      </c>
      <c r="F47" s="1">
        <v>330574</v>
      </c>
      <c r="G47" s="1">
        <v>35718</v>
      </c>
      <c r="H47" s="1">
        <v>1687599.6962673296</v>
      </c>
      <c r="I47" s="1">
        <v>5745541.0417404836</v>
      </c>
      <c r="J47" s="1">
        <v>1505133.6146565289</v>
      </c>
      <c r="K47" s="1">
        <v>1597331.9251014539</v>
      </c>
      <c r="L47" s="1">
        <v>5742791.0928444155</v>
      </c>
      <c r="M47" s="1">
        <v>1735169.9810025541</v>
      </c>
      <c r="N47" s="1">
        <v>261492.41760838893</v>
      </c>
      <c r="O47" s="1">
        <v>1125529.5995195687</v>
      </c>
      <c r="P47" s="1">
        <v>314380.29973632656</v>
      </c>
      <c r="Q47" s="1">
        <v>248410.23202079034</v>
      </c>
      <c r="R47" s="1">
        <v>1143977.4917478908</v>
      </c>
      <c r="S47" s="1">
        <v>351131.64038559585</v>
      </c>
      <c r="T47" s="1">
        <v>370431.88612428139</v>
      </c>
      <c r="U47" s="1">
        <v>1595788.3587399474</v>
      </c>
      <c r="V47" s="1">
        <v>443027.08560714463</v>
      </c>
      <c r="W47" s="1">
        <v>351990.84287775587</v>
      </c>
      <c r="X47" s="1">
        <v>1621474.4154076942</v>
      </c>
      <c r="Y47" s="1">
        <v>494624.37861185009</v>
      </c>
    </row>
    <row r="48" spans="1:25" x14ac:dyDescent="0.35">
      <c r="A48">
        <v>2026</v>
      </c>
      <c r="B48" s="1">
        <v>172906</v>
      </c>
      <c r="C48" s="1">
        <v>336071</v>
      </c>
      <c r="D48" s="1">
        <v>32582</v>
      </c>
      <c r="E48" s="1">
        <v>162600</v>
      </c>
      <c r="F48" s="1">
        <v>336560</v>
      </c>
      <c r="G48" s="1">
        <v>37917</v>
      </c>
      <c r="H48" s="1">
        <v>1712156.753491075</v>
      </c>
      <c r="I48" s="1">
        <v>5766214.2191978395</v>
      </c>
      <c r="J48" s="1">
        <v>1530057.2622224402</v>
      </c>
      <c r="K48" s="1">
        <v>1620819.5899981875</v>
      </c>
      <c r="L48" s="1">
        <v>5754868.2697204482</v>
      </c>
      <c r="M48" s="1">
        <v>1769653.8697537906</v>
      </c>
      <c r="N48" s="1">
        <v>254216.8119381672</v>
      </c>
      <c r="O48" s="1">
        <v>1158932.2149554105</v>
      </c>
      <c r="P48" s="1">
        <v>335516.15882791614</v>
      </c>
      <c r="Q48" s="1">
        <v>241791.18033935156</v>
      </c>
      <c r="R48" s="1">
        <v>1180576.077554947</v>
      </c>
      <c r="S48" s="1">
        <v>373415.71700849576</v>
      </c>
      <c r="T48" s="1">
        <v>360978.43457075779</v>
      </c>
      <c r="U48" s="1">
        <v>1646928.56584675</v>
      </c>
      <c r="V48" s="1">
        <v>473385.57894964371</v>
      </c>
      <c r="W48" s="1">
        <v>343442.22966246103</v>
      </c>
      <c r="X48" s="1">
        <v>1677487.6527246048</v>
      </c>
      <c r="Y48" s="1">
        <v>526607.41323771363</v>
      </c>
    </row>
    <row r="49" spans="1:25" x14ac:dyDescent="0.35">
      <c r="A49">
        <v>2027</v>
      </c>
      <c r="B49" s="1">
        <v>174629</v>
      </c>
      <c r="C49" s="1">
        <v>342580</v>
      </c>
      <c r="D49" s="1">
        <v>34355</v>
      </c>
      <c r="E49" s="1">
        <v>164081</v>
      </c>
      <c r="F49" s="1">
        <v>342629</v>
      </c>
      <c r="G49" s="1">
        <v>40054</v>
      </c>
      <c r="H49" s="1">
        <v>1733371.8899168945</v>
      </c>
      <c r="I49" s="1">
        <v>5789521.9103697371</v>
      </c>
      <c r="J49" s="1">
        <v>1553928.2462836816</v>
      </c>
      <c r="K49" s="1">
        <v>1640767.8570295409</v>
      </c>
      <c r="L49" s="1">
        <v>5770620.8098818818</v>
      </c>
      <c r="M49" s="1">
        <v>1802272.2841261004</v>
      </c>
      <c r="N49" s="1">
        <v>247100.71463474326</v>
      </c>
      <c r="O49" s="1">
        <v>1189656.6017388797</v>
      </c>
      <c r="P49" s="1">
        <v>356779.26290079945</v>
      </c>
      <c r="Q49" s="1">
        <v>235294.07051628738</v>
      </c>
      <c r="R49" s="1">
        <v>1214309.6468999863</v>
      </c>
      <c r="S49" s="1">
        <v>396001.8167654259</v>
      </c>
      <c r="T49" s="1">
        <v>351666.39544836228</v>
      </c>
      <c r="U49" s="1">
        <v>1694117.4878913832</v>
      </c>
      <c r="V49" s="1">
        <v>503995.49081551895</v>
      </c>
      <c r="W49" s="1">
        <v>334984.07245417172</v>
      </c>
      <c r="X49" s="1">
        <v>1729277.5432181316</v>
      </c>
      <c r="Y49" s="1">
        <v>559099.89910847368</v>
      </c>
    </row>
    <row r="50" spans="1:25" x14ac:dyDescent="0.35">
      <c r="A50">
        <v>2028</v>
      </c>
      <c r="B50" s="1">
        <v>176402</v>
      </c>
      <c r="C50" s="1">
        <v>349204</v>
      </c>
      <c r="D50" s="1">
        <v>36088</v>
      </c>
      <c r="E50" s="1">
        <v>166026</v>
      </c>
      <c r="F50" s="1">
        <v>348315</v>
      </c>
      <c r="G50" s="1">
        <v>42224</v>
      </c>
      <c r="H50" s="1">
        <v>1751603.2325038943</v>
      </c>
      <c r="I50" s="1">
        <v>5816039.6886392413</v>
      </c>
      <c r="J50" s="1">
        <v>1576236.1109002861</v>
      </c>
      <c r="K50" s="1">
        <v>1658664.6797563008</v>
      </c>
      <c r="L50" s="1">
        <v>5788190.1996104373</v>
      </c>
      <c r="M50" s="1">
        <v>1833661.7033769407</v>
      </c>
      <c r="N50" s="1">
        <v>240133.03283971018</v>
      </c>
      <c r="O50" s="1">
        <v>1217765.6263826841</v>
      </c>
      <c r="P50" s="1">
        <v>377968.84821629291</v>
      </c>
      <c r="Q50" s="1">
        <v>228910.80409807782</v>
      </c>
      <c r="R50" s="1">
        <v>1245270.9792959848</v>
      </c>
      <c r="S50" s="1">
        <v>418695.84053587011</v>
      </c>
      <c r="T50" s="1">
        <v>342485.73465639562</v>
      </c>
      <c r="U50" s="1">
        <v>1737442.6849780746</v>
      </c>
      <c r="V50" s="1">
        <v>534567.04088342085</v>
      </c>
      <c r="W50" s="1">
        <v>326610.51614562143</v>
      </c>
      <c r="X50" s="1">
        <v>1776944.8210935779</v>
      </c>
      <c r="Y50" s="1">
        <v>591821.45608718926</v>
      </c>
    </row>
    <row r="51" spans="1:25" x14ac:dyDescent="0.35">
      <c r="A51">
        <v>2029</v>
      </c>
      <c r="B51" s="1">
        <v>178433</v>
      </c>
      <c r="C51" s="1">
        <v>355675</v>
      </c>
      <c r="D51" s="1">
        <v>37822</v>
      </c>
      <c r="E51" s="1">
        <v>168376</v>
      </c>
      <c r="F51" s="1">
        <v>353806</v>
      </c>
      <c r="G51" s="1">
        <v>44277</v>
      </c>
      <c r="H51" s="1">
        <v>1769585.4840409381</v>
      </c>
      <c r="I51" s="1">
        <v>5845921.9417157853</v>
      </c>
      <c r="J51" s="1">
        <v>1594220.2517440787</v>
      </c>
      <c r="K51" s="1">
        <v>1675678.3488592317</v>
      </c>
      <c r="L51" s="1">
        <v>5809656.0136922449</v>
      </c>
      <c r="M51" s="1">
        <v>1860671.5866053079</v>
      </c>
      <c r="N51" s="1">
        <v>233303.8240696092</v>
      </c>
      <c r="O51" s="1">
        <v>1243342.1870420785</v>
      </c>
      <c r="P51" s="1">
        <v>399004.1503975786</v>
      </c>
      <c r="Q51" s="1">
        <v>222634.15910552625</v>
      </c>
      <c r="R51" s="1">
        <v>1273527.1133030206</v>
      </c>
      <c r="S51" s="1">
        <v>441404.48755252297</v>
      </c>
      <c r="T51" s="1">
        <v>333427.69188945275</v>
      </c>
      <c r="U51" s="1">
        <v>1777020.871242136</v>
      </c>
      <c r="V51" s="1">
        <v>564979.59785834269</v>
      </c>
      <c r="W51" s="1">
        <v>318316.49203524203</v>
      </c>
      <c r="X51" s="1">
        <v>1820600.873004735</v>
      </c>
      <c r="Y51" s="1">
        <v>624632.92584216909</v>
      </c>
    </row>
    <row r="52" spans="1:25" x14ac:dyDescent="0.35">
      <c r="A52">
        <v>2030</v>
      </c>
      <c r="B52" s="1">
        <v>180768</v>
      </c>
      <c r="C52" s="1">
        <v>361997</v>
      </c>
      <c r="D52" s="1">
        <v>39487</v>
      </c>
      <c r="E52" s="1">
        <v>170754</v>
      </c>
      <c r="F52" s="1">
        <v>359374</v>
      </c>
      <c r="G52" s="1">
        <v>46300</v>
      </c>
      <c r="H52" s="1">
        <v>1786800.6157376706</v>
      </c>
      <c r="I52" s="1">
        <v>5881302.1526527423</v>
      </c>
      <c r="J52" s="1">
        <v>1605788.0729304922</v>
      </c>
      <c r="K52" s="1">
        <v>1692880.4096402982</v>
      </c>
      <c r="L52" s="1">
        <v>5835828.3294078782</v>
      </c>
      <c r="M52" s="1">
        <v>1880812.9344578609</v>
      </c>
      <c r="N52" s="1">
        <v>226604.43136400453</v>
      </c>
      <c r="O52" s="1">
        <v>1266460.4262881514</v>
      </c>
      <c r="P52" s="1">
        <v>419800.18847454648</v>
      </c>
      <c r="Q52" s="1">
        <v>216456.15634680682</v>
      </c>
      <c r="R52" s="1">
        <v>1299156.8646168998</v>
      </c>
      <c r="S52" s="1">
        <v>464021.97309096117</v>
      </c>
      <c r="T52" s="1">
        <v>324484.95289832482</v>
      </c>
      <c r="U52" s="1">
        <v>1812956.4210591065</v>
      </c>
      <c r="V52" s="1">
        <v>595106.73859496124</v>
      </c>
      <c r="W52" s="1">
        <v>310095.43401289487</v>
      </c>
      <c r="X52" s="1">
        <v>1860355.8059752225</v>
      </c>
      <c r="Y52" s="1">
        <v>657378.09245117789</v>
      </c>
    </row>
    <row r="53" spans="1:25" x14ac:dyDescent="0.35">
      <c r="A53">
        <v>2031</v>
      </c>
      <c r="B53" s="1">
        <v>183253</v>
      </c>
      <c r="C53" s="1">
        <v>368298</v>
      </c>
      <c r="D53" s="1">
        <v>41087</v>
      </c>
      <c r="E53" s="1">
        <v>173343</v>
      </c>
      <c r="F53" s="1">
        <v>364846</v>
      </c>
      <c r="G53" s="1">
        <v>48261</v>
      </c>
      <c r="H53" s="1">
        <v>1801257.1238787374</v>
      </c>
      <c r="I53" s="1">
        <v>5922726.6797633506</v>
      </c>
      <c r="J53" s="1">
        <v>1613377.6797290507</v>
      </c>
      <c r="K53" s="1">
        <v>1706655.8340411566</v>
      </c>
      <c r="L53" s="1">
        <v>5868751.4306423757</v>
      </c>
      <c r="M53" s="1">
        <v>1896655.5020020183</v>
      </c>
      <c r="N53" s="1">
        <v>219996.51994257941</v>
      </c>
      <c r="O53" s="1">
        <v>1287065.7983057909</v>
      </c>
      <c r="P53" s="1">
        <v>440255.86313889228</v>
      </c>
      <c r="Q53" s="1">
        <v>210342.00332895332</v>
      </c>
      <c r="R53" s="1">
        <v>1322099.3464482618</v>
      </c>
      <c r="S53" s="1">
        <v>486422.76888142008</v>
      </c>
      <c r="T53" s="1">
        <v>315605.35617868311</v>
      </c>
      <c r="U53" s="1">
        <v>1845161.5219308583</v>
      </c>
      <c r="V53" s="1">
        <v>624798.45713205705</v>
      </c>
      <c r="W53" s="1">
        <v>301900.16262989008</v>
      </c>
      <c r="X53" s="1">
        <v>1896109.2229093621</v>
      </c>
      <c r="Y53" s="1">
        <v>689871.72911656159</v>
      </c>
    </row>
    <row r="54" spans="1:25" x14ac:dyDescent="0.35">
      <c r="A54">
        <v>2032</v>
      </c>
      <c r="B54" s="1">
        <v>185949.16050506922</v>
      </c>
      <c r="C54" s="1">
        <v>374258.91681824089</v>
      </c>
      <c r="D54" s="1">
        <v>42708.592903993718</v>
      </c>
      <c r="E54" s="1">
        <v>176085.19645719026</v>
      </c>
      <c r="F54" s="1">
        <v>370040.63597341045</v>
      </c>
      <c r="G54" s="1">
        <v>50284.705766738662</v>
      </c>
      <c r="H54" s="1">
        <v>1818143.3426806831</v>
      </c>
      <c r="I54" s="1">
        <v>5962143.3891946431</v>
      </c>
      <c r="J54" s="1">
        <v>1618790.8935497659</v>
      </c>
      <c r="K54" s="1">
        <v>1722860.4925205007</v>
      </c>
      <c r="L54" s="1">
        <v>5899301.3901439104</v>
      </c>
      <c r="M54" s="1">
        <v>1910400.7106808473</v>
      </c>
      <c r="N54" s="1">
        <v>213503.11365793558</v>
      </c>
      <c r="O54" s="1">
        <v>1305351.876074451</v>
      </c>
      <c r="P54" s="1">
        <v>460298.35633085872</v>
      </c>
      <c r="Q54" s="1">
        <v>204316.59865781941</v>
      </c>
      <c r="R54" s="1">
        <v>1342558.4309652813</v>
      </c>
      <c r="S54" s="1">
        <v>508521.87083432829</v>
      </c>
      <c r="T54" s="1">
        <v>306828.38315631193</v>
      </c>
      <c r="U54" s="1">
        <v>1873920.8179126652</v>
      </c>
      <c r="V54" s="1">
        <v>653946.15721538174</v>
      </c>
      <c r="W54" s="1">
        <v>293772.71236448945</v>
      </c>
      <c r="X54" s="1">
        <v>1928165.5429173973</v>
      </c>
      <c r="Y54" s="1">
        <v>721987.71271808562</v>
      </c>
    </row>
    <row r="55" spans="1:25" x14ac:dyDescent="0.35">
      <c r="A55">
        <v>2033</v>
      </c>
      <c r="B55" s="1">
        <v>188652.36608364031</v>
      </c>
      <c r="C55" s="1">
        <v>380344.50590436306</v>
      </c>
      <c r="D55" s="1">
        <v>44291.721471276338</v>
      </c>
      <c r="E55" s="1">
        <v>178823.32163663156</v>
      </c>
      <c r="F55" s="1">
        <v>375385.01234602177</v>
      </c>
      <c r="G55" s="1">
        <v>52249.019286518997</v>
      </c>
      <c r="H55" s="1">
        <v>1837662.5211857541</v>
      </c>
      <c r="I55" s="1">
        <v>6002677.0033351211</v>
      </c>
      <c r="J55" s="1">
        <v>1624987.4534232209</v>
      </c>
      <c r="K55" s="1">
        <v>1741509.4831425748</v>
      </c>
      <c r="L55" s="1">
        <v>5930693.2947981087</v>
      </c>
      <c r="M55" s="1">
        <v>1925457.6848350782</v>
      </c>
      <c r="N55" s="1">
        <v>207087.49600900876</v>
      </c>
      <c r="O55" s="1">
        <v>1321258.4416722821</v>
      </c>
      <c r="P55" s="1">
        <v>479794.96262630593</v>
      </c>
      <c r="Q55" s="1">
        <v>198344.66540452623</v>
      </c>
      <c r="R55" s="1">
        <v>1360470.1021902496</v>
      </c>
      <c r="S55" s="1">
        <v>530184.57514498173</v>
      </c>
      <c r="T55" s="1">
        <v>298103.61672159703</v>
      </c>
      <c r="U55" s="1">
        <v>1899139.0490882334</v>
      </c>
      <c r="V55" s="1">
        <v>682354.86247919709</v>
      </c>
      <c r="W55" s="1">
        <v>285664.52981626731</v>
      </c>
      <c r="X55" s="1">
        <v>1956418.5906656196</v>
      </c>
      <c r="Y55" s="1">
        <v>753527.72073342116</v>
      </c>
    </row>
    <row r="56" spans="1:25" x14ac:dyDescent="0.35">
      <c r="A56">
        <v>2034</v>
      </c>
      <c r="B56" s="1">
        <v>191431.4450659767</v>
      </c>
      <c r="C56" s="1">
        <v>386545.07182771608</v>
      </c>
      <c r="D56" s="1">
        <v>45842.722571871993</v>
      </c>
      <c r="E56" s="1">
        <v>181623.09751480364</v>
      </c>
      <c r="F56" s="1">
        <v>380869.12923294288</v>
      </c>
      <c r="G56" s="1">
        <v>54161.453442464634</v>
      </c>
      <c r="H56" s="1">
        <v>1856454.6844894839</v>
      </c>
      <c r="I56" s="1">
        <v>6040228.4389973097</v>
      </c>
      <c r="J56" s="1">
        <v>1634625.870316742</v>
      </c>
      <c r="K56" s="1">
        <v>1760213.1777856066</v>
      </c>
      <c r="L56" s="1">
        <v>5957273.3393811332</v>
      </c>
      <c r="M56" s="1">
        <v>1944674.7704118844</v>
      </c>
      <c r="N56" s="1">
        <v>201101.60250231932</v>
      </c>
      <c r="O56" s="1">
        <v>1336315.7989495015</v>
      </c>
      <c r="P56" s="1">
        <v>498821.32879169559</v>
      </c>
      <c r="Q56" s="1">
        <v>192772.53447780552</v>
      </c>
      <c r="R56" s="1">
        <v>1377515.8877731739</v>
      </c>
      <c r="S56" s="1">
        <v>551468.03660268092</v>
      </c>
      <c r="T56" s="1">
        <v>289963.26794222015</v>
      </c>
      <c r="U56" s="1">
        <v>1923106.6902254738</v>
      </c>
      <c r="V56" s="1">
        <v>710136.07831969031</v>
      </c>
      <c r="W56" s="1">
        <v>278099.1902217844</v>
      </c>
      <c r="X56" s="1">
        <v>1983393.6436127496</v>
      </c>
      <c r="Y56" s="1">
        <v>784576.73954297008</v>
      </c>
    </row>
    <row r="57" spans="1:25" x14ac:dyDescent="0.35">
      <c r="A57">
        <v>2035</v>
      </c>
      <c r="B57" s="1">
        <v>194280.37618578316</v>
      </c>
      <c r="C57" s="1">
        <v>392852.75150160323</v>
      </c>
      <c r="D57" s="1">
        <v>47367.237991135582</v>
      </c>
      <c r="E57" s="1">
        <v>184479.11545928245</v>
      </c>
      <c r="F57" s="1">
        <v>386484.59878528747</v>
      </c>
      <c r="G57" s="1">
        <v>56028.79430883914</v>
      </c>
      <c r="H57" s="1">
        <v>1878208.1661964345</v>
      </c>
      <c r="I57" s="1">
        <v>6074510.1635337416</v>
      </c>
      <c r="J57" s="1">
        <v>1644489.855503941</v>
      </c>
      <c r="K57" s="1">
        <v>1780538.9671041183</v>
      </c>
      <c r="L57" s="1">
        <v>5982486.2807913981</v>
      </c>
      <c r="M57" s="1">
        <v>1963100.8431117209</v>
      </c>
      <c r="N57" s="1">
        <v>195516.49258040363</v>
      </c>
      <c r="O57" s="1">
        <v>1350577.6080803245</v>
      </c>
      <c r="P57" s="1">
        <v>517369.49072041397</v>
      </c>
      <c r="Q57" s="1">
        <v>187573.08230974982</v>
      </c>
      <c r="R57" s="1">
        <v>1393745.1880750905</v>
      </c>
      <c r="S57" s="1">
        <v>572353.87654552294</v>
      </c>
      <c r="T57" s="1">
        <v>282367.96503737872</v>
      </c>
      <c r="U57" s="1">
        <v>1945899.4768843306</v>
      </c>
      <c r="V57" s="1">
        <v>737275.41578450939</v>
      </c>
      <c r="W57" s="1">
        <v>271039.83512684947</v>
      </c>
      <c r="X57" s="1">
        <v>2009163.9323482241</v>
      </c>
      <c r="Y57" s="1">
        <v>815105.48603391682</v>
      </c>
    </row>
    <row r="58" spans="1:25" x14ac:dyDescent="0.35">
      <c r="A58">
        <v>2036</v>
      </c>
      <c r="B58" s="1">
        <v>197206.37577149097</v>
      </c>
      <c r="C58" s="1">
        <v>399262.33289028751</v>
      </c>
      <c r="D58" s="1">
        <v>48870.287318469142</v>
      </c>
      <c r="E58" s="1">
        <v>187398.68570462096</v>
      </c>
      <c r="F58" s="1">
        <v>392225.46254633222</v>
      </c>
      <c r="G58" s="1">
        <v>57857.173741246494</v>
      </c>
      <c r="H58" s="1">
        <v>1898091.0542112468</v>
      </c>
      <c r="I58" s="1">
        <v>6102903.993062879</v>
      </c>
      <c r="J58" s="1">
        <v>1662195.8082686898</v>
      </c>
      <c r="K58" s="1">
        <v>1798919.5316894553</v>
      </c>
      <c r="L58" s="1">
        <v>6000064.5808044309</v>
      </c>
      <c r="M58" s="1">
        <v>1990713.2860779089</v>
      </c>
      <c r="N58" s="1">
        <v>190305.34156593718</v>
      </c>
      <c r="O58" s="1">
        <v>1364091.298611044</v>
      </c>
      <c r="P58" s="1">
        <v>535434.71838848444</v>
      </c>
      <c r="Q58" s="1">
        <v>182721.70071856162</v>
      </c>
      <c r="R58" s="1">
        <v>1409206.7531853039</v>
      </c>
      <c r="S58" s="1">
        <v>592801.44079284882</v>
      </c>
      <c r="T58" s="1">
        <v>275281.22845132515</v>
      </c>
      <c r="U58" s="1">
        <v>1967584.37543579</v>
      </c>
      <c r="V58" s="1">
        <v>763763.18602435675</v>
      </c>
      <c r="W58" s="1">
        <v>264453.081887362</v>
      </c>
      <c r="X58" s="1">
        <v>2033796.2034639337</v>
      </c>
      <c r="Y58" s="1">
        <v>845053.09938799567</v>
      </c>
    </row>
    <row r="59" spans="1:25" x14ac:dyDescent="0.35">
      <c r="A59">
        <v>2037</v>
      </c>
      <c r="B59" s="1">
        <v>200196.781319662</v>
      </c>
      <c r="C59" s="1">
        <v>405770.4556176801</v>
      </c>
      <c r="D59" s="1">
        <v>50356.33314546859</v>
      </c>
      <c r="E59" s="1">
        <v>190370.25814550131</v>
      </c>
      <c r="F59" s="1">
        <v>398087.46982863091</v>
      </c>
      <c r="G59" s="1">
        <v>59652.134390490137</v>
      </c>
      <c r="H59" s="1">
        <v>1914808.6029189085</v>
      </c>
      <c r="I59" s="1">
        <v>6137793.2014189642</v>
      </c>
      <c r="J59" s="1">
        <v>1676498.0660170717</v>
      </c>
      <c r="K59" s="1">
        <v>1813711.9390963123</v>
      </c>
      <c r="L59" s="1">
        <v>6025298.141014019</v>
      </c>
      <c r="M59" s="1">
        <v>2013723.8381394665</v>
      </c>
      <c r="N59" s="1">
        <v>185443.31447943943</v>
      </c>
      <c r="O59" s="1">
        <v>1376910.6497259454</v>
      </c>
      <c r="P59" s="1">
        <v>553057.83155526966</v>
      </c>
      <c r="Q59" s="1">
        <v>178194.85229106338</v>
      </c>
      <c r="R59" s="1">
        <v>1423944.9215252295</v>
      </c>
      <c r="S59" s="1">
        <v>612836.5905506023</v>
      </c>
      <c r="T59" s="1">
        <v>268669.30128199008</v>
      </c>
      <c r="U59" s="1">
        <v>1988237.6932374113</v>
      </c>
      <c r="V59" s="1">
        <v>789654.76928219013</v>
      </c>
      <c r="W59" s="1">
        <v>258306.95046712301</v>
      </c>
      <c r="X59" s="1">
        <v>2057357.46763212</v>
      </c>
      <c r="Y59" s="1">
        <v>874453.43691944098</v>
      </c>
    </row>
    <row r="60" spans="1:25" x14ac:dyDescent="0.35">
      <c r="A60">
        <v>2038</v>
      </c>
      <c r="B60" s="1">
        <v>203241.86038576328</v>
      </c>
      <c r="C60" s="1">
        <v>412375.27713269193</v>
      </c>
      <c r="D60" s="1">
        <v>51829.339491335333</v>
      </c>
      <c r="E60" s="1">
        <v>193385.11539086007</v>
      </c>
      <c r="F60" s="1">
        <v>404067.78764638834</v>
      </c>
      <c r="G60" s="1">
        <v>61418.688027015669</v>
      </c>
      <c r="H60" s="1">
        <v>1935962.632061156</v>
      </c>
      <c r="I60" s="1">
        <v>6175371.6289315876</v>
      </c>
      <c r="J60" s="1">
        <v>1683855.7675744989</v>
      </c>
      <c r="K60" s="1">
        <v>1833338.1865763457</v>
      </c>
      <c r="L60" s="1">
        <v>6054269.0615846561</v>
      </c>
      <c r="M60" s="1">
        <v>2027777.5207490101</v>
      </c>
      <c r="N60" s="1">
        <v>180906.65937328423</v>
      </c>
      <c r="O60" s="1">
        <v>1389074.9964614979</v>
      </c>
      <c r="P60" s="1">
        <v>570181.79094168427</v>
      </c>
      <c r="Q60" s="1">
        <v>173970.78868041624</v>
      </c>
      <c r="R60" s="1">
        <v>1438004.2624123816</v>
      </c>
      <c r="S60" s="1">
        <v>632403.15430117364</v>
      </c>
      <c r="T60" s="1">
        <v>262499.84817979624</v>
      </c>
      <c r="U60" s="1">
        <v>2007915.0974742232</v>
      </c>
      <c r="V60" s="1">
        <v>814866.10199248162</v>
      </c>
      <c r="W60" s="1">
        <v>252571.90935237805</v>
      </c>
      <c r="X60" s="1">
        <v>2079902.8883565734</v>
      </c>
      <c r="Y60" s="1">
        <v>903223.63692280021</v>
      </c>
    </row>
    <row r="61" spans="1:25" x14ac:dyDescent="0.35">
      <c r="A61">
        <v>2039</v>
      </c>
      <c r="B61" s="1">
        <v>206360.52488091486</v>
      </c>
      <c r="C61" s="1">
        <v>419075.86346520891</v>
      </c>
      <c r="D61" s="1">
        <v>53292.824365465072</v>
      </c>
      <c r="E61" s="1">
        <v>196461.83876739864</v>
      </c>
      <c r="F61" s="1">
        <v>410164.44374654489</v>
      </c>
      <c r="G61" s="1">
        <v>63161.36806784269</v>
      </c>
      <c r="H61" s="1">
        <v>1957012.2589059356</v>
      </c>
      <c r="I61" s="1">
        <v>6218351.6251688302</v>
      </c>
      <c r="J61" s="1">
        <v>1686260.0251071921</v>
      </c>
      <c r="K61" s="1">
        <v>1852909.3367033356</v>
      </c>
      <c r="L61" s="1">
        <v>6089066.6609625155</v>
      </c>
      <c r="M61" s="1">
        <v>2035773.7965673916</v>
      </c>
      <c r="N61" s="1">
        <v>176673.74718810187</v>
      </c>
      <c r="O61" s="1">
        <v>1400615.2628518769</v>
      </c>
      <c r="P61" s="1">
        <v>586780.27078776201</v>
      </c>
      <c r="Q61" s="1">
        <v>170029.30035581617</v>
      </c>
      <c r="R61" s="1">
        <v>1451421.144034161</v>
      </c>
      <c r="S61" s="1">
        <v>651450.87438928557</v>
      </c>
      <c r="T61" s="1">
        <v>256743.46902504767</v>
      </c>
      <c r="U61" s="1">
        <v>2026660.2485140846</v>
      </c>
      <c r="V61" s="1">
        <v>839356.87973958091</v>
      </c>
      <c r="W61" s="1">
        <v>247220.52417344952</v>
      </c>
      <c r="X61" s="1">
        <v>2101477.7512567793</v>
      </c>
      <c r="Y61" s="1">
        <v>931288.9609754798</v>
      </c>
    </row>
    <row r="62" spans="1:25" x14ac:dyDescent="0.35">
      <c r="A62">
        <v>2040</v>
      </c>
      <c r="B62" s="1">
        <v>209534.8256641172</v>
      </c>
      <c r="C62" s="1">
        <v>425871.80303709855</v>
      </c>
      <c r="D62" s="1">
        <v>54749.907181743198</v>
      </c>
      <c r="E62" s="1">
        <v>199583.90655400316</v>
      </c>
      <c r="F62" s="1">
        <v>416375.97511952836</v>
      </c>
      <c r="G62" s="1">
        <v>64884.277010059472</v>
      </c>
      <c r="H62" s="1">
        <v>1978487.3781112335</v>
      </c>
      <c r="I62" s="1">
        <v>6265062.6405310184</v>
      </c>
      <c r="J62" s="1">
        <v>1684915.8607910471</v>
      </c>
      <c r="K62" s="1">
        <v>1872918.7016207981</v>
      </c>
      <c r="L62" s="1">
        <v>6127822.8135870816</v>
      </c>
      <c r="M62" s="1">
        <v>2039116.1785132072</v>
      </c>
      <c r="N62" s="1">
        <v>172724.26088097712</v>
      </c>
      <c r="O62" s="1">
        <v>1411565.7483972402</v>
      </c>
      <c r="P62" s="1">
        <v>602842.78756786312</v>
      </c>
      <c r="Q62" s="1">
        <v>166351.39361394415</v>
      </c>
      <c r="R62" s="1">
        <v>1464225.1324756511</v>
      </c>
      <c r="S62" s="1">
        <v>669947.86364653998</v>
      </c>
      <c r="T62" s="1">
        <v>251372.53534367247</v>
      </c>
      <c r="U62" s="1">
        <v>2044521.8080346442</v>
      </c>
      <c r="V62" s="1">
        <v>863109.44445934671</v>
      </c>
      <c r="W62" s="1">
        <v>242226.99821125451</v>
      </c>
      <c r="X62" s="1">
        <v>2122131.0788177401</v>
      </c>
      <c r="Y62" s="1">
        <v>958600.68083019333</v>
      </c>
    </row>
    <row r="63" spans="1:25" x14ac:dyDescent="0.35">
      <c r="A63">
        <v>2041</v>
      </c>
      <c r="B63" s="1">
        <v>212763.74192727904</v>
      </c>
      <c r="C63" s="1">
        <v>432763.45079371269</v>
      </c>
      <c r="D63" s="1">
        <v>56203.351623741473</v>
      </c>
      <c r="E63" s="1">
        <v>202750.9113239515</v>
      </c>
      <c r="F63" s="1">
        <v>422701.66849824984</v>
      </c>
      <c r="G63" s="1">
        <v>66591.129364927445</v>
      </c>
      <c r="H63" s="1">
        <v>2000463.7348211308</v>
      </c>
      <c r="I63" s="1">
        <v>6313896.8179401336</v>
      </c>
      <c r="J63" s="1">
        <v>1681336.9290802227</v>
      </c>
      <c r="K63" s="1">
        <v>1893433.7115497775</v>
      </c>
      <c r="L63" s="1">
        <v>6169433.8630691338</v>
      </c>
      <c r="M63" s="1">
        <v>2038847.2917787137</v>
      </c>
      <c r="N63" s="1">
        <v>169039.24816665618</v>
      </c>
      <c r="O63" s="1">
        <v>1421956.4255677194</v>
      </c>
      <c r="P63" s="1">
        <v>618358.72515509289</v>
      </c>
      <c r="Q63" s="1">
        <v>162919.65963435144</v>
      </c>
      <c r="R63" s="1">
        <v>1476448.486332647</v>
      </c>
      <c r="S63" s="1">
        <v>687863.51716153778</v>
      </c>
      <c r="T63" s="1">
        <v>246361.27508493385</v>
      </c>
      <c r="U63" s="1">
        <v>2061542.3056984334</v>
      </c>
      <c r="V63" s="1">
        <v>886105.99414094305</v>
      </c>
      <c r="W63" s="1">
        <v>237567.71749191944</v>
      </c>
      <c r="X63" s="1">
        <v>2141905.9820999689</v>
      </c>
      <c r="Y63" s="1">
        <v>985112.06169482123</v>
      </c>
    </row>
    <row r="64" spans="1:25" x14ac:dyDescent="0.35">
      <c r="A64">
        <v>2042</v>
      </c>
      <c r="B64" s="1">
        <v>216036.40341658206</v>
      </c>
      <c r="C64" s="1">
        <v>439751.42018867919</v>
      </c>
      <c r="D64" s="1">
        <v>57655.604429478837</v>
      </c>
      <c r="E64" s="1">
        <v>205953.04720273858</v>
      </c>
      <c r="F64" s="1">
        <v>429141.0870707875</v>
      </c>
      <c r="G64" s="1">
        <v>68285.290558968278</v>
      </c>
      <c r="H64" s="1">
        <v>2022931.1619361769</v>
      </c>
      <c r="I64" s="1">
        <v>6365032.5306525584</v>
      </c>
      <c r="J64" s="1">
        <v>1675285.16456585</v>
      </c>
      <c r="K64" s="1">
        <v>1914441.4179908042</v>
      </c>
      <c r="L64" s="1">
        <v>6210770.4393621609</v>
      </c>
      <c r="M64" s="1">
        <v>2038058.1076875178</v>
      </c>
      <c r="N64" s="1">
        <v>165600.93091007633</v>
      </c>
      <c r="O64" s="1">
        <v>1431817.4270425937</v>
      </c>
      <c r="P64" s="1">
        <v>633328.56343414274</v>
      </c>
      <c r="Q64" s="1">
        <v>159717.46018910737</v>
      </c>
      <c r="R64" s="1">
        <v>1488119.4410342185</v>
      </c>
      <c r="S64" s="1">
        <v>705189.06009218399</v>
      </c>
      <c r="T64" s="1">
        <v>241685.50373716472</v>
      </c>
      <c r="U64" s="1">
        <v>2077764.6221161694</v>
      </c>
      <c r="V64" s="1">
        <v>908344.66757052846</v>
      </c>
      <c r="W64" s="1">
        <v>233220.07461734998</v>
      </c>
      <c r="X64" s="1">
        <v>2160843.0325328331</v>
      </c>
      <c r="Y64" s="1">
        <v>1010807.54166133</v>
      </c>
    </row>
    <row r="65" spans="1:25" x14ac:dyDescent="0.35">
      <c r="A65">
        <v>2043</v>
      </c>
      <c r="B65" s="1">
        <v>219341.0290584779</v>
      </c>
      <c r="C65" s="1">
        <v>446836.52711892873</v>
      </c>
      <c r="D65" s="1">
        <v>59108.830478092037</v>
      </c>
      <c r="E65" s="1">
        <v>209179.61706779906</v>
      </c>
      <c r="F65" s="1">
        <v>435694.02181518602</v>
      </c>
      <c r="G65" s="1">
        <v>69969.81218365884</v>
      </c>
      <c r="H65" s="1">
        <v>2045546.0597735422</v>
      </c>
      <c r="I65" s="1">
        <v>6416361.6112537719</v>
      </c>
      <c r="J65" s="1">
        <v>1669106.405091553</v>
      </c>
      <c r="K65" s="1">
        <v>1935616.1633695019</v>
      </c>
      <c r="L65" s="1">
        <v>6251461.2201908771</v>
      </c>
      <c r="M65" s="1">
        <v>2037384.6771093905</v>
      </c>
      <c r="N65" s="1">
        <v>162392.93853143317</v>
      </c>
      <c r="O65" s="1">
        <v>1441177.3423628977</v>
      </c>
      <c r="P65" s="1">
        <v>647752.90526427247</v>
      </c>
      <c r="Q65" s="1">
        <v>156729.66679685964</v>
      </c>
      <c r="R65" s="1">
        <v>1499264.5103833415</v>
      </c>
      <c r="S65" s="1">
        <v>721924.82583775895</v>
      </c>
      <c r="T65" s="1">
        <v>237322.97263654682</v>
      </c>
      <c r="U65" s="1">
        <v>2093229.5192644012</v>
      </c>
      <c r="V65" s="1">
        <v>929823.85916608246</v>
      </c>
      <c r="W65" s="1">
        <v>229163.55276583947</v>
      </c>
      <c r="X65" s="1">
        <v>2178984.2476105946</v>
      </c>
      <c r="Y65" s="1">
        <v>1035684.6848691916</v>
      </c>
    </row>
    <row r="66" spans="1:25" x14ac:dyDescent="0.35">
      <c r="A66">
        <v>2044</v>
      </c>
      <c r="B66" s="1">
        <v>222679.63328684086</v>
      </c>
      <c r="C66" s="1">
        <v>454019.56470017333</v>
      </c>
      <c r="D66" s="1">
        <v>60564.944555929353</v>
      </c>
      <c r="E66" s="1">
        <v>212433.03392884653</v>
      </c>
      <c r="F66" s="1">
        <v>442360.28117030975</v>
      </c>
      <c r="G66" s="1">
        <v>71647.463972006764</v>
      </c>
      <c r="H66" s="1">
        <v>2067906.4780891333</v>
      </c>
      <c r="I66" s="1">
        <v>6464660.0214461787</v>
      </c>
      <c r="J66" s="1">
        <v>1666265.200661167</v>
      </c>
      <c r="K66" s="1">
        <v>1956572.5111148092</v>
      </c>
      <c r="L66" s="1">
        <v>6288664.6807737704</v>
      </c>
      <c r="M66" s="1">
        <v>2039950.7734738083</v>
      </c>
      <c r="N66" s="1">
        <v>159399.98372191348</v>
      </c>
      <c r="O66" s="1">
        <v>1450063.8552792948</v>
      </c>
      <c r="P66" s="1">
        <v>661646.09315013629</v>
      </c>
      <c r="Q66" s="1">
        <v>153941.87180468653</v>
      </c>
      <c r="R66" s="1">
        <v>1509911.3032033297</v>
      </c>
      <c r="S66" s="1">
        <v>738092.6555957403</v>
      </c>
      <c r="T66" s="1">
        <v>233252.90490211255</v>
      </c>
      <c r="U66" s="1">
        <v>2107976.5585743533</v>
      </c>
      <c r="V66" s="1">
        <v>950561.76163276716</v>
      </c>
      <c r="W66" s="1">
        <v>225378.58315165795</v>
      </c>
      <c r="X66" s="1">
        <v>2196367.7348525897</v>
      </c>
      <c r="Y66" s="1">
        <v>1059772.1069584445</v>
      </c>
    </row>
    <row r="67" spans="1:25" x14ac:dyDescent="0.35">
      <c r="A67">
        <v>2045</v>
      </c>
      <c r="B67" s="1">
        <v>226053.90778910072</v>
      </c>
      <c r="C67" s="1">
        <v>461301.12216380588</v>
      </c>
      <c r="D67" s="1">
        <v>62025.640088758257</v>
      </c>
      <c r="E67" s="1">
        <v>215715.37284025911</v>
      </c>
      <c r="F67" s="1">
        <v>449139.52092985285</v>
      </c>
      <c r="G67" s="1">
        <v>73320.76278928043</v>
      </c>
      <c r="H67" s="1">
        <v>2089809.1132669137</v>
      </c>
      <c r="I67" s="1">
        <v>6510033.8713002838</v>
      </c>
      <c r="J67" s="1">
        <v>1666690.724435112</v>
      </c>
      <c r="K67" s="1">
        <v>1977116.8620277392</v>
      </c>
      <c r="L67" s="1">
        <v>6323378.4878342226</v>
      </c>
      <c r="M67" s="1">
        <v>2044800.1688313656</v>
      </c>
      <c r="N67" s="1">
        <v>156607.5026124946</v>
      </c>
      <c r="O67" s="1">
        <v>1458502.1814613994</v>
      </c>
      <c r="P67" s="1">
        <v>675044.82641626848</v>
      </c>
      <c r="Q67" s="1">
        <v>151340.72394508554</v>
      </c>
      <c r="R67" s="1">
        <v>1520084.7456442183</v>
      </c>
      <c r="S67" s="1">
        <v>753728.40063943446</v>
      </c>
      <c r="T67" s="1">
        <v>229455.47633149091</v>
      </c>
      <c r="U67" s="1">
        <v>2122041.8250745106</v>
      </c>
      <c r="V67" s="1">
        <v>970608.80905986123</v>
      </c>
      <c r="W67" s="1">
        <v>221847.04118691615</v>
      </c>
      <c r="X67" s="1">
        <v>2213034.2455917071</v>
      </c>
      <c r="Y67" s="1">
        <v>1083118.6677399194</v>
      </c>
    </row>
    <row r="68" spans="1:25" x14ac:dyDescent="0.35">
      <c r="A68">
        <v>2046</v>
      </c>
      <c r="B68" s="1">
        <v>229465.45748721936</v>
      </c>
      <c r="C68" s="1">
        <v>468681.70505894226</v>
      </c>
      <c r="D68" s="1">
        <v>63492.415099942271</v>
      </c>
      <c r="E68" s="1">
        <v>219028.59591188066</v>
      </c>
      <c r="F68" s="1">
        <v>456031.35795858694</v>
      </c>
      <c r="G68" s="1">
        <v>74991.998898178455</v>
      </c>
      <c r="H68" s="1">
        <v>2111021.9630862111</v>
      </c>
      <c r="I68" s="1">
        <v>6547646.9794962555</v>
      </c>
      <c r="J68" s="1">
        <v>1675222.5816917387</v>
      </c>
      <c r="K68" s="1">
        <v>1997028.6364155146</v>
      </c>
      <c r="L68" s="1">
        <v>6351126.3234891165</v>
      </c>
      <c r="M68" s="1">
        <v>2056496.1034476263</v>
      </c>
      <c r="N68" s="1">
        <v>154002.10274910781</v>
      </c>
      <c r="O68" s="1">
        <v>1466521.3140886999</v>
      </c>
      <c r="P68" s="1">
        <v>687979.88344554382</v>
      </c>
      <c r="Q68" s="1">
        <v>148913.76010976324</v>
      </c>
      <c r="R68" s="1">
        <v>1529811.647993668</v>
      </c>
      <c r="S68" s="1">
        <v>768856.18639088504</v>
      </c>
      <c r="T68" s="1">
        <v>225912.47667746179</v>
      </c>
      <c r="U68" s="1">
        <v>2135467.0013561025</v>
      </c>
      <c r="V68" s="1">
        <v>990007.11976277526</v>
      </c>
      <c r="W68" s="1">
        <v>218552.00756284178</v>
      </c>
      <c r="X68" s="1">
        <v>2229019.6705586282</v>
      </c>
      <c r="Y68" s="1">
        <v>1105756.7112633104</v>
      </c>
    </row>
    <row r="69" spans="1:25" x14ac:dyDescent="0.35">
      <c r="A69">
        <v>2047</v>
      </c>
      <c r="B69" s="1">
        <v>232906.59498300671</v>
      </c>
      <c r="C69" s="1">
        <v>476161.81115623598</v>
      </c>
      <c r="D69" s="1">
        <v>64966.595611389639</v>
      </c>
      <c r="E69" s="1">
        <v>222365.78574366373</v>
      </c>
      <c r="F69" s="1">
        <v>463035.44152420852</v>
      </c>
      <c r="G69" s="1">
        <v>76663.259715006425</v>
      </c>
      <c r="H69" s="1">
        <v>2131343.9776462638</v>
      </c>
      <c r="I69" s="1">
        <v>6580697.7949907389</v>
      </c>
      <c r="J69" s="1">
        <v>1688618.4220759538</v>
      </c>
      <c r="K69" s="1">
        <v>2016114.1775728972</v>
      </c>
      <c r="L69" s="1">
        <v>6375472.9116793163</v>
      </c>
      <c r="M69" s="1">
        <v>2071477.6391048138</v>
      </c>
      <c r="N69" s="1">
        <v>151571.37913010881</v>
      </c>
      <c r="O69" s="1">
        <v>1474151.574817999</v>
      </c>
      <c r="P69" s="1">
        <v>700511.54421111906</v>
      </c>
      <c r="Q69" s="1">
        <v>146649.34722112439</v>
      </c>
      <c r="R69" s="1">
        <v>1539115.4917878914</v>
      </c>
      <c r="S69" s="1">
        <v>783531.01798182155</v>
      </c>
      <c r="T69" s="1">
        <v>222607.04824062061</v>
      </c>
      <c r="U69" s="1">
        <v>2148295.8190350262</v>
      </c>
      <c r="V69" s="1">
        <v>1008841.4381015373</v>
      </c>
      <c r="W69" s="1">
        <v>215477.6894623148</v>
      </c>
      <c r="X69" s="1">
        <v>2244364.1550085852</v>
      </c>
      <c r="Y69" s="1">
        <v>1127763.0831983583</v>
      </c>
    </row>
    <row r="70" spans="1:25" x14ac:dyDescent="0.35">
      <c r="A70">
        <v>2048</v>
      </c>
      <c r="B70" s="1">
        <v>236383.18366485741</v>
      </c>
      <c r="C70" s="1">
        <v>483741.97954751417</v>
      </c>
      <c r="D70" s="1">
        <v>66449.356671908667</v>
      </c>
      <c r="E70" s="1">
        <v>225732.90123884211</v>
      </c>
      <c r="F70" s="1">
        <v>470151.49891593441</v>
      </c>
      <c r="G70" s="1">
        <v>78336.451240439201</v>
      </c>
      <c r="H70" s="1">
        <v>2150553.8607861316</v>
      </c>
      <c r="I70" s="1">
        <v>6608713.1923987065</v>
      </c>
      <c r="J70" s="1">
        <v>1707412.3479503724</v>
      </c>
      <c r="K70" s="1">
        <v>2034157.1362487562</v>
      </c>
      <c r="L70" s="1">
        <v>6394455.3566846987</v>
      </c>
      <c r="M70" s="1">
        <v>2091847.0491680801</v>
      </c>
      <c r="N70" s="1">
        <v>149303.65022486201</v>
      </c>
      <c r="O70" s="1">
        <v>1481416.5362969399</v>
      </c>
      <c r="P70" s="1">
        <v>712683.46129915677</v>
      </c>
      <c r="Q70" s="1">
        <v>144536.62291521463</v>
      </c>
      <c r="R70" s="1">
        <v>1548022.7316709296</v>
      </c>
      <c r="S70" s="1">
        <v>797789.26840685843</v>
      </c>
      <c r="T70" s="1">
        <v>219523.305324149</v>
      </c>
      <c r="U70" s="1">
        <v>2160562.29175684</v>
      </c>
      <c r="V70" s="1">
        <v>1027172.8340785619</v>
      </c>
      <c r="W70" s="1">
        <v>212609.33959718721</v>
      </c>
      <c r="X70" s="1">
        <v>2259098.4127284368</v>
      </c>
      <c r="Y70" s="1">
        <v>1149188.2311846225</v>
      </c>
    </row>
    <row r="71" spans="1:25" x14ac:dyDescent="0.35">
      <c r="A71">
        <v>2049</v>
      </c>
      <c r="B71" s="1">
        <v>239898.29719620483</v>
      </c>
      <c r="C71" s="1">
        <v>491422.65233062918</v>
      </c>
      <c r="D71" s="1">
        <v>67941.741202837031</v>
      </c>
      <c r="E71" s="1">
        <v>229133.21593237168</v>
      </c>
      <c r="F71" s="1">
        <v>477379.20356447523</v>
      </c>
      <c r="G71" s="1">
        <v>80013.317353234801</v>
      </c>
      <c r="H71" s="1">
        <v>2168408.5098311682</v>
      </c>
      <c r="I71" s="1">
        <v>6637113.3777870787</v>
      </c>
      <c r="J71" s="1">
        <v>1726235.9394932925</v>
      </c>
      <c r="K71" s="1">
        <v>2050923.1504005895</v>
      </c>
      <c r="L71" s="1">
        <v>6412997.1731771063</v>
      </c>
      <c r="M71" s="1">
        <v>2112768.5155907106</v>
      </c>
      <c r="N71" s="1">
        <v>147187.91562154004</v>
      </c>
      <c r="O71" s="1">
        <v>1488341.6723061593</v>
      </c>
      <c r="P71" s="1">
        <v>724540.29038674932</v>
      </c>
      <c r="Q71" s="1">
        <v>142565.44538945839</v>
      </c>
      <c r="R71" s="1">
        <v>1556553.3353598132</v>
      </c>
      <c r="S71" s="1">
        <v>811672.74199481506</v>
      </c>
      <c r="T71" s="1">
        <v>216646.2773510869</v>
      </c>
      <c r="U71" s="1">
        <v>2172303.2975761327</v>
      </c>
      <c r="V71" s="1">
        <v>1045064.0289171215</v>
      </c>
      <c r="W71" s="1">
        <v>209933.18827758054</v>
      </c>
      <c r="X71" s="1">
        <v>2273259.2878986057</v>
      </c>
      <c r="Y71" s="1">
        <v>1170090.4250612396</v>
      </c>
    </row>
    <row r="72" spans="1:25" x14ac:dyDescent="0.35">
      <c r="A72">
        <v>2050</v>
      </c>
      <c r="B72" s="1">
        <v>243465.85362811774</v>
      </c>
      <c r="C72" s="1">
        <v>499204.3220902367</v>
      </c>
      <c r="D72" s="1">
        <v>69444.676848146511</v>
      </c>
      <c r="E72" s="1">
        <v>232580.30500273261</v>
      </c>
      <c r="F72" s="1">
        <v>484718.31305359345</v>
      </c>
      <c r="G72" s="1">
        <v>81695.457152198185</v>
      </c>
      <c r="H72" s="1">
        <v>2184683.0178877464</v>
      </c>
      <c r="I72" s="1">
        <v>6665014.2475207001</v>
      </c>
      <c r="J72" s="1">
        <v>1746128.4787848</v>
      </c>
      <c r="K72" s="1">
        <v>2066199.7605506415</v>
      </c>
      <c r="L72" s="1">
        <v>6429802.4638057183</v>
      </c>
      <c r="M72" s="1">
        <v>2135684.0029316288</v>
      </c>
      <c r="N72" s="1">
        <v>145214.00101054489</v>
      </c>
      <c r="O72" s="1">
        <v>1494947.2373469505</v>
      </c>
      <c r="P72" s="1">
        <v>736094.42714287702</v>
      </c>
      <c r="Q72" s="1">
        <v>140726.43064837172</v>
      </c>
      <c r="R72" s="1">
        <v>1564731.5281573688</v>
      </c>
      <c r="S72" s="1">
        <v>825198.65212826931</v>
      </c>
      <c r="T72" s="1">
        <v>213962.1274735909</v>
      </c>
      <c r="U72" s="1">
        <v>2183548.1930421125</v>
      </c>
      <c r="V72" s="1">
        <v>1062531.4172241765</v>
      </c>
      <c r="W72" s="1">
        <v>207436.50379825407</v>
      </c>
      <c r="X72" s="1">
        <v>2286873.6949833203</v>
      </c>
      <c r="Y72" s="1">
        <v>1190492.8877879039</v>
      </c>
    </row>
    <row r="73" spans="1:25" x14ac:dyDescent="0.35">
      <c r="A73">
        <v>2051</v>
      </c>
      <c r="B73" s="1">
        <v>247097.79433510092</v>
      </c>
      <c r="C73" s="1">
        <v>507087.58321404993</v>
      </c>
      <c r="D73" s="1">
        <v>70958.991009074205</v>
      </c>
      <c r="E73" s="1">
        <v>236085.83698015378</v>
      </c>
      <c r="F73" s="1">
        <v>492168.71625192068</v>
      </c>
      <c r="G73" s="1">
        <v>83384.340524191794</v>
      </c>
      <c r="H73" s="1">
        <v>2199204.8600759879</v>
      </c>
      <c r="I73" s="1">
        <v>6692394.1460701711</v>
      </c>
      <c r="J73" s="1">
        <v>1767274.8556313012</v>
      </c>
      <c r="K73" s="1">
        <v>2079824.3705406361</v>
      </c>
      <c r="L73" s="1">
        <v>6446416.3302800432</v>
      </c>
      <c r="M73" s="1">
        <v>2159182.6152620539</v>
      </c>
      <c r="N73" s="1">
        <v>143372.40805312002</v>
      </c>
      <c r="O73" s="1">
        <v>1501250.7926904627</v>
      </c>
      <c r="P73" s="1">
        <v>747367.02602475963</v>
      </c>
      <c r="Q73" s="1">
        <v>139010.64603060632</v>
      </c>
      <c r="R73" s="1">
        <v>1572574.7210343564</v>
      </c>
      <c r="S73" s="1">
        <v>838395.30018899881</v>
      </c>
      <c r="T73" s="1">
        <v>211457.93753579119</v>
      </c>
      <c r="U73" s="1">
        <v>2194322.4780253158</v>
      </c>
      <c r="V73" s="1">
        <v>1079604.1273348648</v>
      </c>
      <c r="W73" s="1">
        <v>205107.14644860369</v>
      </c>
      <c r="X73" s="1">
        <v>2299970.232433679</v>
      </c>
      <c r="Y73" s="1">
        <v>1210434.7440247554</v>
      </c>
    </row>
    <row r="74" spans="1:25" x14ac:dyDescent="0.35">
      <c r="A74">
        <v>2052</v>
      </c>
      <c r="B74" s="1">
        <v>250786.18654877861</v>
      </c>
      <c r="C74" s="1">
        <v>515073.36496344308</v>
      </c>
      <c r="D74" s="1">
        <v>72485.424214987346</v>
      </c>
      <c r="E74" s="1">
        <v>239642.53140686327</v>
      </c>
      <c r="F74" s="1">
        <v>499730.65233120398</v>
      </c>
      <c r="G74" s="1">
        <v>85081.322087079578</v>
      </c>
      <c r="H74" s="1">
        <v>2211903.6716330037</v>
      </c>
      <c r="I74" s="1">
        <v>6721821.252266841</v>
      </c>
      <c r="J74" s="1">
        <v>1787186.0865931704</v>
      </c>
      <c r="K74" s="1">
        <v>2091727.7192235016</v>
      </c>
      <c r="L74" s="1">
        <v>6463793.8174691787</v>
      </c>
      <c r="M74" s="1">
        <v>2182417.0585196214</v>
      </c>
      <c r="N74" s="1">
        <v>141654.36050506763</v>
      </c>
      <c r="O74" s="1">
        <v>1507271.0223918194</v>
      </c>
      <c r="P74" s="1">
        <v>758380.40515740099</v>
      </c>
      <c r="Q74" s="1">
        <v>137409.8391537889</v>
      </c>
      <c r="R74" s="1">
        <v>1580101.501649257</v>
      </c>
      <c r="S74" s="1">
        <v>851279.23598146567</v>
      </c>
      <c r="T74" s="1">
        <v>209121.78131315002</v>
      </c>
      <c r="U74" s="1">
        <v>2204653.3603778956</v>
      </c>
      <c r="V74" s="1">
        <v>1096313.084034441</v>
      </c>
      <c r="W74" s="1">
        <v>202933.91021584638</v>
      </c>
      <c r="X74" s="1">
        <v>2312575.0285503608</v>
      </c>
      <c r="Y74" s="1">
        <v>1229938.3834118336</v>
      </c>
    </row>
    <row r="75" spans="1:25" x14ac:dyDescent="0.35">
      <c r="A75">
        <v>2053</v>
      </c>
      <c r="B75" s="1">
        <v>254527.7288804134</v>
      </c>
      <c r="C75" s="1">
        <v>523163.05885876616</v>
      </c>
      <c r="D75" s="1">
        <v>74024.641989026379</v>
      </c>
      <c r="E75" s="1">
        <v>243247.49859727471</v>
      </c>
      <c r="F75" s="1">
        <v>507404.83011230576</v>
      </c>
      <c r="G75" s="1">
        <v>86787.653663204052</v>
      </c>
      <c r="H75" s="1">
        <v>2222765.3302546381</v>
      </c>
      <c r="I75" s="1">
        <v>6752320.0682724714</v>
      </c>
      <c r="J75" s="1">
        <v>1806925.7975662611</v>
      </c>
      <c r="K75" s="1">
        <v>2101898.6704789996</v>
      </c>
      <c r="L75" s="1">
        <v>6480419.418179566</v>
      </c>
      <c r="M75" s="1">
        <v>2207005.880902777</v>
      </c>
      <c r="N75" s="1">
        <v>140051.56462018925</v>
      </c>
      <c r="O75" s="1">
        <v>1513024.6393179158</v>
      </c>
      <c r="P75" s="1">
        <v>769144.75844398199</v>
      </c>
      <c r="Q75" s="1">
        <v>135916.38340396906</v>
      </c>
      <c r="R75" s="1">
        <v>1587328.789674168</v>
      </c>
      <c r="S75" s="1">
        <v>863869.53697033261</v>
      </c>
      <c r="T75" s="1">
        <v>206942.37624475948</v>
      </c>
      <c r="U75" s="1">
        <v>2214565.233550848</v>
      </c>
      <c r="V75" s="1">
        <v>1112671.8020007305</v>
      </c>
      <c r="W75" s="1">
        <v>200906.44751975703</v>
      </c>
      <c r="X75" s="1">
        <v>2324710.9620339596</v>
      </c>
      <c r="Y75" s="1">
        <v>1249029.9284636865</v>
      </c>
    </row>
    <row r="76" spans="1:25" x14ac:dyDescent="0.35">
      <c r="A76">
        <v>2054</v>
      </c>
      <c r="B76" s="1">
        <v>258340.91704207571</v>
      </c>
      <c r="C76" s="1">
        <v>531358.2431446577</v>
      </c>
      <c r="D76" s="1">
        <v>75577.245360219124</v>
      </c>
      <c r="E76" s="1">
        <v>246918.58761041373</v>
      </c>
      <c r="F76" s="1">
        <v>515192.16652791691</v>
      </c>
      <c r="G76" s="1">
        <v>88504.495432024196</v>
      </c>
      <c r="H76" s="1">
        <v>2231825.7913802941</v>
      </c>
      <c r="I76" s="1">
        <v>6781517.7981525566</v>
      </c>
      <c r="J76" s="1">
        <v>1828880.632246143</v>
      </c>
      <c r="K76" s="1">
        <v>2110368.5419848091</v>
      </c>
      <c r="L76" s="1">
        <v>6496412.6507143416</v>
      </c>
      <c r="M76" s="1">
        <v>2232818.6303183762</v>
      </c>
      <c r="N76" s="1">
        <v>138556.20711006384</v>
      </c>
      <c r="O76" s="1">
        <v>1518524.7237206614</v>
      </c>
      <c r="P76" s="1">
        <v>779675.99055311852</v>
      </c>
      <c r="Q76" s="1">
        <v>134523.00289836654</v>
      </c>
      <c r="R76" s="1">
        <v>1594271.3026593043</v>
      </c>
      <c r="S76" s="1">
        <v>876192.65137667814</v>
      </c>
      <c r="T76" s="1">
        <v>204909.08446756634</v>
      </c>
      <c r="U76" s="1">
        <v>2224077.234982125</v>
      </c>
      <c r="V76" s="1">
        <v>1128702.1318405196</v>
      </c>
      <c r="W76" s="1">
        <v>199014.86750641064</v>
      </c>
      <c r="X76" s="1">
        <v>2336400.880098437</v>
      </c>
      <c r="Y76" s="1">
        <v>1267746.2228729215</v>
      </c>
    </row>
    <row r="77" spans="1:25" x14ac:dyDescent="0.35">
      <c r="A77">
        <v>2055</v>
      </c>
      <c r="B77" s="1">
        <v>262232.44635079813</v>
      </c>
      <c r="C77" s="1">
        <v>539660.57029338484</v>
      </c>
      <c r="D77" s="1">
        <v>77143.780186395248</v>
      </c>
      <c r="E77" s="1">
        <v>250662.39041373224</v>
      </c>
      <c r="F77" s="1">
        <v>523093.67893780069</v>
      </c>
      <c r="G77" s="1">
        <v>90232.925923426883</v>
      </c>
      <c r="H77" s="1">
        <v>2239197.3715090537</v>
      </c>
      <c r="I77" s="1">
        <v>6808842.2559069432</v>
      </c>
      <c r="J77" s="1">
        <v>1853574.3934813279</v>
      </c>
      <c r="K77" s="1">
        <v>2117245.5653683837</v>
      </c>
      <c r="L77" s="1">
        <v>6510061.529937488</v>
      </c>
      <c r="M77" s="1">
        <v>2261538.4651350649</v>
      </c>
      <c r="N77" s="1">
        <v>137161.08025721929</v>
      </c>
      <c r="O77" s="1">
        <v>1523786.8987566878</v>
      </c>
      <c r="P77" s="1">
        <v>790002.59265003656</v>
      </c>
      <c r="Q77" s="1">
        <v>133222.98719201837</v>
      </c>
      <c r="R77" s="1">
        <v>1600943.7509647461</v>
      </c>
      <c r="S77" s="1">
        <v>888270.65783829987</v>
      </c>
      <c r="T77" s="1">
        <v>203012.10188292869</v>
      </c>
      <c r="U77" s="1">
        <v>2233212.2750429832</v>
      </c>
      <c r="V77" s="1">
        <v>1144444.2336822404</v>
      </c>
      <c r="W77" s="1">
        <v>197250.05702586574</v>
      </c>
      <c r="X77" s="1">
        <v>2347670.0401599659</v>
      </c>
      <c r="Y77" s="1">
        <v>1286117.9511032086</v>
      </c>
    </row>
    <row r="78" spans="1:25" x14ac:dyDescent="0.35">
      <c r="A78">
        <v>2056</v>
      </c>
      <c r="B78" s="1">
        <v>266201.53241420188</v>
      </c>
      <c r="C78" s="1">
        <v>548072.08505703986</v>
      </c>
      <c r="D78" s="1">
        <v>78724.745448798683</v>
      </c>
      <c r="E78" s="1">
        <v>254478.35979899659</v>
      </c>
      <c r="F78" s="1">
        <v>531110.78452034551</v>
      </c>
      <c r="G78" s="1">
        <v>91973.951010032717</v>
      </c>
      <c r="H78" s="1">
        <v>2245061.7238278319</v>
      </c>
      <c r="I78" s="1">
        <v>6837115.6037236825</v>
      </c>
      <c r="J78" s="1">
        <v>1877965.6629641103</v>
      </c>
      <c r="K78" s="1">
        <v>2122697.8675025664</v>
      </c>
      <c r="L78" s="1">
        <v>6523944.966810476</v>
      </c>
      <c r="M78" s="1">
        <v>2290462.6618131101</v>
      </c>
      <c r="N78" s="1">
        <v>135859.46057402215</v>
      </c>
      <c r="O78" s="1">
        <v>1528827.6819502634</v>
      </c>
      <c r="P78" s="1">
        <v>800154.74758441583</v>
      </c>
      <c r="Q78" s="1">
        <v>132010.14951324914</v>
      </c>
      <c r="R78" s="1">
        <v>1607362.5243470448</v>
      </c>
      <c r="S78" s="1">
        <v>900141.46506219485</v>
      </c>
      <c r="T78" s="1">
        <v>201242.28318394418</v>
      </c>
      <c r="U78" s="1">
        <v>2241994.6292690136</v>
      </c>
      <c r="V78" s="1">
        <v>1159940.844002675</v>
      </c>
      <c r="W78" s="1">
        <v>195603.62318518793</v>
      </c>
      <c r="X78" s="1">
        <v>2358538.7243221342</v>
      </c>
      <c r="Y78" s="1">
        <v>1304198.9221146624</v>
      </c>
    </row>
    <row r="79" spans="1:25" x14ac:dyDescent="0.35">
      <c r="A79">
        <v>2057</v>
      </c>
      <c r="B79" s="1">
        <v>270253.42839980091</v>
      </c>
      <c r="C79" s="1">
        <v>556595.23274533823</v>
      </c>
      <c r="D79" s="1">
        <v>80320.600630295681</v>
      </c>
      <c r="E79" s="1">
        <v>258371.68384525605</v>
      </c>
      <c r="F79" s="1">
        <v>539245.30717216188</v>
      </c>
      <c r="G79" s="1">
        <v>93728.512007488112</v>
      </c>
      <c r="H79" s="1">
        <v>2249643.184846519</v>
      </c>
      <c r="I79" s="1">
        <v>6869108.8223764924</v>
      </c>
      <c r="J79" s="1">
        <v>1899147.4923842389</v>
      </c>
      <c r="K79" s="1">
        <v>2126938.2257030178</v>
      </c>
      <c r="L79" s="1">
        <v>6541014.4096423425</v>
      </c>
      <c r="M79" s="1">
        <v>2316505.087666499</v>
      </c>
      <c r="N79" s="1">
        <v>134645.16206850199</v>
      </c>
      <c r="O79" s="1">
        <v>1533659.0198592693</v>
      </c>
      <c r="P79" s="1">
        <v>810140.36626472673</v>
      </c>
      <c r="Q79" s="1">
        <v>130878.57140535608</v>
      </c>
      <c r="R79" s="1">
        <v>1613540.6259739946</v>
      </c>
      <c r="S79" s="1">
        <v>911821.50847199711</v>
      </c>
      <c r="T79" s="1">
        <v>199591.22468517828</v>
      </c>
      <c r="U79" s="1">
        <v>2250441.9250189001</v>
      </c>
      <c r="V79" s="1">
        <v>1175202.5407207389</v>
      </c>
      <c r="W79" s="1">
        <v>194067.51904636991</v>
      </c>
      <c r="X79" s="1">
        <v>2369027.6572115007</v>
      </c>
      <c r="Y79" s="1">
        <v>1322011.8918540159</v>
      </c>
    </row>
    <row r="80" spans="1:25" x14ac:dyDescent="0.35">
      <c r="A80">
        <v>2058</v>
      </c>
      <c r="B80" s="1">
        <v>274387.82161658187</v>
      </c>
      <c r="C80" s="1">
        <v>565232.72669121507</v>
      </c>
      <c r="D80" s="1">
        <v>81931.772266103173</v>
      </c>
      <c r="E80" s="1">
        <v>262342.2356041426</v>
      </c>
      <c r="F80" s="1">
        <v>547499.35130290373</v>
      </c>
      <c r="G80" s="1">
        <v>95497.492968543607</v>
      </c>
      <c r="H80" s="1">
        <v>2253198.1051599211</v>
      </c>
      <c r="I80" s="1">
        <v>6900999.4313050807</v>
      </c>
      <c r="J80" s="1">
        <v>1920783.8207886978</v>
      </c>
      <c r="K80" s="1">
        <v>2130207.6106251809</v>
      </c>
      <c r="L80" s="1">
        <v>6559449.4053218104</v>
      </c>
      <c r="M80" s="1">
        <v>2341398.1371857924</v>
      </c>
      <c r="N80" s="1">
        <v>133512.2415945128</v>
      </c>
      <c r="O80" s="1">
        <v>1538287.2467744485</v>
      </c>
      <c r="P80" s="1">
        <v>819944.13629638287</v>
      </c>
      <c r="Q80" s="1">
        <v>129822.80596024482</v>
      </c>
      <c r="R80" s="1">
        <v>1619491.3719596758</v>
      </c>
      <c r="S80" s="1">
        <v>923308.20307439531</v>
      </c>
      <c r="T80" s="1">
        <v>198050.83162898428</v>
      </c>
      <c r="U80" s="1">
        <v>2258563.595229256</v>
      </c>
      <c r="V80" s="1">
        <v>1190206.2706488164</v>
      </c>
      <c r="W80" s="1">
        <v>192634.34781043153</v>
      </c>
      <c r="X80" s="1">
        <v>2379150.8714156104</v>
      </c>
      <c r="Y80" s="1">
        <v>1339552.1667712689</v>
      </c>
    </row>
    <row r="81" spans="1:25" x14ac:dyDescent="0.35">
      <c r="A81">
        <v>2059</v>
      </c>
      <c r="B81" s="1">
        <v>278595.64678256179</v>
      </c>
      <c r="C81" s="1">
        <v>573987.56348678889</v>
      </c>
      <c r="D81" s="1">
        <v>83558.659783632218</v>
      </c>
      <c r="E81" s="1">
        <v>266381.53910312027</v>
      </c>
      <c r="F81" s="1">
        <v>555875.31526361068</v>
      </c>
      <c r="G81" s="1">
        <v>97281.727284834458</v>
      </c>
      <c r="H81" s="1">
        <v>2255993.4264463028</v>
      </c>
      <c r="I81" s="1">
        <v>6932045.2997651547</v>
      </c>
      <c r="J81" s="1">
        <v>1943398.6357314184</v>
      </c>
      <c r="K81" s="1">
        <v>2132761.4773269165</v>
      </c>
      <c r="L81" s="1">
        <v>6579151.9155112226</v>
      </c>
      <c r="M81" s="1">
        <v>2365068.3285182547</v>
      </c>
      <c r="N81" s="1">
        <v>132455.24328990025</v>
      </c>
      <c r="O81" s="1">
        <v>1542724.9129523435</v>
      </c>
      <c r="P81" s="1">
        <v>829569.9137783607</v>
      </c>
      <c r="Q81" s="1">
        <v>128837.77285141317</v>
      </c>
      <c r="R81" s="1">
        <v>1625223.5263944364</v>
      </c>
      <c r="S81" s="1">
        <v>934608.77228398831</v>
      </c>
      <c r="T81" s="1">
        <v>196613.68348123509</v>
      </c>
      <c r="U81" s="1">
        <v>2266378.2237957139</v>
      </c>
      <c r="V81" s="1">
        <v>1204956.7907065889</v>
      </c>
      <c r="W81" s="1">
        <v>191297.21071854993</v>
      </c>
      <c r="X81" s="1">
        <v>2388925.242830731</v>
      </c>
      <c r="Y81" s="1">
        <v>1356829.1719129221</v>
      </c>
    </row>
    <row r="82" spans="1:25" x14ac:dyDescent="0.35">
      <c r="A82">
        <v>2060</v>
      </c>
      <c r="B82" s="1">
        <v>282873.37469545833</v>
      </c>
      <c r="C82" s="1">
        <v>582862.93062434508</v>
      </c>
      <c r="D82" s="1">
        <v>85201.640734886227</v>
      </c>
      <c r="E82" s="1">
        <v>270486.37764099787</v>
      </c>
      <c r="F82" s="1">
        <v>564375.80309986288</v>
      </c>
      <c r="G82" s="1">
        <v>99082.003697287189</v>
      </c>
      <c r="H82" s="1">
        <v>2258283.6907022223</v>
      </c>
      <c r="I82" s="1">
        <v>6961707.2855040459</v>
      </c>
      <c r="J82" s="1">
        <v>1967312.7259399118</v>
      </c>
      <c r="K82" s="1">
        <v>2134842.2181988456</v>
      </c>
      <c r="L82" s="1">
        <v>6599378.7555400301</v>
      </c>
      <c r="M82" s="1">
        <v>2388133.4694879558</v>
      </c>
      <c r="N82" s="1">
        <v>131469.07718670092</v>
      </c>
      <c r="O82" s="1">
        <v>1546984.0749784212</v>
      </c>
      <c r="P82" s="1">
        <v>839023.25833522202</v>
      </c>
      <c r="Q82" s="1">
        <v>127918.73244306352</v>
      </c>
      <c r="R82" s="1">
        <v>1630747.8208020893</v>
      </c>
      <c r="S82" s="1">
        <v>945717.63222392253</v>
      </c>
      <c r="T82" s="1">
        <v>195272.85741561852</v>
      </c>
      <c r="U82" s="1">
        <v>2273903.7088931878</v>
      </c>
      <c r="V82" s="1">
        <v>1219461.3749899799</v>
      </c>
      <c r="W82" s="1">
        <v>190049.67171709269</v>
      </c>
      <c r="X82" s="1">
        <v>2398364.6205580174</v>
      </c>
      <c r="Y82" s="1">
        <v>1373833.8945908342</v>
      </c>
    </row>
    <row r="83" spans="1:25" x14ac:dyDescent="0.35">
      <c r="A83">
        <v>2061</v>
      </c>
      <c r="B83" s="1">
        <v>287226.785662618</v>
      </c>
      <c r="C83" s="1">
        <v>591861.97938860266</v>
      </c>
      <c r="D83" s="1">
        <v>86861.075497468075</v>
      </c>
      <c r="E83" s="1">
        <v>274662.38738327275</v>
      </c>
      <c r="F83" s="1">
        <v>573003.40880961879</v>
      </c>
      <c r="G83" s="1">
        <v>100899.07178862509</v>
      </c>
      <c r="H83" s="1">
        <v>2260313.5052053872</v>
      </c>
      <c r="I83" s="1">
        <v>6995157.2283816803</v>
      </c>
      <c r="J83" s="1">
        <v>1987125.5235778617</v>
      </c>
      <c r="K83" s="1">
        <v>2136680.6238337145</v>
      </c>
      <c r="L83" s="1">
        <v>6623888.1128345346</v>
      </c>
      <c r="M83" s="1">
        <v>2406637.8294704515</v>
      </c>
      <c r="N83" s="1">
        <v>130548.92205555225</v>
      </c>
      <c r="O83" s="1">
        <v>1551073.9623728753</v>
      </c>
      <c r="P83" s="1">
        <v>848316.79225930478</v>
      </c>
      <c r="Q83" s="1">
        <v>127061.26270656391</v>
      </c>
      <c r="R83" s="1">
        <v>1636072.9388827705</v>
      </c>
      <c r="S83" s="1">
        <v>956638.4179723307</v>
      </c>
      <c r="T83" s="1">
        <v>194021.78707644236</v>
      </c>
      <c r="U83" s="1">
        <v>2281153.8298568428</v>
      </c>
      <c r="V83" s="1">
        <v>1233737.6086653655</v>
      </c>
      <c r="W83" s="1">
        <v>188885.72607644871</v>
      </c>
      <c r="X83" s="1">
        <v>2407485.5394730759</v>
      </c>
      <c r="Y83" s="1">
        <v>1390570.680768593</v>
      </c>
    </row>
    <row r="84" spans="1:25" x14ac:dyDescent="0.35">
      <c r="A84">
        <v>2062</v>
      </c>
      <c r="B84" s="1">
        <v>291647.17322813731</v>
      </c>
      <c r="C84" s="1">
        <v>600987.7639878972</v>
      </c>
      <c r="D84" s="1">
        <v>88537.31151342651</v>
      </c>
      <c r="E84" s="1">
        <v>278901.39545794629</v>
      </c>
      <c r="F84" s="1">
        <v>581760.65758201957</v>
      </c>
      <c r="G84" s="1">
        <v>102733.6470247188</v>
      </c>
      <c r="H84" s="1">
        <v>2262309.4499202208</v>
      </c>
      <c r="I84" s="1">
        <v>7032058.5491380477</v>
      </c>
      <c r="J84" s="1">
        <v>2003101.0093857581</v>
      </c>
      <c r="K84" s="1">
        <v>2138487.5902367923</v>
      </c>
      <c r="L84" s="1">
        <v>6651794.5997029319</v>
      </c>
      <c r="M84" s="1">
        <v>2421361.3114941586</v>
      </c>
      <c r="N84" s="1">
        <v>129690.58187161954</v>
      </c>
      <c r="O84" s="1">
        <v>1554999.1452570732</v>
      </c>
      <c r="P84" s="1">
        <v>857412.37114511325</v>
      </c>
      <c r="Q84" s="1">
        <v>126261.23989978719</v>
      </c>
      <c r="R84" s="1">
        <v>1641209.4170838487</v>
      </c>
      <c r="S84" s="1">
        <v>967339.41528819455</v>
      </c>
      <c r="T84" s="1">
        <v>192854.7949800225</v>
      </c>
      <c r="U84" s="1">
        <v>2288135.5416169818</v>
      </c>
      <c r="V84" s="1">
        <v>1247729.3079557021</v>
      </c>
      <c r="W84" s="1">
        <v>187799.77440547431</v>
      </c>
      <c r="X84" s="1">
        <v>2416297.3256311989</v>
      </c>
      <c r="Y84" s="1">
        <v>1406992.6261929281</v>
      </c>
    </row>
    <row r="85" spans="1:25" x14ac:dyDescent="0.35">
      <c r="A85">
        <v>2063</v>
      </c>
      <c r="B85" s="1">
        <v>296143.43105657859</v>
      </c>
      <c r="C85" s="1">
        <v>610243.36802321055</v>
      </c>
      <c r="D85" s="1">
        <v>90230.687116997578</v>
      </c>
      <c r="E85" s="1">
        <v>283211.980107966</v>
      </c>
      <c r="F85" s="1">
        <v>590650.12418943539</v>
      </c>
      <c r="G85" s="1">
        <v>104586.41539330401</v>
      </c>
      <c r="H85" s="1">
        <v>2264441.7924587079</v>
      </c>
      <c r="I85" s="1">
        <v>7070998.5250186902</v>
      </c>
      <c r="J85" s="1">
        <v>2016564.5949784699</v>
      </c>
      <c r="K85" s="1">
        <v>2140430.4276162991</v>
      </c>
      <c r="L85" s="1">
        <v>6683142.5485803913</v>
      </c>
      <c r="M85" s="1">
        <v>2432185.2957084607</v>
      </c>
      <c r="N85" s="1">
        <v>128889.75980420923</v>
      </c>
      <c r="O85" s="1">
        <v>1558766.6610794824</v>
      </c>
      <c r="P85" s="1">
        <v>866282.70752367971</v>
      </c>
      <c r="Q85" s="1">
        <v>125514.89022043074</v>
      </c>
      <c r="R85" s="1">
        <v>1646162.8926093066</v>
      </c>
      <c r="S85" s="1">
        <v>977790.85232804436</v>
      </c>
      <c r="T85" s="1">
        <v>191766.01668050405</v>
      </c>
      <c r="U85" s="1">
        <v>2294859.4458786165</v>
      </c>
      <c r="V85" s="1">
        <v>1261396.0103808525</v>
      </c>
      <c r="W85" s="1">
        <v>186786.70205530417</v>
      </c>
      <c r="X85" s="1">
        <v>2424811.4346208679</v>
      </c>
      <c r="Y85" s="1">
        <v>1423055.4365701908</v>
      </c>
    </row>
    <row r="86" spans="1:25" x14ac:dyDescent="0.35">
      <c r="A86">
        <v>2064</v>
      </c>
      <c r="B86" s="1">
        <v>300712.87986600102</v>
      </c>
      <c r="C86" s="1">
        <v>619631.72802374861</v>
      </c>
      <c r="D86" s="1">
        <v>91941.534972247668</v>
      </c>
      <c r="E86" s="1">
        <v>287591.68746169016</v>
      </c>
      <c r="F86" s="1">
        <v>599674.26511495095</v>
      </c>
      <c r="G86" s="1">
        <v>106458.037658239</v>
      </c>
      <c r="H86" s="1">
        <v>2266870.1009326624</v>
      </c>
      <c r="I86" s="1">
        <v>7107141.8841529926</v>
      </c>
      <c r="J86" s="1">
        <v>2032256.4542488521</v>
      </c>
      <c r="K86" s="1">
        <v>2142658.0624566628</v>
      </c>
      <c r="L86" s="1">
        <v>6713857.963711231</v>
      </c>
      <c r="M86" s="1">
        <v>2443085.6823642715</v>
      </c>
      <c r="N86" s="1">
        <v>128142.68487129374</v>
      </c>
      <c r="O86" s="1">
        <v>1562380.9891053487</v>
      </c>
      <c r="P86" s="1">
        <v>874909.99640571536</v>
      </c>
      <c r="Q86" s="1">
        <v>124818.62041007126</v>
      </c>
      <c r="R86" s="1">
        <v>1650940.4812779061</v>
      </c>
      <c r="S86" s="1">
        <v>987970.4827331854</v>
      </c>
      <c r="T86" s="1">
        <v>190750.33433004274</v>
      </c>
      <c r="U86" s="1">
        <v>2301332.3987179101</v>
      </c>
      <c r="V86" s="1">
        <v>1274711.0143731846</v>
      </c>
      <c r="W86" s="1">
        <v>185841.62967157591</v>
      </c>
      <c r="X86" s="1">
        <v>2433036.2898959108</v>
      </c>
      <c r="Y86" s="1">
        <v>1438725.7972443043</v>
      </c>
    </row>
    <row r="87" spans="1:25" x14ac:dyDescent="0.35">
      <c r="A87">
        <v>2065</v>
      </c>
      <c r="B87" s="1">
        <v>305353.79969508143</v>
      </c>
      <c r="C87" s="1">
        <v>629155.8298801647</v>
      </c>
      <c r="D87" s="1">
        <v>93670.185135459484</v>
      </c>
      <c r="E87" s="1">
        <v>292038.96871775924</v>
      </c>
      <c r="F87" s="1">
        <v>608835.60316318751</v>
      </c>
      <c r="G87" s="1">
        <v>108349.1532411901</v>
      </c>
      <c r="H87" s="1">
        <v>2269715.7937358329</v>
      </c>
      <c r="I87" s="1">
        <v>7136602.3722893521</v>
      </c>
      <c r="J87" s="1">
        <v>2053920.7351357946</v>
      </c>
      <c r="K87" s="1">
        <v>2145289.3013012838</v>
      </c>
      <c r="L87" s="1">
        <v>6740367.1527471896</v>
      </c>
      <c r="M87" s="1">
        <v>2457549.2557661417</v>
      </c>
      <c r="N87" s="1">
        <v>127445.67585637915</v>
      </c>
      <c r="O87" s="1">
        <v>1565849.8108103939</v>
      </c>
      <c r="P87" s="1">
        <v>883308.19982135529</v>
      </c>
      <c r="Q87" s="1">
        <v>124168.93619885734</v>
      </c>
      <c r="R87" s="1">
        <v>1655547.2474240004</v>
      </c>
      <c r="S87" s="1">
        <v>997868.364273099</v>
      </c>
      <c r="T87" s="1">
        <v>189802.73071270625</v>
      </c>
      <c r="U87" s="1">
        <v>2307565.9870200893</v>
      </c>
      <c r="V87" s="1">
        <v>1287693.8799073908</v>
      </c>
      <c r="W87" s="1">
        <v>184959.79378209921</v>
      </c>
      <c r="X87" s="1">
        <v>2440982.9966656221</v>
      </c>
      <c r="Y87" s="1">
        <v>1453988.2267195692</v>
      </c>
    </row>
    <row r="88" spans="1:25" x14ac:dyDescent="0.35">
      <c r="A88">
        <v>2066</v>
      </c>
      <c r="B88" s="1">
        <v>310065.13021137728</v>
      </c>
      <c r="C88" s="1">
        <v>638818.63561405893</v>
      </c>
      <c r="D88" s="1">
        <v>95416.967772599659</v>
      </c>
      <c r="E88" s="1">
        <v>296552.89504962397</v>
      </c>
      <c r="F88" s="1">
        <v>618136.657355592</v>
      </c>
      <c r="G88" s="1">
        <v>110260.383758329</v>
      </c>
      <c r="H88" s="1">
        <v>2273069.8400744796</v>
      </c>
      <c r="I88" s="1">
        <v>7165391.7058849912</v>
      </c>
      <c r="J88" s="1">
        <v>2075345.1360614272</v>
      </c>
      <c r="K88" s="1">
        <v>2148401.2550623217</v>
      </c>
      <c r="L88" s="1">
        <v>6767546.9523711391</v>
      </c>
      <c r="M88" s="1">
        <v>2470560.3557564435</v>
      </c>
      <c r="N88" s="1">
        <v>126795.38130823438</v>
      </c>
      <c r="O88" s="1">
        <v>1569185.6721317025</v>
      </c>
      <c r="P88" s="1">
        <v>891504.86420800863</v>
      </c>
      <c r="Q88" s="1">
        <v>123562.78736799817</v>
      </c>
      <c r="R88" s="1">
        <v>1659990.0912510473</v>
      </c>
      <c r="S88" s="1">
        <v>1007504.41572565</v>
      </c>
      <c r="T88" s="1">
        <v>188918.64840590869</v>
      </c>
      <c r="U88" s="1">
        <v>2313578.9863692462</v>
      </c>
      <c r="V88" s="1">
        <v>1300384.0319579651</v>
      </c>
      <c r="W88" s="1">
        <v>184137.06252005597</v>
      </c>
      <c r="X88" s="1">
        <v>2448664.2990222224</v>
      </c>
      <c r="Y88" s="1">
        <v>1468870.8447595777</v>
      </c>
    </row>
    <row r="89" spans="1:25" x14ac:dyDescent="0.35">
      <c r="A89">
        <v>2067</v>
      </c>
      <c r="B89" s="1">
        <v>314858.61466163612</v>
      </c>
      <c r="C89" s="1">
        <v>648623.0483075059</v>
      </c>
      <c r="D89" s="1">
        <v>97182.215541152967</v>
      </c>
      <c r="E89" s="1">
        <v>301144.7238195549</v>
      </c>
      <c r="F89" s="1">
        <v>627579.90886762692</v>
      </c>
      <c r="G89" s="1">
        <v>112192.3362184111</v>
      </c>
      <c r="H89" s="1">
        <v>2276972.87585419</v>
      </c>
      <c r="I89" s="1">
        <v>7198819.722817596</v>
      </c>
      <c r="J89" s="1">
        <v>2091187.9433588437</v>
      </c>
      <c r="K89" s="1">
        <v>2152034.1747483783</v>
      </c>
      <c r="L89" s="1">
        <v>6797551.0393462069</v>
      </c>
      <c r="M89" s="1">
        <v>2479950.4465232054</v>
      </c>
      <c r="N89" s="1">
        <v>126188.67424099319</v>
      </c>
      <c r="O89" s="1">
        <v>1572393.4032350995</v>
      </c>
      <c r="P89" s="1">
        <v>899489.83766168472</v>
      </c>
      <c r="Q89" s="1">
        <v>122997.40529954591</v>
      </c>
      <c r="R89" s="1">
        <v>1664277.0582220573</v>
      </c>
      <c r="S89" s="1">
        <v>1016866.7213342232</v>
      </c>
      <c r="T89" s="1">
        <v>188093.83524318042</v>
      </c>
      <c r="U89" s="1">
        <v>2319378.8256397983</v>
      </c>
      <c r="V89" s="1">
        <v>1312766.0034383184</v>
      </c>
      <c r="W89" s="1">
        <v>183369.69613252088</v>
      </c>
      <c r="X89" s="1">
        <v>2456092.9935641084</v>
      </c>
      <c r="Y89" s="1">
        <v>1483355.4959241604</v>
      </c>
    </row>
    <row r="90" spans="1:25" x14ac:dyDescent="0.35">
      <c r="A90">
        <v>2068</v>
      </c>
      <c r="B90" s="1">
        <v>319716.23978924612</v>
      </c>
      <c r="C90" s="1">
        <v>658571.89872120018</v>
      </c>
      <c r="D90" s="1">
        <v>98966.265669520188</v>
      </c>
      <c r="E90" s="1">
        <v>305797.36642061168</v>
      </c>
      <c r="F90" s="1">
        <v>637167.78747867595</v>
      </c>
      <c r="G90" s="1">
        <v>114145.6059128839</v>
      </c>
      <c r="H90" s="1">
        <v>2281460.9698228831</v>
      </c>
      <c r="I90" s="1">
        <v>7229775.6724536307</v>
      </c>
      <c r="J90" s="1">
        <v>2108581.4923516116</v>
      </c>
      <c r="K90" s="1">
        <v>2156221.9396658735</v>
      </c>
      <c r="L90" s="1">
        <v>6824812.0908100586</v>
      </c>
      <c r="M90" s="1">
        <v>2491322.5575816021</v>
      </c>
      <c r="N90" s="1">
        <v>125622.56860965451</v>
      </c>
      <c r="O90" s="1">
        <v>1575476.0763570403</v>
      </c>
      <c r="P90" s="1">
        <v>907218.3870980494</v>
      </c>
      <c r="Q90" s="1">
        <v>122469.91833878109</v>
      </c>
      <c r="R90" s="1">
        <v>1668416.2466797149</v>
      </c>
      <c r="S90" s="1">
        <v>1025930.9335160477</v>
      </c>
      <c r="T90" s="1">
        <v>187324.22177821631</v>
      </c>
      <c r="U90" s="1">
        <v>2324970.3524681292</v>
      </c>
      <c r="V90" s="1">
        <v>1324773.8548808191</v>
      </c>
      <c r="W90" s="1">
        <v>182653.77557473382</v>
      </c>
      <c r="X90" s="1">
        <v>2463275.8750315499</v>
      </c>
      <c r="Y90" s="1">
        <v>1497405.9029894664</v>
      </c>
    </row>
    <row r="91" spans="1:25" x14ac:dyDescent="0.35">
      <c r="A91">
        <v>2069</v>
      </c>
      <c r="B91" s="1">
        <v>324641.80904867098</v>
      </c>
      <c r="C91" s="1">
        <v>668668.16991694621</v>
      </c>
      <c r="D91" s="1">
        <v>100769.46175649761</v>
      </c>
      <c r="E91" s="1">
        <v>310514.5062743898</v>
      </c>
      <c r="F91" s="1">
        <v>646902.88313426194</v>
      </c>
      <c r="G91" s="1">
        <v>116120.7790180743</v>
      </c>
      <c r="H91" s="1">
        <v>2286514.1838275143</v>
      </c>
      <c r="I91" s="1">
        <v>7254147.5334942257</v>
      </c>
      <c r="J91" s="1">
        <v>2131599.9242727412</v>
      </c>
      <c r="K91" s="1">
        <v>2160946.8402316491</v>
      </c>
      <c r="L91" s="1">
        <v>6847267.0407018838</v>
      </c>
      <c r="M91" s="1">
        <v>2506697.6001597987</v>
      </c>
      <c r="N91" s="1">
        <v>125094.5664779073</v>
      </c>
      <c r="O91" s="1">
        <v>1578440.0399333558</v>
      </c>
      <c r="P91" s="1">
        <v>914691.0085598015</v>
      </c>
      <c r="Q91" s="1">
        <v>121977.79257530432</v>
      </c>
      <c r="R91" s="1">
        <v>1672411.6691776938</v>
      </c>
      <c r="S91" s="1">
        <v>1034702.0992833988</v>
      </c>
      <c r="T91" s="1">
        <v>186606.44064590763</v>
      </c>
      <c r="U91" s="1">
        <v>2330363.2566554723</v>
      </c>
      <c r="V91" s="1">
        <v>1336407.6054109596</v>
      </c>
      <c r="W91" s="1">
        <v>181985.86091865634</v>
      </c>
      <c r="X91" s="1">
        <v>2470218.4069861597</v>
      </c>
      <c r="Y91" s="1">
        <v>1511028.5215387284</v>
      </c>
    </row>
    <row r="92" spans="1:25" x14ac:dyDescent="0.35">
      <c r="A92">
        <v>2070</v>
      </c>
      <c r="B92" s="1">
        <v>329639.75650555047</v>
      </c>
      <c r="C92" s="1">
        <v>678914.61104713404</v>
      </c>
      <c r="D92" s="1">
        <v>102592.15530869769</v>
      </c>
      <c r="E92" s="1">
        <v>315300.42057690088</v>
      </c>
      <c r="F92" s="1">
        <v>656787.58016429737</v>
      </c>
      <c r="G92" s="1">
        <v>118118.4349249589</v>
      </c>
      <c r="H92" s="1">
        <v>2292106.2921308763</v>
      </c>
      <c r="I92" s="1">
        <v>7273395.1802509455</v>
      </c>
      <c r="J92" s="1">
        <v>2158655.9699918297</v>
      </c>
      <c r="K92" s="1">
        <v>2166183.1709762821</v>
      </c>
      <c r="L92" s="1">
        <v>6865537.2158176508</v>
      </c>
      <c r="M92" s="1">
        <v>2525367.0673702508</v>
      </c>
      <c r="N92" s="1">
        <v>124602.04173150765</v>
      </c>
      <c r="O92" s="1">
        <v>1581292.9850358912</v>
      </c>
      <c r="P92" s="1">
        <v>921925.8240980932</v>
      </c>
      <c r="Q92" s="1">
        <v>121518.66460375741</v>
      </c>
      <c r="R92" s="1">
        <v>1676266.4624108891</v>
      </c>
      <c r="S92" s="1">
        <v>1043186.6489944591</v>
      </c>
      <c r="T92" s="1">
        <v>185936.90963206557</v>
      </c>
      <c r="U92" s="1">
        <v>2335569.2236660295</v>
      </c>
      <c r="V92" s="1">
        <v>1347693.0506013797</v>
      </c>
      <c r="W92" s="1">
        <v>181362.74384305967</v>
      </c>
      <c r="X92" s="1">
        <v>2476936.7416071636</v>
      </c>
      <c r="Y92" s="1">
        <v>1524231.8487103311</v>
      </c>
    </row>
    <row r="93" spans="1:25" x14ac:dyDescent="0.35"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BA51-32D3-4F27-83A8-62D5689A3A1C}">
  <dimension ref="A1:E93"/>
  <sheetViews>
    <sheetView tabSelected="1" workbookViewId="0">
      <selection activeCell="H10" sqref="H10"/>
    </sheetView>
  </sheetViews>
  <sheetFormatPr defaultRowHeight="14.5" x14ac:dyDescent="0.35"/>
  <cols>
    <col min="2" max="2" width="10.54296875" bestFit="1" customWidth="1"/>
    <col min="3" max="3" width="10.08984375" bestFit="1" customWidth="1"/>
    <col min="4" max="5" width="11.1796875" bestFit="1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5</v>
      </c>
      <c r="E1" t="s">
        <v>7</v>
      </c>
    </row>
    <row r="2" spans="1:5" x14ac:dyDescent="0.35">
      <c r="A2">
        <v>1980</v>
      </c>
      <c r="B2" s="1">
        <v>6835.2126375174594</v>
      </c>
      <c r="C2" s="1">
        <v>6173.4696957543638</v>
      </c>
      <c r="D2" s="1">
        <v>109133.44301795439</v>
      </c>
      <c r="E2" s="1">
        <v>103425.05134877378</v>
      </c>
    </row>
    <row r="3" spans="1:5" x14ac:dyDescent="0.35">
      <c r="A3">
        <v>1981</v>
      </c>
      <c r="B3" s="1">
        <v>6926.9105652982471</v>
      </c>
      <c r="C3" s="1">
        <v>6273.1418468527854</v>
      </c>
      <c r="D3" s="1">
        <v>114283.74515973797</v>
      </c>
      <c r="E3" s="1">
        <v>108437.33362811095</v>
      </c>
    </row>
    <row r="4" spans="1:5" x14ac:dyDescent="0.35">
      <c r="A4">
        <v>1982</v>
      </c>
      <c r="B4" s="1">
        <v>7119.9611765931986</v>
      </c>
      <c r="C4" s="1">
        <v>6468.9815498837452</v>
      </c>
      <c r="D4" s="1">
        <v>116104.22174683755</v>
      </c>
      <c r="E4" s="1">
        <v>110151.79922668556</v>
      </c>
    </row>
    <row r="5" spans="1:5" x14ac:dyDescent="0.35">
      <c r="A5">
        <v>1983</v>
      </c>
      <c r="B5" s="1">
        <v>7131.436459956185</v>
      </c>
      <c r="C5" s="1">
        <v>6542.4244349947876</v>
      </c>
      <c r="D5" s="1">
        <v>117448.78844190473</v>
      </c>
      <c r="E5" s="1">
        <v>111490.6324631443</v>
      </c>
    </row>
    <row r="6" spans="1:5" x14ac:dyDescent="0.35">
      <c r="A6">
        <v>1984</v>
      </c>
      <c r="B6" s="1">
        <v>7217.0018989622804</v>
      </c>
      <c r="C6" s="1">
        <v>6643.545582626728</v>
      </c>
      <c r="D6" s="1">
        <v>112557.07652873626</v>
      </c>
      <c r="E6" s="1">
        <v>107534.49148967474</v>
      </c>
    </row>
    <row r="7" spans="1:5" x14ac:dyDescent="0.35">
      <c r="A7">
        <v>1985</v>
      </c>
      <c r="B7" s="1">
        <v>7487.0766846319266</v>
      </c>
      <c r="C7" s="1">
        <v>6897.6582244036799</v>
      </c>
      <c r="D7" s="1">
        <v>119339.24153092792</v>
      </c>
      <c r="E7" s="1">
        <v>113650.00066003646</v>
      </c>
    </row>
    <row r="8" spans="1:5" x14ac:dyDescent="0.35">
      <c r="A8">
        <v>1986</v>
      </c>
      <c r="B8" s="1">
        <v>7533.3926591535273</v>
      </c>
      <c r="C8" s="1">
        <v>6956.6832974118079</v>
      </c>
      <c r="D8" s="1">
        <v>117391.38176864425</v>
      </c>
      <c r="E8" s="1">
        <v>111547.53737479047</v>
      </c>
    </row>
    <row r="9" spans="1:5" x14ac:dyDescent="0.35">
      <c r="A9">
        <v>1987</v>
      </c>
      <c r="B9" s="1">
        <v>7678.8913472363638</v>
      </c>
      <c r="C9" s="1">
        <v>7083.9449482471246</v>
      </c>
      <c r="D9" s="1">
        <v>117624.89089886443</v>
      </c>
      <c r="E9" s="1">
        <v>111646.8029056521</v>
      </c>
    </row>
    <row r="10" spans="1:5" x14ac:dyDescent="0.35">
      <c r="A10">
        <v>1988</v>
      </c>
      <c r="B10" s="1">
        <v>7865.6839030841293</v>
      </c>
      <c r="C10" s="1">
        <v>7260.6641210734088</v>
      </c>
      <c r="D10" s="1">
        <v>118359.72968054656</v>
      </c>
      <c r="E10" s="1">
        <v>112711.62989529585</v>
      </c>
    </row>
    <row r="11" spans="1:5" x14ac:dyDescent="0.35">
      <c r="A11">
        <v>1989</v>
      </c>
      <c r="B11" s="1">
        <v>7993.2614700093327</v>
      </c>
      <c r="C11" s="1">
        <v>7423.5842236607023</v>
      </c>
      <c r="D11" s="1">
        <v>120456.93919017809</v>
      </c>
      <c r="E11" s="1">
        <v>114862.48611615186</v>
      </c>
    </row>
    <row r="12" spans="1:5" x14ac:dyDescent="0.35">
      <c r="A12">
        <v>1990</v>
      </c>
      <c r="B12" s="1">
        <v>8097.0758119441671</v>
      </c>
      <c r="C12" s="1">
        <v>7514.7267542924528</v>
      </c>
      <c r="D12" s="1">
        <v>127119.43270633736</v>
      </c>
      <c r="E12" s="1">
        <v>119960.49312742606</v>
      </c>
    </row>
    <row r="13" spans="1:5" x14ac:dyDescent="0.35">
      <c r="A13">
        <v>1991</v>
      </c>
      <c r="B13" s="1">
        <v>8167.5572060507329</v>
      </c>
      <c r="C13" s="1">
        <v>7635.9766392771999</v>
      </c>
      <c r="D13" s="1">
        <v>123816.70411185775</v>
      </c>
      <c r="E13" s="1">
        <v>117664.30924281433</v>
      </c>
    </row>
    <row r="14" spans="1:5" x14ac:dyDescent="0.35">
      <c r="A14">
        <v>1992</v>
      </c>
      <c r="B14" s="1">
        <v>8345.0124932791441</v>
      </c>
      <c r="C14" s="1">
        <v>7823.7034932873139</v>
      </c>
      <c r="D14" s="1">
        <v>127283.71951311867</v>
      </c>
      <c r="E14" s="1">
        <v>120752.58650031482</v>
      </c>
    </row>
    <row r="15" spans="1:5" x14ac:dyDescent="0.35">
      <c r="A15">
        <v>1993</v>
      </c>
      <c r="B15" s="1">
        <v>8444.1218073520649</v>
      </c>
      <c r="C15" s="1">
        <v>7932.5962759444737</v>
      </c>
      <c r="D15" s="1">
        <v>125088.40739434952</v>
      </c>
      <c r="E15" s="1">
        <v>118686.97632235393</v>
      </c>
    </row>
    <row r="16" spans="1:5" x14ac:dyDescent="0.35">
      <c r="A16">
        <v>1994</v>
      </c>
      <c r="B16" s="1">
        <v>8625.7577383054158</v>
      </c>
      <c r="C16" s="1">
        <v>8128.1933788954848</v>
      </c>
      <c r="D16" s="1">
        <v>124031.70234235695</v>
      </c>
      <c r="E16" s="1">
        <v>117328.50474044218</v>
      </c>
    </row>
    <row r="17" spans="1:5" x14ac:dyDescent="0.35">
      <c r="A17">
        <v>1995</v>
      </c>
      <c r="B17" s="1">
        <v>8759.5723771329867</v>
      </c>
      <c r="C17" s="1">
        <v>8288.7716030709707</v>
      </c>
      <c r="D17" s="1">
        <v>122632.82528718491</v>
      </c>
      <c r="E17" s="1">
        <v>116431.63703261115</v>
      </c>
    </row>
    <row r="18" spans="1:5" x14ac:dyDescent="0.35">
      <c r="A18">
        <v>1996</v>
      </c>
      <c r="B18" s="1">
        <v>8965.5629923338274</v>
      </c>
      <c r="C18" s="1">
        <v>8472.1557024177528</v>
      </c>
      <c r="D18" s="1">
        <v>121642.31779038873</v>
      </c>
      <c r="E18" s="1">
        <v>114823.71631485966</v>
      </c>
    </row>
    <row r="19" spans="1:5" x14ac:dyDescent="0.35">
      <c r="A19">
        <v>1997</v>
      </c>
      <c r="B19" s="1">
        <v>9104.818335690019</v>
      </c>
      <c r="C19" s="1">
        <v>8670.6644354867894</v>
      </c>
      <c r="D19" s="1">
        <v>120045.33800360368</v>
      </c>
      <c r="E19" s="1">
        <v>113964.94682521955</v>
      </c>
    </row>
    <row r="20" spans="1:5" x14ac:dyDescent="0.35">
      <c r="A20">
        <v>1998</v>
      </c>
      <c r="B20" s="1">
        <v>9253.8277208068248</v>
      </c>
      <c r="C20" s="1">
        <v>8801.4369117677852</v>
      </c>
      <c r="D20" s="1">
        <v>118720.50466513637</v>
      </c>
      <c r="E20" s="1">
        <v>112758.98380228897</v>
      </c>
    </row>
    <row r="21" spans="1:5" x14ac:dyDescent="0.35">
      <c r="A21">
        <v>1999</v>
      </c>
      <c r="B21" s="1">
        <v>9436.6887896481203</v>
      </c>
      <c r="C21" s="1">
        <v>8990.9282723190991</v>
      </c>
      <c r="D21" s="1">
        <v>117915.69945100644</v>
      </c>
      <c r="E21" s="1">
        <v>112517.67158702633</v>
      </c>
    </row>
    <row r="22" spans="1:5" x14ac:dyDescent="0.35">
      <c r="A22">
        <v>2000</v>
      </c>
      <c r="B22" s="1">
        <v>9563.9636325324173</v>
      </c>
      <c r="C22" s="1">
        <v>9173.865956428257</v>
      </c>
      <c r="D22" s="1">
        <v>118633.47283145113</v>
      </c>
      <c r="E22" s="1">
        <v>112279.17927958818</v>
      </c>
    </row>
    <row r="23" spans="1:5" x14ac:dyDescent="0.35">
      <c r="A23">
        <v>2001</v>
      </c>
      <c r="B23" s="1">
        <v>9724.9750617312893</v>
      </c>
      <c r="C23" s="1">
        <v>9336.5047669935084</v>
      </c>
      <c r="D23" s="1">
        <v>116585.18864424291</v>
      </c>
      <c r="E23" s="1">
        <v>110771.06162703235</v>
      </c>
    </row>
    <row r="24" spans="1:5" x14ac:dyDescent="0.35">
      <c r="A24">
        <v>2002</v>
      </c>
      <c r="B24" s="1">
        <v>9925.7168621066012</v>
      </c>
      <c r="C24" s="1">
        <v>9598.5465897213508</v>
      </c>
      <c r="D24" s="1">
        <v>118698.03810388222</v>
      </c>
      <c r="E24" s="1">
        <v>112767.17164428983</v>
      </c>
    </row>
    <row r="25" spans="1:5" x14ac:dyDescent="0.35">
      <c r="A25">
        <v>2003</v>
      </c>
      <c r="B25" s="1">
        <v>10108.233303738691</v>
      </c>
      <c r="C25" s="1">
        <v>9771.6710439666931</v>
      </c>
      <c r="D25" s="1">
        <v>119098.14158546543</v>
      </c>
      <c r="E25" s="1">
        <v>112208.95586682917</v>
      </c>
    </row>
    <row r="26" spans="1:5" x14ac:dyDescent="0.35">
      <c r="A26">
        <v>2004</v>
      </c>
      <c r="B26" s="1">
        <v>10280.02030604368</v>
      </c>
      <c r="C26" s="1">
        <v>9957.5820267046511</v>
      </c>
      <c r="D26" s="1">
        <v>120279.04215244141</v>
      </c>
      <c r="E26" s="1">
        <v>113649.66021481025</v>
      </c>
    </row>
    <row r="27" spans="1:5" x14ac:dyDescent="0.35">
      <c r="A27">
        <v>2005</v>
      </c>
      <c r="B27" s="1">
        <v>10476.831170788089</v>
      </c>
      <c r="C27" s="1">
        <v>10152.066290879029</v>
      </c>
      <c r="D27" s="1">
        <v>125355.90934466713</v>
      </c>
      <c r="E27" s="1">
        <v>118480.43009366574</v>
      </c>
    </row>
    <row r="28" spans="1:5" x14ac:dyDescent="0.35">
      <c r="A28">
        <v>2006</v>
      </c>
      <c r="B28" s="1">
        <v>10683.684313931721</v>
      </c>
      <c r="C28" s="1">
        <v>10391.23008004956</v>
      </c>
      <c r="D28" s="1">
        <v>128715.28144600095</v>
      </c>
      <c r="E28" s="1">
        <v>121066.50976001781</v>
      </c>
    </row>
    <row r="29" spans="1:5" x14ac:dyDescent="0.35">
      <c r="A29">
        <v>2007</v>
      </c>
      <c r="B29" s="1">
        <v>10922.765650889251</v>
      </c>
      <c r="C29" s="1">
        <v>10654.722374488851</v>
      </c>
      <c r="D29" s="1">
        <v>139075.59690643838</v>
      </c>
      <c r="E29" s="1">
        <v>131439.25466818342</v>
      </c>
    </row>
    <row r="30" spans="1:5" x14ac:dyDescent="0.35">
      <c r="A30">
        <v>2008</v>
      </c>
      <c r="B30" s="1">
        <v>11192.548068108121</v>
      </c>
      <c r="C30" s="1">
        <v>10909.67036979644</v>
      </c>
      <c r="D30" s="1">
        <v>144044.46487302173</v>
      </c>
      <c r="E30" s="1">
        <v>136189.61198907369</v>
      </c>
    </row>
    <row r="31" spans="1:5" x14ac:dyDescent="0.35">
      <c r="A31">
        <v>2009</v>
      </c>
      <c r="B31" s="1">
        <v>11392.03354345914</v>
      </c>
      <c r="C31" s="1">
        <v>11106.93964935079</v>
      </c>
      <c r="D31" s="1">
        <v>143511.45988249843</v>
      </c>
      <c r="E31" s="1">
        <v>135297.99052469162</v>
      </c>
    </row>
    <row r="32" spans="1:5" x14ac:dyDescent="0.35">
      <c r="A32">
        <v>2010</v>
      </c>
      <c r="B32" s="1">
        <v>11616.58187745867</v>
      </c>
      <c r="C32" s="1">
        <v>11328.262896104359</v>
      </c>
      <c r="D32" s="1">
        <v>143922.42067504794</v>
      </c>
      <c r="E32" s="1">
        <v>136349.36775138901</v>
      </c>
    </row>
    <row r="33" spans="1:5" x14ac:dyDescent="0.35">
      <c r="A33">
        <v>2011</v>
      </c>
      <c r="B33" s="1">
        <v>11844.871976349819</v>
      </c>
      <c r="C33" s="1">
        <v>11574.934077465519</v>
      </c>
      <c r="D33" s="1">
        <v>143200.30081644899</v>
      </c>
      <c r="E33" s="1">
        <v>135092.58172973566</v>
      </c>
    </row>
    <row r="34" spans="1:5" x14ac:dyDescent="0.35">
      <c r="A34">
        <v>2012</v>
      </c>
      <c r="B34" s="1">
        <v>11909.13669775145</v>
      </c>
      <c r="C34" s="1">
        <v>11270.197606902109</v>
      </c>
      <c r="D34" s="1">
        <v>147084.42214581699</v>
      </c>
      <c r="E34" s="1">
        <v>139329.06774952947</v>
      </c>
    </row>
    <row r="35" spans="1:5" x14ac:dyDescent="0.35">
      <c r="A35">
        <v>2013</v>
      </c>
      <c r="B35" s="1">
        <v>11829.87594564137</v>
      </c>
      <c r="C35" s="1">
        <v>11021.95710705601</v>
      </c>
      <c r="D35" s="1">
        <v>146897.66075709995</v>
      </c>
      <c r="E35" s="1">
        <v>138357.31119020269</v>
      </c>
    </row>
    <row r="36" spans="1:5" x14ac:dyDescent="0.35">
      <c r="A36">
        <v>2014</v>
      </c>
      <c r="B36" s="1">
        <v>11679.642047594931</v>
      </c>
      <c r="C36" s="1">
        <v>11249.569429522149</v>
      </c>
      <c r="D36" s="1">
        <v>141954.27397215035</v>
      </c>
      <c r="E36" s="1">
        <v>134895.30335073257</v>
      </c>
    </row>
    <row r="37" spans="1:5" x14ac:dyDescent="0.35">
      <c r="A37">
        <v>2015</v>
      </c>
      <c r="B37" s="1">
        <v>11732.473353991871</v>
      </c>
      <c r="C37" s="1">
        <v>11216.67342729015</v>
      </c>
      <c r="D37" s="1">
        <v>145361.12807290279</v>
      </c>
      <c r="E37" s="1">
        <v>137077.61424581523</v>
      </c>
    </row>
    <row r="38" spans="1:5" x14ac:dyDescent="0.35">
      <c r="A38">
        <v>2016</v>
      </c>
      <c r="B38" s="1">
        <v>11521.583080270049</v>
      </c>
      <c r="C38" s="1">
        <v>11043.314084891959</v>
      </c>
      <c r="D38" s="1">
        <v>148111.84018121648</v>
      </c>
      <c r="E38" s="1">
        <v>140615.29215362153</v>
      </c>
    </row>
    <row r="39" spans="1:5" x14ac:dyDescent="0.35">
      <c r="A39">
        <v>2017</v>
      </c>
      <c r="B39" s="1">
        <v>11435.092304598629</v>
      </c>
      <c r="C39" s="1">
        <v>10848.216399686909</v>
      </c>
      <c r="D39" s="1">
        <v>147759.65061551414</v>
      </c>
      <c r="E39" s="1">
        <v>139048.06018020035</v>
      </c>
    </row>
    <row r="40" spans="1:5" x14ac:dyDescent="0.35">
      <c r="A40">
        <v>2018</v>
      </c>
      <c r="B40" s="1">
        <v>11525.277212297729</v>
      </c>
      <c r="C40" s="1">
        <v>10892.86243627353</v>
      </c>
      <c r="D40" s="1">
        <v>150563.79489829196</v>
      </c>
      <c r="E40" s="1">
        <v>142167.1499531368</v>
      </c>
    </row>
    <row r="41" spans="1:5" x14ac:dyDescent="0.35">
      <c r="A41">
        <v>2019</v>
      </c>
      <c r="B41" s="1">
        <v>11404.631984619589</v>
      </c>
      <c r="C41" s="1">
        <v>11034.908591501469</v>
      </c>
      <c r="D41" s="1">
        <v>146096.75895559066</v>
      </c>
      <c r="E41" s="1">
        <v>137345.01186828816</v>
      </c>
    </row>
    <row r="42" spans="1:5" x14ac:dyDescent="0.35">
      <c r="A42">
        <v>2020</v>
      </c>
      <c r="B42" s="1">
        <v>11161.65175780324</v>
      </c>
      <c r="C42" s="1">
        <v>10929.802313516189</v>
      </c>
      <c r="D42" s="1">
        <v>139770.74353359669</v>
      </c>
      <c r="E42" s="1">
        <v>132486.12109508394</v>
      </c>
    </row>
    <row r="43" spans="1:5" x14ac:dyDescent="0.35">
      <c r="A43">
        <v>2021</v>
      </c>
      <c r="B43" s="1">
        <v>12402.96997460481</v>
      </c>
      <c r="C43" s="1">
        <v>11971.380906562281</v>
      </c>
      <c r="D43" s="1">
        <v>146511.67663931308</v>
      </c>
      <c r="E43" s="1">
        <v>139105.38177951978</v>
      </c>
    </row>
    <row r="44" spans="1:5" x14ac:dyDescent="0.35">
      <c r="A44">
        <v>2022</v>
      </c>
      <c r="B44" s="1">
        <v>12656.021596191</v>
      </c>
      <c r="C44" s="1">
        <v>12192.632138794501</v>
      </c>
      <c r="D44" s="1">
        <v>141640.42365928349</v>
      </c>
      <c r="E44" s="1">
        <v>134059.92260573103</v>
      </c>
    </row>
    <row r="45" spans="1:5" x14ac:dyDescent="0.35">
      <c r="A45">
        <v>2023</v>
      </c>
      <c r="B45" s="1">
        <v>12865.09764815424</v>
      </c>
      <c r="C45" s="1">
        <v>12391.874136604571</v>
      </c>
      <c r="D45" s="1">
        <v>143454.7405856009</v>
      </c>
      <c r="E45" s="1">
        <v>135778.58864420597</v>
      </c>
    </row>
    <row r="46" spans="1:5" x14ac:dyDescent="0.35">
      <c r="A46">
        <v>2024</v>
      </c>
      <c r="B46" s="1">
        <v>13075.786307281311</v>
      </c>
      <c r="C46" s="1">
        <v>12597.65522476437</v>
      </c>
      <c r="D46" s="1">
        <v>144312.72838126469</v>
      </c>
      <c r="E46" s="1">
        <v>136585.7710203029</v>
      </c>
    </row>
    <row r="47" spans="1:5" x14ac:dyDescent="0.35">
      <c r="A47">
        <v>2025</v>
      </c>
      <c r="B47" s="1">
        <v>13288.123529885101</v>
      </c>
      <c r="C47" s="1">
        <v>12809.37882715968</v>
      </c>
      <c r="D47" s="1">
        <v>144929.66828097022</v>
      </c>
      <c r="E47" s="1">
        <v>137160.09208360364</v>
      </c>
    </row>
    <row r="48" spans="1:5" x14ac:dyDescent="0.35">
      <c r="A48">
        <v>2026</v>
      </c>
      <c r="B48" s="1">
        <v>13498.72006664436</v>
      </c>
      <c r="C48" s="1">
        <v>13023.290780397831</v>
      </c>
      <c r="D48" s="1">
        <v>145338.58727065873</v>
      </c>
      <c r="E48" s="1">
        <v>137533.39863884679</v>
      </c>
    </row>
    <row r="49" spans="1:5" x14ac:dyDescent="0.35">
      <c r="A49">
        <v>2027</v>
      </c>
      <c r="B49" s="1">
        <v>13738.708496613841</v>
      </c>
      <c r="C49" s="1">
        <v>13267.81792152267</v>
      </c>
      <c r="D49" s="1">
        <v>145559.95579875476</v>
      </c>
      <c r="E49" s="1">
        <v>137726.17667124374</v>
      </c>
    </row>
    <row r="50" spans="1:5" x14ac:dyDescent="0.35">
      <c r="A50">
        <v>2028</v>
      </c>
      <c r="B50" s="1">
        <v>13960.036141385161</v>
      </c>
      <c r="C50" s="1">
        <v>13496.99674888886</v>
      </c>
      <c r="D50" s="1">
        <v>146168.51762944047</v>
      </c>
      <c r="E50" s="1">
        <v>138283.62293909746</v>
      </c>
    </row>
    <row r="51" spans="1:5" x14ac:dyDescent="0.35">
      <c r="A51">
        <v>2029</v>
      </c>
      <c r="B51" s="1">
        <v>14163.83189472658</v>
      </c>
      <c r="C51" s="1">
        <v>13711.259333287629</v>
      </c>
      <c r="D51" s="1">
        <v>146742.37010503627</v>
      </c>
      <c r="E51" s="1">
        <v>138806.46768070557</v>
      </c>
    </row>
    <row r="52" spans="1:5" x14ac:dyDescent="0.35">
      <c r="A52">
        <v>2030</v>
      </c>
      <c r="B52" s="1">
        <v>14349.52737683956</v>
      </c>
      <c r="C52" s="1">
        <v>13911.73668301936</v>
      </c>
      <c r="D52" s="1">
        <v>147331.41798725931</v>
      </c>
      <c r="E52" s="1">
        <v>139340.34423081842</v>
      </c>
    </row>
    <row r="53" spans="1:5" x14ac:dyDescent="0.35">
      <c r="A53">
        <v>2031</v>
      </c>
      <c r="B53" s="1">
        <v>14366.390362917609</v>
      </c>
      <c r="C53" s="1">
        <v>14001.97347280121</v>
      </c>
      <c r="D53" s="1">
        <v>148131.25588231423</v>
      </c>
      <c r="E53" s="1">
        <v>140024.23149898252</v>
      </c>
    </row>
    <row r="54" spans="1:5" x14ac:dyDescent="0.35">
      <c r="A54">
        <v>2032</v>
      </c>
      <c r="B54" s="1">
        <v>14599.62652383589</v>
      </c>
      <c r="C54" s="1">
        <v>14257.02233966817</v>
      </c>
      <c r="D54" s="1">
        <v>148793.23026727658</v>
      </c>
      <c r="E54" s="1">
        <v>140617.72343389812</v>
      </c>
    </row>
    <row r="55" spans="1:5" x14ac:dyDescent="0.35">
      <c r="A55">
        <v>2033</v>
      </c>
      <c r="B55" s="1">
        <v>14897.026173286151</v>
      </c>
      <c r="C55" s="1">
        <v>14574.95911468677</v>
      </c>
      <c r="D55" s="1">
        <v>149567.14732035287</v>
      </c>
      <c r="E55" s="1">
        <v>141315.25272762505</v>
      </c>
    </row>
    <row r="56" spans="1:5" x14ac:dyDescent="0.35">
      <c r="A56">
        <v>2034</v>
      </c>
      <c r="B56" s="1">
        <v>15184.8567242959</v>
      </c>
      <c r="C56" s="1">
        <v>14884.91038851874</v>
      </c>
      <c r="D56" s="1">
        <v>150543.34722559139</v>
      </c>
      <c r="E56" s="1">
        <v>142203.43458767774</v>
      </c>
    </row>
    <row r="57" spans="1:5" x14ac:dyDescent="0.35">
      <c r="A57">
        <v>2035</v>
      </c>
      <c r="B57" s="1">
        <v>15478.79135770601</v>
      </c>
      <c r="C57" s="1">
        <v>15203.20279449187</v>
      </c>
      <c r="D57" s="1">
        <v>151682.19434348153</v>
      </c>
      <c r="E57" s="1">
        <v>143243.22914976173</v>
      </c>
    </row>
    <row r="58" spans="1:5" x14ac:dyDescent="0.35">
      <c r="A58">
        <v>2036</v>
      </c>
      <c r="B58" s="1">
        <v>15749.41833021626</v>
      </c>
      <c r="C58" s="1">
        <v>15502.64946754224</v>
      </c>
      <c r="D58" s="1">
        <v>152971.1515776256</v>
      </c>
      <c r="E58" s="1">
        <v>144422.061345578</v>
      </c>
    </row>
    <row r="59" spans="1:5" x14ac:dyDescent="0.35">
      <c r="A59">
        <v>2037</v>
      </c>
      <c r="B59" s="1">
        <v>16022.114014900621</v>
      </c>
      <c r="C59" s="1">
        <v>15804.3027082793</v>
      </c>
      <c r="D59" s="1">
        <v>154333.37245645057</v>
      </c>
      <c r="E59" s="1">
        <v>145670.09205129524</v>
      </c>
    </row>
    <row r="60" spans="1:5" x14ac:dyDescent="0.35">
      <c r="A60">
        <v>2038</v>
      </c>
      <c r="B60" s="1">
        <v>16324.007485022959</v>
      </c>
      <c r="C60" s="1">
        <v>16137.16878174472</v>
      </c>
      <c r="D60" s="1">
        <v>155712.82390916717</v>
      </c>
      <c r="E60" s="1">
        <v>146930.91784781939</v>
      </c>
    </row>
    <row r="61" spans="1:5" x14ac:dyDescent="0.35">
      <c r="A61">
        <v>2039</v>
      </c>
      <c r="B61" s="1">
        <v>16611.812549840819</v>
      </c>
      <c r="C61" s="1">
        <v>16461.133794179379</v>
      </c>
      <c r="D61" s="1">
        <v>157073.45659703313</v>
      </c>
      <c r="E61" s="1">
        <v>148169.45307489546</v>
      </c>
    </row>
    <row r="62" spans="1:5" x14ac:dyDescent="0.35">
      <c r="A62">
        <v>2040</v>
      </c>
      <c r="B62" s="1">
        <v>16905.252774143049</v>
      </c>
      <c r="C62" s="1">
        <v>16793.03240157929</v>
      </c>
      <c r="D62" s="1">
        <v>158335.02203143423</v>
      </c>
      <c r="E62" s="1">
        <v>149311.49348048447</v>
      </c>
    </row>
    <row r="63" spans="1:5" x14ac:dyDescent="0.35">
      <c r="A63">
        <v>2041</v>
      </c>
      <c r="B63" s="1">
        <v>17193.207787309471</v>
      </c>
      <c r="C63" s="1">
        <v>17122.56014696999</v>
      </c>
      <c r="D63" s="1">
        <v>159457.25921597538</v>
      </c>
      <c r="E63" s="1">
        <v>150318.64080401091</v>
      </c>
    </row>
    <row r="64" spans="1:5" x14ac:dyDescent="0.35">
      <c r="A64">
        <v>2042</v>
      </c>
      <c r="B64" s="1">
        <v>17475.59646413516</v>
      </c>
      <c r="C64" s="1">
        <v>17444.777065334929</v>
      </c>
      <c r="D64" s="1">
        <v>160392.41313809503</v>
      </c>
      <c r="E64" s="1">
        <v>151150.49269981217</v>
      </c>
    </row>
    <row r="65" spans="1:5" x14ac:dyDescent="0.35">
      <c r="A65">
        <v>2043</v>
      </c>
      <c r="B65" s="1">
        <v>17761.978671522389</v>
      </c>
      <c r="C65" s="1">
        <v>17770.609392038012</v>
      </c>
      <c r="D65" s="1">
        <v>161117.19575392385</v>
      </c>
      <c r="E65" s="1">
        <v>151783.11044250819</v>
      </c>
    </row>
    <row r="66" spans="1:5" x14ac:dyDescent="0.35">
      <c r="A66">
        <v>2044</v>
      </c>
      <c r="B66" s="1">
        <v>18052.499306341459</v>
      </c>
      <c r="C66" s="1">
        <v>18094.46586255245</v>
      </c>
      <c r="D66" s="1">
        <v>161655.07623668801</v>
      </c>
      <c r="E66" s="1">
        <v>152244.46830145648</v>
      </c>
    </row>
    <row r="67" spans="1:5" x14ac:dyDescent="0.35">
      <c r="A67">
        <v>2045</v>
      </c>
      <c r="B67" s="1">
        <v>18341.63221681735</v>
      </c>
      <c r="C67" s="1">
        <v>18418.842970310881</v>
      </c>
      <c r="D67" s="1">
        <v>162009.76068039669</v>
      </c>
      <c r="E67" s="1">
        <v>152530.34460998676</v>
      </c>
    </row>
    <row r="68" spans="1:5" x14ac:dyDescent="0.35">
      <c r="A68">
        <v>2046</v>
      </c>
      <c r="B68" s="1">
        <v>18616.381250314302</v>
      </c>
      <c r="C68" s="1">
        <v>18728.44075957016</v>
      </c>
      <c r="D68" s="1">
        <v>162210.19730786822</v>
      </c>
      <c r="E68" s="1">
        <v>152671.15976951277</v>
      </c>
    </row>
    <row r="69" spans="1:5" x14ac:dyDescent="0.35">
      <c r="A69">
        <v>2047</v>
      </c>
      <c r="B69" s="1">
        <v>18897.571802932729</v>
      </c>
      <c r="C69" s="1">
        <v>19041.94358534658</v>
      </c>
      <c r="D69" s="1">
        <v>162272.74239494815</v>
      </c>
      <c r="E69" s="1">
        <v>152683.4727159623</v>
      </c>
    </row>
    <row r="70" spans="1:5" x14ac:dyDescent="0.35">
      <c r="A70">
        <v>2048</v>
      </c>
      <c r="B70" s="1">
        <v>19178.463493542691</v>
      </c>
      <c r="C70" s="1">
        <v>19352.97636455009</v>
      </c>
      <c r="D70" s="1">
        <v>162233.15121569004</v>
      </c>
      <c r="E70" s="1">
        <v>152601.16080059938</v>
      </c>
    </row>
    <row r="71" spans="1:5" x14ac:dyDescent="0.35">
      <c r="A71">
        <v>2049</v>
      </c>
      <c r="B71" s="1">
        <v>19472.554395678118</v>
      </c>
      <c r="C71" s="1">
        <v>19677.053416181971</v>
      </c>
      <c r="D71" s="1">
        <v>162110.97069710691</v>
      </c>
      <c r="E71" s="1">
        <v>152440.03197982279</v>
      </c>
    </row>
    <row r="72" spans="1:5" x14ac:dyDescent="0.35">
      <c r="A72">
        <v>2050</v>
      </c>
      <c r="B72" s="1">
        <v>19777.9987877729</v>
      </c>
      <c r="C72" s="1">
        <v>20009.273224807079</v>
      </c>
      <c r="D72" s="1">
        <v>161929.36642182319</v>
      </c>
      <c r="E72" s="1">
        <v>152225.19616817497</v>
      </c>
    </row>
    <row r="73" spans="1:5" x14ac:dyDescent="0.35">
      <c r="A73">
        <v>2051</v>
      </c>
      <c r="B73" s="1">
        <v>20074.761136446741</v>
      </c>
      <c r="C73" s="1">
        <v>20334.075826101591</v>
      </c>
      <c r="D73" s="1">
        <v>161746.35950531901</v>
      </c>
      <c r="E73" s="1">
        <v>152008.21862106971</v>
      </c>
    </row>
    <row r="74" spans="1:5" x14ac:dyDescent="0.35">
      <c r="A74">
        <v>2052</v>
      </c>
      <c r="B74" s="1">
        <v>20369.802868293122</v>
      </c>
      <c r="C74" s="1">
        <v>20656.565425988239</v>
      </c>
      <c r="D74" s="1">
        <v>161573.08513451662</v>
      </c>
      <c r="E74" s="1">
        <v>151801.14832075083</v>
      </c>
    </row>
    <row r="75" spans="1:5" x14ac:dyDescent="0.35">
      <c r="A75">
        <v>2053</v>
      </c>
      <c r="B75" s="1">
        <v>20687.569325158689</v>
      </c>
      <c r="C75" s="1">
        <v>20995.538369551341</v>
      </c>
      <c r="D75" s="1">
        <v>161417.21236253961</v>
      </c>
      <c r="E75" s="1">
        <v>151615.62910693994</v>
      </c>
    </row>
    <row r="76" spans="1:5" x14ac:dyDescent="0.35">
      <c r="A76">
        <v>2054</v>
      </c>
      <c r="B76" s="1">
        <v>21008.972554585071</v>
      </c>
      <c r="C76" s="1">
        <v>21336.941267416489</v>
      </c>
      <c r="D76" s="1">
        <v>161299.40549816238</v>
      </c>
      <c r="E76" s="1">
        <v>151467.20854561424</v>
      </c>
    </row>
    <row r="77" spans="1:5" x14ac:dyDescent="0.35">
      <c r="A77">
        <v>2055</v>
      </c>
      <c r="B77" s="1">
        <v>21324.51705573604</v>
      </c>
      <c r="C77" s="1">
        <v>21673.6103836332</v>
      </c>
      <c r="D77" s="1">
        <v>161228.65917413463</v>
      </c>
      <c r="E77" s="1">
        <v>151362.57561624417</v>
      </c>
    </row>
    <row r="78" spans="1:5" x14ac:dyDescent="0.35">
      <c r="A78">
        <v>2056</v>
      </c>
      <c r="B78" s="1">
        <v>21646.8571145059</v>
      </c>
      <c r="C78" s="1">
        <v>22013.91554196451</v>
      </c>
      <c r="D78" s="1">
        <v>161199.57208500023</v>
      </c>
      <c r="E78" s="1">
        <v>151300.23535804125</v>
      </c>
    </row>
    <row r="79" spans="1:5" x14ac:dyDescent="0.35">
      <c r="A79">
        <v>2057</v>
      </c>
      <c r="B79" s="1">
        <v>21977.79071648647</v>
      </c>
      <c r="C79" s="1">
        <v>22358.734631632</v>
      </c>
      <c r="D79" s="1">
        <v>161208.41909416395</v>
      </c>
      <c r="E79" s="1">
        <v>151277.48319836837</v>
      </c>
    </row>
    <row r="80" spans="1:5" x14ac:dyDescent="0.35">
      <c r="A80">
        <v>2058</v>
      </c>
      <c r="B80" s="1">
        <v>22301.394536419732</v>
      </c>
      <c r="C80" s="1">
        <v>22697.682173905268</v>
      </c>
      <c r="D80" s="1">
        <v>161263.2581795966</v>
      </c>
      <c r="E80" s="1">
        <v>151297.24931047042</v>
      </c>
    </row>
    <row r="81" spans="1:5" x14ac:dyDescent="0.35">
      <c r="A81">
        <v>2059</v>
      </c>
      <c r="B81" s="1">
        <v>22624.07223913234</v>
      </c>
      <c r="C81" s="1">
        <v>23041.005972132771</v>
      </c>
      <c r="D81" s="1">
        <v>161382.92258448468</v>
      </c>
      <c r="E81" s="1">
        <v>151373.20713082171</v>
      </c>
    </row>
    <row r="82" spans="1:5" x14ac:dyDescent="0.35">
      <c r="A82">
        <v>2060</v>
      </c>
      <c r="B82" s="1">
        <v>22957.624034509139</v>
      </c>
      <c r="C82" s="1">
        <v>23391.572583192799</v>
      </c>
      <c r="D82" s="1">
        <v>161545.70194904768</v>
      </c>
      <c r="E82" s="1">
        <v>151493.09659553401</v>
      </c>
    </row>
    <row r="83" spans="1:5" x14ac:dyDescent="0.35">
      <c r="A83">
        <v>2061</v>
      </c>
      <c r="B83" s="1">
        <v>23295.542620015101</v>
      </c>
      <c r="C83" s="1">
        <v>23749.065886414519</v>
      </c>
      <c r="D83" s="1">
        <v>161768.5983958749</v>
      </c>
      <c r="E83" s="1">
        <v>151667.18152201196</v>
      </c>
    </row>
    <row r="84" spans="1:5" x14ac:dyDescent="0.35">
      <c r="A84">
        <v>2062</v>
      </c>
      <c r="B84" s="1">
        <v>23651.640924386898</v>
      </c>
      <c r="C84" s="1">
        <v>24126.210477298609</v>
      </c>
      <c r="D84" s="1">
        <v>162028.9974218774</v>
      </c>
      <c r="E84" s="1">
        <v>151874.39459025048</v>
      </c>
    </row>
    <row r="85" spans="1:5" x14ac:dyDescent="0.35">
      <c r="A85">
        <v>2063</v>
      </c>
      <c r="B85" s="1">
        <v>24014.919104862031</v>
      </c>
      <c r="C85" s="1">
        <v>24512.738216043119</v>
      </c>
      <c r="D85" s="1">
        <v>162342.81228177471</v>
      </c>
      <c r="E85" s="1">
        <v>152129.66120256987</v>
      </c>
    </row>
    <row r="86" spans="1:5" x14ac:dyDescent="0.35">
      <c r="A86">
        <v>2064</v>
      </c>
      <c r="B86" s="1">
        <v>24382.006239956321</v>
      </c>
      <c r="C86" s="1">
        <v>24908.064118703089</v>
      </c>
      <c r="D86" s="1">
        <v>162706.96433068969</v>
      </c>
      <c r="E86" s="1">
        <v>152427.4530098713</v>
      </c>
    </row>
    <row r="87" spans="1:5" x14ac:dyDescent="0.35">
      <c r="A87">
        <v>2065</v>
      </c>
      <c r="B87" s="1">
        <v>24746.321881027059</v>
      </c>
      <c r="C87" s="1">
        <v>25304.49267269998</v>
      </c>
      <c r="D87" s="1">
        <v>163125.61018798311</v>
      </c>
      <c r="E87" s="1">
        <v>152773.16805621958</v>
      </c>
    </row>
    <row r="88" spans="1:5" x14ac:dyDescent="0.35">
      <c r="A88">
        <v>2066</v>
      </c>
      <c r="B88" s="1">
        <v>25129.79867915067</v>
      </c>
      <c r="C88" s="1">
        <v>25716.636684517271</v>
      </c>
      <c r="D88" s="1">
        <v>163576.88805166652</v>
      </c>
      <c r="E88" s="1">
        <v>153152.26069066487</v>
      </c>
    </row>
    <row r="89" spans="1:5" x14ac:dyDescent="0.35">
      <c r="A89">
        <v>2067</v>
      </c>
      <c r="B89" s="1">
        <v>25511.577435791511</v>
      </c>
      <c r="C89" s="1">
        <v>26127.093662962059</v>
      </c>
      <c r="D89" s="1">
        <v>164066.3449068144</v>
      </c>
      <c r="E89" s="1">
        <v>153567.61945799139</v>
      </c>
    </row>
    <row r="90" spans="1:5" x14ac:dyDescent="0.35">
      <c r="A90">
        <v>2068</v>
      </c>
      <c r="B90" s="1">
        <v>25902.752281646379</v>
      </c>
      <c r="C90" s="1">
        <v>26551.632110115879</v>
      </c>
      <c r="D90" s="1">
        <v>164574.86396039181</v>
      </c>
      <c r="E90" s="1">
        <v>153995.87143683972</v>
      </c>
    </row>
    <row r="91" spans="1:5" x14ac:dyDescent="0.35">
      <c r="A91">
        <v>2069</v>
      </c>
      <c r="B91" s="1">
        <v>26302.74834053341</v>
      </c>
      <c r="C91" s="1">
        <v>26982.57491452921</v>
      </c>
      <c r="D91" s="1">
        <v>165092.05099798471</v>
      </c>
      <c r="E91" s="1">
        <v>154434.29649638839</v>
      </c>
    </row>
    <row r="92" spans="1:5" x14ac:dyDescent="0.35">
      <c r="A92">
        <v>2070</v>
      </c>
      <c r="B92" s="1">
        <v>26699.917064308029</v>
      </c>
      <c r="C92" s="1">
        <v>27413.81704964802</v>
      </c>
      <c r="D92" s="1">
        <v>165612.34832749388</v>
      </c>
      <c r="E92" s="1">
        <v>154872.69043073288</v>
      </c>
    </row>
    <row r="93" spans="1:5" x14ac:dyDescent="0.35">
      <c r="D93" s="1"/>
      <c r="E9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082F-6AD4-4197-B726-A558087F6398}">
  <dimension ref="A1:Y92"/>
  <sheetViews>
    <sheetView topLeftCell="D1" workbookViewId="0">
      <selection activeCell="D1" sqref="A1:XFD1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18</v>
      </c>
      <c r="E1" t="s">
        <v>3</v>
      </c>
      <c r="F1" t="s">
        <v>4</v>
      </c>
      <c r="G1" t="s">
        <v>19</v>
      </c>
      <c r="H1" t="s">
        <v>5</v>
      </c>
      <c r="I1" t="s">
        <v>6</v>
      </c>
      <c r="J1" t="s">
        <v>20</v>
      </c>
      <c r="K1" t="s">
        <v>7</v>
      </c>
      <c r="L1" t="s">
        <v>8</v>
      </c>
      <c r="M1" t="s">
        <v>21</v>
      </c>
      <c r="N1" t="s">
        <v>9</v>
      </c>
      <c r="O1" t="s">
        <v>10</v>
      </c>
      <c r="P1" t="s">
        <v>22</v>
      </c>
      <c r="Q1" t="s">
        <v>11</v>
      </c>
      <c r="R1" t="s">
        <v>12</v>
      </c>
      <c r="S1" t="s">
        <v>23</v>
      </c>
      <c r="T1" t="s">
        <v>13</v>
      </c>
      <c r="U1" t="s">
        <v>14</v>
      </c>
      <c r="V1" t="s">
        <v>24</v>
      </c>
      <c r="W1" t="s">
        <v>15</v>
      </c>
      <c r="X1" t="s">
        <v>16</v>
      </c>
      <c r="Y1" t="s">
        <v>25</v>
      </c>
    </row>
    <row r="2" spans="1:25" x14ac:dyDescent="0.35">
      <c r="A2">
        <v>1980</v>
      </c>
      <c r="B2" s="2">
        <v>3.8359781822743036E-3</v>
      </c>
      <c r="C2" s="2">
        <v>1.1525069314575519E-2</v>
      </c>
      <c r="D2" s="2">
        <v>9.9922152295666561E-2</v>
      </c>
      <c r="E2" s="2">
        <v>2.5232058521980362E-3</v>
      </c>
      <c r="F2" s="2">
        <v>6.4874715117115307E-3</v>
      </c>
      <c r="G2" s="2">
        <v>8.4688329998069606E-2</v>
      </c>
      <c r="H2" s="2">
        <v>1.0123048860904821E-3</v>
      </c>
      <c r="I2" s="2">
        <v>4.2088105347836188E-3</v>
      </c>
      <c r="J2" s="2">
        <v>6.2070200942484319E-2</v>
      </c>
      <c r="K2" s="2">
        <v>7.7611156288859425E-4</v>
      </c>
      <c r="L2" s="2">
        <v>2.038452045978364E-3</v>
      </c>
      <c r="M2" s="2">
        <v>4.4217343729144785E-2</v>
      </c>
      <c r="N2" s="2">
        <v>1.0123048860904821E-3</v>
      </c>
      <c r="O2" s="2">
        <v>4.2088105347836188E-3</v>
      </c>
      <c r="P2" s="2">
        <v>6.2070200942484319E-2</v>
      </c>
      <c r="Q2" s="2">
        <v>7.7611156288859425E-4</v>
      </c>
      <c r="R2" s="2">
        <v>2.038452045978364E-3</v>
      </c>
      <c r="S2" s="2">
        <v>4.4217343729144785E-2</v>
      </c>
      <c r="T2" s="2">
        <v>1.0123048860904821E-3</v>
      </c>
      <c r="U2" s="2">
        <v>4.2088105347836188E-3</v>
      </c>
      <c r="V2" s="2">
        <v>6.2070200942484319E-2</v>
      </c>
      <c r="W2" s="2">
        <v>7.7611156288859425E-4</v>
      </c>
      <c r="X2" s="2">
        <v>2.038452045978364E-3</v>
      </c>
      <c r="Y2" s="2">
        <v>4.4217343729144785E-2</v>
      </c>
    </row>
    <row r="3" spans="1:25" x14ac:dyDescent="0.35">
      <c r="A3">
        <v>1981</v>
      </c>
      <c r="B3" s="2">
        <v>3.6881980526757871E-3</v>
      </c>
      <c r="C3" s="2">
        <v>1.1079567004264171E-2</v>
      </c>
      <c r="D3" s="2">
        <v>9.8913272514925599E-2</v>
      </c>
      <c r="E3" s="2">
        <v>2.3799845298928851E-3</v>
      </c>
      <c r="F3" s="2">
        <v>6.2894201592337343E-3</v>
      </c>
      <c r="G3" s="2">
        <v>8.3013998675832965E-2</v>
      </c>
      <c r="H3" s="2">
        <v>9.7192860225567745E-4</v>
      </c>
      <c r="I3" s="2">
        <v>4.0468899534859114E-3</v>
      </c>
      <c r="J3" s="2">
        <v>6.144559709101019E-2</v>
      </c>
      <c r="K3" s="2">
        <v>7.2835288150582789E-4</v>
      </c>
      <c r="L3" s="2">
        <v>1.9767353526068659E-3</v>
      </c>
      <c r="M3" s="2">
        <v>4.3345181547693248E-2</v>
      </c>
      <c r="N3" s="2">
        <v>9.7192860225567745E-4</v>
      </c>
      <c r="O3" s="2">
        <v>4.0468899534859114E-3</v>
      </c>
      <c r="P3" s="2">
        <v>6.144559709101019E-2</v>
      </c>
      <c r="Q3" s="2">
        <v>7.2835288150582789E-4</v>
      </c>
      <c r="R3" s="2">
        <v>1.9767353526068659E-3</v>
      </c>
      <c r="S3" s="2">
        <v>4.3345181547693248E-2</v>
      </c>
      <c r="T3" s="2">
        <v>9.7192860225567745E-4</v>
      </c>
      <c r="U3" s="2">
        <v>4.0468899534859114E-3</v>
      </c>
      <c r="V3" s="2">
        <v>6.144559709101019E-2</v>
      </c>
      <c r="W3" s="2">
        <v>7.2835288150582789E-4</v>
      </c>
      <c r="X3" s="2">
        <v>1.9767353526068659E-3</v>
      </c>
      <c r="Y3" s="2">
        <v>4.3345181547693248E-2</v>
      </c>
    </row>
    <row r="4" spans="1:25" x14ac:dyDescent="0.35">
      <c r="A4">
        <v>1982</v>
      </c>
      <c r="B4" s="2">
        <v>3.9114423978903919E-3</v>
      </c>
      <c r="C4" s="2">
        <v>1.1041481911593272E-2</v>
      </c>
      <c r="D4" s="2">
        <v>0.1015546179149999</v>
      </c>
      <c r="E4" s="2">
        <v>2.4765333759565081E-3</v>
      </c>
      <c r="F4" s="2">
        <v>6.405640972632699E-3</v>
      </c>
      <c r="G4" s="2">
        <v>8.6442484926564034E-2</v>
      </c>
      <c r="H4" s="2">
        <v>1.0466144946957878E-3</v>
      </c>
      <c r="I4" s="2">
        <v>4.0124180930578299E-3</v>
      </c>
      <c r="J4" s="2">
        <v>6.3088570145559089E-2</v>
      </c>
      <c r="K4" s="2">
        <v>7.5800073480244555E-4</v>
      </c>
      <c r="L4" s="2">
        <v>2.0187817923608691E-3</v>
      </c>
      <c r="M4" s="2">
        <v>4.5137783536921355E-2</v>
      </c>
      <c r="N4" s="2">
        <v>1.0466144946957878E-3</v>
      </c>
      <c r="O4" s="2">
        <v>4.0124180930578299E-3</v>
      </c>
      <c r="P4" s="2">
        <v>6.3088570145559089E-2</v>
      </c>
      <c r="Q4" s="2">
        <v>7.5800073480244555E-4</v>
      </c>
      <c r="R4" s="2">
        <v>2.0187817923608691E-3</v>
      </c>
      <c r="S4" s="2">
        <v>4.5137783536921355E-2</v>
      </c>
      <c r="T4" s="2">
        <v>1.0466144946957878E-3</v>
      </c>
      <c r="U4" s="2">
        <v>4.0124180930578299E-3</v>
      </c>
      <c r="V4" s="2">
        <v>6.3088570145559089E-2</v>
      </c>
      <c r="W4" s="2">
        <v>7.5800073480244555E-4</v>
      </c>
      <c r="X4" s="2">
        <v>2.0187817923608691E-3</v>
      </c>
      <c r="Y4" s="2">
        <v>4.5137783536921355E-2</v>
      </c>
    </row>
    <row r="5" spans="1:25" x14ac:dyDescent="0.35">
      <c r="A5">
        <v>1983</v>
      </c>
      <c r="B5" s="2">
        <v>3.4697208320363295E-3</v>
      </c>
      <c r="C5" s="2">
        <v>1.0406774021899321E-2</v>
      </c>
      <c r="D5" s="2">
        <v>9.4781553774600638E-2</v>
      </c>
      <c r="E5" s="2">
        <v>2.3616522528537736E-3</v>
      </c>
      <c r="F5" s="2">
        <v>6.1798909175897702E-3</v>
      </c>
      <c r="G5" s="2">
        <v>8.0930403226349423E-2</v>
      </c>
      <c r="H5" s="2">
        <v>9.2479267024097049E-4</v>
      </c>
      <c r="I5" s="2">
        <v>3.7986679944949911E-3</v>
      </c>
      <c r="J5" s="2">
        <v>5.8880666109234529E-2</v>
      </c>
      <c r="K5" s="2">
        <v>7.298110059959298E-4</v>
      </c>
      <c r="L5" s="2">
        <v>1.9407273325673597E-3</v>
      </c>
      <c r="M5" s="2">
        <v>4.2260296692559499E-2</v>
      </c>
      <c r="N5" s="2">
        <v>9.2479267024097049E-4</v>
      </c>
      <c r="O5" s="2">
        <v>3.7986679944949911E-3</v>
      </c>
      <c r="P5" s="2">
        <v>5.8880666109234529E-2</v>
      </c>
      <c r="Q5" s="2">
        <v>7.298110059959298E-4</v>
      </c>
      <c r="R5" s="2">
        <v>1.9407273325673597E-3</v>
      </c>
      <c r="S5" s="2">
        <v>4.2260296692559499E-2</v>
      </c>
      <c r="T5" s="2">
        <v>9.2479267024097049E-4</v>
      </c>
      <c r="U5" s="2">
        <v>3.7986679944949911E-3</v>
      </c>
      <c r="V5" s="2">
        <v>5.8880666109234529E-2</v>
      </c>
      <c r="W5" s="2">
        <v>7.298110059959298E-4</v>
      </c>
      <c r="X5" s="2">
        <v>1.9407273325673597E-3</v>
      </c>
      <c r="Y5" s="2">
        <v>4.2260296692559499E-2</v>
      </c>
    </row>
    <row r="6" spans="1:25" x14ac:dyDescent="0.35">
      <c r="A6">
        <v>1984</v>
      </c>
      <c r="B6" s="2">
        <v>3.3018756468254635E-3</v>
      </c>
      <c r="C6" s="2">
        <v>9.945730808204864E-3</v>
      </c>
      <c r="D6" s="2">
        <v>9.3095341961126399E-2</v>
      </c>
      <c r="E6" s="2">
        <v>2.0886842184212246E-3</v>
      </c>
      <c r="F6" s="2">
        <v>5.9541260678878894E-3</v>
      </c>
      <c r="G6" s="2">
        <v>8.0473930432993279E-2</v>
      </c>
      <c r="H6" s="2">
        <v>8.8630595851211136E-4</v>
      </c>
      <c r="I6" s="2">
        <v>3.6241594370652083E-3</v>
      </c>
      <c r="J6" s="2">
        <v>5.783332631150135E-2</v>
      </c>
      <c r="K6" s="2">
        <v>6.5696164898569804E-4</v>
      </c>
      <c r="L6" s="2">
        <v>1.8532239730920529E-3</v>
      </c>
      <c r="M6" s="2">
        <v>4.2022423472567787E-2</v>
      </c>
      <c r="N6" s="2">
        <v>8.8630595851211136E-4</v>
      </c>
      <c r="O6" s="2">
        <v>3.6241594370652083E-3</v>
      </c>
      <c r="P6" s="2">
        <v>5.783332631150135E-2</v>
      </c>
      <c r="Q6" s="2">
        <v>6.5696164898569804E-4</v>
      </c>
      <c r="R6" s="2">
        <v>1.8532239730920529E-3</v>
      </c>
      <c r="S6" s="2">
        <v>4.2022423472567787E-2</v>
      </c>
      <c r="T6" s="2">
        <v>8.8630595851211136E-4</v>
      </c>
      <c r="U6" s="2">
        <v>3.6241594370652083E-3</v>
      </c>
      <c r="V6" s="2">
        <v>5.783332631150135E-2</v>
      </c>
      <c r="W6" s="2">
        <v>6.5696164898569804E-4</v>
      </c>
      <c r="X6" s="2">
        <v>1.8532239730920529E-3</v>
      </c>
      <c r="Y6" s="2">
        <v>4.2022423472567787E-2</v>
      </c>
    </row>
    <row r="7" spans="1:25" x14ac:dyDescent="0.35">
      <c r="A7">
        <v>1985</v>
      </c>
      <c r="B7" s="2">
        <v>3.5616707731993351E-3</v>
      </c>
      <c r="C7" s="2">
        <v>1.0312167002013893E-2</v>
      </c>
      <c r="D7" s="2">
        <v>9.7557108694790562E-2</v>
      </c>
      <c r="E7" s="2">
        <v>2.3580589590325332E-3</v>
      </c>
      <c r="F7" s="2">
        <v>6.1539271759352646E-3</v>
      </c>
      <c r="G7" s="2">
        <v>8.6552752205722686E-2</v>
      </c>
      <c r="H7" s="2">
        <v>9.6383294910202426E-4</v>
      </c>
      <c r="I7" s="2">
        <v>3.7225997346595828E-3</v>
      </c>
      <c r="J7" s="2">
        <v>6.060802907610733E-2</v>
      </c>
      <c r="K7" s="2">
        <v>7.4651932829302586E-4</v>
      </c>
      <c r="L7" s="2">
        <v>1.9009221218489688E-3</v>
      </c>
      <c r="M7" s="2">
        <v>4.5198467953150738E-2</v>
      </c>
      <c r="N7" s="2">
        <v>9.6383294910202426E-4</v>
      </c>
      <c r="O7" s="2">
        <v>3.7225997346595828E-3</v>
      </c>
      <c r="P7" s="2">
        <v>6.060802907610733E-2</v>
      </c>
      <c r="Q7" s="2">
        <v>7.4651932829302586E-4</v>
      </c>
      <c r="R7" s="2">
        <v>1.9009221218489688E-3</v>
      </c>
      <c r="S7" s="2">
        <v>4.5198467953150738E-2</v>
      </c>
      <c r="T7" s="2">
        <v>9.6383294910202426E-4</v>
      </c>
      <c r="U7" s="2">
        <v>3.7225997346595828E-3</v>
      </c>
      <c r="V7" s="2">
        <v>6.060802907610733E-2</v>
      </c>
      <c r="W7" s="2">
        <v>7.4651932829302586E-4</v>
      </c>
      <c r="X7" s="2">
        <v>1.9009221218489688E-3</v>
      </c>
      <c r="Y7" s="2">
        <v>4.5198467953150738E-2</v>
      </c>
    </row>
    <row r="8" spans="1:25" x14ac:dyDescent="0.35">
      <c r="A8">
        <v>1986</v>
      </c>
      <c r="B8" s="2">
        <v>3.2027247144230599E-3</v>
      </c>
      <c r="C8" s="2">
        <v>9.8845057046133208E-3</v>
      </c>
      <c r="D8" s="2">
        <v>9.1214434577106721E-2</v>
      </c>
      <c r="E8" s="2">
        <v>2.0816414717299428E-3</v>
      </c>
      <c r="F8" s="2">
        <v>5.8891871503404707E-3</v>
      </c>
      <c r="G8" s="2">
        <v>8.0977875992496881E-2</v>
      </c>
      <c r="H8" s="2">
        <v>8.7690072861522849E-4</v>
      </c>
      <c r="I8" s="2">
        <v>3.5326790808290578E-3</v>
      </c>
      <c r="J8" s="2">
        <v>5.6673361491435668E-2</v>
      </c>
      <c r="K8" s="2">
        <v>6.6805040298566535E-4</v>
      </c>
      <c r="L8" s="2">
        <v>1.7985896587471655E-3</v>
      </c>
      <c r="M8" s="2">
        <v>4.2290966641939209E-2</v>
      </c>
      <c r="N8" s="2">
        <v>8.7690072861522849E-4</v>
      </c>
      <c r="O8" s="2">
        <v>3.5326790808290578E-3</v>
      </c>
      <c r="P8" s="2">
        <v>5.6673361491435668E-2</v>
      </c>
      <c r="Q8" s="2">
        <v>6.6805040298566535E-4</v>
      </c>
      <c r="R8" s="2">
        <v>1.7985896587471655E-3</v>
      </c>
      <c r="S8" s="2">
        <v>4.2290966641939209E-2</v>
      </c>
      <c r="T8" s="2">
        <v>8.7690072861522849E-4</v>
      </c>
      <c r="U8" s="2">
        <v>3.5326790808290578E-3</v>
      </c>
      <c r="V8" s="2">
        <v>5.6673361491435668E-2</v>
      </c>
      <c r="W8" s="2">
        <v>6.6805040298566535E-4</v>
      </c>
      <c r="X8" s="2">
        <v>1.7985896587471655E-3</v>
      </c>
      <c r="Y8" s="2">
        <v>4.2290966641939209E-2</v>
      </c>
    </row>
    <row r="9" spans="1:25" x14ac:dyDescent="0.35">
      <c r="A9">
        <v>1987</v>
      </c>
      <c r="B9" s="2">
        <v>3.12032865389882E-3</v>
      </c>
      <c r="C9" s="2">
        <v>9.686550243500236E-3</v>
      </c>
      <c r="D9" s="2">
        <v>9.1392302916599361E-2</v>
      </c>
      <c r="E9" s="2">
        <v>1.9276320322815733E-3</v>
      </c>
      <c r="F9" s="2">
        <v>5.7215100773829993E-3</v>
      </c>
      <c r="G9" s="2">
        <v>8.0803835763913201E-2</v>
      </c>
      <c r="H9" s="2">
        <v>8.5771224631500285E-4</v>
      </c>
      <c r="I9" s="2">
        <v>3.4389602730975945E-3</v>
      </c>
      <c r="J9" s="2">
        <v>5.678854164136405E-2</v>
      </c>
      <c r="K9" s="2">
        <v>6.2392681364490938E-4</v>
      </c>
      <c r="L9" s="2">
        <v>1.7314700359664747E-3</v>
      </c>
      <c r="M9" s="2">
        <v>4.2202457883851546E-2</v>
      </c>
      <c r="N9" s="2">
        <v>8.5771224631500285E-4</v>
      </c>
      <c r="O9" s="2">
        <v>3.4389602730975945E-3</v>
      </c>
      <c r="P9" s="2">
        <v>5.678854164136405E-2</v>
      </c>
      <c r="Q9" s="2">
        <v>6.2392681364490938E-4</v>
      </c>
      <c r="R9" s="2">
        <v>1.7314700359664747E-3</v>
      </c>
      <c r="S9" s="2">
        <v>4.2202457883851546E-2</v>
      </c>
      <c r="T9" s="2">
        <v>8.5771224631500285E-4</v>
      </c>
      <c r="U9" s="2">
        <v>3.4389602730975945E-3</v>
      </c>
      <c r="V9" s="2">
        <v>5.678854164136405E-2</v>
      </c>
      <c r="W9" s="2">
        <v>6.2392681364490938E-4</v>
      </c>
      <c r="X9" s="2">
        <v>1.7314700359664747E-3</v>
      </c>
      <c r="Y9" s="2">
        <v>4.2202457883851546E-2</v>
      </c>
    </row>
    <row r="10" spans="1:25" x14ac:dyDescent="0.35">
      <c r="A10">
        <v>1988</v>
      </c>
      <c r="B10" s="2">
        <v>3.0460666852404803E-3</v>
      </c>
      <c r="C10" s="2">
        <v>9.789281433618513E-3</v>
      </c>
      <c r="D10" s="2">
        <v>9.0991049089839515E-2</v>
      </c>
      <c r="E10" s="2">
        <v>2.0287957901928646E-3</v>
      </c>
      <c r="F10" s="2">
        <v>5.7691348456070605E-3</v>
      </c>
      <c r="G10" s="2">
        <v>8.0074391317329296E-2</v>
      </c>
      <c r="H10" s="2">
        <v>8.4243523104596404E-4</v>
      </c>
      <c r="I10" s="2">
        <v>3.429755008329973E-3</v>
      </c>
      <c r="J10" s="2">
        <v>5.6541970474815878E-2</v>
      </c>
      <c r="K10" s="2">
        <v>6.5869371081495379E-4</v>
      </c>
      <c r="L10" s="2">
        <v>1.730136606751128E-3</v>
      </c>
      <c r="M10" s="2">
        <v>4.1822941841828512E-2</v>
      </c>
      <c r="N10" s="2">
        <v>8.4243523104596404E-4</v>
      </c>
      <c r="O10" s="2">
        <v>3.429755008329973E-3</v>
      </c>
      <c r="P10" s="2">
        <v>5.6541970474815878E-2</v>
      </c>
      <c r="Q10" s="2">
        <v>6.5869371081495379E-4</v>
      </c>
      <c r="R10" s="2">
        <v>1.730136606751128E-3</v>
      </c>
      <c r="S10" s="2">
        <v>4.1822941841828512E-2</v>
      </c>
      <c r="T10" s="2">
        <v>8.4243523104596404E-4</v>
      </c>
      <c r="U10" s="2">
        <v>3.429755008329973E-3</v>
      </c>
      <c r="V10" s="2">
        <v>5.6541970474815878E-2</v>
      </c>
      <c r="W10" s="2">
        <v>6.5869371081495379E-4</v>
      </c>
      <c r="X10" s="2">
        <v>1.730136606751128E-3</v>
      </c>
      <c r="Y10" s="2">
        <v>4.1822941841828512E-2</v>
      </c>
    </row>
    <row r="11" spans="1:25" x14ac:dyDescent="0.35">
      <c r="A11">
        <v>1989</v>
      </c>
      <c r="B11" s="2">
        <v>2.8131076457290237E-3</v>
      </c>
      <c r="C11" s="2">
        <v>9.4311512904410675E-3</v>
      </c>
      <c r="D11" s="2">
        <v>9.2833188297379687E-2</v>
      </c>
      <c r="E11" s="2">
        <v>1.9311731172189442E-3</v>
      </c>
      <c r="F11" s="2">
        <v>5.6038973446399113E-3</v>
      </c>
      <c r="G11" s="2">
        <v>8.2723438282367598E-2</v>
      </c>
      <c r="H11" s="2">
        <v>7.7932618730086449E-4</v>
      </c>
      <c r="I11" s="2">
        <v>3.2973570274742142E-3</v>
      </c>
      <c r="J11" s="2">
        <v>5.7690200051515657E-2</v>
      </c>
      <c r="K11" s="2">
        <v>6.2885776404682746E-4</v>
      </c>
      <c r="L11" s="2">
        <v>1.6762475850544347E-3</v>
      </c>
      <c r="M11" s="2">
        <v>4.320795754022292E-2</v>
      </c>
      <c r="N11" s="2">
        <v>7.7932618730086449E-4</v>
      </c>
      <c r="O11" s="2">
        <v>3.2973570274742142E-3</v>
      </c>
      <c r="P11" s="2">
        <v>5.7690200051515657E-2</v>
      </c>
      <c r="Q11" s="2">
        <v>6.2885776404682746E-4</v>
      </c>
      <c r="R11" s="2">
        <v>1.6762475850544347E-3</v>
      </c>
      <c r="S11" s="2">
        <v>4.320795754022292E-2</v>
      </c>
      <c r="T11" s="2">
        <v>7.7932618730086449E-4</v>
      </c>
      <c r="U11" s="2">
        <v>3.2973570274742142E-3</v>
      </c>
      <c r="V11" s="2">
        <v>5.7690200051515657E-2</v>
      </c>
      <c r="W11" s="2">
        <v>6.2885776404682746E-4</v>
      </c>
      <c r="X11" s="2">
        <v>1.6762475850544347E-3</v>
      </c>
      <c r="Y11" s="2">
        <v>4.320795754022292E-2</v>
      </c>
    </row>
    <row r="12" spans="1:25" x14ac:dyDescent="0.35">
      <c r="A12">
        <v>1990</v>
      </c>
      <c r="B12" s="2">
        <v>2.9624128030100116E-3</v>
      </c>
      <c r="C12" s="2">
        <v>9.0793931098076593E-3</v>
      </c>
      <c r="D12" s="2">
        <v>8.6538471052097776E-2</v>
      </c>
      <c r="E12" s="2">
        <v>1.9455166892473729E-3</v>
      </c>
      <c r="F12" s="2">
        <v>5.3039051420561215E-3</v>
      </c>
      <c r="G12" s="2">
        <v>7.820505611504161E-2</v>
      </c>
      <c r="H12" s="2">
        <v>8.1327858745239962E-4</v>
      </c>
      <c r="I12" s="2">
        <v>3.1656702604946009E-3</v>
      </c>
      <c r="J12" s="2">
        <v>5.3779926795798884E-2</v>
      </c>
      <c r="K12" s="2">
        <v>6.3193331986172369E-4</v>
      </c>
      <c r="L12" s="2">
        <v>1.581625700123133E-3</v>
      </c>
      <c r="M12" s="2">
        <v>4.0847700142997559E-2</v>
      </c>
      <c r="N12" s="2">
        <v>8.1327858745239962E-4</v>
      </c>
      <c r="O12" s="2">
        <v>3.1656702604946009E-3</v>
      </c>
      <c r="P12" s="2">
        <v>5.3779926795798884E-2</v>
      </c>
      <c r="Q12" s="2">
        <v>6.3193331986172369E-4</v>
      </c>
      <c r="R12" s="2">
        <v>1.581625700123133E-3</v>
      </c>
      <c r="S12" s="2">
        <v>4.0847700142997559E-2</v>
      </c>
      <c r="T12" s="2">
        <v>8.1327858745239962E-4</v>
      </c>
      <c r="U12" s="2">
        <v>3.1656702604946009E-3</v>
      </c>
      <c r="V12" s="2">
        <v>5.3779926795798884E-2</v>
      </c>
      <c r="W12" s="2">
        <v>6.3193331986172369E-4</v>
      </c>
      <c r="X12" s="2">
        <v>1.581625700123133E-3</v>
      </c>
      <c r="Y12" s="2">
        <v>4.0847700142997559E-2</v>
      </c>
    </row>
    <row r="13" spans="1:25" x14ac:dyDescent="0.35">
      <c r="A13">
        <v>1991</v>
      </c>
      <c r="B13" s="2">
        <v>2.4944734900036319E-3</v>
      </c>
      <c r="C13" s="2">
        <v>8.6850334443709619E-3</v>
      </c>
      <c r="D13" s="2">
        <v>8.4231975146544971E-2</v>
      </c>
      <c r="E13" s="2">
        <v>1.6814596778947492E-3</v>
      </c>
      <c r="F13" s="2">
        <v>5.2267144316904086E-3</v>
      </c>
      <c r="G13" s="2">
        <v>7.593501026961208E-2</v>
      </c>
      <c r="H13" s="2">
        <v>6.8998272414455618E-4</v>
      </c>
      <c r="I13" s="2">
        <v>3.0284733070346796E-3</v>
      </c>
      <c r="J13" s="2">
        <v>5.2349622041666918E-2</v>
      </c>
      <c r="K13" s="2">
        <v>5.4928481646687505E-4</v>
      </c>
      <c r="L13" s="2">
        <v>1.5514372602748402E-3</v>
      </c>
      <c r="M13" s="2">
        <v>3.9663102904817435E-2</v>
      </c>
      <c r="N13" s="2">
        <v>6.8998272414455618E-4</v>
      </c>
      <c r="O13" s="2">
        <v>3.0284733070346796E-3</v>
      </c>
      <c r="P13" s="2">
        <v>5.2349622041666918E-2</v>
      </c>
      <c r="Q13" s="2">
        <v>5.4928481646687505E-4</v>
      </c>
      <c r="R13" s="2">
        <v>1.5514372602748402E-3</v>
      </c>
      <c r="S13" s="2">
        <v>3.9663102904817435E-2</v>
      </c>
      <c r="T13" s="2">
        <v>6.8998272414455618E-4</v>
      </c>
      <c r="U13" s="2">
        <v>3.0284733070346796E-3</v>
      </c>
      <c r="V13" s="2">
        <v>5.2349622041666918E-2</v>
      </c>
      <c r="W13" s="2">
        <v>5.4928481646687505E-4</v>
      </c>
      <c r="X13" s="2">
        <v>1.5514372602748402E-3</v>
      </c>
      <c r="Y13" s="2">
        <v>3.9663102904817435E-2</v>
      </c>
    </row>
    <row r="14" spans="1:25" x14ac:dyDescent="0.35">
      <c r="A14">
        <v>1992</v>
      </c>
      <c r="B14" s="2">
        <v>2.5449287707121834E-3</v>
      </c>
      <c r="C14" s="2">
        <v>8.4587440966393743E-3</v>
      </c>
      <c r="D14" s="2">
        <v>8.5991182880344172E-2</v>
      </c>
      <c r="E14" s="2">
        <v>1.6846182453037581E-3</v>
      </c>
      <c r="F14" s="2">
        <v>5.1224296669951791E-3</v>
      </c>
      <c r="G14" s="2">
        <v>7.8345895776581728E-2</v>
      </c>
      <c r="H14" s="2">
        <v>7.0013681862492226E-4</v>
      </c>
      <c r="I14" s="2">
        <v>2.9581665187890308E-3</v>
      </c>
      <c r="J14" s="2">
        <v>5.3444800343217316E-2</v>
      </c>
      <c r="K14" s="2">
        <v>5.5013014305666018E-4</v>
      </c>
      <c r="L14" s="2">
        <v>1.5282398170161297E-3</v>
      </c>
      <c r="M14" s="2">
        <v>4.0922303721636299E-2</v>
      </c>
      <c r="N14" s="2">
        <v>7.0013681862492226E-4</v>
      </c>
      <c r="O14" s="2">
        <v>2.9581665187890308E-3</v>
      </c>
      <c r="P14" s="2">
        <v>5.3444800343217316E-2</v>
      </c>
      <c r="Q14" s="2">
        <v>5.5013014305666018E-4</v>
      </c>
      <c r="R14" s="2">
        <v>1.5282398170161297E-3</v>
      </c>
      <c r="S14" s="2">
        <v>4.0922303721636299E-2</v>
      </c>
      <c r="T14" s="2">
        <v>7.0013681862492226E-4</v>
      </c>
      <c r="U14" s="2">
        <v>2.9581665187890308E-3</v>
      </c>
      <c r="V14" s="2">
        <v>5.3444800343217316E-2</v>
      </c>
      <c r="W14" s="2">
        <v>5.5013014305666018E-4</v>
      </c>
      <c r="X14" s="2">
        <v>1.5282398170161297E-3</v>
      </c>
      <c r="Y14" s="2">
        <v>4.0922303721636299E-2</v>
      </c>
    </row>
    <row r="15" spans="1:25" x14ac:dyDescent="0.35">
      <c r="A15">
        <v>1993</v>
      </c>
      <c r="B15" s="2">
        <v>2.2988592768420158E-3</v>
      </c>
      <c r="C15" s="2">
        <v>8.1411568125259667E-3</v>
      </c>
      <c r="D15" s="2">
        <v>8.301190687193713E-2</v>
      </c>
      <c r="E15" s="2">
        <v>1.5072271004468931E-3</v>
      </c>
      <c r="F15" s="2">
        <v>4.9218025754048803E-3</v>
      </c>
      <c r="G15" s="2">
        <v>7.5528963703350202E-2</v>
      </c>
      <c r="H15" s="2">
        <v>6.3582133726837692E-4</v>
      </c>
      <c r="I15" s="2">
        <v>2.8458206361657084E-3</v>
      </c>
      <c r="J15" s="2">
        <v>5.1594492724429113E-2</v>
      </c>
      <c r="K15" s="2">
        <v>4.9430562157493519E-4</v>
      </c>
      <c r="L15" s="2">
        <v>1.4696436702902084E-3</v>
      </c>
      <c r="M15" s="2">
        <v>3.9450751624501054E-2</v>
      </c>
      <c r="N15" s="2">
        <v>6.3582133726837692E-4</v>
      </c>
      <c r="O15" s="2">
        <v>2.8458206361657084E-3</v>
      </c>
      <c r="P15" s="2">
        <v>5.1594492724429113E-2</v>
      </c>
      <c r="Q15" s="2">
        <v>4.9430562157493519E-4</v>
      </c>
      <c r="R15" s="2">
        <v>1.4696436702902084E-3</v>
      </c>
      <c r="S15" s="2">
        <v>3.9450751624501054E-2</v>
      </c>
      <c r="T15" s="2">
        <v>6.3582133726837692E-4</v>
      </c>
      <c r="U15" s="2">
        <v>2.8458206361657084E-3</v>
      </c>
      <c r="V15" s="2">
        <v>5.1594492724429113E-2</v>
      </c>
      <c r="W15" s="2">
        <v>4.9430562157493519E-4</v>
      </c>
      <c r="X15" s="2">
        <v>1.4696436702902084E-3</v>
      </c>
      <c r="Y15" s="2">
        <v>3.9450751624501054E-2</v>
      </c>
    </row>
    <row r="16" spans="1:25" x14ac:dyDescent="0.35">
      <c r="A16">
        <v>1994</v>
      </c>
      <c r="B16" s="2">
        <v>2.1299775393774879E-3</v>
      </c>
      <c r="C16" s="2">
        <v>8.0115900211765317E-3</v>
      </c>
      <c r="D16" s="2">
        <v>8.5375814117232968E-2</v>
      </c>
      <c r="E16" s="2">
        <v>1.463142620489425E-3</v>
      </c>
      <c r="F16" s="2">
        <v>4.8177600922794011E-3</v>
      </c>
      <c r="G16" s="2">
        <v>7.8444911891776214E-2</v>
      </c>
      <c r="H16" s="2">
        <v>5.9104323226653703E-4</v>
      </c>
      <c r="I16" s="2">
        <v>2.8083335154593918E-3</v>
      </c>
      <c r="J16" s="2">
        <v>5.3064455871494776E-2</v>
      </c>
      <c r="K16" s="2">
        <v>4.7918165373506735E-4</v>
      </c>
      <c r="L16" s="2">
        <v>1.4486478942260766E-3</v>
      </c>
      <c r="M16" s="2">
        <v>4.0972867024851985E-2</v>
      </c>
      <c r="N16" s="2">
        <v>5.9104323226653703E-4</v>
      </c>
      <c r="O16" s="2">
        <v>2.8083335154593918E-3</v>
      </c>
      <c r="P16" s="2">
        <v>5.3064455871494776E-2</v>
      </c>
      <c r="Q16" s="2">
        <v>4.7918165373506735E-4</v>
      </c>
      <c r="R16" s="2">
        <v>1.4486478942260766E-3</v>
      </c>
      <c r="S16" s="2">
        <v>4.0972867024851985E-2</v>
      </c>
      <c r="T16" s="2">
        <v>5.9104323226653703E-4</v>
      </c>
      <c r="U16" s="2">
        <v>2.8083335154593918E-3</v>
      </c>
      <c r="V16" s="2">
        <v>5.3064455871494776E-2</v>
      </c>
      <c r="W16" s="2">
        <v>4.7918165373506735E-4</v>
      </c>
      <c r="X16" s="2">
        <v>1.4486478942260766E-3</v>
      </c>
      <c r="Y16" s="2">
        <v>4.0972867024851985E-2</v>
      </c>
    </row>
    <row r="17" spans="1:25" x14ac:dyDescent="0.35">
      <c r="A17">
        <v>1995</v>
      </c>
      <c r="B17" s="2">
        <v>2.018133490422114E-3</v>
      </c>
      <c r="C17" s="2">
        <v>7.8439110930858189E-3</v>
      </c>
      <c r="D17" s="2">
        <v>8.1707914621461597E-2</v>
      </c>
      <c r="E17" s="2">
        <v>1.4620429637171295E-3</v>
      </c>
      <c r="F17" s="2">
        <v>4.747448538984218E-3</v>
      </c>
      <c r="G17" s="2">
        <v>7.6489035968422853E-2</v>
      </c>
      <c r="H17" s="2">
        <v>5.5530869409760417E-4</v>
      </c>
      <c r="I17" s="2">
        <v>2.7515393703867073E-3</v>
      </c>
      <c r="J17" s="2">
        <v>5.0784755859238889E-2</v>
      </c>
      <c r="K17" s="2">
        <v>4.7740026149691841E-4</v>
      </c>
      <c r="L17" s="2">
        <v>1.431475968423283E-3</v>
      </c>
      <c r="M17" s="2">
        <v>3.9949651829580123E-2</v>
      </c>
      <c r="N17" s="2">
        <v>5.5530869409760417E-4</v>
      </c>
      <c r="O17" s="2">
        <v>2.7515393703867073E-3</v>
      </c>
      <c r="P17" s="2">
        <v>5.0784755859238889E-2</v>
      </c>
      <c r="Q17" s="2">
        <v>4.7740026149691841E-4</v>
      </c>
      <c r="R17" s="2">
        <v>1.431475968423283E-3</v>
      </c>
      <c r="S17" s="2">
        <v>3.9949651829580123E-2</v>
      </c>
      <c r="T17" s="2">
        <v>5.5530869409760417E-4</v>
      </c>
      <c r="U17" s="2">
        <v>2.7515393703867073E-3</v>
      </c>
      <c r="V17" s="2">
        <v>5.0784755859238889E-2</v>
      </c>
      <c r="W17" s="2">
        <v>4.7740026149691841E-4</v>
      </c>
      <c r="X17" s="2">
        <v>1.431475968423283E-3</v>
      </c>
      <c r="Y17" s="2">
        <v>3.9949651829580123E-2</v>
      </c>
    </row>
    <row r="18" spans="1:25" x14ac:dyDescent="0.35">
      <c r="A18">
        <v>1996</v>
      </c>
      <c r="B18" s="2">
        <v>2.1040105992141743E-3</v>
      </c>
      <c r="C18" s="2">
        <v>7.7245090937564913E-3</v>
      </c>
      <c r="D18" s="2">
        <v>8.2810175698835531E-2</v>
      </c>
      <c r="E18" s="2">
        <v>1.3866106913698387E-3</v>
      </c>
      <c r="F18" s="2">
        <v>4.6588055910647096E-3</v>
      </c>
      <c r="G18" s="2">
        <v>7.7444530000783704E-2</v>
      </c>
      <c r="H18" s="2">
        <v>5.7486715192346519E-4</v>
      </c>
      <c r="I18" s="2">
        <v>2.7200763089286202E-3</v>
      </c>
      <c r="J18" s="2">
        <v>5.1470436333896051E-2</v>
      </c>
      <c r="K18" s="2">
        <v>4.4613936004517365E-4</v>
      </c>
      <c r="L18" s="2">
        <v>1.4216898891691242E-3</v>
      </c>
      <c r="M18" s="2">
        <v>4.0447756591604843E-2</v>
      </c>
      <c r="N18" s="2">
        <v>5.7486715192346519E-4</v>
      </c>
      <c r="O18" s="2">
        <v>2.7200763089286202E-3</v>
      </c>
      <c r="P18" s="2">
        <v>5.1470436333896051E-2</v>
      </c>
      <c r="Q18" s="2">
        <v>4.4613936004517365E-4</v>
      </c>
      <c r="R18" s="2">
        <v>1.4216898891691242E-3</v>
      </c>
      <c r="S18" s="2">
        <v>4.0447756591604843E-2</v>
      </c>
      <c r="T18" s="2">
        <v>5.7486715192346519E-4</v>
      </c>
      <c r="U18" s="2">
        <v>2.7200763089286202E-3</v>
      </c>
      <c r="V18" s="2">
        <v>5.1470436333896051E-2</v>
      </c>
      <c r="W18" s="2">
        <v>4.4613936004517365E-4</v>
      </c>
      <c r="X18" s="2">
        <v>1.4216898891691242E-3</v>
      </c>
      <c r="Y18" s="2">
        <v>4.0447756591604843E-2</v>
      </c>
    </row>
    <row r="19" spans="1:25" x14ac:dyDescent="0.35">
      <c r="A19">
        <v>1997</v>
      </c>
      <c r="B19" s="2">
        <v>1.8997860579212128E-3</v>
      </c>
      <c r="C19" s="2">
        <v>7.5550086106860046E-3</v>
      </c>
      <c r="D19" s="2">
        <v>8.0389600021289601E-2</v>
      </c>
      <c r="E19" s="2">
        <v>1.3025156029167007E-3</v>
      </c>
      <c r="F19" s="2">
        <v>4.6990287778600212E-3</v>
      </c>
      <c r="G19" s="2">
        <v>7.7398443669321457E-2</v>
      </c>
      <c r="H19" s="2">
        <v>5.1492012876702643E-4</v>
      </c>
      <c r="I19" s="2">
        <v>2.6935390733901971E-3</v>
      </c>
      <c r="J19" s="2">
        <v>4.9965879268479514E-2</v>
      </c>
      <c r="K19" s="2">
        <v>4.163554409153886E-4</v>
      </c>
      <c r="L19" s="2">
        <v>1.4434127563756562E-3</v>
      </c>
      <c r="M19" s="2">
        <v>4.0421950363670411E-2</v>
      </c>
      <c r="N19" s="2">
        <v>5.1492012876702643E-4</v>
      </c>
      <c r="O19" s="2">
        <v>2.6935390733901971E-3</v>
      </c>
      <c r="P19" s="2">
        <v>4.9965879268479514E-2</v>
      </c>
      <c r="Q19" s="2">
        <v>4.163554409153886E-4</v>
      </c>
      <c r="R19" s="2">
        <v>1.4434127563756562E-3</v>
      </c>
      <c r="S19" s="2">
        <v>4.0421950363670411E-2</v>
      </c>
      <c r="T19" s="2">
        <v>5.1492012876702643E-4</v>
      </c>
      <c r="U19" s="2">
        <v>2.6935390733901971E-3</v>
      </c>
      <c r="V19" s="2">
        <v>4.9965879268479514E-2</v>
      </c>
      <c r="W19" s="2">
        <v>4.163554409153886E-4</v>
      </c>
      <c r="X19" s="2">
        <v>1.4434127563756562E-3</v>
      </c>
      <c r="Y19" s="2">
        <v>4.0421950363670411E-2</v>
      </c>
    </row>
    <row r="20" spans="1:25" x14ac:dyDescent="0.35">
      <c r="A20">
        <v>1998</v>
      </c>
      <c r="B20" s="2">
        <v>1.8232279658816125E-3</v>
      </c>
      <c r="C20" s="2">
        <v>7.3486953318117826E-3</v>
      </c>
      <c r="D20" s="2">
        <v>7.8024026262942081E-2</v>
      </c>
      <c r="E20" s="2">
        <v>1.2478440060649354E-3</v>
      </c>
      <c r="F20" s="2">
        <v>4.5063753780208732E-3</v>
      </c>
      <c r="G20" s="2">
        <v>7.4294000605967761E-2</v>
      </c>
      <c r="H20" s="2">
        <v>4.9055663676135324E-4</v>
      </c>
      <c r="I20" s="2">
        <v>2.6349535463718989E-3</v>
      </c>
      <c r="J20" s="2">
        <v>4.849495724608581E-2</v>
      </c>
      <c r="K20" s="2">
        <v>3.9360339474482604E-4</v>
      </c>
      <c r="L20" s="2">
        <v>1.4011611644457738E-3</v>
      </c>
      <c r="M20" s="2">
        <v>3.8798432219603989E-2</v>
      </c>
      <c r="N20" s="2">
        <v>4.9055663676135324E-4</v>
      </c>
      <c r="O20" s="2">
        <v>2.6349535463718989E-3</v>
      </c>
      <c r="P20" s="2">
        <v>4.849495724608581E-2</v>
      </c>
      <c r="Q20" s="2">
        <v>3.9360339474482604E-4</v>
      </c>
      <c r="R20" s="2">
        <v>1.4011611644457738E-3</v>
      </c>
      <c r="S20" s="2">
        <v>3.8798432219603989E-2</v>
      </c>
      <c r="T20" s="2">
        <v>4.9055663676135324E-4</v>
      </c>
      <c r="U20" s="2">
        <v>2.6349535463718989E-3</v>
      </c>
      <c r="V20" s="2">
        <v>4.849495724608581E-2</v>
      </c>
      <c r="W20" s="2">
        <v>3.9360339474482604E-4</v>
      </c>
      <c r="X20" s="2">
        <v>1.4011611644457738E-3</v>
      </c>
      <c r="Y20" s="2">
        <v>3.8798432219603989E-2</v>
      </c>
    </row>
    <row r="21" spans="1:25" x14ac:dyDescent="0.35">
      <c r="A21">
        <v>1999</v>
      </c>
      <c r="B21" s="2">
        <v>1.9317518391846489E-3</v>
      </c>
      <c r="C21" s="2">
        <v>7.1429595101488207E-3</v>
      </c>
      <c r="D21" s="2">
        <v>7.6806576518010566E-2</v>
      </c>
      <c r="E21" s="2">
        <v>1.3135711557423844E-3</v>
      </c>
      <c r="F21" s="2">
        <v>4.3666122910127119E-3</v>
      </c>
      <c r="G21" s="2">
        <v>7.4270119953447414E-2</v>
      </c>
      <c r="H21" s="2">
        <v>5.0675247482774393E-4</v>
      </c>
      <c r="I21" s="2">
        <v>2.5769771114413135E-3</v>
      </c>
      <c r="J21" s="2">
        <v>4.7737826104979911E-2</v>
      </c>
      <c r="K21" s="2">
        <v>4.1135782859298687E-4</v>
      </c>
      <c r="L21" s="2">
        <v>1.3666703524028E-3</v>
      </c>
      <c r="M21" s="2">
        <v>3.8783804752909566E-2</v>
      </c>
      <c r="N21" s="2">
        <v>5.0675247482774393E-4</v>
      </c>
      <c r="O21" s="2">
        <v>2.5769771114413135E-3</v>
      </c>
      <c r="P21" s="2">
        <v>4.7737826104979911E-2</v>
      </c>
      <c r="Q21" s="2">
        <v>4.1135782859298687E-4</v>
      </c>
      <c r="R21" s="2">
        <v>1.3666703524028E-3</v>
      </c>
      <c r="S21" s="2">
        <v>3.8783804752909566E-2</v>
      </c>
      <c r="T21" s="2">
        <v>5.0675247482774393E-4</v>
      </c>
      <c r="U21" s="2">
        <v>2.5769771114413135E-3</v>
      </c>
      <c r="V21" s="2">
        <v>4.7737826104979911E-2</v>
      </c>
      <c r="W21" s="2">
        <v>4.1135782859298687E-4</v>
      </c>
      <c r="X21" s="2">
        <v>1.3666703524028E-3</v>
      </c>
      <c r="Y21" s="2">
        <v>3.8783804752909566E-2</v>
      </c>
    </row>
    <row r="22" spans="1:25" x14ac:dyDescent="0.35">
      <c r="A22">
        <v>2000</v>
      </c>
      <c r="B22" s="2">
        <v>1.7859199469903481E-3</v>
      </c>
      <c r="C22" s="2">
        <v>6.7909712630325478E-3</v>
      </c>
      <c r="D22" s="2">
        <v>7.534830821723057E-2</v>
      </c>
      <c r="E22" s="2">
        <v>1.2317627487171811E-3</v>
      </c>
      <c r="F22" s="2">
        <v>4.2790057863305647E-3</v>
      </c>
      <c r="G22" s="2">
        <v>7.3893387987557721E-2</v>
      </c>
      <c r="H22" s="2">
        <v>4.6922557148314795E-4</v>
      </c>
      <c r="I22" s="2">
        <v>2.4898781858084949E-3</v>
      </c>
      <c r="J22" s="2">
        <v>4.6830706772172333E-2</v>
      </c>
      <c r="K22" s="2">
        <v>3.8223163963299118E-4</v>
      </c>
      <c r="L22" s="2">
        <v>1.3610530504327388E-3</v>
      </c>
      <c r="M22" s="2">
        <v>3.8584906521897028E-2</v>
      </c>
      <c r="N22" s="2">
        <v>4.6922557148314795E-4</v>
      </c>
      <c r="O22" s="2">
        <v>2.4898781858084949E-3</v>
      </c>
      <c r="P22" s="2">
        <v>4.6830706772172333E-2</v>
      </c>
      <c r="Q22" s="2">
        <v>3.8223163963299118E-4</v>
      </c>
      <c r="R22" s="2">
        <v>1.3610530504327388E-3</v>
      </c>
      <c r="S22" s="2">
        <v>3.8584906521897028E-2</v>
      </c>
      <c r="T22" s="2">
        <v>4.6922557148314795E-4</v>
      </c>
      <c r="U22" s="2">
        <v>2.4898781858084949E-3</v>
      </c>
      <c r="V22" s="2">
        <v>4.6830706772172333E-2</v>
      </c>
      <c r="W22" s="2">
        <v>3.8223163963299118E-4</v>
      </c>
      <c r="X22" s="2">
        <v>1.3610530504327388E-3</v>
      </c>
      <c r="Y22" s="2">
        <v>3.8584906521897028E-2</v>
      </c>
    </row>
    <row r="23" spans="1:25" x14ac:dyDescent="0.35">
      <c r="A23">
        <v>2001</v>
      </c>
      <c r="B23" s="2">
        <v>1.8054118908261811E-3</v>
      </c>
      <c r="C23" s="2">
        <v>6.5306359971311441E-3</v>
      </c>
      <c r="D23" s="2">
        <v>7.3469715997767041E-2</v>
      </c>
      <c r="E23" s="2">
        <v>1.195660564544183E-3</v>
      </c>
      <c r="F23" s="2">
        <v>4.0745744529488842E-3</v>
      </c>
      <c r="G23" s="2">
        <v>7.2961975346694116E-2</v>
      </c>
      <c r="H23" s="2">
        <v>4.6808399159522753E-4</v>
      </c>
      <c r="I23" s="2">
        <v>2.4501536285560332E-3</v>
      </c>
      <c r="J23" s="2">
        <v>4.5664012519925419E-2</v>
      </c>
      <c r="K23" s="2">
        <v>3.6618206213601953E-4</v>
      </c>
      <c r="L23" s="2">
        <v>1.3281438341975322E-3</v>
      </c>
      <c r="M23" s="2">
        <v>3.8097446089980377E-2</v>
      </c>
      <c r="N23" s="2">
        <v>4.6808399159522753E-4</v>
      </c>
      <c r="O23" s="2">
        <v>2.4501536285560332E-3</v>
      </c>
      <c r="P23" s="2">
        <v>4.5664012519925419E-2</v>
      </c>
      <c r="Q23" s="2">
        <v>3.6618206213601953E-4</v>
      </c>
      <c r="R23" s="2">
        <v>1.3281438341975322E-3</v>
      </c>
      <c r="S23" s="2">
        <v>3.8097446089980377E-2</v>
      </c>
      <c r="T23" s="2">
        <v>4.6808399159522753E-4</v>
      </c>
      <c r="U23" s="2">
        <v>2.4501536285560332E-3</v>
      </c>
      <c r="V23" s="2">
        <v>4.5664012519925419E-2</v>
      </c>
      <c r="W23" s="2">
        <v>3.6618206213601953E-4</v>
      </c>
      <c r="X23" s="2">
        <v>1.3281438341975322E-3</v>
      </c>
      <c r="Y23" s="2">
        <v>3.8097446089980377E-2</v>
      </c>
    </row>
    <row r="24" spans="1:25" x14ac:dyDescent="0.35">
      <c r="A24">
        <v>2002</v>
      </c>
      <c r="B24" s="2">
        <v>1.7476227658033779E-3</v>
      </c>
      <c r="C24" s="2">
        <v>6.3317326462071586E-3</v>
      </c>
      <c r="D24" s="2">
        <v>7.5080494552684174E-2</v>
      </c>
      <c r="E24" s="2">
        <v>1.2044933637189443E-3</v>
      </c>
      <c r="F24" s="2">
        <v>4.1143234332052785E-3</v>
      </c>
      <c r="G24" s="2">
        <v>7.562531678803365E-2</v>
      </c>
      <c r="H24" s="2">
        <v>4.5032151782968001E-4</v>
      </c>
      <c r="I24" s="2">
        <v>2.3947060195838839E-3</v>
      </c>
      <c r="J24" s="2">
        <v>4.6665112087499246E-2</v>
      </c>
      <c r="K24" s="2">
        <v>3.6843681936108607E-4</v>
      </c>
      <c r="L24" s="2">
        <v>1.3630430886695159E-3</v>
      </c>
      <c r="M24" s="2">
        <v>3.9485702356161473E-2</v>
      </c>
      <c r="N24" s="2">
        <v>4.5032151782968001E-4</v>
      </c>
      <c r="O24" s="2">
        <v>2.3947060195838839E-3</v>
      </c>
      <c r="P24" s="2">
        <v>4.6665112087499246E-2</v>
      </c>
      <c r="Q24" s="2">
        <v>3.6843681936108607E-4</v>
      </c>
      <c r="R24" s="2">
        <v>1.3630430886695159E-3</v>
      </c>
      <c r="S24" s="2">
        <v>3.9485702356161473E-2</v>
      </c>
      <c r="T24" s="2">
        <v>4.5032151782968001E-4</v>
      </c>
      <c r="U24" s="2">
        <v>2.3947060195838839E-3</v>
      </c>
      <c r="V24" s="2">
        <v>4.6665112087499246E-2</v>
      </c>
      <c r="W24" s="2">
        <v>3.6843681936108607E-4</v>
      </c>
      <c r="X24" s="2">
        <v>1.3630430886695159E-3</v>
      </c>
      <c r="Y24" s="2">
        <v>3.9485702356161473E-2</v>
      </c>
    </row>
    <row r="25" spans="1:25" x14ac:dyDescent="0.35">
      <c r="A25">
        <v>2003</v>
      </c>
      <c r="B25" s="2">
        <v>1.6439003995987454E-3</v>
      </c>
      <c r="C25" s="2">
        <v>6.259884490740217E-3</v>
      </c>
      <c r="D25" s="2">
        <v>7.2616484891829133E-2</v>
      </c>
      <c r="E25" s="2">
        <v>1.156984253296731E-3</v>
      </c>
      <c r="F25" s="2">
        <v>4.0028655964377564E-3</v>
      </c>
      <c r="G25" s="2">
        <v>7.3521084893162905E-2</v>
      </c>
      <c r="H25" s="2">
        <v>4.1564711981455585E-4</v>
      </c>
      <c r="I25" s="2">
        <v>2.3787570558002464E-3</v>
      </c>
      <c r="J25" s="2">
        <v>4.5133235995710223E-2</v>
      </c>
      <c r="K25" s="2">
        <v>3.5119021102479478E-4</v>
      </c>
      <c r="L25" s="2">
        <v>1.3244528124107112E-3</v>
      </c>
      <c r="M25" s="2">
        <v>3.8384594240468958E-2</v>
      </c>
      <c r="N25" s="2">
        <v>4.1564711981455585E-4</v>
      </c>
      <c r="O25" s="2">
        <v>2.3787570558002464E-3</v>
      </c>
      <c r="P25" s="2">
        <v>4.5133235995710223E-2</v>
      </c>
      <c r="Q25" s="2">
        <v>3.5119021102479478E-4</v>
      </c>
      <c r="R25" s="2">
        <v>1.3244528124107112E-3</v>
      </c>
      <c r="S25" s="2">
        <v>3.8384594240468958E-2</v>
      </c>
      <c r="T25" s="2">
        <v>4.1564711981455585E-4</v>
      </c>
      <c r="U25" s="2">
        <v>2.3787570558002464E-3</v>
      </c>
      <c r="V25" s="2">
        <v>4.5133235995710223E-2</v>
      </c>
      <c r="W25" s="2">
        <v>3.5119021102479478E-4</v>
      </c>
      <c r="X25" s="2">
        <v>1.3244528124107112E-3</v>
      </c>
      <c r="Y25" s="2">
        <v>3.8384594240468958E-2</v>
      </c>
    </row>
    <row r="26" spans="1:25" x14ac:dyDescent="0.35">
      <c r="A26">
        <v>2004</v>
      </c>
      <c r="B26" s="2">
        <v>1.6580368127237961E-3</v>
      </c>
      <c r="C26" s="2">
        <v>5.9731742376623702E-3</v>
      </c>
      <c r="D26" s="2">
        <v>7.1566652678696316E-2</v>
      </c>
      <c r="E26" s="2">
        <v>1.1008300112657471E-3</v>
      </c>
      <c r="F26" s="2">
        <v>3.8589174684642933E-3</v>
      </c>
      <c r="G26" s="2">
        <v>7.2826192194157369E-2</v>
      </c>
      <c r="H26" s="2">
        <v>4.2158644594191068E-4</v>
      </c>
      <c r="I26" s="2">
        <v>2.3032118925788211E-3</v>
      </c>
      <c r="J26" s="2">
        <v>4.448046115595982E-2</v>
      </c>
      <c r="K26" s="2">
        <v>3.3132874903264644E-4</v>
      </c>
      <c r="L26" s="2">
        <v>1.2870239970553337E-3</v>
      </c>
      <c r="M26" s="2">
        <v>3.8019451676717948E-2</v>
      </c>
      <c r="N26" s="2">
        <v>4.2158644594191068E-4</v>
      </c>
      <c r="O26" s="2">
        <v>2.3032118925788211E-3</v>
      </c>
      <c r="P26" s="2">
        <v>4.448046115595982E-2</v>
      </c>
      <c r="Q26" s="2">
        <v>3.3132874903264644E-4</v>
      </c>
      <c r="R26" s="2">
        <v>1.2870239970553337E-3</v>
      </c>
      <c r="S26" s="2">
        <v>3.8019451676717948E-2</v>
      </c>
      <c r="T26" s="2">
        <v>4.2158644594191068E-4</v>
      </c>
      <c r="U26" s="2">
        <v>2.3032118925788211E-3</v>
      </c>
      <c r="V26" s="2">
        <v>4.448046115595982E-2</v>
      </c>
      <c r="W26" s="2">
        <v>3.3132874903264644E-4</v>
      </c>
      <c r="X26" s="2">
        <v>1.2870239970553337E-3</v>
      </c>
      <c r="Y26" s="2">
        <v>3.8019451676717948E-2</v>
      </c>
    </row>
    <row r="27" spans="1:25" x14ac:dyDescent="0.35">
      <c r="A27">
        <v>2005</v>
      </c>
      <c r="B27" s="2">
        <v>1.6709312749445546E-3</v>
      </c>
      <c r="C27" s="2">
        <v>5.9175837119359621E-3</v>
      </c>
      <c r="D27" s="2">
        <v>6.8149879906655678E-2</v>
      </c>
      <c r="E27" s="2">
        <v>1.2139858736008998E-3</v>
      </c>
      <c r="F27" s="2">
        <v>3.7276389231404704E-3</v>
      </c>
      <c r="G27" s="2">
        <v>7.0690143720908968E-2</v>
      </c>
      <c r="H27" s="2">
        <v>4.1866919003000794E-4</v>
      </c>
      <c r="I27" s="2">
        <v>2.2828350732767618E-3</v>
      </c>
      <c r="J27" s="2">
        <v>4.2357071379005837E-2</v>
      </c>
      <c r="K27" s="2">
        <v>3.6346017059959068E-4</v>
      </c>
      <c r="L27" s="2">
        <v>1.2627290643795008E-3</v>
      </c>
      <c r="M27" s="2">
        <v>3.6902486603987261E-2</v>
      </c>
      <c r="N27" s="2">
        <v>4.1866919003000794E-4</v>
      </c>
      <c r="O27" s="2">
        <v>2.2828350732767618E-3</v>
      </c>
      <c r="P27" s="2">
        <v>4.2357071379005837E-2</v>
      </c>
      <c r="Q27" s="2">
        <v>3.6346017059959068E-4</v>
      </c>
      <c r="R27" s="2">
        <v>1.2627290643795008E-3</v>
      </c>
      <c r="S27" s="2">
        <v>3.6902486603987261E-2</v>
      </c>
      <c r="T27" s="2">
        <v>4.1866919003000794E-4</v>
      </c>
      <c r="U27" s="2">
        <v>2.2828350732767618E-3</v>
      </c>
      <c r="V27" s="2">
        <v>4.2357071379005837E-2</v>
      </c>
      <c r="W27" s="2">
        <v>3.6346017059959068E-4</v>
      </c>
      <c r="X27" s="2">
        <v>1.2627290643795008E-3</v>
      </c>
      <c r="Y27" s="2">
        <v>3.6902486603987261E-2</v>
      </c>
    </row>
    <row r="28" spans="1:25" x14ac:dyDescent="0.35">
      <c r="A28">
        <v>2006</v>
      </c>
      <c r="B28" s="2">
        <v>1.6317394873213349E-3</v>
      </c>
      <c r="C28" s="2">
        <v>5.7312234514768643E-3</v>
      </c>
      <c r="D28" s="2">
        <v>6.8491984063957442E-2</v>
      </c>
      <c r="E28" s="2">
        <v>1.111249284128341E-3</v>
      </c>
      <c r="F28" s="2">
        <v>3.7232197123933282E-3</v>
      </c>
      <c r="G28" s="2">
        <v>7.1663170577937363E-2</v>
      </c>
      <c r="H28" s="2">
        <v>4.1110822902566999E-4</v>
      </c>
      <c r="I28" s="2">
        <v>2.2338085256720288E-3</v>
      </c>
      <c r="J28" s="2">
        <v>4.2569756306879071E-2</v>
      </c>
      <c r="K28" s="2">
        <v>3.3495143436060819E-4</v>
      </c>
      <c r="L28" s="2">
        <v>1.2611813902310416E-3</v>
      </c>
      <c r="M28" s="2">
        <v>3.7408330732521797E-2</v>
      </c>
      <c r="N28" s="2">
        <v>4.1110822902566999E-4</v>
      </c>
      <c r="O28" s="2">
        <v>2.2338085256720288E-3</v>
      </c>
      <c r="P28" s="2">
        <v>4.2569756306879071E-2</v>
      </c>
      <c r="Q28" s="2">
        <v>3.3495143436060819E-4</v>
      </c>
      <c r="R28" s="2">
        <v>1.2611813902310416E-3</v>
      </c>
      <c r="S28" s="2">
        <v>3.7408330732521797E-2</v>
      </c>
      <c r="T28" s="2">
        <v>4.1110822902566999E-4</v>
      </c>
      <c r="U28" s="2">
        <v>2.2338085256720288E-3</v>
      </c>
      <c r="V28" s="2">
        <v>4.2569756306879071E-2</v>
      </c>
      <c r="W28" s="2">
        <v>3.3495143436060819E-4</v>
      </c>
      <c r="X28" s="2">
        <v>1.2611813902310416E-3</v>
      </c>
      <c r="Y28" s="2">
        <v>3.7408330732521797E-2</v>
      </c>
    </row>
    <row r="29" spans="1:25" x14ac:dyDescent="0.35">
      <c r="A29">
        <v>2007</v>
      </c>
      <c r="B29" s="2">
        <v>1.4952352094884369E-3</v>
      </c>
      <c r="C29" s="2">
        <v>5.754599804040212E-3</v>
      </c>
      <c r="D29" s="2">
        <v>6.846669854851424E-2</v>
      </c>
      <c r="E29" s="2">
        <v>1.086373249556277E-3</v>
      </c>
      <c r="F29" s="2">
        <v>3.7883089979654427E-3</v>
      </c>
      <c r="G29" s="2">
        <v>7.2120349154537397E-2</v>
      </c>
      <c r="H29" s="2">
        <v>3.8353616877860629E-4</v>
      </c>
      <c r="I29" s="2">
        <v>2.255162041645868E-3</v>
      </c>
      <c r="J29" s="2">
        <v>4.2555869259540163E-2</v>
      </c>
      <c r="K29" s="2">
        <v>3.3582681858372799E-4</v>
      </c>
      <c r="L29" s="2">
        <v>1.2962660174229432E-3</v>
      </c>
      <c r="M29" s="2">
        <v>3.7646983057727373E-2</v>
      </c>
      <c r="N29" s="2">
        <v>3.8353616877860629E-4</v>
      </c>
      <c r="O29" s="2">
        <v>2.255162041645868E-3</v>
      </c>
      <c r="P29" s="2">
        <v>4.2555869259540163E-2</v>
      </c>
      <c r="Q29" s="2">
        <v>3.3582681858372799E-4</v>
      </c>
      <c r="R29" s="2">
        <v>1.2962660174229432E-3</v>
      </c>
      <c r="S29" s="2">
        <v>3.7646983057727373E-2</v>
      </c>
      <c r="T29" s="2">
        <v>3.8353616877860629E-4</v>
      </c>
      <c r="U29" s="2">
        <v>2.255162041645868E-3</v>
      </c>
      <c r="V29" s="2">
        <v>4.2555869259540163E-2</v>
      </c>
      <c r="W29" s="2">
        <v>3.3582681858372799E-4</v>
      </c>
      <c r="X29" s="2">
        <v>1.2962660174229432E-3</v>
      </c>
      <c r="Y29" s="2">
        <v>3.7646983057727373E-2</v>
      </c>
    </row>
    <row r="30" spans="1:25" x14ac:dyDescent="0.35">
      <c r="A30">
        <v>2008</v>
      </c>
      <c r="B30" s="2">
        <v>1.5212495037229467E-3</v>
      </c>
      <c r="C30" s="2">
        <v>5.7106333398901964E-3</v>
      </c>
      <c r="D30" s="2">
        <v>6.9966219240427688E-2</v>
      </c>
      <c r="E30" s="2">
        <v>1.019677037909062E-3</v>
      </c>
      <c r="F30" s="2">
        <v>3.6981726281347569E-3</v>
      </c>
      <c r="G30" s="2">
        <v>7.4440166590387755E-2</v>
      </c>
      <c r="H30" s="2">
        <v>3.9783072923982998E-4</v>
      </c>
      <c r="I30" s="2">
        <v>2.2345260562470631E-3</v>
      </c>
      <c r="J30" s="2">
        <v>4.3489105534618787E-2</v>
      </c>
      <c r="K30" s="2">
        <v>3.1961334901152151E-4</v>
      </c>
      <c r="L30" s="2">
        <v>1.2731156586013575E-3</v>
      </c>
      <c r="M30" s="2">
        <v>3.8857396464208493E-2</v>
      </c>
      <c r="N30" s="2">
        <v>3.9783072923982998E-4</v>
      </c>
      <c r="O30" s="2">
        <v>2.2345260562470631E-3</v>
      </c>
      <c r="P30" s="2">
        <v>4.3489105534618787E-2</v>
      </c>
      <c r="Q30" s="2">
        <v>3.1961334901152151E-4</v>
      </c>
      <c r="R30" s="2">
        <v>1.2731156586013575E-3</v>
      </c>
      <c r="S30" s="2">
        <v>3.8857396464208493E-2</v>
      </c>
      <c r="T30" s="2">
        <v>3.9783072923982998E-4</v>
      </c>
      <c r="U30" s="2">
        <v>2.2345260562470631E-3</v>
      </c>
      <c r="V30" s="2">
        <v>4.3489105534618787E-2</v>
      </c>
      <c r="W30" s="2">
        <v>3.1961334901152151E-4</v>
      </c>
      <c r="X30" s="2">
        <v>1.2731156586013575E-3</v>
      </c>
      <c r="Y30" s="2">
        <v>3.8857396464208493E-2</v>
      </c>
    </row>
    <row r="31" spans="1:25" x14ac:dyDescent="0.35">
      <c r="A31">
        <v>2009</v>
      </c>
      <c r="B31" s="2">
        <v>1.5182080085393956E-3</v>
      </c>
      <c r="C31" s="2">
        <v>5.6339367729001735E-3</v>
      </c>
      <c r="D31" s="2">
        <v>6.5936564776745601E-2</v>
      </c>
      <c r="E31" s="2">
        <v>1.0209226963420589E-3</v>
      </c>
      <c r="F31" s="2">
        <v>3.7147374995147087E-3</v>
      </c>
      <c r="G31" s="2">
        <v>6.9845578573367581E-2</v>
      </c>
      <c r="H31" s="2">
        <v>4.0337436009204539E-4</v>
      </c>
      <c r="I31" s="2">
        <v>2.2053044565371119E-3</v>
      </c>
      <c r="J31" s="2">
        <v>4.0986781755746562E-2</v>
      </c>
      <c r="K31" s="2">
        <v>3.2582206504321417E-4</v>
      </c>
      <c r="L31" s="2">
        <v>1.2735489977588857E-3</v>
      </c>
      <c r="M31" s="2">
        <v>3.6460031866758683E-2</v>
      </c>
      <c r="N31" s="2">
        <v>4.0337436009204539E-4</v>
      </c>
      <c r="O31" s="2">
        <v>2.2053044565371119E-3</v>
      </c>
      <c r="P31" s="2">
        <v>4.0986781755746562E-2</v>
      </c>
      <c r="Q31" s="2">
        <v>3.2582206504321417E-4</v>
      </c>
      <c r="R31" s="2">
        <v>1.2735489977588857E-3</v>
      </c>
      <c r="S31" s="2">
        <v>3.6460031866758683E-2</v>
      </c>
      <c r="T31" s="2">
        <v>4.0337436009204539E-4</v>
      </c>
      <c r="U31" s="2">
        <v>2.2053044565371119E-3</v>
      </c>
      <c r="V31" s="2">
        <v>4.0986781755746562E-2</v>
      </c>
      <c r="W31" s="2">
        <v>3.2582206504321417E-4</v>
      </c>
      <c r="X31" s="2">
        <v>1.2735489977588857E-3</v>
      </c>
      <c r="Y31" s="2">
        <v>3.6460031866758683E-2</v>
      </c>
    </row>
    <row r="32" spans="1:25" x14ac:dyDescent="0.35">
      <c r="A32">
        <v>2010</v>
      </c>
      <c r="B32" s="2">
        <v>1.5104076428887813E-3</v>
      </c>
      <c r="C32" s="2">
        <v>5.4902023239236722E-3</v>
      </c>
      <c r="D32" s="2">
        <v>6.5075727038828801E-2</v>
      </c>
      <c r="E32" s="2">
        <v>9.3058217596063463E-4</v>
      </c>
      <c r="F32" s="2">
        <v>3.5933096545134493E-3</v>
      </c>
      <c r="G32" s="2">
        <v>6.9845023170585732E-2</v>
      </c>
      <c r="H32" s="2">
        <v>4.0536969734543497E-4</v>
      </c>
      <c r="I32" s="2">
        <v>2.1571008340127598E-3</v>
      </c>
      <c r="J32" s="2">
        <v>4.0454643586180318E-2</v>
      </c>
      <c r="K32" s="2">
        <v>2.9899692109161324E-4</v>
      </c>
      <c r="L32" s="2">
        <v>1.2403136201408124E-3</v>
      </c>
      <c r="M32" s="2">
        <v>3.6461511254853911E-2</v>
      </c>
      <c r="N32" s="2">
        <v>4.0536969734543497E-4</v>
      </c>
      <c r="O32" s="2">
        <v>2.1571008340127598E-3</v>
      </c>
      <c r="P32" s="2">
        <v>4.0454643586180318E-2</v>
      </c>
      <c r="Q32" s="2">
        <v>2.9899692109161324E-4</v>
      </c>
      <c r="R32" s="2">
        <v>1.2403136201408124E-3</v>
      </c>
      <c r="S32" s="2">
        <v>3.6461511254853911E-2</v>
      </c>
      <c r="T32" s="2">
        <v>4.0536969734543497E-4</v>
      </c>
      <c r="U32" s="2">
        <v>2.1571008340127598E-3</v>
      </c>
      <c r="V32" s="2">
        <v>4.0454643586180318E-2</v>
      </c>
      <c r="W32" s="2">
        <v>2.9899692109161324E-4</v>
      </c>
      <c r="X32" s="2">
        <v>1.2403136201408124E-3</v>
      </c>
      <c r="Y32" s="2">
        <v>3.6461511254853911E-2</v>
      </c>
    </row>
    <row r="33" spans="1:25" x14ac:dyDescent="0.35">
      <c r="A33">
        <v>2011</v>
      </c>
      <c r="B33" s="2">
        <v>1.3072262568703224E-3</v>
      </c>
      <c r="C33" s="2">
        <v>5.3509669112443798E-3</v>
      </c>
      <c r="D33" s="2">
        <v>6.4865504556911036E-2</v>
      </c>
      <c r="E33" s="2">
        <v>9.4848656391180019E-4</v>
      </c>
      <c r="F33" s="2">
        <v>3.5981483757234942E-3</v>
      </c>
      <c r="G33" s="2">
        <v>6.9472681619532198E-2</v>
      </c>
      <c r="H33" s="2">
        <v>3.4920898023003532E-4</v>
      </c>
      <c r="I33" s="2">
        <v>2.1393864148392286E-3</v>
      </c>
      <c r="J33" s="2">
        <v>4.0327085108775321E-2</v>
      </c>
      <c r="K33" s="2">
        <v>3.0331192828091677E-4</v>
      </c>
      <c r="L33" s="2">
        <v>1.2420944897870076E-3</v>
      </c>
      <c r="M33" s="2">
        <v>3.6268975687052465E-2</v>
      </c>
      <c r="N33" s="2">
        <v>3.4920898023003532E-4</v>
      </c>
      <c r="O33" s="2">
        <v>2.1393864148392286E-3</v>
      </c>
      <c r="P33" s="2">
        <v>4.0327085108775321E-2</v>
      </c>
      <c r="Q33" s="2">
        <v>3.0331192828091677E-4</v>
      </c>
      <c r="R33" s="2">
        <v>1.2420944897870076E-3</v>
      </c>
      <c r="S33" s="2">
        <v>3.6268975687052465E-2</v>
      </c>
      <c r="T33" s="2">
        <v>3.4920898023003532E-4</v>
      </c>
      <c r="U33" s="2">
        <v>2.1393864148392286E-3</v>
      </c>
      <c r="V33" s="2">
        <v>4.0327085108775321E-2</v>
      </c>
      <c r="W33" s="2">
        <v>3.0331192828091677E-4</v>
      </c>
      <c r="X33" s="2">
        <v>1.2420944897870076E-3</v>
      </c>
      <c r="Y33" s="2">
        <v>3.6268975687052465E-2</v>
      </c>
    </row>
    <row r="34" spans="1:25" x14ac:dyDescent="0.35">
      <c r="A34">
        <v>2012</v>
      </c>
      <c r="B34" s="2">
        <v>1.152525413804678E-3</v>
      </c>
      <c r="C34" s="2">
        <v>5.1654509655853584E-3</v>
      </c>
      <c r="D34" s="2">
        <v>6.214460943674513E-2</v>
      </c>
      <c r="E34" s="2">
        <v>8.5768310446678552E-4</v>
      </c>
      <c r="F34" s="2">
        <v>3.4960556890834679E-3</v>
      </c>
      <c r="G34" s="2">
        <v>6.7995393356906214E-2</v>
      </c>
      <c r="H34" s="2">
        <v>3.1675994073509112E-4</v>
      </c>
      <c r="I34" s="2">
        <v>2.0407811711421419E-3</v>
      </c>
      <c r="J34" s="2">
        <v>3.8628363811926955E-2</v>
      </c>
      <c r="K34" s="2">
        <v>2.8194549215682368E-4</v>
      </c>
      <c r="L34" s="2">
        <v>1.2052321102080756E-3</v>
      </c>
      <c r="M34" s="2">
        <v>3.5487279457718061E-2</v>
      </c>
      <c r="N34" s="2">
        <v>3.1675994073509112E-4</v>
      </c>
      <c r="O34" s="2">
        <v>2.0407811711421419E-3</v>
      </c>
      <c r="P34" s="2">
        <v>3.8628363811926955E-2</v>
      </c>
      <c r="Q34" s="2">
        <v>2.8194549215682368E-4</v>
      </c>
      <c r="R34" s="2">
        <v>1.2052321102080756E-3</v>
      </c>
      <c r="S34" s="2">
        <v>3.5487279457718061E-2</v>
      </c>
      <c r="T34" s="2">
        <v>3.1675994073509112E-4</v>
      </c>
      <c r="U34" s="2">
        <v>2.0407811711421419E-3</v>
      </c>
      <c r="V34" s="2">
        <v>3.8628363811926955E-2</v>
      </c>
      <c r="W34" s="2">
        <v>2.8194549215682368E-4</v>
      </c>
      <c r="X34" s="2">
        <v>1.2052321102080756E-3</v>
      </c>
      <c r="Y34" s="2">
        <v>3.5487279457718061E-2</v>
      </c>
    </row>
    <row r="35" spans="1:25" x14ac:dyDescent="0.35">
      <c r="A35">
        <v>2013</v>
      </c>
      <c r="B35" s="2">
        <v>1.1643755512275131E-3</v>
      </c>
      <c r="C35" s="2">
        <v>5.1214516743925418E-3</v>
      </c>
      <c r="D35" s="2">
        <v>6.06475262786344E-2</v>
      </c>
      <c r="E35" s="2">
        <v>8.7975556289041491E-4</v>
      </c>
      <c r="F35" s="2">
        <v>3.5228916486631521E-3</v>
      </c>
      <c r="G35" s="2">
        <v>6.5188361954109639E-2</v>
      </c>
      <c r="H35" s="2">
        <v>3.2769423901596247E-4</v>
      </c>
      <c r="I35" s="2">
        <v>2.0218310021092433E-3</v>
      </c>
      <c r="J35" s="2">
        <v>3.7689551436196136E-2</v>
      </c>
      <c r="K35" s="2">
        <v>2.9476536216431996E-4</v>
      </c>
      <c r="L35" s="2">
        <v>1.2058807290476203E-3</v>
      </c>
      <c r="M35" s="2">
        <v>3.4013719845812515E-2</v>
      </c>
      <c r="N35" s="2">
        <v>3.2769423901596247E-4</v>
      </c>
      <c r="O35" s="2">
        <v>2.0218310021092433E-3</v>
      </c>
      <c r="P35" s="2">
        <v>3.7689551436196136E-2</v>
      </c>
      <c r="Q35" s="2">
        <v>2.9476536216431996E-4</v>
      </c>
      <c r="R35" s="2">
        <v>1.2058807290476203E-3</v>
      </c>
      <c r="S35" s="2">
        <v>3.4013719845812515E-2</v>
      </c>
      <c r="T35" s="2">
        <v>3.2769423901596247E-4</v>
      </c>
      <c r="U35" s="2">
        <v>2.0218310021092433E-3</v>
      </c>
      <c r="V35" s="2">
        <v>3.7689551436196136E-2</v>
      </c>
      <c r="W35" s="2">
        <v>2.9476536216431996E-4</v>
      </c>
      <c r="X35" s="2">
        <v>1.2058807290476203E-3</v>
      </c>
      <c r="Y35" s="2">
        <v>3.4013719845812515E-2</v>
      </c>
    </row>
    <row r="36" spans="1:25" x14ac:dyDescent="0.35">
      <c r="A36">
        <v>2014</v>
      </c>
      <c r="B36" s="2">
        <v>6.7441523534256525E-4</v>
      </c>
      <c r="C36" s="2">
        <v>5.3454774655813143E-3</v>
      </c>
      <c r="D36" s="2">
        <v>6.0306221446746078E-2</v>
      </c>
      <c r="E36" s="2">
        <v>7.2254549781536369E-4</v>
      </c>
      <c r="F36" s="2">
        <v>3.5697577803455336E-3</v>
      </c>
      <c r="G36" s="2">
        <v>6.9923553188288801E-2</v>
      </c>
      <c r="H36" s="2">
        <v>3.1317687504222057E-4</v>
      </c>
      <c r="I36" s="2">
        <v>2.1035386707639412E-3</v>
      </c>
      <c r="J36" s="2">
        <v>3.7470929577723341E-2</v>
      </c>
      <c r="K36" s="2">
        <v>2.8519042594061237E-4</v>
      </c>
      <c r="L36" s="2">
        <v>1.2230551580683258E-3</v>
      </c>
      <c r="M36" s="2">
        <v>3.4613994668834198E-2</v>
      </c>
      <c r="N36" s="2">
        <v>3.1317687504222057E-4</v>
      </c>
      <c r="O36" s="2">
        <v>2.1035386707639412E-3</v>
      </c>
      <c r="P36" s="2">
        <v>3.7470929577723341E-2</v>
      </c>
      <c r="Q36" s="2">
        <v>2.8519042594061237E-4</v>
      </c>
      <c r="R36" s="2">
        <v>1.2230551580683258E-3</v>
      </c>
      <c r="S36" s="2">
        <v>3.4613994668834198E-2</v>
      </c>
      <c r="T36" s="2">
        <v>3.1317687504222057E-4</v>
      </c>
      <c r="U36" s="2">
        <v>2.1035386707639412E-3</v>
      </c>
      <c r="V36" s="2">
        <v>3.7470929577723341E-2</v>
      </c>
      <c r="W36" s="2">
        <v>2.8519042594061237E-4</v>
      </c>
      <c r="X36" s="2">
        <v>1.2230551580683258E-3</v>
      </c>
      <c r="Y36" s="2">
        <v>3.4613994668834198E-2</v>
      </c>
    </row>
    <row r="37" spans="1:25" x14ac:dyDescent="0.35">
      <c r="A37">
        <v>2015</v>
      </c>
      <c r="B37" s="2">
        <v>7.0632231225522136E-4</v>
      </c>
      <c r="C37" s="2">
        <v>5.4641643532894789E-3</v>
      </c>
      <c r="D37" s="2">
        <v>6.0721890656235213E-2</v>
      </c>
      <c r="E37" s="2">
        <v>6.8603276155792853E-4</v>
      </c>
      <c r="F37" s="2">
        <v>3.580729859991041E-3</v>
      </c>
      <c r="G37" s="2">
        <v>7.0410544554951202E-2</v>
      </c>
      <c r="H37" s="2">
        <v>3.2730041309415913E-4</v>
      </c>
      <c r="I37" s="2">
        <v>2.1292862519080133E-3</v>
      </c>
      <c r="J37" s="2">
        <v>3.7720850240946721E-2</v>
      </c>
      <c r="K37" s="2">
        <v>2.7418034771206228E-4</v>
      </c>
      <c r="L37" s="2">
        <v>1.2200151675882524E-3</v>
      </c>
      <c r="M37" s="2">
        <v>3.4840689215105636E-2</v>
      </c>
      <c r="N37" s="2">
        <v>3.2730041309415913E-4</v>
      </c>
      <c r="O37" s="2">
        <v>2.1292862519080133E-3</v>
      </c>
      <c r="P37" s="2">
        <v>3.7720850240946721E-2</v>
      </c>
      <c r="Q37" s="2">
        <v>2.7418034771206228E-4</v>
      </c>
      <c r="R37" s="2">
        <v>1.2200151675882524E-3</v>
      </c>
      <c r="S37" s="2">
        <v>3.4840689215105636E-2</v>
      </c>
      <c r="T37" s="2">
        <v>3.2730041309415913E-4</v>
      </c>
      <c r="U37" s="2">
        <v>2.1292862519080133E-3</v>
      </c>
      <c r="V37" s="2">
        <v>3.7720850240946721E-2</v>
      </c>
      <c r="W37" s="2">
        <v>2.7418034771206228E-4</v>
      </c>
      <c r="X37" s="2">
        <v>1.2200151675882524E-3</v>
      </c>
      <c r="Y37" s="2">
        <v>3.4840689215105636E-2</v>
      </c>
    </row>
    <row r="38" spans="1:25" x14ac:dyDescent="0.35">
      <c r="A38">
        <v>2016</v>
      </c>
      <c r="B38" s="2">
        <v>6.6520674615135533E-4</v>
      </c>
      <c r="C38" s="2">
        <v>5.2356115292242125E-3</v>
      </c>
      <c r="D38" s="2">
        <v>5.9569914782562093E-2</v>
      </c>
      <c r="E38" s="2">
        <v>5.9154849286643875E-4</v>
      </c>
      <c r="F38" s="2">
        <v>3.3954110124761938E-3</v>
      </c>
      <c r="G38" s="2">
        <v>6.7276458606474604E-2</v>
      </c>
      <c r="H38" s="2">
        <v>3.1803795979153885E-4</v>
      </c>
      <c r="I38" s="2">
        <v>2.0554997463665251E-3</v>
      </c>
      <c r="J38" s="2">
        <v>3.6996921716446939E-2</v>
      </c>
      <c r="K38" s="2">
        <v>2.4622357617934269E-4</v>
      </c>
      <c r="L38" s="2">
        <v>1.2017167785235714E-3</v>
      </c>
      <c r="M38" s="2">
        <v>3.3276647695227E-2</v>
      </c>
      <c r="N38" s="2">
        <v>3.1803795979153885E-4</v>
      </c>
      <c r="O38" s="2">
        <v>2.0554997463665251E-3</v>
      </c>
      <c r="P38" s="2">
        <v>3.6996921716446939E-2</v>
      </c>
      <c r="Q38" s="2">
        <v>2.4622357617934269E-4</v>
      </c>
      <c r="R38" s="2">
        <v>1.2017167785235714E-3</v>
      </c>
      <c r="S38" s="2">
        <v>3.3276647695227E-2</v>
      </c>
      <c r="T38" s="2">
        <v>3.1803795979153885E-4</v>
      </c>
      <c r="U38" s="2">
        <v>2.0554997463665251E-3</v>
      </c>
      <c r="V38" s="2">
        <v>3.6996921716446939E-2</v>
      </c>
      <c r="W38" s="2">
        <v>2.4622357617934269E-4</v>
      </c>
      <c r="X38" s="2">
        <v>1.2017167785235714E-3</v>
      </c>
      <c r="Y38" s="2">
        <v>3.3276647695227E-2</v>
      </c>
    </row>
    <row r="39" spans="1:25" x14ac:dyDescent="0.35">
      <c r="A39">
        <v>2017</v>
      </c>
      <c r="B39" s="2">
        <v>6.6713652711138896E-4</v>
      </c>
      <c r="C39" s="2">
        <v>5.1474309738235059E-3</v>
      </c>
      <c r="D39" s="2">
        <v>5.8718694136978403E-2</v>
      </c>
      <c r="E39" s="2">
        <v>6.3237129010430989E-4</v>
      </c>
      <c r="F39" s="2">
        <v>3.2976400297379353E-3</v>
      </c>
      <c r="G39" s="2">
        <v>6.6796324927371004E-2</v>
      </c>
      <c r="H39" s="2">
        <v>3.1950441250030141E-4</v>
      </c>
      <c r="I39" s="2">
        <v>2.0044101889201888E-3</v>
      </c>
      <c r="J39" s="2">
        <v>3.6459940720259626E-2</v>
      </c>
      <c r="K39" s="2">
        <v>2.6479384455463476E-4</v>
      </c>
      <c r="L39" s="2">
        <v>1.1661076876572714E-3</v>
      </c>
      <c r="M39" s="2">
        <v>3.3025371368011938E-2</v>
      </c>
      <c r="N39" s="2">
        <v>3.1950441250030141E-4</v>
      </c>
      <c r="O39" s="2">
        <v>2.0044101889201888E-3</v>
      </c>
      <c r="P39" s="2">
        <v>3.6459940720259626E-2</v>
      </c>
      <c r="Q39" s="2">
        <v>2.6479384455463476E-4</v>
      </c>
      <c r="R39" s="2">
        <v>1.1661076876572714E-3</v>
      </c>
      <c r="S39" s="2">
        <v>3.3025371368011938E-2</v>
      </c>
      <c r="T39" s="2">
        <v>3.1950441250030141E-4</v>
      </c>
      <c r="U39" s="2">
        <v>2.0044101889201888E-3</v>
      </c>
      <c r="V39" s="2">
        <v>3.6459940720259626E-2</v>
      </c>
      <c r="W39" s="2">
        <v>2.6479384455463476E-4</v>
      </c>
      <c r="X39" s="2">
        <v>1.1661076876572714E-3</v>
      </c>
      <c r="Y39" s="2">
        <v>3.3025371368011938E-2</v>
      </c>
    </row>
    <row r="40" spans="1:25" x14ac:dyDescent="0.35">
      <c r="A40">
        <v>2018</v>
      </c>
      <c r="B40" s="2">
        <v>6.3914849462097425E-4</v>
      </c>
      <c r="C40" s="2">
        <v>5.0773526042257053E-3</v>
      </c>
      <c r="D40" s="2">
        <v>5.6432217556296321E-2</v>
      </c>
      <c r="E40" s="2">
        <v>5.6742541983775905E-4</v>
      </c>
      <c r="F40" s="2">
        <v>3.2945696449758954E-3</v>
      </c>
      <c r="G40" s="2">
        <v>6.2914029935467797E-2</v>
      </c>
      <c r="H40" s="2">
        <v>3.0539553289869422E-4</v>
      </c>
      <c r="I40" s="2">
        <v>1.9791712961719759E-3</v>
      </c>
      <c r="J40" s="2">
        <v>3.5032300364157207E-2</v>
      </c>
      <c r="K40" s="2">
        <v>2.3732624163431108E-4</v>
      </c>
      <c r="L40" s="2">
        <v>1.1658282052216902E-3</v>
      </c>
      <c r="M40" s="2">
        <v>3.1092293557626403E-2</v>
      </c>
      <c r="N40" s="2">
        <v>3.0539553289869422E-4</v>
      </c>
      <c r="O40" s="2">
        <v>1.9791712961719759E-3</v>
      </c>
      <c r="P40" s="2">
        <v>3.5032300364157207E-2</v>
      </c>
      <c r="Q40" s="2">
        <v>2.3732624163431108E-4</v>
      </c>
      <c r="R40" s="2">
        <v>1.1658282052216902E-3</v>
      </c>
      <c r="S40" s="2">
        <v>3.1092293557626403E-2</v>
      </c>
      <c r="T40" s="2">
        <v>3.0539553289869422E-4</v>
      </c>
      <c r="U40" s="2">
        <v>1.9791712961719759E-3</v>
      </c>
      <c r="V40" s="2">
        <v>3.5032300364157207E-2</v>
      </c>
      <c r="W40" s="2">
        <v>2.3732624163431108E-4</v>
      </c>
      <c r="X40" s="2">
        <v>1.1658282052216902E-3</v>
      </c>
      <c r="Y40" s="2">
        <v>3.1092293557626403E-2</v>
      </c>
    </row>
    <row r="41" spans="1:25" x14ac:dyDescent="0.35">
      <c r="A41">
        <v>2019</v>
      </c>
      <c r="B41" s="2">
        <v>6.6492941564380863E-4</v>
      </c>
      <c r="C41" s="2">
        <v>5.5818207541637275E-3</v>
      </c>
      <c r="D41" s="2">
        <v>5.8286061867425125E-2</v>
      </c>
      <c r="E41" s="2">
        <v>5.9365055029320568E-4</v>
      </c>
      <c r="F41" s="2">
        <v>3.4637019740434943E-3</v>
      </c>
      <c r="G41" s="2">
        <v>6.4900730765843198E-2</v>
      </c>
      <c r="H41" s="2">
        <v>3.1771026837569777E-4</v>
      </c>
      <c r="I41" s="2">
        <v>2.1525725558547938E-3</v>
      </c>
      <c r="J41" s="2">
        <v>3.6175504255454106E-2</v>
      </c>
      <c r="K41" s="2">
        <v>2.4685449516414462E-4</v>
      </c>
      <c r="L41" s="2">
        <v>1.2078173156590565E-3</v>
      </c>
      <c r="M41" s="2">
        <v>3.2060924391148764E-2</v>
      </c>
      <c r="N41" s="2">
        <v>3.1771026837569777E-4</v>
      </c>
      <c r="O41" s="2">
        <v>2.1525725558547938E-3</v>
      </c>
      <c r="P41" s="2">
        <v>3.6175504255454106E-2</v>
      </c>
      <c r="Q41" s="2">
        <v>2.4685449516414462E-4</v>
      </c>
      <c r="R41" s="2">
        <v>1.2078173156590565E-3</v>
      </c>
      <c r="S41" s="2">
        <v>3.2060924391148764E-2</v>
      </c>
      <c r="T41" s="2">
        <v>3.1771026837569777E-4</v>
      </c>
      <c r="U41" s="2">
        <v>2.1525725558547938E-3</v>
      </c>
      <c r="V41" s="2">
        <v>3.6175504255454106E-2</v>
      </c>
      <c r="W41" s="2">
        <v>2.4685449516414462E-4</v>
      </c>
      <c r="X41" s="2">
        <v>1.2078173156590565E-3</v>
      </c>
      <c r="Y41" s="2">
        <v>3.2060924391148764E-2</v>
      </c>
    </row>
    <row r="42" spans="1:25" x14ac:dyDescent="0.35">
      <c r="A42">
        <v>2020</v>
      </c>
      <c r="B42" s="2">
        <v>5.8397082779116554E-4</v>
      </c>
      <c r="C42" s="2">
        <v>5.100814818925381E-3</v>
      </c>
      <c r="D42" s="2">
        <v>5.4289455180767859E-2</v>
      </c>
      <c r="E42" s="2">
        <v>5.7154369736850071E-4</v>
      </c>
      <c r="F42" s="2">
        <v>3.2301737114156198E-3</v>
      </c>
      <c r="G42" s="2">
        <v>5.92398097841332E-2</v>
      </c>
      <c r="H42" s="2">
        <v>2.7739145861386015E-4</v>
      </c>
      <c r="I42" s="2">
        <v>1.9746376080694941E-3</v>
      </c>
      <c r="J42" s="2">
        <v>3.3688094210832846E-2</v>
      </c>
      <c r="K42" s="2">
        <v>2.357976800684908E-4</v>
      </c>
      <c r="L42" s="2">
        <v>1.1329927465164402E-3</v>
      </c>
      <c r="M42" s="2">
        <v>2.9255830197210942E-2</v>
      </c>
      <c r="N42" s="2">
        <v>2.7739145861386015E-4</v>
      </c>
      <c r="O42" s="2">
        <v>1.9746376080694941E-3</v>
      </c>
      <c r="P42" s="2">
        <v>3.3688094210832846E-2</v>
      </c>
      <c r="Q42" s="2">
        <v>2.357976800684908E-4</v>
      </c>
      <c r="R42" s="2">
        <v>1.1329927465164402E-3</v>
      </c>
      <c r="S42" s="2">
        <v>2.9255830197210942E-2</v>
      </c>
      <c r="T42" s="2">
        <v>2.7739145861386015E-4</v>
      </c>
      <c r="U42" s="2">
        <v>1.9746376080694941E-3</v>
      </c>
      <c r="V42" s="2">
        <v>3.3688094210832846E-2</v>
      </c>
      <c r="W42" s="2">
        <v>2.357976800684908E-4</v>
      </c>
      <c r="X42" s="2">
        <v>1.1329927465164402E-3</v>
      </c>
      <c r="Y42" s="2">
        <v>2.9255830197210942E-2</v>
      </c>
    </row>
    <row r="43" spans="1:25" x14ac:dyDescent="0.35">
      <c r="A43">
        <v>2021</v>
      </c>
      <c r="B43" s="2">
        <v>6.506228864997587E-4</v>
      </c>
      <c r="C43" s="2">
        <v>5.0743705011308477E-3</v>
      </c>
      <c r="D43" s="2">
        <v>5.6423275601626403E-2</v>
      </c>
      <c r="E43" s="2">
        <v>6.0412090835100301E-4</v>
      </c>
      <c r="F43" s="2">
        <v>3.2932777175181671E-3</v>
      </c>
      <c r="G43" s="2">
        <v>6.1971784346625799E-2</v>
      </c>
      <c r="H43" s="2">
        <v>3.0766344647796003E-4</v>
      </c>
      <c r="I43" s="2">
        <v>1.9854655795619146E-3</v>
      </c>
      <c r="J43" s="2">
        <v>3.5003578533173554E-2</v>
      </c>
      <c r="K43" s="2">
        <v>2.464688151293739E-4</v>
      </c>
      <c r="L43" s="2">
        <v>1.1610665564194844E-3</v>
      </c>
      <c r="M43" s="2">
        <v>3.0592846922270194E-2</v>
      </c>
      <c r="N43" s="2">
        <v>3.0766344647796003E-4</v>
      </c>
      <c r="O43" s="2">
        <v>1.9854655795619146E-3</v>
      </c>
      <c r="P43" s="2">
        <v>3.5003578533173554E-2</v>
      </c>
      <c r="Q43" s="2">
        <v>2.464688151293739E-4</v>
      </c>
      <c r="R43" s="2">
        <v>1.1610665564194844E-3</v>
      </c>
      <c r="S43" s="2">
        <v>3.0592846922270194E-2</v>
      </c>
      <c r="T43" s="2">
        <v>3.0766344647796003E-4</v>
      </c>
      <c r="U43" s="2">
        <v>1.9854655795619146E-3</v>
      </c>
      <c r="V43" s="2">
        <v>3.5003578533173554E-2</v>
      </c>
      <c r="W43" s="2">
        <v>2.464688151293739E-4</v>
      </c>
      <c r="X43" s="2">
        <v>1.1610665564194844E-3</v>
      </c>
      <c r="Y43" s="2">
        <v>3.0592846922270194E-2</v>
      </c>
    </row>
    <row r="44" spans="1:25" x14ac:dyDescent="0.35">
      <c r="A44">
        <v>2022</v>
      </c>
      <c r="B44" s="2">
        <v>6.4440230928906688E-4</v>
      </c>
      <c r="C44" s="2">
        <v>5.0843264370422454E-3</v>
      </c>
      <c r="D44" s="2">
        <v>5.5502198281596173E-2</v>
      </c>
      <c r="E44" s="2">
        <v>6.4666532249678193E-4</v>
      </c>
      <c r="F44" s="2">
        <v>3.307367097865685E-3</v>
      </c>
      <c r="G44" s="2">
        <v>5.99782124891102E-2</v>
      </c>
      <c r="H44" s="2">
        <v>3.0369624943860345E-4</v>
      </c>
      <c r="I44" s="2">
        <v>1.9936047593896214E-3</v>
      </c>
      <c r="J44" s="2">
        <v>3.442354065761382E-2</v>
      </c>
      <c r="K44" s="2">
        <v>2.6044419495270115E-4</v>
      </c>
      <c r="L44" s="2">
        <v>1.1631728232997152E-3</v>
      </c>
      <c r="M44" s="2">
        <v>2.9598170495479446E-2</v>
      </c>
      <c r="N44" s="2">
        <v>3.0369624943860345E-4</v>
      </c>
      <c r="O44" s="2">
        <v>1.9936047593896214E-3</v>
      </c>
      <c r="P44" s="2">
        <v>3.442354065761382E-2</v>
      </c>
      <c r="Q44" s="2">
        <v>2.6044419495270115E-4</v>
      </c>
      <c r="R44" s="2">
        <v>1.1631728232997152E-3</v>
      </c>
      <c r="S44" s="2">
        <v>2.9598170495479446E-2</v>
      </c>
      <c r="T44" s="2">
        <v>3.0369624943860345E-4</v>
      </c>
      <c r="U44" s="2">
        <v>1.9936047593896214E-3</v>
      </c>
      <c r="V44" s="2">
        <v>3.442354065761382E-2</v>
      </c>
      <c r="W44" s="2">
        <v>2.6044419495270115E-4</v>
      </c>
      <c r="X44" s="2">
        <v>1.1631728232997152E-3</v>
      </c>
      <c r="Y44" s="2">
        <v>2.9598170495479446E-2</v>
      </c>
    </row>
    <row r="45" spans="1:25" x14ac:dyDescent="0.35">
      <c r="A45">
        <v>2023</v>
      </c>
      <c r="B45" s="2">
        <v>6.3469304469126206E-4</v>
      </c>
      <c r="C45" s="2">
        <v>5.0320335867107911E-3</v>
      </c>
      <c r="D45" s="2">
        <v>5.5167586757706881E-2</v>
      </c>
      <c r="E45" s="2">
        <v>6.343946484312741E-4</v>
      </c>
      <c r="F45" s="2">
        <v>3.2686605627280196E-3</v>
      </c>
      <c r="G45" s="2">
        <v>5.9272916262278402E-2</v>
      </c>
      <c r="H45" s="2">
        <v>2.9533031778235014E-4</v>
      </c>
      <c r="I45" s="2">
        <v>1.9672167857968772E-3</v>
      </c>
      <c r="J45" s="2">
        <v>3.4210590979083723E-2</v>
      </c>
      <c r="K45" s="2">
        <v>2.5106814541426729E-4</v>
      </c>
      <c r="L45" s="2">
        <v>1.1474899218503688E-3</v>
      </c>
      <c r="M45" s="2">
        <v>2.924280785365839E-2</v>
      </c>
      <c r="N45" s="2">
        <v>2.9533031778235014E-4</v>
      </c>
      <c r="O45" s="2">
        <v>1.9672167857968772E-3</v>
      </c>
      <c r="P45" s="2">
        <v>3.4210590979083723E-2</v>
      </c>
      <c r="Q45" s="2">
        <v>2.5106814541426729E-4</v>
      </c>
      <c r="R45" s="2">
        <v>1.1474899218503688E-3</v>
      </c>
      <c r="S45" s="2">
        <v>2.924280785365839E-2</v>
      </c>
      <c r="T45" s="2">
        <v>2.9533031778235014E-4</v>
      </c>
      <c r="U45" s="2">
        <v>1.9672167857968772E-3</v>
      </c>
      <c r="V45" s="2">
        <v>3.4210590979083723E-2</v>
      </c>
      <c r="W45" s="2">
        <v>2.5106814541426729E-4</v>
      </c>
      <c r="X45" s="2">
        <v>1.1474899218503688E-3</v>
      </c>
      <c r="Y45" s="2">
        <v>2.924280785365839E-2</v>
      </c>
    </row>
    <row r="46" spans="1:25" x14ac:dyDescent="0.35">
      <c r="A46">
        <v>2024</v>
      </c>
      <c r="B46" s="2">
        <v>6.33725057200415E-4</v>
      </c>
      <c r="C46" s="2">
        <v>4.9767430338099675E-3</v>
      </c>
      <c r="D46" s="2">
        <v>5.4895614929718721E-2</v>
      </c>
      <c r="E46" s="2">
        <v>6.3521834730042735E-4</v>
      </c>
      <c r="F46" s="2">
        <v>3.2368057383367907E-3</v>
      </c>
      <c r="G46" s="2">
        <v>5.86535022995026E-2</v>
      </c>
      <c r="H46" s="2">
        <v>2.9076351917373247E-4</v>
      </c>
      <c r="I46" s="2">
        <v>1.9435618675591214E-3</v>
      </c>
      <c r="J46" s="2">
        <v>3.4036006452022399E-2</v>
      </c>
      <c r="K46" s="2">
        <v>2.4682849408455142E-4</v>
      </c>
      <c r="L46" s="2">
        <v>1.1351263843325855E-3</v>
      </c>
      <c r="M46" s="2">
        <v>2.8929299744042292E-2</v>
      </c>
      <c r="N46" s="2">
        <v>2.9076351917373247E-4</v>
      </c>
      <c r="O46" s="2">
        <v>1.9435618675591214E-3</v>
      </c>
      <c r="P46" s="2">
        <v>3.4036006452022399E-2</v>
      </c>
      <c r="Q46" s="2">
        <v>2.4682849408455142E-4</v>
      </c>
      <c r="R46" s="2">
        <v>1.1351263843325855E-3</v>
      </c>
      <c r="S46" s="2">
        <v>2.8929299744042292E-2</v>
      </c>
      <c r="T46" s="2">
        <v>2.9076351917373247E-4</v>
      </c>
      <c r="U46" s="2">
        <v>1.9435618675591214E-3</v>
      </c>
      <c r="V46" s="2">
        <v>3.4036006452022399E-2</v>
      </c>
      <c r="W46" s="2">
        <v>2.4682849408455142E-4</v>
      </c>
      <c r="X46" s="2">
        <v>1.1351263843325855E-3</v>
      </c>
      <c r="Y46" s="2">
        <v>2.8929299744042292E-2</v>
      </c>
    </row>
    <row r="47" spans="1:25" x14ac:dyDescent="0.35">
      <c r="A47">
        <v>2025</v>
      </c>
      <c r="B47" s="2">
        <v>6.2754373790247712E-4</v>
      </c>
      <c r="C47" s="2">
        <v>4.9141193159083262E-3</v>
      </c>
      <c r="D47" s="2">
        <v>5.4671161586219368E-2</v>
      </c>
      <c r="E47" s="2">
        <v>6.3452449870057663E-4</v>
      </c>
      <c r="F47" s="2">
        <v>3.2035079076746008E-3</v>
      </c>
      <c r="G47" s="2">
        <v>5.8124441628284208E-2</v>
      </c>
      <c r="H47" s="2">
        <v>2.8313566542242181E-4</v>
      </c>
      <c r="I47" s="2">
        <v>1.9178815178645763E-3</v>
      </c>
      <c r="J47" s="2">
        <v>3.3890739672097124E-2</v>
      </c>
      <c r="K47" s="2">
        <v>2.4229898353939444E-4</v>
      </c>
      <c r="L47" s="2">
        <v>1.1223171161106207E-3</v>
      </c>
      <c r="M47" s="2">
        <v>2.8660022377209174E-2</v>
      </c>
      <c r="N47" s="2">
        <v>2.8313566542242181E-4</v>
      </c>
      <c r="O47" s="2">
        <v>1.9178815178645763E-3</v>
      </c>
      <c r="P47" s="2">
        <v>3.3890739672097124E-2</v>
      </c>
      <c r="Q47" s="2">
        <v>2.4229898353939444E-4</v>
      </c>
      <c r="R47" s="2">
        <v>1.1223171161106207E-3</v>
      </c>
      <c r="S47" s="2">
        <v>2.8660022377209174E-2</v>
      </c>
      <c r="T47" s="2">
        <v>2.8313566542242181E-4</v>
      </c>
      <c r="U47" s="2">
        <v>1.9178815178645763E-3</v>
      </c>
      <c r="V47" s="2">
        <v>3.3890739672097124E-2</v>
      </c>
      <c r="W47" s="2">
        <v>2.4229898353939444E-4</v>
      </c>
      <c r="X47" s="2">
        <v>1.1223171161106207E-3</v>
      </c>
      <c r="Y47" s="2">
        <v>2.8660022377209174E-2</v>
      </c>
    </row>
    <row r="48" spans="1:25" x14ac:dyDescent="0.35">
      <c r="A48">
        <v>2026</v>
      </c>
      <c r="B48" s="2">
        <v>6.263798618146981E-4</v>
      </c>
      <c r="C48" s="2">
        <v>4.8293879697113608E-3</v>
      </c>
      <c r="D48" s="2">
        <v>5.4091154192147689E-2</v>
      </c>
      <c r="E48" s="2">
        <v>6.2898871883471379E-4</v>
      </c>
      <c r="F48" s="2">
        <v>3.145764435539078E-3</v>
      </c>
      <c r="G48" s="2">
        <v>5.7369484302299399E-2</v>
      </c>
      <c r="H48" s="2">
        <v>2.7791175705826524E-4</v>
      </c>
      <c r="I48" s="2">
        <v>1.8809515147302296E-3</v>
      </c>
      <c r="J48" s="2">
        <v>3.3524410091887655E-2</v>
      </c>
      <c r="K48" s="2">
        <v>2.3581422763527233E-4</v>
      </c>
      <c r="L48" s="2">
        <v>1.102468223547448E-3</v>
      </c>
      <c r="M48" s="2">
        <v>2.8277337297249707E-2</v>
      </c>
      <c r="N48" s="2">
        <v>2.7791175705826524E-4</v>
      </c>
      <c r="O48" s="2">
        <v>1.8809515147302296E-3</v>
      </c>
      <c r="P48" s="2">
        <v>3.3524410091887655E-2</v>
      </c>
      <c r="Q48" s="2">
        <v>2.3581422763527233E-4</v>
      </c>
      <c r="R48" s="2">
        <v>1.102468223547448E-3</v>
      </c>
      <c r="S48" s="2">
        <v>2.8277337297249707E-2</v>
      </c>
      <c r="T48" s="2">
        <v>2.7791175705826524E-4</v>
      </c>
      <c r="U48" s="2">
        <v>1.8809515147302296E-3</v>
      </c>
      <c r="V48" s="2">
        <v>3.3524410091887655E-2</v>
      </c>
      <c r="W48" s="2">
        <v>2.3581422763527233E-4</v>
      </c>
      <c r="X48" s="2">
        <v>1.102468223547448E-3</v>
      </c>
      <c r="Y48" s="2">
        <v>2.8277337297249707E-2</v>
      </c>
    </row>
    <row r="49" spans="1:25" x14ac:dyDescent="0.35">
      <c r="A49">
        <v>2027</v>
      </c>
      <c r="B49" s="2">
        <v>6.2318195702071072E-4</v>
      </c>
      <c r="C49" s="2">
        <v>4.7841588276973102E-3</v>
      </c>
      <c r="D49" s="2">
        <v>5.4167536703499837E-2</v>
      </c>
      <c r="E49" s="2">
        <v>6.3048227361167176E-4</v>
      </c>
      <c r="F49" s="2">
        <v>3.1195435113996976E-3</v>
      </c>
      <c r="G49" s="2">
        <v>5.7285706441774401E-2</v>
      </c>
      <c r="H49" s="2">
        <v>2.7479005669363201E-4</v>
      </c>
      <c r="I49" s="2">
        <v>1.8604034854578298E-3</v>
      </c>
      <c r="J49" s="2">
        <v>3.3565711276521921E-2</v>
      </c>
      <c r="K49" s="2">
        <v>2.3432401137901397E-4</v>
      </c>
      <c r="L49" s="2">
        <v>1.0931530617851483E-3</v>
      </c>
      <c r="M49" s="2">
        <v>2.8226783132857983E-2</v>
      </c>
      <c r="N49" s="2">
        <v>2.7479005669363201E-4</v>
      </c>
      <c r="O49" s="2">
        <v>1.8604034854578298E-3</v>
      </c>
      <c r="P49" s="2">
        <v>3.3565711276521921E-2</v>
      </c>
      <c r="Q49" s="2">
        <v>2.3432401137901397E-4</v>
      </c>
      <c r="R49" s="2">
        <v>1.0931530617851483E-3</v>
      </c>
      <c r="S49" s="2">
        <v>2.8226783132857983E-2</v>
      </c>
      <c r="T49" s="2">
        <v>2.7479005669363201E-4</v>
      </c>
      <c r="U49" s="2">
        <v>1.8604034854578298E-3</v>
      </c>
      <c r="V49" s="2">
        <v>3.3565711276521921E-2</v>
      </c>
      <c r="W49" s="2">
        <v>2.3432401137901397E-4</v>
      </c>
      <c r="X49" s="2">
        <v>1.0931530617851483E-3</v>
      </c>
      <c r="Y49" s="2">
        <v>2.8226783132857983E-2</v>
      </c>
    </row>
    <row r="50" spans="1:25" x14ac:dyDescent="0.35">
      <c r="A50">
        <v>2028</v>
      </c>
      <c r="B50" s="2">
        <v>6.2215236111448494E-4</v>
      </c>
      <c r="C50" s="2">
        <v>4.7374743636783758E-3</v>
      </c>
      <c r="D50" s="2">
        <v>5.4310081547491687E-2</v>
      </c>
      <c r="E50" s="2">
        <v>6.2681113182658167E-4</v>
      </c>
      <c r="F50" s="2">
        <v>3.0979822297140126E-3</v>
      </c>
      <c r="G50" s="2">
        <v>5.7309968822787397E-2</v>
      </c>
      <c r="H50" s="2">
        <v>2.7376456018094359E-4</v>
      </c>
      <c r="I50" s="2">
        <v>1.8398183431030629E-3</v>
      </c>
      <c r="J50" s="2">
        <v>3.364848330305633E-2</v>
      </c>
      <c r="K50" s="2">
        <v>2.3260028968991761E-4</v>
      </c>
      <c r="L50" s="2">
        <v>1.0844748516308062E-3</v>
      </c>
      <c r="M50" s="2">
        <v>2.8229579378241179E-2</v>
      </c>
      <c r="N50" s="2">
        <v>2.7376456018094359E-4</v>
      </c>
      <c r="O50" s="2">
        <v>1.8398183431030629E-3</v>
      </c>
      <c r="P50" s="2">
        <v>3.364848330305633E-2</v>
      </c>
      <c r="Q50" s="2">
        <v>2.3260028968991761E-4</v>
      </c>
      <c r="R50" s="2">
        <v>1.0844748516308062E-3</v>
      </c>
      <c r="S50" s="2">
        <v>2.8229579378241179E-2</v>
      </c>
      <c r="T50" s="2">
        <v>2.7376456018094359E-4</v>
      </c>
      <c r="U50" s="2">
        <v>1.8398183431030629E-3</v>
      </c>
      <c r="V50" s="2">
        <v>3.364848330305633E-2</v>
      </c>
      <c r="W50" s="2">
        <v>2.3260028968991761E-4</v>
      </c>
      <c r="X50" s="2">
        <v>1.0844748516308062E-3</v>
      </c>
      <c r="Y50" s="2">
        <v>2.8229579378241179E-2</v>
      </c>
    </row>
    <row r="51" spans="1:25" x14ac:dyDescent="0.35">
      <c r="A51">
        <v>2029</v>
      </c>
      <c r="B51" s="2">
        <v>6.1732316813232406E-4</v>
      </c>
      <c r="C51" s="2">
        <v>4.6911312830235953E-3</v>
      </c>
      <c r="D51" s="2">
        <v>5.4549282184384963E-2</v>
      </c>
      <c r="E51" s="2">
        <v>6.2610401681144118E-4</v>
      </c>
      <c r="F51" s="2">
        <v>3.0826100997544165E-3</v>
      </c>
      <c r="G51" s="2">
        <v>5.7505984922177393E-2</v>
      </c>
      <c r="H51" s="2">
        <v>2.7108185881481197E-4</v>
      </c>
      <c r="I51" s="2">
        <v>1.8211835589438624E-3</v>
      </c>
      <c r="J51" s="2">
        <v>3.3790868054002797E-2</v>
      </c>
      <c r="K51" s="2">
        <v>2.3215433438133167E-4</v>
      </c>
      <c r="L51" s="2">
        <v>1.0772732796579844E-3</v>
      </c>
      <c r="M51" s="2">
        <v>2.8318000035398375E-2</v>
      </c>
      <c r="N51" s="2">
        <v>2.7108185881481197E-4</v>
      </c>
      <c r="O51" s="2">
        <v>1.8211835589438624E-3</v>
      </c>
      <c r="P51" s="2">
        <v>3.3790868054002797E-2</v>
      </c>
      <c r="Q51" s="2">
        <v>2.3215433438133167E-4</v>
      </c>
      <c r="R51" s="2">
        <v>1.0772732796579844E-3</v>
      </c>
      <c r="S51" s="2">
        <v>2.8318000035398375E-2</v>
      </c>
      <c r="T51" s="2">
        <v>2.7108185881481197E-4</v>
      </c>
      <c r="U51" s="2">
        <v>1.8211835589438624E-3</v>
      </c>
      <c r="V51" s="2">
        <v>3.3790868054002797E-2</v>
      </c>
      <c r="W51" s="2">
        <v>2.3215433438133167E-4</v>
      </c>
      <c r="X51" s="2">
        <v>1.0772732796579844E-3</v>
      </c>
      <c r="Y51" s="2">
        <v>2.8318000035398375E-2</v>
      </c>
    </row>
    <row r="52" spans="1:25" x14ac:dyDescent="0.35">
      <c r="A52">
        <v>2030</v>
      </c>
      <c r="B52" s="2">
        <v>6.142038982953718E-4</v>
      </c>
      <c r="C52" s="2">
        <v>4.6522657020297131E-3</v>
      </c>
      <c r="D52" s="2">
        <v>5.4914091706507365E-2</v>
      </c>
      <c r="E52" s="2">
        <v>6.2367477198172578E-4</v>
      </c>
      <c r="F52" s="2">
        <v>3.0668763383240889E-3</v>
      </c>
      <c r="G52" s="2">
        <v>5.7906827295799601E-2</v>
      </c>
      <c r="H52" s="2">
        <v>2.6958577166288499E-4</v>
      </c>
      <c r="I52" s="2">
        <v>1.8078254705523461E-3</v>
      </c>
      <c r="J52" s="2">
        <v>3.4011028067281818E-2</v>
      </c>
      <c r="K52" s="2">
        <v>2.3109804579957052E-4</v>
      </c>
      <c r="L52" s="2">
        <v>1.0731962371177612E-3</v>
      </c>
      <c r="M52" s="2">
        <v>2.8506895345601552E-2</v>
      </c>
      <c r="N52" s="2">
        <v>2.6958577166288499E-4</v>
      </c>
      <c r="O52" s="2">
        <v>1.8078254705523461E-3</v>
      </c>
      <c r="P52" s="2">
        <v>3.4011028067281818E-2</v>
      </c>
      <c r="Q52" s="2">
        <v>2.3109804579957052E-4</v>
      </c>
      <c r="R52" s="2">
        <v>1.0731962371177612E-3</v>
      </c>
      <c r="S52" s="2">
        <v>2.8506895345601552E-2</v>
      </c>
      <c r="T52" s="2">
        <v>2.6958577166288499E-4</v>
      </c>
      <c r="U52" s="2">
        <v>1.8078254705523461E-3</v>
      </c>
      <c r="V52" s="2">
        <v>3.4011028067281818E-2</v>
      </c>
      <c r="W52" s="2">
        <v>2.3109804579957052E-4</v>
      </c>
      <c r="X52" s="2">
        <v>1.0731962371177612E-3</v>
      </c>
      <c r="Y52" s="2">
        <v>2.8506895345601552E-2</v>
      </c>
    </row>
    <row r="53" spans="1:25" x14ac:dyDescent="0.35">
      <c r="A53">
        <v>2031</v>
      </c>
      <c r="B53" s="2">
        <v>6.0772201480643819E-4</v>
      </c>
      <c r="C53" s="2">
        <v>4.6208069670259184E-3</v>
      </c>
      <c r="D53" s="2">
        <v>5.5358611942773757E-2</v>
      </c>
      <c r="E53" s="2">
        <v>6.2030475832508601E-4</v>
      </c>
      <c r="F53" s="2">
        <v>3.0540026733306561E-3</v>
      </c>
      <c r="G53" s="2">
        <v>5.8425418627577601E-2</v>
      </c>
      <c r="H53" s="2">
        <v>2.6696614028517583E-4</v>
      </c>
      <c r="I53" s="2">
        <v>1.7971668111906799E-3</v>
      </c>
      <c r="J53" s="2">
        <v>3.4280683187442228E-2</v>
      </c>
      <c r="K53" s="2">
        <v>2.3021768566092467E-4</v>
      </c>
      <c r="L53" s="2">
        <v>1.070131880259845E-3</v>
      </c>
      <c r="M53" s="2">
        <v>2.8753920669589317E-2</v>
      </c>
      <c r="N53" s="2">
        <v>2.6696614028517583E-4</v>
      </c>
      <c r="O53" s="2">
        <v>1.7971668111906799E-3</v>
      </c>
      <c r="P53" s="2">
        <v>3.4280683187442228E-2</v>
      </c>
      <c r="Q53" s="2">
        <v>2.3021768566092467E-4</v>
      </c>
      <c r="R53" s="2">
        <v>1.070131880259845E-3</v>
      </c>
      <c r="S53" s="2">
        <v>2.8753920669589317E-2</v>
      </c>
      <c r="T53" s="2">
        <v>2.6696614028517583E-4</v>
      </c>
      <c r="U53" s="2">
        <v>1.7971668111906799E-3</v>
      </c>
      <c r="V53" s="2">
        <v>3.4280683187442228E-2</v>
      </c>
      <c r="W53" s="2">
        <v>2.3021768566092467E-4</v>
      </c>
      <c r="X53" s="2">
        <v>1.070131880259845E-3</v>
      </c>
      <c r="Y53" s="2">
        <v>2.8753920669589317E-2</v>
      </c>
    </row>
    <row r="54" spans="1:25" x14ac:dyDescent="0.35">
      <c r="A54">
        <v>2032</v>
      </c>
      <c r="B54" s="2">
        <v>6.0373333530262384E-4</v>
      </c>
      <c r="C54" s="2">
        <v>4.6012419562627815E-3</v>
      </c>
      <c r="D54" s="2">
        <v>5.603986438518832E-2</v>
      </c>
      <c r="E54" s="2">
        <v>6.1431059149095286E-4</v>
      </c>
      <c r="F54" s="2">
        <v>3.0437340899756938E-3</v>
      </c>
      <c r="G54" s="2">
        <v>5.9177654972510201E-2</v>
      </c>
      <c r="H54" s="2">
        <v>2.6621034899225449E-4</v>
      </c>
      <c r="I54" s="2">
        <v>1.7928793406071432E-3</v>
      </c>
      <c r="J54" s="2">
        <v>3.4696518870326834E-2</v>
      </c>
      <c r="K54" s="2">
        <v>2.286974059482801E-4</v>
      </c>
      <c r="L54" s="2">
        <v>1.0707178008611425E-3</v>
      </c>
      <c r="M54" s="2">
        <v>2.9115122303760489E-2</v>
      </c>
      <c r="N54" s="2">
        <v>2.6621034899225449E-4</v>
      </c>
      <c r="O54" s="2">
        <v>1.7928793406071432E-3</v>
      </c>
      <c r="P54" s="2">
        <v>3.4696518870326834E-2</v>
      </c>
      <c r="Q54" s="2">
        <v>2.286974059482801E-4</v>
      </c>
      <c r="R54" s="2">
        <v>1.0707178008611425E-3</v>
      </c>
      <c r="S54" s="2">
        <v>2.9115122303760489E-2</v>
      </c>
      <c r="T54" s="2">
        <v>2.6621034899225449E-4</v>
      </c>
      <c r="U54" s="2">
        <v>1.7928793406071432E-3</v>
      </c>
      <c r="V54" s="2">
        <v>3.4696518870326834E-2</v>
      </c>
      <c r="W54" s="2">
        <v>2.286974059482801E-4</v>
      </c>
      <c r="X54" s="2">
        <v>1.0707178008611425E-3</v>
      </c>
      <c r="Y54" s="2">
        <v>2.9115122303760489E-2</v>
      </c>
    </row>
    <row r="55" spans="1:25" x14ac:dyDescent="0.35">
      <c r="A55">
        <v>2033</v>
      </c>
      <c r="B55" s="2">
        <v>5.9927951976833545E-4</v>
      </c>
      <c r="C55" s="2">
        <v>4.5807848320902934E-3</v>
      </c>
      <c r="D55" s="2">
        <v>5.6693400947719373E-2</v>
      </c>
      <c r="E55" s="2">
        <v>6.0900380621004696E-4</v>
      </c>
      <c r="F55" s="2">
        <v>3.0303954706805626E-3</v>
      </c>
      <c r="G55" s="2">
        <v>5.9946829849215996E-2</v>
      </c>
      <c r="H55" s="2">
        <v>2.6472114675533205E-4</v>
      </c>
      <c r="I55" s="2">
        <v>1.7893355861919259E-3</v>
      </c>
      <c r="J55" s="2">
        <v>3.5095522437846846E-2</v>
      </c>
      <c r="K55" s="2">
        <v>2.2714618007875926E-4</v>
      </c>
      <c r="L55" s="2">
        <v>1.0711635454597598E-3</v>
      </c>
      <c r="M55" s="2">
        <v>2.9485412873021255E-2</v>
      </c>
      <c r="N55" s="2">
        <v>2.6472114675533205E-4</v>
      </c>
      <c r="O55" s="2">
        <v>1.7893355861919259E-3</v>
      </c>
      <c r="P55" s="2">
        <v>3.5095522437846846E-2</v>
      </c>
      <c r="Q55" s="2">
        <v>2.2714618007875926E-4</v>
      </c>
      <c r="R55" s="2">
        <v>1.0711635454597598E-3</v>
      </c>
      <c r="S55" s="2">
        <v>2.9485412873021255E-2</v>
      </c>
      <c r="T55" s="2">
        <v>2.6472114675533205E-4</v>
      </c>
      <c r="U55" s="2">
        <v>1.7893355861919259E-3</v>
      </c>
      <c r="V55" s="2">
        <v>3.5095522437846846E-2</v>
      </c>
      <c r="W55" s="2">
        <v>2.2714618007875926E-4</v>
      </c>
      <c r="X55" s="2">
        <v>1.0711635454597598E-3</v>
      </c>
      <c r="Y55" s="2">
        <v>2.9485412873021255E-2</v>
      </c>
    </row>
    <row r="56" spans="1:25" x14ac:dyDescent="0.35">
      <c r="A56">
        <v>2034</v>
      </c>
      <c r="B56" s="2">
        <v>5.9633824600525682E-4</v>
      </c>
      <c r="C56" s="2">
        <v>4.5595720437628861E-3</v>
      </c>
      <c r="D56" s="2">
        <v>5.7306642551150248E-2</v>
      </c>
      <c r="E56" s="2">
        <v>6.0877467225058568E-4</v>
      </c>
      <c r="F56" s="2">
        <v>3.0161702836651741E-3</v>
      </c>
      <c r="G56" s="2">
        <v>6.0684271288840602E-2</v>
      </c>
      <c r="H56" s="2">
        <v>2.6402784015851292E-4</v>
      </c>
      <c r="I56" s="2">
        <v>1.7841811026019885E-3</v>
      </c>
      <c r="J56" s="2">
        <v>3.5470201500561287E-2</v>
      </c>
      <c r="K56" s="2">
        <v>2.2746948705178492E-4</v>
      </c>
      <c r="L56" s="2">
        <v>1.0697201716992734E-3</v>
      </c>
      <c r="M56" s="2">
        <v>2.9841216823494377E-2</v>
      </c>
      <c r="N56" s="2">
        <v>2.6402784015851292E-4</v>
      </c>
      <c r="O56" s="2">
        <v>1.7841811026019885E-3</v>
      </c>
      <c r="P56" s="2">
        <v>3.5470201500561287E-2</v>
      </c>
      <c r="Q56" s="2">
        <v>2.2746948705178492E-4</v>
      </c>
      <c r="R56" s="2">
        <v>1.0697201716992734E-3</v>
      </c>
      <c r="S56" s="2">
        <v>2.9841216823494377E-2</v>
      </c>
      <c r="T56" s="2">
        <v>2.6402784015851292E-4</v>
      </c>
      <c r="U56" s="2">
        <v>1.7841811026019885E-3</v>
      </c>
      <c r="V56" s="2">
        <v>3.5470201500561287E-2</v>
      </c>
      <c r="W56" s="2">
        <v>2.2746948705178492E-4</v>
      </c>
      <c r="X56" s="2">
        <v>1.0697201716992734E-3</v>
      </c>
      <c r="Y56" s="2">
        <v>2.9841216823494377E-2</v>
      </c>
    </row>
    <row r="57" spans="1:25" x14ac:dyDescent="0.35">
      <c r="A57">
        <v>2035</v>
      </c>
      <c r="B57" s="2">
        <v>5.9393363207659998E-4</v>
      </c>
      <c r="C57" s="2">
        <v>4.5388405361288789E-3</v>
      </c>
      <c r="D57" s="2">
        <v>5.7881259907510717E-2</v>
      </c>
      <c r="E57" s="2">
        <v>6.0426963122747822E-4</v>
      </c>
      <c r="F57" s="2">
        <v>2.9966428519575894E-3</v>
      </c>
      <c r="G57" s="2">
        <v>6.1481921229711002E-2</v>
      </c>
      <c r="H57" s="2">
        <v>2.6329326540928261E-4</v>
      </c>
      <c r="I57" s="2">
        <v>1.7795808930832751E-3</v>
      </c>
      <c r="J57" s="2">
        <v>3.5821154641591864E-2</v>
      </c>
      <c r="K57" s="2">
        <v>2.2609553931000526E-4</v>
      </c>
      <c r="L57" s="2">
        <v>1.0675151404235615E-3</v>
      </c>
      <c r="M57" s="2">
        <v>3.0226903605457416E-2</v>
      </c>
      <c r="N57" s="2">
        <v>2.6329326540928261E-4</v>
      </c>
      <c r="O57" s="2">
        <v>1.7795808930832751E-3</v>
      </c>
      <c r="P57" s="2">
        <v>3.5821154641591864E-2</v>
      </c>
      <c r="Q57" s="2">
        <v>2.2609553931000526E-4</v>
      </c>
      <c r="R57" s="2">
        <v>1.0675151404235615E-3</v>
      </c>
      <c r="S57" s="2">
        <v>3.0226903605457416E-2</v>
      </c>
      <c r="T57" s="2">
        <v>2.6329326540928261E-4</v>
      </c>
      <c r="U57" s="2">
        <v>1.7795808930832751E-3</v>
      </c>
      <c r="V57" s="2">
        <v>3.5821154641591864E-2</v>
      </c>
      <c r="W57" s="2">
        <v>2.2609553931000526E-4</v>
      </c>
      <c r="X57" s="2">
        <v>1.0675151404235615E-3</v>
      </c>
      <c r="Y57" s="2">
        <v>3.0226903605457416E-2</v>
      </c>
    </row>
    <row r="58" spans="1:25" x14ac:dyDescent="0.35">
      <c r="A58">
        <v>2036</v>
      </c>
      <c r="B58" s="2">
        <v>5.8913704407279098E-4</v>
      </c>
      <c r="C58" s="2">
        <v>4.5086004853649077E-3</v>
      </c>
      <c r="D58" s="2">
        <v>5.8287938434635679E-2</v>
      </c>
      <c r="E58" s="2">
        <v>6.0314339558430739E-4</v>
      </c>
      <c r="F58" s="2">
        <v>2.9764580717528597E-3</v>
      </c>
      <c r="G58" s="2">
        <v>6.21122315380368E-2</v>
      </c>
      <c r="H58" s="2">
        <v>2.6149720772832474E-4</v>
      </c>
      <c r="I58" s="2">
        <v>1.7686126972156588E-3</v>
      </c>
      <c r="J58" s="2">
        <v>3.6069251087447358E-2</v>
      </c>
      <c r="K58" s="2">
        <v>2.2603616737943989E-4</v>
      </c>
      <c r="L58" s="2">
        <v>1.0624939709752866E-3</v>
      </c>
      <c r="M58" s="2">
        <v>3.053204298503704E-2</v>
      </c>
      <c r="N58" s="2">
        <v>2.6149720772832474E-4</v>
      </c>
      <c r="O58" s="2">
        <v>1.7686126972156588E-3</v>
      </c>
      <c r="P58" s="2">
        <v>3.6069251087447358E-2</v>
      </c>
      <c r="Q58" s="2">
        <v>2.2603616737943989E-4</v>
      </c>
      <c r="R58" s="2">
        <v>1.0624939709752866E-3</v>
      </c>
      <c r="S58" s="2">
        <v>3.053204298503704E-2</v>
      </c>
      <c r="T58" s="2">
        <v>2.6149720772832474E-4</v>
      </c>
      <c r="U58" s="2">
        <v>1.7686126972156588E-3</v>
      </c>
      <c r="V58" s="2">
        <v>3.6069251087447358E-2</v>
      </c>
      <c r="W58" s="2">
        <v>2.2603616737943989E-4</v>
      </c>
      <c r="X58" s="2">
        <v>1.0624939709752866E-3</v>
      </c>
      <c r="Y58" s="2">
        <v>3.053204298503704E-2</v>
      </c>
    </row>
    <row r="59" spans="1:25" x14ac:dyDescent="0.35">
      <c r="A59">
        <v>2037</v>
      </c>
      <c r="B59" s="2">
        <v>5.8818001862778974E-4</v>
      </c>
      <c r="C59" s="2">
        <v>4.4825860570147421E-3</v>
      </c>
      <c r="D59" s="2">
        <v>5.8831812596369444E-2</v>
      </c>
      <c r="E59" s="2">
        <v>6.0188681818432134E-4</v>
      </c>
      <c r="F59" s="2">
        <v>2.9582024504469389E-3</v>
      </c>
      <c r="G59" s="2">
        <v>6.2870664549834199E-2</v>
      </c>
      <c r="H59" s="2">
        <v>2.6168360034341357E-4</v>
      </c>
      <c r="I59" s="2">
        <v>1.7596890936559569E-3</v>
      </c>
      <c r="J59" s="2">
        <v>3.640191985008006E-2</v>
      </c>
      <c r="K59" s="2">
        <v>2.261950372005096E-4</v>
      </c>
      <c r="L59" s="2">
        <v>1.058623007174922E-3</v>
      </c>
      <c r="M59" s="2">
        <v>3.0899720381490161E-2</v>
      </c>
      <c r="N59" s="2">
        <v>2.6168360034341357E-4</v>
      </c>
      <c r="O59" s="2">
        <v>1.7596890936559569E-3</v>
      </c>
      <c r="P59" s="2">
        <v>3.640191985008006E-2</v>
      </c>
      <c r="Q59" s="2">
        <v>2.261950372005096E-4</v>
      </c>
      <c r="R59" s="2">
        <v>1.058623007174922E-3</v>
      </c>
      <c r="S59" s="2">
        <v>3.0899720381490161E-2</v>
      </c>
      <c r="T59" s="2">
        <v>2.6168360034341357E-4</v>
      </c>
      <c r="U59" s="2">
        <v>1.7596890936559569E-3</v>
      </c>
      <c r="V59" s="2">
        <v>3.640191985008006E-2</v>
      </c>
      <c r="W59" s="2">
        <v>2.261950372005096E-4</v>
      </c>
      <c r="X59" s="2">
        <v>1.058623007174922E-3</v>
      </c>
      <c r="Y59" s="2">
        <v>3.0899720381490161E-2</v>
      </c>
    </row>
    <row r="60" spans="1:25" x14ac:dyDescent="0.35">
      <c r="A60">
        <v>2038</v>
      </c>
      <c r="B60" s="2">
        <v>5.857903589657769E-4</v>
      </c>
      <c r="C60" s="2">
        <v>4.4675562220765708E-3</v>
      </c>
      <c r="D60" s="2">
        <v>5.9423966346367998E-2</v>
      </c>
      <c r="E60" s="2">
        <v>6.0059396843532755E-4</v>
      </c>
      <c r="F60" s="2">
        <v>2.9456303112857839E-3</v>
      </c>
      <c r="G60" s="2">
        <v>6.3738401665405398E-2</v>
      </c>
      <c r="H60" s="2">
        <v>2.6106405992491782E-4</v>
      </c>
      <c r="I60" s="2">
        <v>1.7568976927229739E-3</v>
      </c>
      <c r="J60" s="2">
        <v>3.6763634683668119E-2</v>
      </c>
      <c r="K60" s="2">
        <v>2.2610546404947134E-4</v>
      </c>
      <c r="L60" s="2">
        <v>1.0589687592475075E-3</v>
      </c>
      <c r="M60" s="2">
        <v>3.1319904616991995E-2</v>
      </c>
      <c r="N60" s="2">
        <v>2.6106405992491782E-4</v>
      </c>
      <c r="O60" s="2">
        <v>1.7568976927229739E-3</v>
      </c>
      <c r="P60" s="2">
        <v>3.6763634683668119E-2</v>
      </c>
      <c r="Q60" s="2">
        <v>2.2610546404947134E-4</v>
      </c>
      <c r="R60" s="2">
        <v>1.0589687592475075E-3</v>
      </c>
      <c r="S60" s="2">
        <v>3.1319904616991995E-2</v>
      </c>
      <c r="T60" s="2">
        <v>2.6106405992491782E-4</v>
      </c>
      <c r="U60" s="2">
        <v>1.7568976927229739E-3</v>
      </c>
      <c r="V60" s="2">
        <v>3.6763634683668119E-2</v>
      </c>
      <c r="W60" s="2">
        <v>2.2610546404947134E-4</v>
      </c>
      <c r="X60" s="2">
        <v>1.0589687592475075E-3</v>
      </c>
      <c r="Y60" s="2">
        <v>3.1319904616991995E-2</v>
      </c>
    </row>
    <row r="61" spans="1:25" x14ac:dyDescent="0.35">
      <c r="A61">
        <v>2039</v>
      </c>
      <c r="B61" s="2">
        <v>5.8351407556618605E-4</v>
      </c>
      <c r="C61" s="2">
        <v>4.450978016574879E-3</v>
      </c>
      <c r="D61" s="2">
        <v>6.0022670783304803E-2</v>
      </c>
      <c r="E61" s="2">
        <v>6.0075792747402222E-4</v>
      </c>
      <c r="F61" s="2">
        <v>2.9323539460833791E-3</v>
      </c>
      <c r="G61" s="2">
        <v>6.4657439904391406E-2</v>
      </c>
      <c r="H61" s="2">
        <v>2.6034708221615979E-4</v>
      </c>
      <c r="I61" s="2">
        <v>1.7560444763910176E-3</v>
      </c>
      <c r="J61" s="2">
        <v>3.7128761609430426E-2</v>
      </c>
      <c r="K61" s="2">
        <v>2.2654949119739996E-4</v>
      </c>
      <c r="L61" s="2">
        <v>1.0601858309073611E-3</v>
      </c>
      <c r="M61" s="2">
        <v>3.1764420245806967E-2</v>
      </c>
      <c r="N61" s="2">
        <v>2.6034708221615979E-4</v>
      </c>
      <c r="O61" s="2">
        <v>1.7560444763910176E-3</v>
      </c>
      <c r="P61" s="2">
        <v>3.7128761609430426E-2</v>
      </c>
      <c r="Q61" s="2">
        <v>2.2654949119739996E-4</v>
      </c>
      <c r="R61" s="2">
        <v>1.0601858309073611E-3</v>
      </c>
      <c r="S61" s="2">
        <v>3.1764420245806967E-2</v>
      </c>
      <c r="T61" s="2">
        <v>2.6034708221615979E-4</v>
      </c>
      <c r="U61" s="2">
        <v>1.7560444763910176E-3</v>
      </c>
      <c r="V61" s="2">
        <v>3.7128761609430426E-2</v>
      </c>
      <c r="W61" s="2">
        <v>2.2654949119739996E-4</v>
      </c>
      <c r="X61" s="2">
        <v>1.0601858309073611E-3</v>
      </c>
      <c r="Y61" s="2">
        <v>3.1764420245806967E-2</v>
      </c>
    </row>
    <row r="62" spans="1:25" x14ac:dyDescent="0.35">
      <c r="A62">
        <v>2040</v>
      </c>
      <c r="B62" s="2">
        <v>5.8098998642648679E-4</v>
      </c>
      <c r="C62" s="2">
        <v>4.4376720365900627E-3</v>
      </c>
      <c r="D62" s="2">
        <v>6.0632564623732489E-2</v>
      </c>
      <c r="E62" s="2">
        <v>5.9763519330257859E-4</v>
      </c>
      <c r="F62" s="2">
        <v>2.920557301464316E-3</v>
      </c>
      <c r="G62" s="2">
        <v>6.5626895041431405E-2</v>
      </c>
      <c r="H62" s="2">
        <v>2.5950025024778459E-4</v>
      </c>
      <c r="I62" s="2">
        <v>1.7585364676117163E-3</v>
      </c>
      <c r="J62" s="2">
        <v>3.7500268044853076E-2</v>
      </c>
      <c r="K62" s="2">
        <v>2.256733242858727E-4</v>
      </c>
      <c r="L62" s="2">
        <v>1.0636224676575249E-3</v>
      </c>
      <c r="M62" s="2">
        <v>3.2232948216828025E-2</v>
      </c>
      <c r="N62" s="2">
        <v>2.5950025024778459E-4</v>
      </c>
      <c r="O62" s="2">
        <v>1.7585364676117163E-3</v>
      </c>
      <c r="P62" s="2">
        <v>3.7500268044853076E-2</v>
      </c>
      <c r="Q62" s="2">
        <v>2.256733242858727E-4</v>
      </c>
      <c r="R62" s="2">
        <v>1.0636224676575249E-3</v>
      </c>
      <c r="S62" s="2">
        <v>3.2232948216828025E-2</v>
      </c>
      <c r="T62" s="2">
        <v>2.5950025024778459E-4</v>
      </c>
      <c r="U62" s="2">
        <v>1.7585364676117163E-3</v>
      </c>
      <c r="V62" s="2">
        <v>3.7500268044853076E-2</v>
      </c>
      <c r="W62" s="2">
        <v>2.256733242858727E-4</v>
      </c>
      <c r="X62" s="2">
        <v>1.0636224676575249E-3</v>
      </c>
      <c r="Y62" s="2">
        <v>3.2232948216828025E-2</v>
      </c>
    </row>
    <row r="63" spans="1:25" x14ac:dyDescent="0.35">
      <c r="A63">
        <v>2041</v>
      </c>
      <c r="B63" s="2">
        <v>5.7934305775190803E-4</v>
      </c>
      <c r="C63" s="2">
        <v>4.4269738438245283E-3</v>
      </c>
      <c r="D63" s="2">
        <v>6.1228170986781287E-2</v>
      </c>
      <c r="E63" s="2">
        <v>5.9726439918789684E-4</v>
      </c>
      <c r="F63" s="2">
        <v>2.9139495743852454E-3</v>
      </c>
      <c r="G63" s="2">
        <v>6.6585704366964593E-2</v>
      </c>
      <c r="H63" s="2">
        <v>2.5907619647157849E-4</v>
      </c>
      <c r="I63" s="2">
        <v>1.762734111941831E-3</v>
      </c>
      <c r="J63" s="2">
        <v>3.7862540638156278E-2</v>
      </c>
      <c r="K63" s="2">
        <v>2.2580947588840661E-4</v>
      </c>
      <c r="L63" s="2">
        <v>1.0691448955130807E-3</v>
      </c>
      <c r="M63" s="2">
        <v>3.2695569203139416E-2</v>
      </c>
      <c r="N63" s="2">
        <v>2.5907619647157849E-4</v>
      </c>
      <c r="O63" s="2">
        <v>1.762734111941831E-3</v>
      </c>
      <c r="P63" s="2">
        <v>3.7862540638156278E-2</v>
      </c>
      <c r="Q63" s="2">
        <v>2.2580947588840661E-4</v>
      </c>
      <c r="R63" s="2">
        <v>1.0691448955130807E-3</v>
      </c>
      <c r="S63" s="2">
        <v>3.2695569203139416E-2</v>
      </c>
      <c r="T63" s="2">
        <v>2.5907619647157849E-4</v>
      </c>
      <c r="U63" s="2">
        <v>1.762734111941831E-3</v>
      </c>
      <c r="V63" s="2">
        <v>3.7862540638156278E-2</v>
      </c>
      <c r="W63" s="2">
        <v>2.2580947588840661E-4</v>
      </c>
      <c r="X63" s="2">
        <v>1.0691448955130807E-3</v>
      </c>
      <c r="Y63" s="2">
        <v>3.2695569203139416E-2</v>
      </c>
    </row>
    <row r="64" spans="1:25" x14ac:dyDescent="0.35">
      <c r="A64">
        <v>2042</v>
      </c>
      <c r="B64" s="2">
        <v>5.7627608803789774E-4</v>
      </c>
      <c r="C64" s="2">
        <v>4.4212044655257375E-3</v>
      </c>
      <c r="D64" s="2">
        <v>6.1813770275214078E-2</v>
      </c>
      <c r="E64" s="2">
        <v>5.9361756857170182E-4</v>
      </c>
      <c r="F64" s="2">
        <v>2.9089803285688607E-3</v>
      </c>
      <c r="G64" s="2">
        <v>6.7512790322158595E-2</v>
      </c>
      <c r="H64" s="2">
        <v>2.5779032603750243E-4</v>
      </c>
      <c r="I64" s="2">
        <v>1.7682918341987751E-3</v>
      </c>
      <c r="J64" s="2">
        <v>3.8218162330605245E-2</v>
      </c>
      <c r="K64" s="2">
        <v>2.2453846267925969E-4</v>
      </c>
      <c r="L64" s="2">
        <v>1.0748462745510585E-3</v>
      </c>
      <c r="M64" s="2">
        <v>3.3142375006817687E-2</v>
      </c>
      <c r="N64" s="2">
        <v>2.5779032603750243E-4</v>
      </c>
      <c r="O64" s="2">
        <v>1.7682918341987751E-3</v>
      </c>
      <c r="P64" s="2">
        <v>3.8218162330605245E-2</v>
      </c>
      <c r="Q64" s="2">
        <v>2.2453846267925969E-4</v>
      </c>
      <c r="R64" s="2">
        <v>1.0748462745510585E-3</v>
      </c>
      <c r="S64" s="2">
        <v>3.3142375006817687E-2</v>
      </c>
      <c r="T64" s="2">
        <v>2.5779032603750243E-4</v>
      </c>
      <c r="U64" s="2">
        <v>1.7682918341987751E-3</v>
      </c>
      <c r="V64" s="2">
        <v>3.8218162330605245E-2</v>
      </c>
      <c r="W64" s="2">
        <v>2.2453846267925969E-4</v>
      </c>
      <c r="X64" s="2">
        <v>1.0748462745510585E-3</v>
      </c>
      <c r="Y64" s="2">
        <v>3.3142375006817687E-2</v>
      </c>
    </row>
    <row r="65" spans="1:25" x14ac:dyDescent="0.35">
      <c r="A65">
        <v>2043</v>
      </c>
      <c r="B65" s="2">
        <v>5.7155578903825602E-4</v>
      </c>
      <c r="C65" s="2">
        <v>4.4152992754039957E-3</v>
      </c>
      <c r="D65" s="2">
        <v>6.2358536362844323E-2</v>
      </c>
      <c r="E65" s="2">
        <v>5.9111459807536203E-4</v>
      </c>
      <c r="F65" s="2">
        <v>2.9078613078965766E-3</v>
      </c>
      <c r="G65" s="2">
        <v>6.8353684608705195E-2</v>
      </c>
      <c r="H65" s="2">
        <v>2.5566941395129954E-4</v>
      </c>
      <c r="I65" s="2">
        <v>1.7745279164831393E-3</v>
      </c>
      <c r="J65" s="2">
        <v>3.854834994992639E-2</v>
      </c>
      <c r="K65" s="2">
        <v>2.2363691421986053E-4</v>
      </c>
      <c r="L65" s="2">
        <v>1.0813922839108645E-3</v>
      </c>
      <c r="M65" s="2">
        <v>3.3546710315022224E-2</v>
      </c>
      <c r="N65" s="2">
        <v>2.5566941395129954E-4</v>
      </c>
      <c r="O65" s="2">
        <v>1.7745279164831393E-3</v>
      </c>
      <c r="P65" s="2">
        <v>3.854834994992639E-2</v>
      </c>
      <c r="Q65" s="2">
        <v>2.2363691421986053E-4</v>
      </c>
      <c r="R65" s="2">
        <v>1.0813922839108645E-3</v>
      </c>
      <c r="S65" s="2">
        <v>3.3546710315022224E-2</v>
      </c>
      <c r="T65" s="2">
        <v>2.5566941395129954E-4</v>
      </c>
      <c r="U65" s="2">
        <v>1.7745279164831393E-3</v>
      </c>
      <c r="V65" s="2">
        <v>3.854834994992639E-2</v>
      </c>
      <c r="W65" s="2">
        <v>2.2363691421986053E-4</v>
      </c>
      <c r="X65" s="2">
        <v>1.0813922839108645E-3</v>
      </c>
      <c r="Y65" s="2">
        <v>3.3546710315022224E-2</v>
      </c>
    </row>
    <row r="66" spans="1:25" x14ac:dyDescent="0.35">
      <c r="A66">
        <v>2044</v>
      </c>
      <c r="B66" s="2">
        <v>5.6926924762541135E-4</v>
      </c>
      <c r="C66" s="2">
        <v>4.4161926722040877E-3</v>
      </c>
      <c r="D66" s="2">
        <v>6.2811405071760168E-2</v>
      </c>
      <c r="E66" s="2">
        <v>5.8848869255162333E-4</v>
      </c>
      <c r="F66" s="2">
        <v>2.9058425101934297E-3</v>
      </c>
      <c r="G66" s="2">
        <v>6.9076340622740207E-2</v>
      </c>
      <c r="H66" s="2">
        <v>2.5455164430109576E-4</v>
      </c>
      <c r="I66" s="2">
        <v>1.7819236083752644E-3</v>
      </c>
      <c r="J66" s="2">
        <v>3.8821997714149015E-2</v>
      </c>
      <c r="K66" s="2">
        <v>2.2252818907311396E-4</v>
      </c>
      <c r="L66" s="2">
        <v>1.0865187684544323E-3</v>
      </c>
      <c r="M66" s="2">
        <v>3.3893383637854282E-2</v>
      </c>
      <c r="N66" s="2">
        <v>2.5455164430109576E-4</v>
      </c>
      <c r="O66" s="2">
        <v>1.7819236083752644E-3</v>
      </c>
      <c r="P66" s="2">
        <v>3.8821997714149015E-2</v>
      </c>
      <c r="Q66" s="2">
        <v>2.2252818907311396E-4</v>
      </c>
      <c r="R66" s="2">
        <v>1.0865187684544323E-3</v>
      </c>
      <c r="S66" s="2">
        <v>3.3893383637854282E-2</v>
      </c>
      <c r="T66" s="2">
        <v>2.5455164430109576E-4</v>
      </c>
      <c r="U66" s="2">
        <v>1.7819236083752644E-3</v>
      </c>
      <c r="V66" s="2">
        <v>3.8821997714149015E-2</v>
      </c>
      <c r="W66" s="2">
        <v>2.2252818907311396E-4</v>
      </c>
      <c r="X66" s="2">
        <v>1.0865187684544323E-3</v>
      </c>
      <c r="Y66" s="2">
        <v>3.3893383637854282E-2</v>
      </c>
    </row>
    <row r="67" spans="1:25" x14ac:dyDescent="0.35">
      <c r="A67">
        <v>2045</v>
      </c>
      <c r="B67" s="2">
        <v>5.6695120079236906E-4</v>
      </c>
      <c r="C67" s="2">
        <v>4.4116138371541047E-3</v>
      </c>
      <c r="D67" s="2">
        <v>6.3191297319499684E-2</v>
      </c>
      <c r="E67" s="2">
        <v>5.8584628063578783E-4</v>
      </c>
      <c r="F67" s="2">
        <v>2.9038395022849511E-3</v>
      </c>
      <c r="G67" s="2">
        <v>6.9720246146112996E-2</v>
      </c>
      <c r="H67" s="2">
        <v>2.5324258773613308E-4</v>
      </c>
      <c r="I67" s="2">
        <v>1.7867460491007689E-3</v>
      </c>
      <c r="J67" s="2">
        <v>3.9050825183280485E-2</v>
      </c>
      <c r="K67" s="2">
        <v>2.2123747072478171E-4</v>
      </c>
      <c r="L67" s="2">
        <v>1.09143437065739E-3</v>
      </c>
      <c r="M67" s="2">
        <v>3.4201647261513812E-2</v>
      </c>
      <c r="N67" s="2">
        <v>2.5324258773613308E-4</v>
      </c>
      <c r="O67" s="2">
        <v>1.7867460491007689E-3</v>
      </c>
      <c r="P67" s="2">
        <v>3.9050825183280485E-2</v>
      </c>
      <c r="Q67" s="2">
        <v>2.2123747072478171E-4</v>
      </c>
      <c r="R67" s="2">
        <v>1.09143437065739E-3</v>
      </c>
      <c r="S67" s="2">
        <v>3.4201647261513812E-2</v>
      </c>
      <c r="T67" s="2">
        <v>2.5324258773613308E-4</v>
      </c>
      <c r="U67" s="2">
        <v>1.7867460491007689E-3</v>
      </c>
      <c r="V67" s="2">
        <v>3.9050825183280485E-2</v>
      </c>
      <c r="W67" s="2">
        <v>2.2123747072478171E-4</v>
      </c>
      <c r="X67" s="2">
        <v>1.09143437065739E-3</v>
      </c>
      <c r="Y67" s="2">
        <v>3.4201647261513812E-2</v>
      </c>
    </row>
    <row r="68" spans="1:25" x14ac:dyDescent="0.35">
      <c r="A68">
        <v>2046</v>
      </c>
      <c r="B68" s="2">
        <v>5.6350186029291384E-4</v>
      </c>
      <c r="C68" s="2">
        <v>4.4043245326756027E-3</v>
      </c>
      <c r="D68" s="2">
        <v>6.3431617708538876E-2</v>
      </c>
      <c r="E68" s="2">
        <v>5.8323294371925502E-4</v>
      </c>
      <c r="F68" s="2">
        <v>2.9014628572564846E-3</v>
      </c>
      <c r="G68" s="2">
        <v>7.02075405787322E-2</v>
      </c>
      <c r="H68" s="2">
        <v>2.5114442184942867E-4</v>
      </c>
      <c r="I68" s="2">
        <v>1.7869997818968919E-3</v>
      </c>
      <c r="J68" s="2">
        <v>3.9194361253117371E-2</v>
      </c>
      <c r="K68" s="2">
        <v>2.197841307423333E-4</v>
      </c>
      <c r="L68" s="2">
        <v>1.0933136462584641E-3</v>
      </c>
      <c r="M68" s="2">
        <v>3.4434111447007865E-2</v>
      </c>
      <c r="N68" s="2">
        <v>2.5114442184942867E-4</v>
      </c>
      <c r="O68" s="2">
        <v>1.7869997818968919E-3</v>
      </c>
      <c r="P68" s="2">
        <v>3.9194361253117371E-2</v>
      </c>
      <c r="Q68" s="2">
        <v>2.197841307423333E-4</v>
      </c>
      <c r="R68" s="2">
        <v>1.0933136462584641E-3</v>
      </c>
      <c r="S68" s="2">
        <v>3.4434111447007865E-2</v>
      </c>
      <c r="T68" s="2">
        <v>2.5114442184942867E-4</v>
      </c>
      <c r="U68" s="2">
        <v>1.7869997818968919E-3</v>
      </c>
      <c r="V68" s="2">
        <v>3.9194361253117371E-2</v>
      </c>
      <c r="W68" s="2">
        <v>2.197841307423333E-4</v>
      </c>
      <c r="X68" s="2">
        <v>1.0933136462584641E-3</v>
      </c>
      <c r="Y68" s="2">
        <v>3.4434111447007865E-2</v>
      </c>
    </row>
    <row r="69" spans="1:25" x14ac:dyDescent="0.35">
      <c r="A69">
        <v>2047</v>
      </c>
      <c r="B69" s="2">
        <v>5.601008490518746E-4</v>
      </c>
      <c r="C69" s="2">
        <v>4.404593176485466E-3</v>
      </c>
      <c r="D69" s="2">
        <v>6.3575802064027673E-2</v>
      </c>
      <c r="E69" s="2">
        <v>5.8068496996933352E-4</v>
      </c>
      <c r="F69" s="2">
        <v>2.9035929386441888E-3</v>
      </c>
      <c r="G69" s="2">
        <v>7.0594288387423404E-2</v>
      </c>
      <c r="H69" s="2">
        <v>2.489275797938861E-4</v>
      </c>
      <c r="I69" s="2">
        <v>1.7862259242969352E-3</v>
      </c>
      <c r="J69" s="2">
        <v>3.9279056155168378E-2</v>
      </c>
      <c r="K69" s="2">
        <v>2.1821548094965308E-4</v>
      </c>
      <c r="L69" s="2">
        <v>1.0954896499012754E-3</v>
      </c>
      <c r="M69" s="2">
        <v>3.4617719333594817E-2</v>
      </c>
      <c r="N69" s="2">
        <v>2.489275797938861E-4</v>
      </c>
      <c r="O69" s="2">
        <v>1.7862259242969352E-3</v>
      </c>
      <c r="P69" s="2">
        <v>3.9279056155168378E-2</v>
      </c>
      <c r="Q69" s="2">
        <v>2.1821548094965308E-4</v>
      </c>
      <c r="R69" s="2">
        <v>1.0954896499012754E-3</v>
      </c>
      <c r="S69" s="2">
        <v>3.4617719333594817E-2</v>
      </c>
      <c r="T69" s="2">
        <v>2.489275797938861E-4</v>
      </c>
      <c r="U69" s="2">
        <v>1.7862259242969352E-3</v>
      </c>
      <c r="V69" s="2">
        <v>3.9279056155168378E-2</v>
      </c>
      <c r="W69" s="2">
        <v>2.1821548094965308E-4</v>
      </c>
      <c r="X69" s="2">
        <v>1.0954896499012754E-3</v>
      </c>
      <c r="Y69" s="2">
        <v>3.4617719333594817E-2</v>
      </c>
    </row>
    <row r="70" spans="1:25" x14ac:dyDescent="0.35">
      <c r="A70">
        <v>2048</v>
      </c>
      <c r="B70" s="2">
        <v>5.5796769021710301E-4</v>
      </c>
      <c r="C70" s="2">
        <v>4.40444843199624E-3</v>
      </c>
      <c r="D70" s="2">
        <v>6.3624120346595842E-2</v>
      </c>
      <c r="E70" s="2">
        <v>5.7825901106203369E-4</v>
      </c>
      <c r="F70" s="2">
        <v>2.9050662157323456E-3</v>
      </c>
      <c r="G70" s="2">
        <v>7.08704249651642E-2</v>
      </c>
      <c r="H70" s="2">
        <v>2.4726737496975714E-4</v>
      </c>
      <c r="I70" s="2">
        <v>1.7822045321662851E-3</v>
      </c>
      <c r="J70" s="2">
        <v>3.9305169603301188E-2</v>
      </c>
      <c r="K70" s="2">
        <v>2.1657254826197588E-4</v>
      </c>
      <c r="L70" s="2">
        <v>1.0944545270073639E-3</v>
      </c>
      <c r="M70" s="2">
        <v>3.4747916275152356E-2</v>
      </c>
      <c r="N70" s="2">
        <v>2.4726737496975714E-4</v>
      </c>
      <c r="O70" s="2">
        <v>1.7822045321662851E-3</v>
      </c>
      <c r="P70" s="2">
        <v>3.9305169603301188E-2</v>
      </c>
      <c r="Q70" s="2">
        <v>2.1657254826197588E-4</v>
      </c>
      <c r="R70" s="2">
        <v>1.0944545270073639E-3</v>
      </c>
      <c r="S70" s="2">
        <v>3.4747916275152356E-2</v>
      </c>
      <c r="T70" s="2">
        <v>2.4726737496975714E-4</v>
      </c>
      <c r="U70" s="2">
        <v>1.7822045321662851E-3</v>
      </c>
      <c r="V70" s="2">
        <v>3.9305169603301188E-2</v>
      </c>
      <c r="W70" s="2">
        <v>2.1657254826197588E-4</v>
      </c>
      <c r="X70" s="2">
        <v>1.0944545270073639E-3</v>
      </c>
      <c r="Y70" s="2">
        <v>3.4747916275152356E-2</v>
      </c>
    </row>
    <row r="71" spans="1:25" x14ac:dyDescent="0.35">
      <c r="A71">
        <v>2049</v>
      </c>
      <c r="B71" s="2">
        <v>5.5597075876367985E-4</v>
      </c>
      <c r="C71" s="2">
        <v>4.4002439572796816E-3</v>
      </c>
      <c r="D71" s="2">
        <v>6.3652130304266724E-2</v>
      </c>
      <c r="E71" s="2">
        <v>5.7457457521833369E-4</v>
      </c>
      <c r="F71" s="2">
        <v>2.9072556027235101E-3</v>
      </c>
      <c r="G71" s="2">
        <v>7.1103133347466596E-2</v>
      </c>
      <c r="H71" s="2">
        <v>2.455833601546747E-4</v>
      </c>
      <c r="I71" s="2">
        <v>1.7775359709965009E-3</v>
      </c>
      <c r="J71" s="2">
        <v>3.931867617233524E-2</v>
      </c>
      <c r="K71" s="2">
        <v>2.1429958037392659E-4</v>
      </c>
      <c r="L71" s="2">
        <v>1.0938112586755594E-3</v>
      </c>
      <c r="M71" s="2">
        <v>3.4856835503688649E-2</v>
      </c>
      <c r="N71" s="2">
        <v>2.455833601546747E-4</v>
      </c>
      <c r="O71" s="2">
        <v>1.7775359709965009E-3</v>
      </c>
      <c r="P71" s="2">
        <v>3.931867617233524E-2</v>
      </c>
      <c r="Q71" s="2">
        <v>2.1429958037392659E-4</v>
      </c>
      <c r="R71" s="2">
        <v>1.0938112586755594E-3</v>
      </c>
      <c r="S71" s="2">
        <v>3.4856835503688649E-2</v>
      </c>
      <c r="T71" s="2">
        <v>2.455833601546747E-4</v>
      </c>
      <c r="U71" s="2">
        <v>1.7775359709965009E-3</v>
      </c>
      <c r="V71" s="2">
        <v>3.931867617233524E-2</v>
      </c>
      <c r="W71" s="2">
        <v>2.1429958037392659E-4</v>
      </c>
      <c r="X71" s="2">
        <v>1.0938112586755594E-3</v>
      </c>
      <c r="Y71" s="2">
        <v>3.4856835503688649E-2</v>
      </c>
    </row>
    <row r="72" spans="1:25" x14ac:dyDescent="0.35">
      <c r="A72">
        <v>2050</v>
      </c>
      <c r="B72" s="2">
        <v>5.5415301921103808E-4</v>
      </c>
      <c r="C72" s="2">
        <v>4.3950121180270224E-3</v>
      </c>
      <c r="D72" s="2">
        <v>6.3641399367328641E-2</v>
      </c>
      <c r="E72" s="2">
        <v>5.724885115131037E-4</v>
      </c>
      <c r="F72" s="2">
        <v>2.9070788063449513E-3</v>
      </c>
      <c r="G72" s="2">
        <v>7.1267007890961395E-2</v>
      </c>
      <c r="H72" s="2">
        <v>2.4391282159711163E-4</v>
      </c>
      <c r="I72" s="2">
        <v>1.7732111590916374E-3</v>
      </c>
      <c r="J72" s="2">
        <v>3.9308329182846713E-2</v>
      </c>
      <c r="K72" s="2">
        <v>2.1262938598473629E-4</v>
      </c>
      <c r="L72" s="2">
        <v>1.0921374598666033E-3</v>
      </c>
      <c r="M72" s="2">
        <v>3.4932267604727077E-2</v>
      </c>
      <c r="N72" s="2">
        <v>2.4391282159711163E-4</v>
      </c>
      <c r="O72" s="2">
        <v>1.7732111590916374E-3</v>
      </c>
      <c r="P72" s="2">
        <v>3.9308329182846713E-2</v>
      </c>
      <c r="Q72" s="2">
        <v>2.1262938598473629E-4</v>
      </c>
      <c r="R72" s="2">
        <v>1.0921374598666033E-3</v>
      </c>
      <c r="S72" s="2">
        <v>3.4932267604727077E-2</v>
      </c>
      <c r="T72" s="2">
        <v>2.4391282159711163E-4</v>
      </c>
      <c r="U72" s="2">
        <v>1.7732111590916374E-3</v>
      </c>
      <c r="V72" s="2">
        <v>3.9308329182846713E-2</v>
      </c>
      <c r="W72" s="2">
        <v>2.1262938598473629E-4</v>
      </c>
      <c r="X72" s="2">
        <v>1.0921374598666033E-3</v>
      </c>
      <c r="Y72" s="2">
        <v>3.4932267604727077E-2</v>
      </c>
    </row>
    <row r="73" spans="1:25" x14ac:dyDescent="0.35">
      <c r="A73">
        <v>2051</v>
      </c>
      <c r="B73" s="2">
        <v>5.5136102620944683E-4</v>
      </c>
      <c r="C73" s="2">
        <v>4.3890085929081096E-3</v>
      </c>
      <c r="D73" s="2">
        <v>6.3590280100567373E-2</v>
      </c>
      <c r="E73" s="2">
        <v>5.7060549952889998E-4</v>
      </c>
      <c r="F73" s="2">
        <v>2.9068710864176566E-3</v>
      </c>
      <c r="G73" s="2">
        <v>7.1393271589647797E-2</v>
      </c>
      <c r="H73" s="2">
        <v>2.4165745451446512E-4</v>
      </c>
      <c r="I73" s="2">
        <v>1.7677399613559952E-3</v>
      </c>
      <c r="J73" s="2">
        <v>3.9273141124168291E-2</v>
      </c>
      <c r="K73" s="2">
        <v>2.1099444981025037E-4</v>
      </c>
      <c r="L73" s="2">
        <v>1.0898479468859062E-3</v>
      </c>
      <c r="M73" s="2">
        <v>3.4989285157942904E-2</v>
      </c>
      <c r="N73" s="2">
        <v>2.4165745451446512E-4</v>
      </c>
      <c r="O73" s="2">
        <v>1.7677399613559952E-3</v>
      </c>
      <c r="P73" s="2">
        <v>3.9273141124168291E-2</v>
      </c>
      <c r="Q73" s="2">
        <v>2.1099444981025037E-4</v>
      </c>
      <c r="R73" s="2">
        <v>1.0898479468859062E-3</v>
      </c>
      <c r="S73" s="2">
        <v>3.4989285157942904E-2</v>
      </c>
      <c r="T73" s="2">
        <v>2.4165745451446512E-4</v>
      </c>
      <c r="U73" s="2">
        <v>1.7677399613559952E-3</v>
      </c>
      <c r="V73" s="2">
        <v>3.9273141124168291E-2</v>
      </c>
      <c r="W73" s="2">
        <v>2.1099444981025037E-4</v>
      </c>
      <c r="X73" s="2">
        <v>1.0898479468859062E-3</v>
      </c>
      <c r="Y73" s="2">
        <v>3.4989285157942904E-2</v>
      </c>
    </row>
    <row r="74" spans="1:25" x14ac:dyDescent="0.35">
      <c r="A74">
        <v>2052</v>
      </c>
      <c r="B74" s="2">
        <v>5.4846700310809317E-4</v>
      </c>
      <c r="C74" s="2">
        <v>4.3820736357730056E-3</v>
      </c>
      <c r="D74" s="2">
        <v>6.3526033763510084E-2</v>
      </c>
      <c r="E74" s="2">
        <v>5.6727133770731063E-4</v>
      </c>
      <c r="F74" s="2">
        <v>2.9090155660481242E-3</v>
      </c>
      <c r="G74" s="2">
        <v>7.1477759669750798E-2</v>
      </c>
      <c r="H74" s="2">
        <v>2.3953975780375764E-4</v>
      </c>
      <c r="I74" s="2">
        <v>1.7617213549063493E-3</v>
      </c>
      <c r="J74" s="2">
        <v>3.9229629445712955E-2</v>
      </c>
      <c r="K74" s="2">
        <v>2.0886281805324733E-4</v>
      </c>
      <c r="L74" s="2">
        <v>1.087739043840635E-3</v>
      </c>
      <c r="M74" s="2">
        <v>3.5025706362951443E-2</v>
      </c>
      <c r="N74" s="2">
        <v>2.3953975780375764E-4</v>
      </c>
      <c r="O74" s="2">
        <v>1.7617213549063493E-3</v>
      </c>
      <c r="P74" s="2">
        <v>3.9229629445712955E-2</v>
      </c>
      <c r="Q74" s="2">
        <v>2.0886281805324733E-4</v>
      </c>
      <c r="R74" s="2">
        <v>1.087739043840635E-3</v>
      </c>
      <c r="S74" s="2">
        <v>3.5025706362951443E-2</v>
      </c>
      <c r="T74" s="2">
        <v>2.3953975780375764E-4</v>
      </c>
      <c r="U74" s="2">
        <v>1.7617213549063493E-3</v>
      </c>
      <c r="V74" s="2">
        <v>3.9229629445712955E-2</v>
      </c>
      <c r="W74" s="2">
        <v>2.0886281805324733E-4</v>
      </c>
      <c r="X74" s="2">
        <v>1.087739043840635E-3</v>
      </c>
      <c r="Y74" s="2">
        <v>3.5025706362951443E-2</v>
      </c>
    </row>
    <row r="75" spans="1:25" x14ac:dyDescent="0.35">
      <c r="A75">
        <v>2053</v>
      </c>
      <c r="B75" s="2">
        <v>5.4708776074517164E-4</v>
      </c>
      <c r="C75" s="2">
        <v>4.3799859488446204E-3</v>
      </c>
      <c r="D75" s="2">
        <v>6.3436951915438883E-2</v>
      </c>
      <c r="E75" s="2">
        <v>5.6565885888536932E-4</v>
      </c>
      <c r="F75" s="2">
        <v>2.9109347430124333E-3</v>
      </c>
      <c r="G75" s="2">
        <v>7.15038770933214E-2</v>
      </c>
      <c r="H75" s="2">
        <v>2.3810184153657499E-4</v>
      </c>
      <c r="I75" s="2">
        <v>1.7568984138845562E-3</v>
      </c>
      <c r="J75" s="2">
        <v>3.9170706870266789E-2</v>
      </c>
      <c r="K75" s="2">
        <v>2.0739426671960198E-4</v>
      </c>
      <c r="L75" s="2">
        <v>1.0852665530727938E-3</v>
      </c>
      <c r="M75" s="2">
        <v>3.5033675850695202E-2</v>
      </c>
      <c r="N75" s="2">
        <v>2.3810184153657499E-4</v>
      </c>
      <c r="O75" s="2">
        <v>1.7568984138845562E-3</v>
      </c>
      <c r="P75" s="2">
        <v>3.9170706870266789E-2</v>
      </c>
      <c r="Q75" s="2">
        <v>2.0739426671960198E-4</v>
      </c>
      <c r="R75" s="2">
        <v>1.0852665530727938E-3</v>
      </c>
      <c r="S75" s="2">
        <v>3.5033675850695202E-2</v>
      </c>
      <c r="T75" s="2">
        <v>2.3810184153657499E-4</v>
      </c>
      <c r="U75" s="2">
        <v>1.7568984138845562E-3</v>
      </c>
      <c r="V75" s="2">
        <v>3.9170706870266789E-2</v>
      </c>
      <c r="W75" s="2">
        <v>2.0739426671960198E-4</v>
      </c>
      <c r="X75" s="2">
        <v>1.0852665530727938E-3</v>
      </c>
      <c r="Y75" s="2">
        <v>3.5033675850695202E-2</v>
      </c>
    </row>
    <row r="76" spans="1:25" x14ac:dyDescent="0.35">
      <c r="A76">
        <v>2054</v>
      </c>
      <c r="B76" s="2">
        <v>5.4584449841955495E-4</v>
      </c>
      <c r="C76" s="2">
        <v>4.3732760961879506E-3</v>
      </c>
      <c r="D76" s="2">
        <v>6.3296710228292002E-2</v>
      </c>
      <c r="E76" s="2">
        <v>5.642049382027464E-4</v>
      </c>
      <c r="F76" s="2">
        <v>2.9063168667979697E-3</v>
      </c>
      <c r="G76" s="2">
        <v>7.1483049106636998E-2</v>
      </c>
      <c r="H76" s="2">
        <v>2.3677307227560604E-4</v>
      </c>
      <c r="I76" s="2">
        <v>1.7510069499864151E-3</v>
      </c>
      <c r="J76" s="2">
        <v>3.9080433879312482E-2</v>
      </c>
      <c r="K76" s="2">
        <v>2.0602805859649731E-4</v>
      </c>
      <c r="L76" s="2">
        <v>1.0808657843272647E-3</v>
      </c>
      <c r="M76" s="2">
        <v>3.5018778183828918E-2</v>
      </c>
      <c r="N76" s="2">
        <v>2.3677307227560604E-4</v>
      </c>
      <c r="O76" s="2">
        <v>1.7510069499864151E-3</v>
      </c>
      <c r="P76" s="2">
        <v>3.9080433879312482E-2</v>
      </c>
      <c r="Q76" s="2">
        <v>2.0602805859649731E-4</v>
      </c>
      <c r="R76" s="2">
        <v>1.0808657843272647E-3</v>
      </c>
      <c r="S76" s="2">
        <v>3.5018778183828918E-2</v>
      </c>
      <c r="T76" s="2">
        <v>2.3677307227560604E-4</v>
      </c>
      <c r="U76" s="2">
        <v>1.7510069499864151E-3</v>
      </c>
      <c r="V76" s="2">
        <v>3.9080433879312482E-2</v>
      </c>
      <c r="W76" s="2">
        <v>2.0602805859649731E-4</v>
      </c>
      <c r="X76" s="2">
        <v>1.0808657843272647E-3</v>
      </c>
      <c r="Y76" s="2">
        <v>3.5018778183828918E-2</v>
      </c>
    </row>
    <row r="77" spans="1:25" x14ac:dyDescent="0.35">
      <c r="A77">
        <v>2055</v>
      </c>
      <c r="B77" s="2">
        <v>5.4469242035801732E-4</v>
      </c>
      <c r="C77" s="2">
        <v>4.3586230624906791E-3</v>
      </c>
      <c r="D77" s="2">
        <v>6.3102144087509915E-2</v>
      </c>
      <c r="E77" s="2">
        <v>5.6128534689562574E-4</v>
      </c>
      <c r="F77" s="2">
        <v>2.9020685838973105E-3</v>
      </c>
      <c r="G77" s="2">
        <v>7.1379304222564E-2</v>
      </c>
      <c r="H77" s="2">
        <v>2.3554543306746959E-4</v>
      </c>
      <c r="I77" s="2">
        <v>1.7428791104726726E-3</v>
      </c>
      <c r="J77" s="2">
        <v>3.8956932320058188E-2</v>
      </c>
      <c r="K77" s="2">
        <v>2.0420799649328514E-4</v>
      </c>
      <c r="L77" s="2">
        <v>1.0761429810574004E-3</v>
      </c>
      <c r="M77" s="2">
        <v>3.4963674952187086E-2</v>
      </c>
      <c r="N77" s="2">
        <v>2.3554543306746959E-4</v>
      </c>
      <c r="O77" s="2">
        <v>1.7428791104726726E-3</v>
      </c>
      <c r="P77" s="2">
        <v>3.8956932320058188E-2</v>
      </c>
      <c r="Q77" s="2">
        <v>2.0420799649328514E-4</v>
      </c>
      <c r="R77" s="2">
        <v>1.0761429810574004E-3</v>
      </c>
      <c r="S77" s="2">
        <v>3.4963674952187086E-2</v>
      </c>
      <c r="T77" s="2">
        <v>2.3554543306746959E-4</v>
      </c>
      <c r="U77" s="2">
        <v>1.7428791104726726E-3</v>
      </c>
      <c r="V77" s="2">
        <v>3.8956932320058188E-2</v>
      </c>
      <c r="W77" s="2">
        <v>2.0420799649328514E-4</v>
      </c>
      <c r="X77" s="2">
        <v>1.0761429810574004E-3</v>
      </c>
      <c r="Y77" s="2">
        <v>3.4963674952187086E-2</v>
      </c>
    </row>
    <row r="78" spans="1:25" x14ac:dyDescent="0.35">
      <c r="A78">
        <v>2056</v>
      </c>
      <c r="B78" s="2">
        <v>5.4242546429916381E-4</v>
      </c>
      <c r="C78" s="2">
        <v>4.3421816085387165E-3</v>
      </c>
      <c r="D78" s="2">
        <v>6.28993490315784E-2</v>
      </c>
      <c r="E78" s="2">
        <v>5.5999119366849988E-4</v>
      </c>
      <c r="F78" s="2">
        <v>2.8929338660840568E-3</v>
      </c>
      <c r="G78" s="2">
        <v>7.1243365744617607E-2</v>
      </c>
      <c r="H78" s="2">
        <v>2.3377933185131304E-4</v>
      </c>
      <c r="I78" s="2">
        <v>1.7349420377156138E-3</v>
      </c>
      <c r="J78" s="2">
        <v>3.8828280982196033E-2</v>
      </c>
      <c r="K78" s="2">
        <v>2.0302585653657877E-4</v>
      </c>
      <c r="L78" s="2">
        <v>1.0704511747987688E-3</v>
      </c>
      <c r="M78" s="2">
        <v>3.4892781765923545E-2</v>
      </c>
      <c r="N78" s="2">
        <v>2.3377933185131304E-4</v>
      </c>
      <c r="O78" s="2">
        <v>1.7349420377156138E-3</v>
      </c>
      <c r="P78" s="2">
        <v>3.8828280982196033E-2</v>
      </c>
      <c r="Q78" s="2">
        <v>2.0302585653657877E-4</v>
      </c>
      <c r="R78" s="2">
        <v>1.0704511747987688E-3</v>
      </c>
      <c r="S78" s="2">
        <v>3.4892781765923545E-2</v>
      </c>
      <c r="T78" s="2">
        <v>2.3377933185131304E-4</v>
      </c>
      <c r="U78" s="2">
        <v>1.7349420377156138E-3</v>
      </c>
      <c r="V78" s="2">
        <v>3.8828280982196033E-2</v>
      </c>
      <c r="W78" s="2">
        <v>2.0302585653657877E-4</v>
      </c>
      <c r="X78" s="2">
        <v>1.0704511747987688E-3</v>
      </c>
      <c r="Y78" s="2">
        <v>3.4892781765923545E-2</v>
      </c>
    </row>
    <row r="79" spans="1:25" x14ac:dyDescent="0.35">
      <c r="A79">
        <v>2057</v>
      </c>
      <c r="B79" s="2">
        <v>5.413530379097944E-4</v>
      </c>
      <c r="C79" s="2">
        <v>4.328954132041536E-3</v>
      </c>
      <c r="D79" s="2">
        <v>6.2735514069144807E-2</v>
      </c>
      <c r="E79" s="2">
        <v>5.5873923382036145E-4</v>
      </c>
      <c r="F79" s="2">
        <v>2.8834299854780723E-3</v>
      </c>
      <c r="G79" s="2">
        <v>7.11194401071302E-2</v>
      </c>
      <c r="H79" s="2">
        <v>2.3273272955125069E-4</v>
      </c>
      <c r="I79" s="2">
        <v>1.7303727177131239E-3</v>
      </c>
      <c r="J79" s="2">
        <v>3.8723246947276024E-2</v>
      </c>
      <c r="K79" s="2">
        <v>2.0192267639440234E-4</v>
      </c>
      <c r="L79" s="2">
        <v>1.0661711614066765E-3</v>
      </c>
      <c r="M79" s="2">
        <v>3.4827255939781365E-2</v>
      </c>
      <c r="N79" s="2">
        <v>2.3273272955125069E-4</v>
      </c>
      <c r="O79" s="2">
        <v>1.7303727177131239E-3</v>
      </c>
      <c r="P79" s="2">
        <v>3.8723246947276024E-2</v>
      </c>
      <c r="Q79" s="2">
        <v>2.0192267639440234E-4</v>
      </c>
      <c r="R79" s="2">
        <v>1.0661711614066765E-3</v>
      </c>
      <c r="S79" s="2">
        <v>3.4827255939781365E-2</v>
      </c>
      <c r="T79" s="2">
        <v>2.3273272955125069E-4</v>
      </c>
      <c r="U79" s="2">
        <v>1.7303727177131239E-3</v>
      </c>
      <c r="V79" s="2">
        <v>3.8723246947276024E-2</v>
      </c>
      <c r="W79" s="2">
        <v>2.0192267639440234E-4</v>
      </c>
      <c r="X79" s="2">
        <v>1.0661711614066765E-3</v>
      </c>
      <c r="Y79" s="2">
        <v>3.4827255939781365E-2</v>
      </c>
    </row>
    <row r="80" spans="1:25" x14ac:dyDescent="0.35">
      <c r="A80">
        <v>2058</v>
      </c>
      <c r="B80" s="2">
        <v>5.4028429919520456E-4</v>
      </c>
      <c r="C80" s="2">
        <v>4.3114309515211845E-3</v>
      </c>
      <c r="D80" s="2">
        <v>6.25720109667256E-2</v>
      </c>
      <c r="E80" s="2">
        <v>5.5749554993471482E-4</v>
      </c>
      <c r="F80" s="2">
        <v>2.873007014024551E-3</v>
      </c>
      <c r="G80" s="2">
        <v>7.0985699015012602E-2</v>
      </c>
      <c r="H80" s="2">
        <v>2.3175551501622223E-4</v>
      </c>
      <c r="I80" s="2">
        <v>1.7247290872415642E-3</v>
      </c>
      <c r="J80" s="2">
        <v>3.8618440312789333E-2</v>
      </c>
      <c r="K80" s="2">
        <v>2.0088441284071238E-4</v>
      </c>
      <c r="L80" s="2">
        <v>1.0617261325739859E-3</v>
      </c>
      <c r="M80" s="2">
        <v>3.4756687942924268E-2</v>
      </c>
      <c r="N80" s="2">
        <v>2.3175551501622223E-4</v>
      </c>
      <c r="O80" s="2">
        <v>1.7247290872415642E-3</v>
      </c>
      <c r="P80" s="2">
        <v>3.8618440312789333E-2</v>
      </c>
      <c r="Q80" s="2">
        <v>2.0088441284071238E-4</v>
      </c>
      <c r="R80" s="2">
        <v>1.0617261325739859E-3</v>
      </c>
      <c r="S80" s="2">
        <v>3.4756687942924268E-2</v>
      </c>
      <c r="T80" s="2">
        <v>2.3175551501622223E-4</v>
      </c>
      <c r="U80" s="2">
        <v>1.7247290872415642E-3</v>
      </c>
      <c r="V80" s="2">
        <v>3.8618440312789333E-2</v>
      </c>
      <c r="W80" s="2">
        <v>2.0088441284071238E-4</v>
      </c>
      <c r="X80" s="2">
        <v>1.0617261325739859E-3</v>
      </c>
      <c r="Y80" s="2">
        <v>3.4756687942924268E-2</v>
      </c>
    </row>
    <row r="81" spans="1:25" x14ac:dyDescent="0.35">
      <c r="A81">
        <v>2059</v>
      </c>
      <c r="B81" s="2">
        <v>5.3920273355922445E-4</v>
      </c>
      <c r="C81" s="2">
        <v>4.2914654112790069E-3</v>
      </c>
      <c r="D81" s="2">
        <v>6.2405607526707048E-2</v>
      </c>
      <c r="E81" s="2">
        <v>5.5623910278715079E-4</v>
      </c>
      <c r="F81" s="2">
        <v>2.865461098837143E-3</v>
      </c>
      <c r="G81" s="2">
        <v>7.0870372658604006E-2</v>
      </c>
      <c r="H81" s="2">
        <v>2.3084439528292812E-4</v>
      </c>
      <c r="I81" s="2">
        <v>1.7178854639106017E-3</v>
      </c>
      <c r="J81" s="2">
        <v>3.8511929779896835E-2</v>
      </c>
      <c r="K81" s="2">
        <v>1.9990683647157594E-4</v>
      </c>
      <c r="L81" s="2">
        <v>1.0580065620583478E-3</v>
      </c>
      <c r="M81" s="2">
        <v>3.4694889649584587E-2</v>
      </c>
      <c r="N81" s="2">
        <v>2.3084439528292812E-4</v>
      </c>
      <c r="O81" s="2">
        <v>1.7178854639106017E-3</v>
      </c>
      <c r="P81" s="2">
        <v>3.8511929779896835E-2</v>
      </c>
      <c r="Q81" s="2">
        <v>1.9990683647157594E-4</v>
      </c>
      <c r="R81" s="2">
        <v>1.0580065620583478E-3</v>
      </c>
      <c r="S81" s="2">
        <v>3.4694889649584587E-2</v>
      </c>
      <c r="T81" s="2">
        <v>2.3084439528292812E-4</v>
      </c>
      <c r="U81" s="2">
        <v>1.7178854639106017E-3</v>
      </c>
      <c r="V81" s="2">
        <v>3.8511929779896835E-2</v>
      </c>
      <c r="W81" s="2">
        <v>1.9990683647157594E-4</v>
      </c>
      <c r="X81" s="2">
        <v>1.0580065620583478E-3</v>
      </c>
      <c r="Y81" s="2">
        <v>3.4694889649584587E-2</v>
      </c>
    </row>
    <row r="82" spans="1:25" x14ac:dyDescent="0.35">
      <c r="A82">
        <v>2060</v>
      </c>
      <c r="B82" s="2">
        <v>5.3950775256849531E-4</v>
      </c>
      <c r="C82" s="2">
        <v>4.2748237503369016E-3</v>
      </c>
      <c r="D82" s="2">
        <v>6.2222755537522566E-2</v>
      </c>
      <c r="E82" s="2">
        <v>5.5497669285588713E-4</v>
      </c>
      <c r="F82" s="2">
        <v>2.8533517692388016E-3</v>
      </c>
      <c r="G82" s="2">
        <v>7.0753642908008604E-2</v>
      </c>
      <c r="H82" s="2">
        <v>2.3054839980024403E-4</v>
      </c>
      <c r="I82" s="2">
        <v>1.711249598288447E-3</v>
      </c>
      <c r="J82" s="2">
        <v>3.8395393250835061E-2</v>
      </c>
      <c r="K82" s="2">
        <v>1.989875900834196E-4</v>
      </c>
      <c r="L82" s="2">
        <v>1.0535527683341644E-3</v>
      </c>
      <c r="M82" s="2">
        <v>3.4632250320452099E-2</v>
      </c>
      <c r="N82" s="2">
        <v>2.3054839980024403E-4</v>
      </c>
      <c r="O82" s="2">
        <v>1.711249598288447E-3</v>
      </c>
      <c r="P82" s="2">
        <v>3.8395393250835061E-2</v>
      </c>
      <c r="Q82" s="2">
        <v>1.989875900834196E-4</v>
      </c>
      <c r="R82" s="2">
        <v>1.0535527683341644E-3</v>
      </c>
      <c r="S82" s="2">
        <v>3.4632250320452099E-2</v>
      </c>
      <c r="T82" s="2">
        <v>2.3054839980024403E-4</v>
      </c>
      <c r="U82" s="2">
        <v>1.711249598288447E-3</v>
      </c>
      <c r="V82" s="2">
        <v>3.8395393250835061E-2</v>
      </c>
      <c r="W82" s="2">
        <v>1.989875900834196E-4</v>
      </c>
      <c r="X82" s="2">
        <v>1.0535527683341644E-3</v>
      </c>
      <c r="Y82" s="2">
        <v>3.4632250320452099E-2</v>
      </c>
    </row>
    <row r="83" spans="1:25" x14ac:dyDescent="0.35">
      <c r="A83">
        <v>2061</v>
      </c>
      <c r="B83" s="2">
        <v>5.3585317678010985E-4</v>
      </c>
      <c r="C83" s="2">
        <v>4.2633023017164574E-3</v>
      </c>
      <c r="D83" s="2">
        <v>6.2121456403341602E-2</v>
      </c>
      <c r="E83" s="2">
        <v>5.5370920715508453E-4</v>
      </c>
      <c r="F83" s="2">
        <v>2.846978052816901E-3</v>
      </c>
      <c r="G83" s="2">
        <v>7.0712469945904396E-2</v>
      </c>
      <c r="H83" s="2">
        <v>2.2856346182523177E-4</v>
      </c>
      <c r="I83" s="2">
        <v>1.7074553445528239E-3</v>
      </c>
      <c r="J83" s="2">
        <v>3.8328641458242697E-2</v>
      </c>
      <c r="K83" s="2">
        <v>1.9810884242972722E-4</v>
      </c>
      <c r="L83" s="2">
        <v>1.0510206819492154E-3</v>
      </c>
      <c r="M83" s="2">
        <v>3.4605808771902127E-2</v>
      </c>
      <c r="N83" s="2">
        <v>2.2856346182523177E-4</v>
      </c>
      <c r="O83" s="2">
        <v>1.7074553445528239E-3</v>
      </c>
      <c r="P83" s="2">
        <v>3.8328641458242697E-2</v>
      </c>
      <c r="Q83" s="2">
        <v>1.9810884242972722E-4</v>
      </c>
      <c r="R83" s="2">
        <v>1.0510206819492154E-3</v>
      </c>
      <c r="S83" s="2">
        <v>3.4605808771902127E-2</v>
      </c>
      <c r="T83" s="2">
        <v>2.2856346182523177E-4</v>
      </c>
      <c r="U83" s="2">
        <v>1.7074553445528239E-3</v>
      </c>
      <c r="V83" s="2">
        <v>3.8328641458242697E-2</v>
      </c>
      <c r="W83" s="2">
        <v>1.9810884242972722E-4</v>
      </c>
      <c r="X83" s="2">
        <v>1.0510206819492154E-3</v>
      </c>
      <c r="Y83" s="2">
        <v>3.4605808771902127E-2</v>
      </c>
    </row>
    <row r="84" spans="1:25" x14ac:dyDescent="0.35">
      <c r="A84">
        <v>2062</v>
      </c>
      <c r="B84" s="2">
        <v>5.3473134638993365E-4</v>
      </c>
      <c r="C84" s="2">
        <v>4.2495449882347207E-3</v>
      </c>
      <c r="D84" s="2">
        <v>6.2081465283383999E-2</v>
      </c>
      <c r="E84" s="2">
        <v>5.5103633560532215E-4</v>
      </c>
      <c r="F84" s="2">
        <v>2.839706388999259E-3</v>
      </c>
      <c r="G84" s="2">
        <v>7.0742904614072996E-2</v>
      </c>
      <c r="H84" s="2">
        <v>2.2779816038035044E-4</v>
      </c>
      <c r="I84" s="2">
        <v>1.7046339515299266E-3</v>
      </c>
      <c r="J84" s="2">
        <v>3.8299193431281457E-2</v>
      </c>
      <c r="K84" s="2">
        <v>1.9668495301511607E-4</v>
      </c>
      <c r="L84" s="2">
        <v>1.04925118404212E-3</v>
      </c>
      <c r="M84" s="2">
        <v>3.4613722813383992E-2</v>
      </c>
      <c r="N84" s="2">
        <v>2.2779816038035044E-4</v>
      </c>
      <c r="O84" s="2">
        <v>1.7046339515299266E-3</v>
      </c>
      <c r="P84" s="2">
        <v>3.8299193431281457E-2</v>
      </c>
      <c r="Q84" s="2">
        <v>1.9668495301511607E-4</v>
      </c>
      <c r="R84" s="2">
        <v>1.04925118404212E-3</v>
      </c>
      <c r="S84" s="2">
        <v>3.4613722813383992E-2</v>
      </c>
      <c r="T84" s="2">
        <v>2.2779816038035044E-4</v>
      </c>
      <c r="U84" s="2">
        <v>1.7046339515299266E-3</v>
      </c>
      <c r="V84" s="2">
        <v>3.8299193431281457E-2</v>
      </c>
      <c r="W84" s="2">
        <v>1.9668495301511607E-4</v>
      </c>
      <c r="X84" s="2">
        <v>1.04925118404212E-3</v>
      </c>
      <c r="Y84" s="2">
        <v>3.4613722813383992E-2</v>
      </c>
    </row>
    <row r="85" spans="1:25" x14ac:dyDescent="0.35">
      <c r="A85">
        <v>2063</v>
      </c>
      <c r="B85" s="2">
        <v>5.3243521254073387E-4</v>
      </c>
      <c r="C85" s="2">
        <v>4.2386346811383547E-3</v>
      </c>
      <c r="D85" s="2">
        <v>6.2085158878292808E-2</v>
      </c>
      <c r="E85" s="2">
        <v>5.483330561931798E-4</v>
      </c>
      <c r="F85" s="2">
        <v>2.8344541969312544E-3</v>
      </c>
      <c r="G85" s="2">
        <v>7.0829489948392194E-2</v>
      </c>
      <c r="H85" s="2">
        <v>2.264282232032301E-4</v>
      </c>
      <c r="I85" s="2">
        <v>1.7041140069810775E-3</v>
      </c>
      <c r="J85" s="2">
        <v>3.8296317537938031E-2</v>
      </c>
      <c r="K85" s="2">
        <v>1.9527931935179796E-4</v>
      </c>
      <c r="L85" s="2">
        <v>1.0492220660120756E-3</v>
      </c>
      <c r="M85" s="2">
        <v>3.4648372736796211E-2</v>
      </c>
      <c r="N85" s="2">
        <v>2.264282232032301E-4</v>
      </c>
      <c r="O85" s="2">
        <v>1.7041140069810775E-3</v>
      </c>
      <c r="P85" s="2">
        <v>3.8296317537938031E-2</v>
      </c>
      <c r="Q85" s="2">
        <v>1.9527931935179796E-4</v>
      </c>
      <c r="R85" s="2">
        <v>1.0492220660120756E-3</v>
      </c>
      <c r="S85" s="2">
        <v>3.4648372736796211E-2</v>
      </c>
      <c r="T85" s="2">
        <v>2.264282232032301E-4</v>
      </c>
      <c r="U85" s="2">
        <v>1.7041140069810775E-3</v>
      </c>
      <c r="V85" s="2">
        <v>3.8296317537938031E-2</v>
      </c>
      <c r="W85" s="2">
        <v>1.9527931935179796E-4</v>
      </c>
      <c r="X85" s="2">
        <v>1.0492220660120756E-3</v>
      </c>
      <c r="Y85" s="2">
        <v>3.4648372736796211E-2</v>
      </c>
    </row>
    <row r="86" spans="1:25" x14ac:dyDescent="0.35">
      <c r="A86">
        <v>2064</v>
      </c>
      <c r="B86" s="2">
        <v>5.3128844757013556E-4</v>
      </c>
      <c r="C86" s="2">
        <v>4.2307228932972167E-3</v>
      </c>
      <c r="D86" s="2">
        <v>6.2072913800046238E-2</v>
      </c>
      <c r="E86" s="2">
        <v>5.4860169892440578E-4</v>
      </c>
      <c r="F86" s="2">
        <v>2.8312070429130955E-3</v>
      </c>
      <c r="G86" s="2">
        <v>7.0945830924553394E-2</v>
      </c>
      <c r="H86" s="2">
        <v>2.2571211815466017E-4</v>
      </c>
      <c r="I86" s="2">
        <v>1.7035916616799816E-3</v>
      </c>
      <c r="J86" s="2">
        <v>3.8283802276344613E-2</v>
      </c>
      <c r="K86" s="2">
        <v>1.9502579392844635E-4</v>
      </c>
      <c r="L86" s="2">
        <v>1.0495889319863229E-3</v>
      </c>
      <c r="M86" s="2">
        <v>3.4697443993670238E-2</v>
      </c>
      <c r="N86" s="2">
        <v>2.2571211815466017E-4</v>
      </c>
      <c r="O86" s="2">
        <v>1.7035916616799816E-3</v>
      </c>
      <c r="P86" s="2">
        <v>3.8283802276344613E-2</v>
      </c>
      <c r="Q86" s="2">
        <v>1.9502579392844635E-4</v>
      </c>
      <c r="R86" s="2">
        <v>1.0495889319863229E-3</v>
      </c>
      <c r="S86" s="2">
        <v>3.4697443993670238E-2</v>
      </c>
      <c r="T86" s="2">
        <v>2.2571211815466017E-4</v>
      </c>
      <c r="U86" s="2">
        <v>1.7035916616799816E-3</v>
      </c>
      <c r="V86" s="2">
        <v>3.8283802276344613E-2</v>
      </c>
      <c r="W86" s="2">
        <v>1.9502579392844635E-4</v>
      </c>
      <c r="X86" s="2">
        <v>1.0495889319863229E-3</v>
      </c>
      <c r="Y86" s="2">
        <v>3.4697443993670238E-2</v>
      </c>
    </row>
    <row r="87" spans="1:25" x14ac:dyDescent="0.35">
      <c r="A87">
        <v>2065</v>
      </c>
      <c r="B87" s="2">
        <v>5.3010913611018428E-4</v>
      </c>
      <c r="C87" s="2">
        <v>4.2186921802893872E-3</v>
      </c>
      <c r="D87" s="2">
        <v>6.201885228082385E-2</v>
      </c>
      <c r="E87" s="2">
        <v>5.4727035713305315E-4</v>
      </c>
      <c r="F87" s="2">
        <v>2.8290748734429235E-3</v>
      </c>
      <c r="G87" s="2">
        <v>7.1029773868991203E-2</v>
      </c>
      <c r="H87" s="2">
        <v>2.2500691001718133E-4</v>
      </c>
      <c r="I87" s="2">
        <v>1.6996724593141513E-3</v>
      </c>
      <c r="J87" s="2">
        <v>3.8246153370294723E-2</v>
      </c>
      <c r="K87" s="2">
        <v>1.9424947715364875E-4</v>
      </c>
      <c r="L87" s="2">
        <v>1.0494278940347908E-3</v>
      </c>
      <c r="M87" s="2">
        <v>3.4731083752008736E-2</v>
      </c>
      <c r="N87" s="2">
        <v>2.2500691001718133E-4</v>
      </c>
      <c r="O87" s="2">
        <v>1.6996724593141513E-3</v>
      </c>
      <c r="P87" s="2">
        <v>3.8246153370294723E-2</v>
      </c>
      <c r="Q87" s="2">
        <v>1.9424947715364875E-4</v>
      </c>
      <c r="R87" s="2">
        <v>1.0494278940347908E-3</v>
      </c>
      <c r="S87" s="2">
        <v>3.4731083752008736E-2</v>
      </c>
      <c r="T87" s="2">
        <v>2.2500691001718133E-4</v>
      </c>
      <c r="U87" s="2">
        <v>1.6996724593141513E-3</v>
      </c>
      <c r="V87" s="2">
        <v>3.8246153370294723E-2</v>
      </c>
      <c r="W87" s="2">
        <v>1.9424947715364875E-4</v>
      </c>
      <c r="X87" s="2">
        <v>1.0494278940347908E-3</v>
      </c>
      <c r="Y87" s="2">
        <v>3.4731083752008736E-2</v>
      </c>
    </row>
    <row r="88" spans="1:25" x14ac:dyDescent="0.35">
      <c r="A88">
        <v>2066</v>
      </c>
      <c r="B88" s="2">
        <v>5.2890840378625196E-4</v>
      </c>
      <c r="C88" s="2">
        <v>4.2070144345452117E-3</v>
      </c>
      <c r="D88" s="2">
        <v>6.1992522198085605E-2</v>
      </c>
      <c r="E88" s="2">
        <v>5.4310865895370165E-4</v>
      </c>
      <c r="F88" s="2">
        <v>2.8210487050699239E-3</v>
      </c>
      <c r="G88" s="2">
        <v>7.1147492990186606E-2</v>
      </c>
      <c r="H88" s="2">
        <v>2.2431137789711992E-4</v>
      </c>
      <c r="I88" s="2">
        <v>1.6969390946846184E-3</v>
      </c>
      <c r="J88" s="2">
        <v>3.8225510277939821E-2</v>
      </c>
      <c r="K88" s="2">
        <v>1.9231445884240346E-4</v>
      </c>
      <c r="L88" s="2">
        <v>1.0484745302111298E-3</v>
      </c>
      <c r="M88" s="2">
        <v>3.4780856664994746E-2</v>
      </c>
      <c r="N88" s="2">
        <v>2.2431137789711992E-4</v>
      </c>
      <c r="O88" s="2">
        <v>1.6969390946846184E-3</v>
      </c>
      <c r="P88" s="2">
        <v>3.8225510277939821E-2</v>
      </c>
      <c r="Q88" s="2">
        <v>1.9231445884240346E-4</v>
      </c>
      <c r="R88" s="2">
        <v>1.0484745302111298E-3</v>
      </c>
      <c r="S88" s="2">
        <v>3.4780856664994746E-2</v>
      </c>
      <c r="T88" s="2">
        <v>2.2431137789711992E-4</v>
      </c>
      <c r="U88" s="2">
        <v>1.6969390946846184E-3</v>
      </c>
      <c r="V88" s="2">
        <v>3.8225510277939821E-2</v>
      </c>
      <c r="W88" s="2">
        <v>1.9231445884240346E-4</v>
      </c>
      <c r="X88" s="2">
        <v>1.0484745302111298E-3</v>
      </c>
      <c r="Y88" s="2">
        <v>3.4780856664994746E-2</v>
      </c>
    </row>
    <row r="89" spans="1:25" x14ac:dyDescent="0.35">
      <c r="A89">
        <v>2067</v>
      </c>
      <c r="B89" s="2">
        <v>5.2911004647602231E-4</v>
      </c>
      <c r="C89" s="2">
        <v>4.19900617330637E-3</v>
      </c>
      <c r="D89" s="2">
        <v>6.2057493671127693E-2</v>
      </c>
      <c r="E89" s="2">
        <v>5.4174343355886374E-4</v>
      </c>
      <c r="F89" s="2">
        <v>2.8172104467390053E-3</v>
      </c>
      <c r="G89" s="2">
        <v>7.1325147278327394E-2</v>
      </c>
      <c r="H89" s="2">
        <v>2.241670956284982E-4</v>
      </c>
      <c r="I89" s="2">
        <v>1.6962867399640492E-3</v>
      </c>
      <c r="J89" s="2">
        <v>3.8260405180316183E-2</v>
      </c>
      <c r="K89" s="2">
        <v>1.9154827484123659E-4</v>
      </c>
      <c r="L89" s="2">
        <v>1.0489424093636508E-3</v>
      </c>
      <c r="M89" s="2">
        <v>3.4859174294952888E-2</v>
      </c>
      <c r="N89" s="2">
        <v>2.241670956284982E-4</v>
      </c>
      <c r="O89" s="2">
        <v>1.6962867399640492E-3</v>
      </c>
      <c r="P89" s="2">
        <v>3.8260405180316183E-2</v>
      </c>
      <c r="Q89" s="2">
        <v>1.9154827484123659E-4</v>
      </c>
      <c r="R89" s="2">
        <v>1.0489424093636508E-3</v>
      </c>
      <c r="S89" s="2">
        <v>3.4859174294952888E-2</v>
      </c>
      <c r="T89" s="2">
        <v>2.241670956284982E-4</v>
      </c>
      <c r="U89" s="2">
        <v>1.6962867399640492E-3</v>
      </c>
      <c r="V89" s="2">
        <v>3.8260405180316183E-2</v>
      </c>
      <c r="W89" s="2">
        <v>1.9154827484123659E-4</v>
      </c>
      <c r="X89" s="2">
        <v>1.0489424093636508E-3</v>
      </c>
      <c r="Y89" s="2">
        <v>3.4859174294952888E-2</v>
      </c>
    </row>
    <row r="90" spans="1:25" x14ac:dyDescent="0.35">
      <c r="A90">
        <v>2068</v>
      </c>
      <c r="B90" s="2">
        <v>5.2527387254623799E-4</v>
      </c>
      <c r="C90" s="2">
        <v>4.1920475107608216E-3</v>
      </c>
      <c r="D90" s="2">
        <v>6.2132408672970568E-2</v>
      </c>
      <c r="E90" s="2">
        <v>5.4031377345685439E-4</v>
      </c>
      <c r="F90" s="2">
        <v>2.8206820290463896E-3</v>
      </c>
      <c r="G90" s="2">
        <v>7.15029647763952E-2</v>
      </c>
      <c r="H90" s="2">
        <v>2.2228668579187921E-4</v>
      </c>
      <c r="I90" s="2">
        <v>1.6954446101431016E-3</v>
      </c>
      <c r="J90" s="2">
        <v>3.8301516968062103E-2</v>
      </c>
      <c r="K90" s="2">
        <v>1.9077779432108576E-4</v>
      </c>
      <c r="L90" s="2">
        <v>1.0511813018982338E-3</v>
      </c>
      <c r="M90" s="2">
        <v>3.4937693395011696E-2</v>
      </c>
      <c r="N90" s="2">
        <v>2.2228668579187921E-4</v>
      </c>
      <c r="O90" s="2">
        <v>1.6954446101431016E-3</v>
      </c>
      <c r="P90" s="2">
        <v>3.8301516968062103E-2</v>
      </c>
      <c r="Q90" s="2">
        <v>1.9077779432108576E-4</v>
      </c>
      <c r="R90" s="2">
        <v>1.0511813018982338E-3</v>
      </c>
      <c r="S90" s="2">
        <v>3.4937693395011696E-2</v>
      </c>
      <c r="T90" s="2">
        <v>2.2228668579187921E-4</v>
      </c>
      <c r="U90" s="2">
        <v>1.6954446101431016E-3</v>
      </c>
      <c r="V90" s="2">
        <v>3.8301516968062103E-2</v>
      </c>
      <c r="W90" s="2">
        <v>1.9077779432108576E-4</v>
      </c>
      <c r="X90" s="2">
        <v>1.0511813018982338E-3</v>
      </c>
      <c r="Y90" s="2">
        <v>3.4937693395011696E-2</v>
      </c>
    </row>
    <row r="91" spans="1:25" x14ac:dyDescent="0.35">
      <c r="A91">
        <v>2069</v>
      </c>
      <c r="B91" s="2">
        <v>5.2253802383789576E-4</v>
      </c>
      <c r="C91" s="2">
        <v>4.1869117042566588E-3</v>
      </c>
      <c r="D91" s="2">
        <v>6.2185247552118093E-2</v>
      </c>
      <c r="E91" s="2">
        <v>5.3883343708984713E-4</v>
      </c>
      <c r="F91" s="2">
        <v>2.8191930236522887E-3</v>
      </c>
      <c r="G91" s="2">
        <v>7.1677507261709197E-2</v>
      </c>
      <c r="H91" s="2">
        <v>2.2100864957005193E-4</v>
      </c>
      <c r="I91" s="2">
        <v>1.6933501410908048E-3</v>
      </c>
      <c r="J91" s="2">
        <v>3.8329605442655956E-2</v>
      </c>
      <c r="K91" s="2">
        <v>1.8999469250912535E-4</v>
      </c>
      <c r="L91" s="2">
        <v>1.0506989685250578E-3</v>
      </c>
      <c r="M91" s="2">
        <v>3.501506573097133E-2</v>
      </c>
      <c r="N91" s="2">
        <v>2.2100864957005193E-4</v>
      </c>
      <c r="O91" s="2">
        <v>1.6933501410908048E-3</v>
      </c>
      <c r="P91" s="2">
        <v>3.8329605442655956E-2</v>
      </c>
      <c r="Q91" s="2">
        <v>1.8999469250912535E-4</v>
      </c>
      <c r="R91" s="2">
        <v>1.0506989685250578E-3</v>
      </c>
      <c r="S91" s="2">
        <v>3.501506573097133E-2</v>
      </c>
      <c r="T91" s="2">
        <v>2.2100864957005193E-4</v>
      </c>
      <c r="U91" s="2">
        <v>1.6933501410908048E-3</v>
      </c>
      <c r="V91" s="2">
        <v>3.8329605442655956E-2</v>
      </c>
      <c r="W91" s="2">
        <v>1.8999469250912535E-4</v>
      </c>
      <c r="X91" s="2">
        <v>1.0506989685250578E-3</v>
      </c>
      <c r="Y91" s="2">
        <v>3.501506573097133E-2</v>
      </c>
    </row>
    <row r="92" spans="1:25" x14ac:dyDescent="0.35">
      <c r="A92">
        <v>2070</v>
      </c>
      <c r="B92" s="2">
        <v>5.2117402753388794E-4</v>
      </c>
      <c r="C92" s="2">
        <v>4.1800547871195907E-3</v>
      </c>
      <c r="D92" s="2">
        <v>6.2219314383759203E-2</v>
      </c>
      <c r="E92" s="2">
        <v>5.3586759684308243E-4</v>
      </c>
      <c r="F92" s="2">
        <v>2.8174493270909837E-3</v>
      </c>
      <c r="G92" s="2">
        <v>7.1853539838768798E-2</v>
      </c>
      <c r="H92" s="2">
        <v>2.2026226274965413E-4</v>
      </c>
      <c r="I92" s="2">
        <v>1.6884920858656915E-3</v>
      </c>
      <c r="J92" s="2">
        <v>3.8346521237070635E-2</v>
      </c>
      <c r="K92" s="2">
        <v>1.885965054225696E-4</v>
      </c>
      <c r="L92" s="2">
        <v>1.0496017206653491E-3</v>
      </c>
      <c r="M92" s="2">
        <v>3.5093510049994225E-2</v>
      </c>
      <c r="N92" s="2">
        <v>2.2026226274965413E-4</v>
      </c>
      <c r="O92" s="2">
        <v>1.6884920858656915E-3</v>
      </c>
      <c r="P92" s="2">
        <v>3.8346521237070635E-2</v>
      </c>
      <c r="Q92" s="2">
        <v>1.885965054225696E-4</v>
      </c>
      <c r="R92" s="2">
        <v>1.0496017206653491E-3</v>
      </c>
      <c r="S92" s="2">
        <v>3.5093510049994225E-2</v>
      </c>
      <c r="T92" s="2">
        <v>2.2026226274965413E-4</v>
      </c>
      <c r="U92" s="2">
        <v>1.6884920858656915E-3</v>
      </c>
      <c r="V92" s="2">
        <v>3.8346521237070635E-2</v>
      </c>
      <c r="W92" s="2">
        <v>1.885965054225696E-4</v>
      </c>
      <c r="X92" s="2">
        <v>1.0496017206653491E-3</v>
      </c>
      <c r="Y92" s="2">
        <v>3.5093510049994225E-2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2E79-B6F3-4364-84F6-B9E6BD6F8AB7}">
  <dimension ref="A1:Y91"/>
  <sheetViews>
    <sheetView topLeftCell="D1" workbookViewId="0">
      <selection activeCell="D1" sqref="A1:XFD1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18</v>
      </c>
      <c r="E1" t="s">
        <v>3</v>
      </c>
      <c r="F1" t="s">
        <v>4</v>
      </c>
      <c r="G1" t="s">
        <v>19</v>
      </c>
      <c r="H1" t="s">
        <v>5</v>
      </c>
      <c r="I1" t="s">
        <v>6</v>
      </c>
      <c r="J1" t="s">
        <v>20</v>
      </c>
      <c r="K1" t="s">
        <v>7</v>
      </c>
      <c r="L1" t="s">
        <v>8</v>
      </c>
      <c r="M1" t="s">
        <v>21</v>
      </c>
      <c r="N1" t="s">
        <v>9</v>
      </c>
      <c r="O1" t="s">
        <v>10</v>
      </c>
      <c r="P1" t="s">
        <v>22</v>
      </c>
      <c r="Q1" t="s">
        <v>11</v>
      </c>
      <c r="R1" t="s">
        <v>12</v>
      </c>
      <c r="S1" t="s">
        <v>23</v>
      </c>
      <c r="T1" t="s">
        <v>13</v>
      </c>
      <c r="U1" t="s">
        <v>14</v>
      </c>
      <c r="V1" t="s">
        <v>24</v>
      </c>
      <c r="W1" t="s">
        <v>15</v>
      </c>
      <c r="X1" t="s">
        <v>16</v>
      </c>
      <c r="Y1" t="s">
        <v>25</v>
      </c>
    </row>
    <row r="2" spans="1:25" x14ac:dyDescent="0.35">
      <c r="A2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-5.6634319267448155E-3</v>
      </c>
      <c r="I2">
        <v>1.4719512840746064E-2</v>
      </c>
      <c r="J2">
        <v>-8.9104877005771813E-2</v>
      </c>
      <c r="K2">
        <v>-4.9210937727474429E-3</v>
      </c>
      <c r="L2">
        <v>1.3747640064389497E-2</v>
      </c>
      <c r="M2">
        <v>-5.6218640866482747E-2</v>
      </c>
      <c r="N2">
        <v>6.9171292043718108E-2</v>
      </c>
      <c r="O2">
        <v>1.9654968007244363E-2</v>
      </c>
      <c r="P2">
        <v>-0.11076414262776993</v>
      </c>
      <c r="Q2">
        <v>6.9475379115381847E-2</v>
      </c>
      <c r="R2">
        <v>1.843455401416013E-2</v>
      </c>
      <c r="S2">
        <v>-6.9449436215732546E-2</v>
      </c>
      <c r="T2">
        <v>9.2920932753776289E-2</v>
      </c>
      <c r="U2">
        <v>4.3752568297525884E-2</v>
      </c>
      <c r="V2">
        <v>-8.6386020665549984E-2</v>
      </c>
      <c r="W2">
        <v>9.3237832170575796E-2</v>
      </c>
      <c r="X2">
        <v>4.2543170244737097E-2</v>
      </c>
      <c r="Y2">
        <v>-4.5064282467384253E-2</v>
      </c>
    </row>
    <row r="3" spans="1:25" x14ac:dyDescent="0.35">
      <c r="A3">
        <v>1981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-4.7119278776831721E-3</v>
      </c>
      <c r="I3">
        <v>1.9563199122505634E-2</v>
      </c>
      <c r="J3">
        <v>-8.5467971527321759E-2</v>
      </c>
      <c r="K3">
        <v>-5.4291686649020334E-3</v>
      </c>
      <c r="L3">
        <v>1.7130346393609143E-2</v>
      </c>
      <c r="M3">
        <v>-5.2677833010661049E-2</v>
      </c>
      <c r="N3">
        <v>6.1478588944009593E-2</v>
      </c>
      <c r="O3">
        <v>1.3215739984911719E-2</v>
      </c>
      <c r="P3">
        <v>-0.11916032820506854</v>
      </c>
      <c r="Q3">
        <v>5.9983353435813409E-2</v>
      </c>
      <c r="R3">
        <v>1.0168144023625217E-2</v>
      </c>
      <c r="S3">
        <v>-7.787666295663466E-2</v>
      </c>
      <c r="T3">
        <v>8.5021815405568552E-2</v>
      </c>
      <c r="U3">
        <v>3.7130333234454048E-2</v>
      </c>
      <c r="V3">
        <v>-9.5046855419676543E-2</v>
      </c>
      <c r="W3">
        <v>8.3496929138682854E-2</v>
      </c>
      <c r="X3">
        <v>3.4048297945534454E-2</v>
      </c>
      <c r="Y3">
        <v>-5.3734428251358803E-2</v>
      </c>
    </row>
    <row r="4" spans="1:25" x14ac:dyDescent="0.35">
      <c r="A4">
        <v>1982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-9.1778095950456016E-3</v>
      </c>
      <c r="I4">
        <v>1.5711091889606208E-2</v>
      </c>
      <c r="J4">
        <v>-8.9103225332274424E-2</v>
      </c>
      <c r="K4">
        <v>-1.02945727626494E-2</v>
      </c>
      <c r="L4">
        <v>1.3746219208974784E-2</v>
      </c>
      <c r="M4">
        <v>-5.4755059585422095E-2</v>
      </c>
      <c r="N4">
        <v>6.2684012092335983E-2</v>
      </c>
      <c r="O4">
        <v>1.4441377577297399E-2</v>
      </c>
      <c r="P4">
        <v>-0.11759732763296597</v>
      </c>
      <c r="Q4">
        <v>6.0763781106108923E-2</v>
      </c>
      <c r="R4">
        <v>1.197170336232015E-2</v>
      </c>
      <c r="S4">
        <v>-7.435427409794225E-2</v>
      </c>
      <c r="T4">
        <v>8.6235618561099237E-2</v>
      </c>
      <c r="U4">
        <v>3.8357805840193611E-2</v>
      </c>
      <c r="V4">
        <v>-9.3543334572162226E-2</v>
      </c>
      <c r="W4">
        <v>8.427676613041396E-2</v>
      </c>
      <c r="X4">
        <v>3.5865867707548335E-2</v>
      </c>
      <c r="Y4">
        <v>-5.0226011293758074E-2</v>
      </c>
    </row>
    <row r="5" spans="1:25" x14ac:dyDescent="0.35">
      <c r="A5">
        <v>1983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-1.5090537646194955E-2</v>
      </c>
      <c r="I5">
        <v>1.512518164581763E-2</v>
      </c>
      <c r="J5">
        <v>-9.0377109965450522E-2</v>
      </c>
      <c r="K5">
        <v>-1.5417502204572161E-2</v>
      </c>
      <c r="L5">
        <v>1.3733404157188541E-2</v>
      </c>
      <c r="M5">
        <v>-5.6561034364801491E-2</v>
      </c>
      <c r="N5">
        <v>5.5998080902141138E-2</v>
      </c>
      <c r="O5">
        <v>1.3577931232547004E-2</v>
      </c>
      <c r="P5">
        <v>-0.11950768056395496</v>
      </c>
      <c r="Q5">
        <v>5.5237153007900192E-2</v>
      </c>
      <c r="R5">
        <v>1.182486518962622E-2</v>
      </c>
      <c r="S5">
        <v>-7.6869799431131688E-2</v>
      </c>
      <c r="T5">
        <v>7.9382519307208729E-2</v>
      </c>
      <c r="U5">
        <v>3.7457929295773004E-2</v>
      </c>
      <c r="V5">
        <v>-9.5438091980710751E-2</v>
      </c>
      <c r="W5">
        <v>7.860820184791735E-2</v>
      </c>
      <c r="X5">
        <v>3.5696116972071305E-2</v>
      </c>
      <c r="Y5">
        <v>-5.2776999485153783E-2</v>
      </c>
    </row>
    <row r="6" spans="1:25" x14ac:dyDescent="0.35">
      <c r="A6">
        <v>1984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-1.0900487899915507E-2</v>
      </c>
      <c r="I6">
        <v>1.6949416879016434E-2</v>
      </c>
      <c r="J6">
        <v>-8.2744181605951594E-2</v>
      </c>
      <c r="K6">
        <v>-1.1451792172018652E-2</v>
      </c>
      <c r="L6">
        <v>1.5475041082794863E-2</v>
      </c>
      <c r="M6">
        <v>-5.1822047578642005E-2</v>
      </c>
      <c r="N6">
        <v>5.2244911765223036E-2</v>
      </c>
      <c r="O6">
        <v>9.6284439379670204E-3</v>
      </c>
      <c r="P6">
        <v>-0.11642171648883787</v>
      </c>
      <c r="Q6">
        <v>5.1753939293268526E-2</v>
      </c>
      <c r="R6">
        <v>7.7733443579115881E-3</v>
      </c>
      <c r="S6">
        <v>-7.7342202106473565E-2</v>
      </c>
      <c r="T6">
        <v>7.5536168061797915E-2</v>
      </c>
      <c r="U6">
        <v>3.3401658929980857E-2</v>
      </c>
      <c r="V6">
        <v>-9.2296306119515933E-2</v>
      </c>
      <c r="W6">
        <v>7.5039007209149258E-2</v>
      </c>
      <c r="X6">
        <v>3.1533461389502887E-2</v>
      </c>
      <c r="Y6">
        <v>-5.3290330431448159E-2</v>
      </c>
    </row>
    <row r="7" spans="1:25" x14ac:dyDescent="0.35">
      <c r="A7">
        <v>1985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-1.8750044920332016E-2</v>
      </c>
      <c r="I7">
        <v>1.811806510732283E-2</v>
      </c>
      <c r="J7">
        <v>-7.1936336927935829E-2</v>
      </c>
      <c r="K7">
        <v>-2.0258562390335237E-2</v>
      </c>
      <c r="L7">
        <v>1.6275508772901001E-2</v>
      </c>
      <c r="M7">
        <v>-4.3840151170167298E-2</v>
      </c>
      <c r="N7">
        <v>5.3195241857719636E-2</v>
      </c>
      <c r="O7">
        <v>1.706900357088208E-2</v>
      </c>
      <c r="P7">
        <v>-9.6762791313053001E-2</v>
      </c>
      <c r="Q7">
        <v>5.1273121877801441E-2</v>
      </c>
      <c r="R7">
        <v>1.4748011479181523E-2</v>
      </c>
      <c r="S7">
        <v>-6.1253960433120098E-2</v>
      </c>
      <c r="T7">
        <v>7.6508287149313611E-2</v>
      </c>
      <c r="U7">
        <v>4.1005519945068215E-2</v>
      </c>
      <c r="V7">
        <v>-7.2303874540391347E-2</v>
      </c>
      <c r="W7">
        <v>7.4545840820288187E-2</v>
      </c>
      <c r="X7">
        <v>3.8661990326035886E-2</v>
      </c>
      <c r="Y7">
        <v>-3.6934560836414485E-2</v>
      </c>
    </row>
    <row r="8" spans="1:25" x14ac:dyDescent="0.35">
      <c r="A8">
        <v>1986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-1.7656553304418794E-2</v>
      </c>
      <c r="I8">
        <v>1.5425306664921236E-2</v>
      </c>
      <c r="J8">
        <v>-7.6305802773679335E-2</v>
      </c>
      <c r="K8">
        <v>-1.8337107704028455E-2</v>
      </c>
      <c r="L8">
        <v>1.5914754407864048E-2</v>
      </c>
      <c r="M8">
        <v>-4.9648561018935909E-2</v>
      </c>
      <c r="N8">
        <v>6.2447597689037973E-2</v>
      </c>
      <c r="O8">
        <v>2.2436193334519888E-2</v>
      </c>
      <c r="P8">
        <v>-9.3473807961360206E-2</v>
      </c>
      <c r="Q8">
        <v>6.1518468240688524E-2</v>
      </c>
      <c r="R8">
        <v>2.3060445404142191E-2</v>
      </c>
      <c r="S8">
        <v>-5.9793066144192317E-2</v>
      </c>
      <c r="T8">
        <v>9.2432687436084349E-2</v>
      </c>
      <c r="U8">
        <v>5.3083162827575074E-2</v>
      </c>
      <c r="V8">
        <v>-6.2215694710614694E-2</v>
      </c>
      <c r="W8">
        <v>9.148184972896814E-2</v>
      </c>
      <c r="X8">
        <v>5.3764645839703105E-2</v>
      </c>
      <c r="Y8">
        <v>-2.874318419560987E-2</v>
      </c>
    </row>
    <row r="9" spans="1:25" x14ac:dyDescent="0.35">
      <c r="A9">
        <v>1987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-1.3037020357588278E-2</v>
      </c>
      <c r="I9">
        <v>1.5963123300881205E-2</v>
      </c>
      <c r="J9">
        <v>-7.7595411930481861E-2</v>
      </c>
      <c r="K9">
        <v>-1.3589619200794305E-2</v>
      </c>
      <c r="L9">
        <v>1.5946926812699495E-2</v>
      </c>
      <c r="M9">
        <v>-5.0610260343000493E-2</v>
      </c>
      <c r="N9">
        <v>6.8646383865180072E-2</v>
      </c>
      <c r="O9">
        <v>2.2767659992439526E-2</v>
      </c>
      <c r="P9">
        <v>-9.5926594644007518E-2</v>
      </c>
      <c r="Q9">
        <v>6.7845508697523663E-2</v>
      </c>
      <c r="R9">
        <v>2.2750027246790486E-2</v>
      </c>
      <c r="S9">
        <v>-6.1691258656246792E-2</v>
      </c>
      <c r="T9">
        <v>9.8844908481730831E-2</v>
      </c>
      <c r="U9">
        <v>5.3438939116991588E-2</v>
      </c>
      <c r="V9">
        <v>-6.4829430461161866E-2</v>
      </c>
      <c r="W9">
        <v>9.8026927233859626E-2</v>
      </c>
      <c r="X9">
        <v>5.3457003612401167E-2</v>
      </c>
      <c r="Y9">
        <v>-3.0713610688902795E-2</v>
      </c>
    </row>
    <row r="10" spans="1:25" x14ac:dyDescent="0.35">
      <c r="A10">
        <v>1988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-1.055233725720843E-2</v>
      </c>
      <c r="I10">
        <v>1.5687051961952525E-2</v>
      </c>
      <c r="J10">
        <v>-7.3741364137938942E-2</v>
      </c>
      <c r="K10">
        <v>-1.096237063122291E-2</v>
      </c>
      <c r="L10">
        <v>1.5599965520818234E-2</v>
      </c>
      <c r="M10">
        <v>-5.0039367761204961E-2</v>
      </c>
      <c r="N10">
        <v>7.1964075203523936E-2</v>
      </c>
      <c r="O10">
        <v>2.2064343653464279E-2</v>
      </c>
      <c r="P10">
        <v>-9.1822390187549202E-2</v>
      </c>
      <c r="Q10">
        <v>7.1662085317541022E-2</v>
      </c>
      <c r="R10">
        <v>2.1955566408125151E-2</v>
      </c>
      <c r="S10">
        <v>-6.1642105837683682E-2</v>
      </c>
      <c r="T10">
        <v>0.10230289538753064</v>
      </c>
      <c r="U10">
        <v>5.2744444653417315E-2</v>
      </c>
      <c r="V10">
        <v>-6.0628968169007008E-2</v>
      </c>
      <c r="W10">
        <v>0.10199733389704477</v>
      </c>
      <c r="X10">
        <v>5.2667527896822691E-2</v>
      </c>
      <c r="Y10">
        <v>-3.064539393280704E-2</v>
      </c>
    </row>
    <row r="11" spans="1:25" x14ac:dyDescent="0.35">
      <c r="A11">
        <v>1989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-1.0418744316470057E-2</v>
      </c>
      <c r="I11">
        <v>1.3475242155012728E-2</v>
      </c>
      <c r="J11">
        <v>-7.4806398700300425E-2</v>
      </c>
      <c r="K11">
        <v>-1.1478891981898926E-2</v>
      </c>
      <c r="L11">
        <v>1.348760159841395E-2</v>
      </c>
      <c r="M11">
        <v>-5.1830008218790288E-2</v>
      </c>
      <c r="N11">
        <v>7.2934876342260813E-2</v>
      </c>
      <c r="O11">
        <v>1.8878333484064914E-2</v>
      </c>
      <c r="P11">
        <v>-9.3991026286537924E-2</v>
      </c>
      <c r="Q11">
        <v>7.1925460545592429E-2</v>
      </c>
      <c r="R11">
        <v>1.8895901289792596E-2</v>
      </c>
      <c r="S11">
        <v>-6.4618834358820904E-2</v>
      </c>
      <c r="T11">
        <v>0.10335848269497191</v>
      </c>
      <c r="U11">
        <v>4.9512699208803204E-2</v>
      </c>
      <c r="V11">
        <v>-6.2933134687425632E-2</v>
      </c>
      <c r="W11">
        <v>0.10232307727554819</v>
      </c>
      <c r="X11">
        <v>4.9563065604796702E-2</v>
      </c>
      <c r="Y11">
        <v>-3.3735487047131654E-2</v>
      </c>
    </row>
    <row r="12" spans="1:25" x14ac:dyDescent="0.35">
      <c r="A12">
        <v>1990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-1.4690275702133692E-2</v>
      </c>
      <c r="I12">
        <v>8.7934309620826944E-3</v>
      </c>
      <c r="J12">
        <v>-7.2345067843941721E-2</v>
      </c>
      <c r="K12">
        <v>-1.5169554850723032E-2</v>
      </c>
      <c r="L12">
        <v>9.7796292905087401E-3</v>
      </c>
      <c r="M12">
        <v>-5.0398091745615936E-2</v>
      </c>
      <c r="N12">
        <v>7.7090764880459822E-2</v>
      </c>
      <c r="O12">
        <v>1.8291699254580629E-2</v>
      </c>
      <c r="P12">
        <v>-8.5696816684390081E-2</v>
      </c>
      <c r="Q12">
        <v>7.5985316619861035E-2</v>
      </c>
      <c r="R12">
        <v>1.9573420030178493E-2</v>
      </c>
      <c r="S12">
        <v>-5.7572253357337781E-2</v>
      </c>
      <c r="T12">
        <v>0.10770682942249962</v>
      </c>
      <c r="U12">
        <v>4.8975634837938216E-2</v>
      </c>
      <c r="V12">
        <v>-5.4273622974652949E-2</v>
      </c>
      <c r="W12">
        <v>0.10657335808971556</v>
      </c>
      <c r="X12">
        <v>5.0326319103300633E-2</v>
      </c>
      <c r="Y12">
        <v>-2.6362444813933999E-2</v>
      </c>
    </row>
    <row r="13" spans="1:25" x14ac:dyDescent="0.35">
      <c r="A13">
        <v>1991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-1.6155522699848403E-2</v>
      </c>
      <c r="I13">
        <v>5.8121927567208265E-3</v>
      </c>
      <c r="J13">
        <v>-7.5346337858012313E-2</v>
      </c>
      <c r="K13">
        <v>-1.5752019306779923E-2</v>
      </c>
      <c r="L13">
        <v>6.2852987592160649E-3</v>
      </c>
      <c r="M13">
        <v>-5.4692191657087129E-2</v>
      </c>
      <c r="N13">
        <v>9.1071095942762151E-2</v>
      </c>
      <c r="O13">
        <v>3.3068713524949417E-2</v>
      </c>
      <c r="P13">
        <v>-7.1119374754995773E-2</v>
      </c>
      <c r="Q13">
        <v>9.1826981232427191E-2</v>
      </c>
      <c r="R13">
        <v>3.3715712110592107E-2</v>
      </c>
      <c r="S13">
        <v>-4.4634644596421566E-2</v>
      </c>
      <c r="T13">
        <v>0.10783815144657463</v>
      </c>
      <c r="U13">
        <v>4.9884916170206559E-2</v>
      </c>
      <c r="V13">
        <v>-5.3952895986067131E-2</v>
      </c>
      <c r="W13">
        <v>0.10860872155414417</v>
      </c>
      <c r="X13">
        <v>5.055594574700735E-2</v>
      </c>
      <c r="Y13">
        <v>-2.757719613965081E-2</v>
      </c>
    </row>
    <row r="14" spans="1:25" x14ac:dyDescent="0.35">
      <c r="A14">
        <v>1992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-1.2948447041702128E-2</v>
      </c>
      <c r="I14">
        <v>1.0818552474226516E-2</v>
      </c>
      <c r="J14">
        <v>-6.5197951108388608E-2</v>
      </c>
      <c r="K14">
        <v>-1.259629543180611E-2</v>
      </c>
      <c r="L14">
        <v>1.1196195303115462E-2</v>
      </c>
      <c r="M14">
        <v>-4.5252152297236788E-2</v>
      </c>
      <c r="N14">
        <v>5.761174301470786E-2</v>
      </c>
      <c r="O14">
        <v>-5.2515448122831491E-4</v>
      </c>
      <c r="P14">
        <v>-9.9696601260644349E-2</v>
      </c>
      <c r="Q14">
        <v>5.8050064099357923E-2</v>
      </c>
      <c r="R14">
        <v>-5.2239202384047528E-5</v>
      </c>
      <c r="S14">
        <v>-7.368008573418923E-2</v>
      </c>
      <c r="T14">
        <v>7.3856159742938091E-2</v>
      </c>
      <c r="U14">
        <v>1.5766560896201869E-2</v>
      </c>
      <c r="V14">
        <v>-8.304727199870196E-2</v>
      </c>
      <c r="W14">
        <v>7.4304132016832725E-2</v>
      </c>
      <c r="X14">
        <v>1.6259758048487435E-2</v>
      </c>
      <c r="Y14">
        <v>-5.711916824962282E-2</v>
      </c>
    </row>
    <row r="15" spans="1:25" x14ac:dyDescent="0.35">
      <c r="A15">
        <v>1993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-1.2214495091379172E-2</v>
      </c>
      <c r="I15">
        <v>1.087840513243408E-2</v>
      </c>
      <c r="J15">
        <v>-6.6748048359755979E-2</v>
      </c>
      <c r="K15">
        <v>-1.1931698060850447E-2</v>
      </c>
      <c r="L15">
        <v>1.1281165928959653E-2</v>
      </c>
      <c r="M15">
        <v>-4.7952133841855565E-2</v>
      </c>
      <c r="N15">
        <v>6.2160717124393888E-2</v>
      </c>
      <c r="O15">
        <v>5.0676287045679875E-3</v>
      </c>
      <c r="P15">
        <v>-9.5910895226862553E-2</v>
      </c>
      <c r="Q15">
        <v>6.2473955631389806E-2</v>
      </c>
      <c r="R15">
        <v>5.5797170278014327E-3</v>
      </c>
      <c r="S15">
        <v>-7.1450000508876801E-2</v>
      </c>
      <c r="T15">
        <v>7.850872207188031E-2</v>
      </c>
      <c r="U15">
        <v>2.1479923808030887E-2</v>
      </c>
      <c r="V15">
        <v>-7.9199800578833857E-2</v>
      </c>
      <c r="W15">
        <v>7.8829433326313633E-2</v>
      </c>
      <c r="X15">
        <v>2.2011897891348428E-2</v>
      </c>
      <c r="Y15">
        <v>-5.4830595833252928E-2</v>
      </c>
    </row>
    <row r="16" spans="1:25" x14ac:dyDescent="0.35">
      <c r="A16">
        <v>1994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-1.1398728961916699E-2</v>
      </c>
      <c r="I16">
        <v>1.1692888650116589E-2</v>
      </c>
      <c r="J16">
        <v>-6.6173761784051668E-2</v>
      </c>
      <c r="K16">
        <v>-1.0769022977865174E-2</v>
      </c>
      <c r="L16">
        <v>1.2038363415135318E-2</v>
      </c>
      <c r="M16">
        <v>-4.8511313217645347E-2</v>
      </c>
      <c r="N16">
        <v>6.7693297864199337E-2</v>
      </c>
      <c r="O16">
        <v>1.1686159989478102E-2</v>
      </c>
      <c r="P16">
        <v>-8.948678755935334E-2</v>
      </c>
      <c r="Q16">
        <v>6.8160819390720953E-2</v>
      </c>
      <c r="R16">
        <v>1.2130953146393021E-2</v>
      </c>
      <c r="S16">
        <v>-6.6529147256360957E-2</v>
      </c>
      <c r="T16">
        <v>8.416329869247538E-2</v>
      </c>
      <c r="U16">
        <v>2.8236937794274997E-2</v>
      </c>
      <c r="V16">
        <v>-7.271169703940035E-2</v>
      </c>
      <c r="W16">
        <v>8.4640358504454782E-2</v>
      </c>
      <c r="X16">
        <v>2.8700059863311807E-2</v>
      </c>
      <c r="Y16">
        <v>-4.9845789107263061E-2</v>
      </c>
    </row>
    <row r="17" spans="1:25" x14ac:dyDescent="0.35">
      <c r="A17">
        <v>1995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-1.2519551613866156E-2</v>
      </c>
      <c r="I17">
        <v>1.1716457895744567E-2</v>
      </c>
      <c r="J17">
        <v>-6.5735222486143427E-2</v>
      </c>
      <c r="K17">
        <v>-1.2383438616125023E-2</v>
      </c>
      <c r="L17">
        <v>1.2608025313061556E-2</v>
      </c>
      <c r="M17">
        <v>-4.7817147353388184E-2</v>
      </c>
      <c r="N17">
        <v>7.0430238146776167E-2</v>
      </c>
      <c r="O17">
        <v>1.7284369938532166E-2</v>
      </c>
      <c r="P17">
        <v>-8.3404098305875876E-2</v>
      </c>
      <c r="Q17">
        <v>7.0525601881146455E-2</v>
      </c>
      <c r="R17">
        <v>1.8447371186275513E-2</v>
      </c>
      <c r="S17">
        <v>-6.0114075139322661E-2</v>
      </c>
      <c r="T17">
        <v>8.6978625938255852E-2</v>
      </c>
      <c r="U17">
        <v>3.3959512170571922E-2</v>
      </c>
      <c r="V17">
        <v>-6.6493437866881541E-2</v>
      </c>
      <c r="W17">
        <v>8.7076847877765276E-2</v>
      </c>
      <c r="X17">
        <v>3.5151947948401027E-2</v>
      </c>
      <c r="Y17">
        <v>-4.3288602767043938E-2</v>
      </c>
    </row>
    <row r="18" spans="1:25" x14ac:dyDescent="0.35">
      <c r="A18">
        <v>1996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-1.1022976089008761E-2</v>
      </c>
      <c r="I18">
        <v>1.2435640235530862E-2</v>
      </c>
      <c r="J18">
        <v>-6.3040319368526457E-2</v>
      </c>
      <c r="K18">
        <v>-1.0471735700267326E-2</v>
      </c>
      <c r="L18">
        <v>1.4263391204616437E-2</v>
      </c>
      <c r="M18">
        <v>-4.6585440357973025E-2</v>
      </c>
      <c r="N18">
        <v>5.842804673470222E-2</v>
      </c>
      <c r="O18">
        <v>5.0357801740959843E-3</v>
      </c>
      <c r="P18">
        <v>-9.3520975319005814E-2</v>
      </c>
      <c r="Q18">
        <v>5.8563747464324467E-2</v>
      </c>
      <c r="R18">
        <v>7.3860496543307055E-3</v>
      </c>
      <c r="S18">
        <v>-7.2007011915129066E-2</v>
      </c>
      <c r="T18">
        <v>7.8096945412662544E-2</v>
      </c>
      <c r="U18">
        <v>2.4850063575811963E-2</v>
      </c>
      <c r="V18">
        <v>-7.3436116653669115E-2</v>
      </c>
      <c r="W18">
        <v>7.8237893406779627E-2</v>
      </c>
      <c r="X18">
        <v>2.7258330689854865E-2</v>
      </c>
      <c r="Y18">
        <v>-5.2029232790881057E-2</v>
      </c>
    </row>
    <row r="19" spans="1:25" x14ac:dyDescent="0.35">
      <c r="A19">
        <v>1997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-1.0178749988359138E-2</v>
      </c>
      <c r="I19">
        <v>1.349514454888349E-2</v>
      </c>
      <c r="J19">
        <v>-6.3160991800210384E-2</v>
      </c>
      <c r="K19">
        <v>-1.0172484110984415E-2</v>
      </c>
      <c r="L19">
        <v>1.4664050257672067E-2</v>
      </c>
      <c r="M19">
        <v>-4.6449086508537421E-2</v>
      </c>
      <c r="N19">
        <v>5.808845866937682E-2</v>
      </c>
      <c r="O19">
        <v>6.250168475798604E-3</v>
      </c>
      <c r="P19">
        <v>-9.3824676118509295E-2</v>
      </c>
      <c r="Q19">
        <v>5.7973308163702789E-2</v>
      </c>
      <c r="R19">
        <v>7.7517264736941243E-3</v>
      </c>
      <c r="S19">
        <v>-7.197863808373918E-2</v>
      </c>
      <c r="T19">
        <v>6.8011316611575778E-2</v>
      </c>
      <c r="U19">
        <v>1.6260062299406651E-2</v>
      </c>
      <c r="V19">
        <v>-8.3698282400768778E-2</v>
      </c>
      <c r="W19">
        <v>6.7896000016919034E-2</v>
      </c>
      <c r="X19">
        <v>1.7781419431957542E-2</v>
      </c>
      <c r="Y19">
        <v>-6.1902868520047484E-2</v>
      </c>
    </row>
    <row r="20" spans="1:25" x14ac:dyDescent="0.35">
      <c r="A20">
        <v>1998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-8.3228742986607152E-3</v>
      </c>
      <c r="I20">
        <v>1.4320998019010163E-2</v>
      </c>
      <c r="J20">
        <v>-6.253052958057069E-2</v>
      </c>
      <c r="K20">
        <v>-8.2576719854227914E-3</v>
      </c>
      <c r="L20">
        <v>1.5574466235836259E-2</v>
      </c>
      <c r="M20">
        <v>-4.7195260219276711E-2</v>
      </c>
      <c r="N20">
        <v>5.4993327466020071E-2</v>
      </c>
      <c r="O20">
        <v>2.8289560122121173E-3</v>
      </c>
      <c r="P20">
        <v>-9.7417183270498794E-2</v>
      </c>
      <c r="Q20">
        <v>5.4993548822627948E-2</v>
      </c>
      <c r="R20">
        <v>4.4289021820270447E-3</v>
      </c>
      <c r="S20">
        <v>-7.7362783000513941E-2</v>
      </c>
      <c r="T20">
        <v>7.2604609843855722E-2</v>
      </c>
      <c r="U20">
        <v>2.058672646498105E-2</v>
      </c>
      <c r="V20">
        <v>-7.9458412489805147E-2</v>
      </c>
      <c r="W20">
        <v>7.2606563643010824E-2</v>
      </c>
      <c r="X20">
        <v>2.2222791639613663E-2</v>
      </c>
      <c r="Y20">
        <v>-5.9501232762340067E-2</v>
      </c>
    </row>
    <row r="21" spans="1:25" x14ac:dyDescent="0.35">
      <c r="A21">
        <v>1999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-7.5678407256726254E-3</v>
      </c>
      <c r="I21">
        <v>1.5189374910167886E-2</v>
      </c>
      <c r="J21">
        <v>-6.2856053818594007E-2</v>
      </c>
      <c r="K21">
        <v>-8.1760947274674943E-3</v>
      </c>
      <c r="L21">
        <v>1.6318139593970528E-2</v>
      </c>
      <c r="M21">
        <v>-4.6947026968624003E-2</v>
      </c>
      <c r="N21">
        <v>5.7404094722824067E-2</v>
      </c>
      <c r="O21">
        <v>6.1930796936004399E-3</v>
      </c>
      <c r="P21">
        <v>-9.5419410658762069E-2</v>
      </c>
      <c r="Q21">
        <v>5.6904805592748117E-2</v>
      </c>
      <c r="R21">
        <v>7.6363009551183936E-3</v>
      </c>
      <c r="S21">
        <v>-7.4673983657274415E-2</v>
      </c>
      <c r="T21">
        <v>7.0940928145556914E-2</v>
      </c>
      <c r="U21">
        <v>1.9853932699408761E-2</v>
      </c>
      <c r="V21">
        <v>-8.163464795175808E-2</v>
      </c>
      <c r="W21">
        <v>7.0436117622857036E-2</v>
      </c>
      <c r="X21">
        <v>2.1321951967932441E-2</v>
      </c>
      <c r="Y21">
        <v>-6.0947138345417519E-2</v>
      </c>
    </row>
    <row r="22" spans="1:25" x14ac:dyDescent="0.35">
      <c r="A22">
        <v>2000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-9.0606317172418904E-3</v>
      </c>
      <c r="I22">
        <v>1.389204395216099E-2</v>
      </c>
      <c r="J22">
        <v>-5.958979476071824E-2</v>
      </c>
      <c r="K22">
        <v>-9.1496442442066898E-3</v>
      </c>
      <c r="L22">
        <v>1.5279553071404411E-2</v>
      </c>
      <c r="M22">
        <v>-4.6214554015966629E-2</v>
      </c>
      <c r="N22">
        <v>6.506071142001929E-2</v>
      </c>
      <c r="O22">
        <v>1.3956948154653214E-2</v>
      </c>
      <c r="P22">
        <v>-8.1534172882537212E-2</v>
      </c>
      <c r="Q22">
        <v>6.4604292185694426E-2</v>
      </c>
      <c r="R22">
        <v>1.575060487282099E-2</v>
      </c>
      <c r="S22">
        <v>-6.4134194723558732E-2</v>
      </c>
      <c r="T22">
        <v>8.1835650766829998E-2</v>
      </c>
      <c r="U22">
        <v>3.0883867737114004E-2</v>
      </c>
      <c r="V22">
        <v>-6.4357942485938957E-2</v>
      </c>
      <c r="W22">
        <v>8.1373021558644149E-2</v>
      </c>
      <c r="X22">
        <v>3.2711932938500075E-2</v>
      </c>
      <c r="Y22">
        <v>-4.7080360410937751E-2</v>
      </c>
    </row>
    <row r="23" spans="1:25" x14ac:dyDescent="0.35">
      <c r="A23">
        <v>2001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-1.14569457670798E-2</v>
      </c>
      <c r="I23">
        <v>1.344819714208942E-2</v>
      </c>
      <c r="J23">
        <v>-6.2688484369439787E-2</v>
      </c>
      <c r="K23">
        <v>-1.1847994533826412E-2</v>
      </c>
      <c r="L23">
        <v>1.3038227212414691E-2</v>
      </c>
      <c r="M23">
        <v>-5.0197366473712278E-2</v>
      </c>
      <c r="N23">
        <v>6.2633795343301976E-2</v>
      </c>
      <c r="O23">
        <v>1.5673846400956336E-2</v>
      </c>
      <c r="P23">
        <v>-8.3352298012550466E-2</v>
      </c>
      <c r="Q23">
        <v>6.2127768278752611E-2</v>
      </c>
      <c r="R23">
        <v>1.5141309874126836E-2</v>
      </c>
      <c r="S23">
        <v>-6.7095373856283641E-2</v>
      </c>
      <c r="T23">
        <v>8.5011874504535997E-2</v>
      </c>
      <c r="U23">
        <v>3.8345043880999227E-2</v>
      </c>
      <c r="V23">
        <v>-6.0446694217903975E-2</v>
      </c>
      <c r="W23">
        <v>8.4496763007095674E-2</v>
      </c>
      <c r="X23">
        <v>3.7805204830470847E-2</v>
      </c>
      <c r="Y23">
        <v>-4.4359709961850152E-2</v>
      </c>
    </row>
    <row r="24" spans="1:25" x14ac:dyDescent="0.35">
      <c r="A24">
        <v>2002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-1.3462918193883469E-2</v>
      </c>
      <c r="I24">
        <v>1.2261170872574226E-2</v>
      </c>
      <c r="J24">
        <v>-6.2726475004905038E-2</v>
      </c>
      <c r="K24">
        <v>-1.4142184891033771E-2</v>
      </c>
      <c r="L24">
        <v>1.2863316598659323E-2</v>
      </c>
      <c r="M24">
        <v>-4.9914816949302825E-2</v>
      </c>
      <c r="N24">
        <v>7.0390475838358169E-2</v>
      </c>
      <c r="O24">
        <v>2.3035316735733335E-2</v>
      </c>
      <c r="P24">
        <v>-7.4666605003109732E-2</v>
      </c>
      <c r="Q24">
        <v>6.9525947236032587E-2</v>
      </c>
      <c r="R24">
        <v>2.3826761162196446E-2</v>
      </c>
      <c r="S24">
        <v>-5.8007417467911923E-2</v>
      </c>
      <c r="T24">
        <v>8.7090308578624806E-2</v>
      </c>
      <c r="U24">
        <v>3.9941873401338847E-2</v>
      </c>
      <c r="V24">
        <v>-5.7602856211190066E-2</v>
      </c>
      <c r="W24">
        <v>8.6212752598968462E-2</v>
      </c>
      <c r="X24">
        <v>4.07486147878829E-2</v>
      </c>
      <c r="Y24">
        <v>-4.1050172599281211E-2</v>
      </c>
    </row>
    <row r="25" spans="1:25" x14ac:dyDescent="0.35">
      <c r="A25">
        <v>2003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-1.3083072020620271E-2</v>
      </c>
      <c r="I25">
        <v>1.2728382461416476E-2</v>
      </c>
      <c r="J25">
        <v>-6.1203193998731184E-2</v>
      </c>
      <c r="K25">
        <v>-1.3145256608689728E-2</v>
      </c>
      <c r="L25">
        <v>1.2594844738316135E-2</v>
      </c>
      <c r="M25">
        <v>-4.9146114860887644E-2</v>
      </c>
      <c r="N25">
        <v>7.0171648243820689E-2</v>
      </c>
      <c r="O25">
        <v>2.2470065033230253E-2</v>
      </c>
      <c r="P25">
        <v>-7.4236899946110407E-2</v>
      </c>
      <c r="Q25">
        <v>6.9500102151335022E-2</v>
      </c>
      <c r="R25">
        <v>2.2295016151631684E-2</v>
      </c>
      <c r="S25">
        <v>-5.8493383578889148E-2</v>
      </c>
      <c r="T25">
        <v>7.920125169871442E-2</v>
      </c>
      <c r="U25">
        <v>3.1605970558477532E-2</v>
      </c>
      <c r="V25">
        <v>-6.5003321283026175E-2</v>
      </c>
      <c r="W25">
        <v>7.852424071451658E-2</v>
      </c>
      <c r="X25">
        <v>3.1430510810552537E-2</v>
      </c>
      <c r="Y25">
        <v>-4.9319560378658492E-2</v>
      </c>
    </row>
    <row r="26" spans="1:25" x14ac:dyDescent="0.35">
      <c r="A26">
        <v>2004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-1.4989127386031732E-2</v>
      </c>
      <c r="I26">
        <v>1.1856648698450665E-2</v>
      </c>
      <c r="J26">
        <v>-6.0845735741502704E-2</v>
      </c>
      <c r="K26">
        <v>-1.5144714182134903E-2</v>
      </c>
      <c r="L26">
        <v>1.1947946487243202E-2</v>
      </c>
      <c r="M26">
        <v>-4.9769376567553529E-2</v>
      </c>
      <c r="N26">
        <v>7.9378175610911775E-2</v>
      </c>
      <c r="O26">
        <v>3.2225938058337601E-2</v>
      </c>
      <c r="P26">
        <v>-6.299516775005809E-2</v>
      </c>
      <c r="Q26">
        <v>7.8860145872096332E-2</v>
      </c>
      <c r="R26">
        <v>3.234924739282314E-2</v>
      </c>
      <c r="S26">
        <v>-4.8576390475695924E-2</v>
      </c>
      <c r="T26">
        <v>8.8816750437334946E-2</v>
      </c>
      <c r="U26">
        <v>4.1778352669014772E-2</v>
      </c>
      <c r="V26">
        <v>-5.333451202380643E-2</v>
      </c>
      <c r="W26">
        <v>8.8294732158935754E-2</v>
      </c>
      <c r="X26">
        <v>4.1903665773341418E-2</v>
      </c>
      <c r="Y26">
        <v>-3.8982868135256914E-2</v>
      </c>
    </row>
    <row r="27" spans="1:25" x14ac:dyDescent="0.35">
      <c r="A27">
        <v>2005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-1.6227589924871031E-2</v>
      </c>
      <c r="I27">
        <v>1.3169556197232077E-2</v>
      </c>
      <c r="J27">
        <v>-6.146810610693338E-2</v>
      </c>
      <c r="K27">
        <v>-1.5697908375026114E-2</v>
      </c>
      <c r="L27">
        <v>1.2906211900086955E-2</v>
      </c>
      <c r="M27">
        <v>-5.0627523836907364E-2</v>
      </c>
      <c r="N27">
        <v>8.6207693024213272E-2</v>
      </c>
      <c r="O27">
        <v>3.8806098064352514E-2</v>
      </c>
      <c r="P27">
        <v>-5.946745792767974E-2</v>
      </c>
      <c r="Q27">
        <v>8.6656708438141272E-2</v>
      </c>
      <c r="R27">
        <v>3.8453316314904153E-2</v>
      </c>
      <c r="S27">
        <v>-4.5318464158280725E-2</v>
      </c>
      <c r="T27">
        <v>8.7361269087886051E-2</v>
      </c>
      <c r="U27">
        <v>3.997296769545073E-2</v>
      </c>
      <c r="V27">
        <v>-5.8290079454735841E-2</v>
      </c>
      <c r="W27">
        <v>8.7810855249019062E-2</v>
      </c>
      <c r="X27">
        <v>3.9619894020122247E-2</v>
      </c>
      <c r="Y27">
        <v>-4.4149392164756066E-2</v>
      </c>
    </row>
    <row r="28" spans="1:25" x14ac:dyDescent="0.35">
      <c r="A28">
        <v>2006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-1.385994016641876E-2</v>
      </c>
      <c r="I28">
        <v>1.5509630926923867E-2</v>
      </c>
      <c r="J28">
        <v>-5.5313418533676204E-2</v>
      </c>
      <c r="K28">
        <v>-1.3260072006183643E-2</v>
      </c>
      <c r="L28">
        <v>1.4647006301252822E-2</v>
      </c>
      <c r="M28">
        <v>-4.5596847635621787E-2</v>
      </c>
      <c r="N28">
        <v>9.9433274519246481E-2</v>
      </c>
      <c r="O28">
        <v>4.9715651705175737E-2</v>
      </c>
      <c r="P28">
        <v>-4.385948638832364E-2</v>
      </c>
      <c r="Q28">
        <v>9.9491931939064013E-2</v>
      </c>
      <c r="R28">
        <v>4.8540711385542931E-2</v>
      </c>
      <c r="S28">
        <v>-3.1199400247946329E-2</v>
      </c>
      <c r="T28">
        <v>9.6659240884306483E-2</v>
      </c>
      <c r="U28">
        <v>4.691676456765298E-2</v>
      </c>
      <c r="V28">
        <v>-4.6692429331202281E-2</v>
      </c>
      <c r="W28">
        <v>9.6717536046001154E-2</v>
      </c>
      <c r="X28">
        <v>4.5744789265797177E-2</v>
      </c>
      <c r="Y28">
        <v>-3.4010581489534647E-2</v>
      </c>
    </row>
    <row r="29" spans="1:25" x14ac:dyDescent="0.35">
      <c r="A29">
        <v>2007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-1.9107831620768245E-2</v>
      </c>
      <c r="I29">
        <v>1.551848178854851E-2</v>
      </c>
      <c r="J29">
        <v>-5.787441529294058E-2</v>
      </c>
      <c r="K29">
        <v>-1.8935410559118016E-2</v>
      </c>
      <c r="L29">
        <v>1.4327151944290073E-2</v>
      </c>
      <c r="M29">
        <v>-4.8007334229421682E-2</v>
      </c>
      <c r="N29">
        <v>0.10974040046183881</v>
      </c>
      <c r="O29">
        <v>6.0579799889402555E-2</v>
      </c>
      <c r="P29">
        <v>-3.7141313458155495E-2</v>
      </c>
      <c r="Q29">
        <v>0.10961352230010275</v>
      </c>
      <c r="R29">
        <v>5.893005275087982E-2</v>
      </c>
      <c r="S29">
        <v>-2.4234154652139354E-2</v>
      </c>
      <c r="T29">
        <v>0.1067358227362851</v>
      </c>
      <c r="U29">
        <v>5.7547595145651984E-2</v>
      </c>
      <c r="V29">
        <v>-4.0193808522566446E-2</v>
      </c>
      <c r="W29">
        <v>0.106609172704485</v>
      </c>
      <c r="X29">
        <v>5.5902350314918199E-2</v>
      </c>
      <c r="Y29">
        <v>-2.7266376058748334E-2</v>
      </c>
    </row>
    <row r="30" spans="1:25" x14ac:dyDescent="0.35">
      <c r="A30">
        <v>2008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-1.9845703150911501E-2</v>
      </c>
      <c r="I30">
        <v>1.6121124832522267E-2</v>
      </c>
      <c r="J30">
        <v>-5.0677671672923287E-2</v>
      </c>
      <c r="K30">
        <v>-1.9677463252080429E-2</v>
      </c>
      <c r="L30">
        <v>1.49762861933987E-2</v>
      </c>
      <c r="M30">
        <v>-4.1849121375200179E-2</v>
      </c>
      <c r="N30">
        <v>0.10800354109166801</v>
      </c>
      <c r="O30">
        <v>5.7910725613955161E-2</v>
      </c>
      <c r="P30">
        <v>-3.1649232838033309E-2</v>
      </c>
      <c r="Q30">
        <v>0.10791100321607182</v>
      </c>
      <c r="R30">
        <v>5.6317112255323112E-2</v>
      </c>
      <c r="S30">
        <v>-2.0021162732633425E-2</v>
      </c>
      <c r="T30">
        <v>0.1010659163372571</v>
      </c>
      <c r="U30">
        <v>5.0916333362263151E-2</v>
      </c>
      <c r="V30">
        <v>-3.8733581807086963E-2</v>
      </c>
      <c r="W30">
        <v>0.10097347390454378</v>
      </c>
      <c r="X30">
        <v>4.9332521110744848E-2</v>
      </c>
      <c r="Y30">
        <v>-2.7053273233970231E-2</v>
      </c>
    </row>
    <row r="31" spans="1:25" x14ac:dyDescent="0.35">
      <c r="A31">
        <v>2009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-1.9396036804676425E-2</v>
      </c>
      <c r="I31">
        <v>1.2732444513715257E-2</v>
      </c>
      <c r="J31">
        <v>-4.5595197508957873E-2</v>
      </c>
      <c r="K31">
        <v>-1.8890603811451492E-2</v>
      </c>
      <c r="L31">
        <v>1.3694530687237461E-2</v>
      </c>
      <c r="M31">
        <v>-3.770045765399014E-2</v>
      </c>
      <c r="N31">
        <v>8.4498412211478108E-2</v>
      </c>
      <c r="O31">
        <v>3.0205552065258618E-2</v>
      </c>
      <c r="P31">
        <v>-4.8728197088354255E-2</v>
      </c>
      <c r="Q31">
        <v>8.4593556439049866E-2</v>
      </c>
      <c r="R31">
        <v>3.1531057147693248E-2</v>
      </c>
      <c r="S31">
        <v>-3.8102229318760589E-2</v>
      </c>
      <c r="T31">
        <v>8.9077616723024416E-2</v>
      </c>
      <c r="U31">
        <v>3.4803659051798726E-2</v>
      </c>
      <c r="V31">
        <v>-4.401759088872291E-2</v>
      </c>
      <c r="W31">
        <v>8.9173538216807832E-2</v>
      </c>
      <c r="X31">
        <v>3.6135692096461891E-2</v>
      </c>
      <c r="Y31">
        <v>-3.34274576686312E-2</v>
      </c>
    </row>
    <row r="32" spans="1:25" x14ac:dyDescent="0.35">
      <c r="A32">
        <v>2010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-1.9252225227056521E-2</v>
      </c>
      <c r="I32">
        <v>1.1826229252741233E-2</v>
      </c>
      <c r="J32">
        <v>-4.1642506017440593E-2</v>
      </c>
      <c r="K32">
        <v>-1.9319072975733119E-2</v>
      </c>
      <c r="L32">
        <v>1.3095913618574258E-2</v>
      </c>
      <c r="M32">
        <v>-3.5054110239676306E-2</v>
      </c>
      <c r="N32">
        <v>7.811279712739326E-2</v>
      </c>
      <c r="O32">
        <v>2.2699793531039247E-2</v>
      </c>
      <c r="P32">
        <v>-5.0060925275516754E-2</v>
      </c>
      <c r="Q32">
        <v>7.7887300341536778E-2</v>
      </c>
      <c r="R32">
        <v>2.4443850454593807E-2</v>
      </c>
      <c r="S32">
        <v>-4.1128550266547464E-2</v>
      </c>
      <c r="T32">
        <v>8.4407766871734416E-2</v>
      </c>
      <c r="U32">
        <v>2.9013773907480802E-2</v>
      </c>
      <c r="V32">
        <v>-4.3569665091309016E-2</v>
      </c>
      <c r="W32">
        <v>8.4181528392698338E-2</v>
      </c>
      <c r="X32">
        <v>3.0769256953778627E-2</v>
      </c>
      <c r="Y32">
        <v>-3.469103340890254E-2</v>
      </c>
    </row>
    <row r="33" spans="1:25" x14ac:dyDescent="0.35">
      <c r="A33">
        <v>2011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-1.3681478866716095E-2</v>
      </c>
      <c r="I33">
        <v>1.1077043559777547E-2</v>
      </c>
      <c r="J33">
        <v>-3.6308176905948973E-2</v>
      </c>
      <c r="K33">
        <v>-1.3684691118378738E-2</v>
      </c>
      <c r="L33">
        <v>1.2094203525242538E-2</v>
      </c>
      <c r="M33">
        <v>-3.1093338513477863E-2</v>
      </c>
      <c r="N33">
        <v>9.9981921673040791E-2</v>
      </c>
      <c r="O33">
        <v>3.6845465940790884E-2</v>
      </c>
      <c r="P33">
        <v>-2.7267024323815017E-2</v>
      </c>
      <c r="Q33">
        <v>9.9437610285891653E-2</v>
      </c>
      <c r="R33">
        <v>3.8267782393386233E-2</v>
      </c>
      <c r="S33">
        <v>-2.0320101954030428E-2</v>
      </c>
      <c r="T33">
        <v>9.8121187085555991E-2</v>
      </c>
      <c r="U33">
        <v>3.4993313782226691E-2</v>
      </c>
      <c r="V33">
        <v>-2.9179796340080204E-2</v>
      </c>
      <c r="W33">
        <v>9.7577773517649152E-2</v>
      </c>
      <c r="X33">
        <v>3.6412995923291835E-2</v>
      </c>
      <c r="Y33">
        <v>-2.2216914157390959E-2</v>
      </c>
    </row>
    <row r="34" spans="1:25" x14ac:dyDescent="0.35">
      <c r="A34">
        <v>2012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-1.4248510983122267E-2</v>
      </c>
      <c r="I34">
        <v>1.0868566218872118E-2</v>
      </c>
      <c r="J34">
        <v>-3.8156824775645609E-2</v>
      </c>
      <c r="K34">
        <v>-1.4477602583471886E-2</v>
      </c>
      <c r="L34">
        <v>1.2365277057022707E-2</v>
      </c>
      <c r="M34">
        <v>-3.2618681389544643E-2</v>
      </c>
      <c r="N34">
        <v>9.677480960133332E-2</v>
      </c>
      <c r="O34">
        <v>3.2794773007360903E-2</v>
      </c>
      <c r="P34">
        <v>-3.4148573482582802E-2</v>
      </c>
      <c r="Q34">
        <v>9.6366641070303016E-2</v>
      </c>
      <c r="R34">
        <v>3.4888971813779597E-2</v>
      </c>
      <c r="S34">
        <v>-2.6662528577534671E-2</v>
      </c>
      <c r="T34">
        <v>0.10107754755948366</v>
      </c>
      <c r="U34">
        <v>3.7074713698800423E-2</v>
      </c>
      <c r="V34">
        <v>-2.9750665823658103E-2</v>
      </c>
      <c r="W34">
        <v>0.10066781905736688</v>
      </c>
      <c r="X34">
        <v>3.9177414727902968E-2</v>
      </c>
      <c r="Y34">
        <v>-2.229622214728853E-2</v>
      </c>
    </row>
    <row r="35" spans="1:25" x14ac:dyDescent="0.35">
      <c r="A35">
        <v>2013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-1.4647755149307874E-2</v>
      </c>
      <c r="I35">
        <v>9.4952547254870054E-3</v>
      </c>
      <c r="J35">
        <v>-3.7714366204593008E-2</v>
      </c>
      <c r="K35">
        <v>-1.4190438856386567E-2</v>
      </c>
      <c r="L35">
        <v>1.2302477661212698E-2</v>
      </c>
      <c r="M35">
        <v>-3.2573314445644631E-2</v>
      </c>
      <c r="N35">
        <v>9.1715300399963492E-2</v>
      </c>
      <c r="O35">
        <v>2.7875639945490128E-2</v>
      </c>
      <c r="P35">
        <v>-3.7020088932812792E-2</v>
      </c>
      <c r="Q35">
        <v>9.1743817994121957E-2</v>
      </c>
      <c r="R35">
        <v>3.1813511412911319E-2</v>
      </c>
      <c r="S35">
        <v>-2.9996703623051933E-2</v>
      </c>
      <c r="T35">
        <v>9.2340714683491643E-2</v>
      </c>
      <c r="U35">
        <v>2.8497888510786159E-2</v>
      </c>
      <c r="V35">
        <v>-3.638091002866229E-2</v>
      </c>
      <c r="W35">
        <v>9.236926978005594E-2</v>
      </c>
      <c r="X35">
        <v>3.2438086843405156E-2</v>
      </c>
      <c r="Y35">
        <v>-2.9361210992583615E-2</v>
      </c>
    </row>
    <row r="36" spans="1:25" x14ac:dyDescent="0.35">
      <c r="A36">
        <v>2014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-1.1882298954115649E-2</v>
      </c>
      <c r="I36">
        <v>9.2829157331401572E-3</v>
      </c>
      <c r="J36">
        <v>-3.6462448086109149E-2</v>
      </c>
      <c r="K36">
        <v>-1.2363954615575689E-2</v>
      </c>
      <c r="L36">
        <v>1.1698149181472207E-2</v>
      </c>
      <c r="M36">
        <v>-3.1199125040233526E-2</v>
      </c>
      <c r="N36">
        <v>9.1162786319379976E-2</v>
      </c>
      <c r="O36">
        <v>2.7520036277618832E-2</v>
      </c>
      <c r="P36">
        <v>-3.5635529281506179E-2</v>
      </c>
      <c r="Q36">
        <v>9.0728640615181391E-2</v>
      </c>
      <c r="R36">
        <v>3.0921463365365782E-2</v>
      </c>
      <c r="S36">
        <v>-2.8400329666222354E-2</v>
      </c>
      <c r="T36">
        <v>9.1809194138455286E-2</v>
      </c>
      <c r="U36">
        <v>2.8163293923558257E-2</v>
      </c>
      <c r="V36">
        <v>-3.4975575195333022E-2</v>
      </c>
      <c r="W36">
        <v>9.137479208892281E-2</v>
      </c>
      <c r="X36">
        <v>3.1566785129685811E-2</v>
      </c>
      <c r="Y36">
        <v>-2.7743672601168091E-2</v>
      </c>
    </row>
    <row r="37" spans="1:25" x14ac:dyDescent="0.35">
      <c r="A37">
        <v>2015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-1.0845075605626951E-2</v>
      </c>
      <c r="I37">
        <v>9.8355481342293737E-3</v>
      </c>
      <c r="J37">
        <v>-3.3989087897468878E-2</v>
      </c>
      <c r="K37">
        <v>-1.0270777887686686E-2</v>
      </c>
      <c r="L37">
        <v>1.2248734793349777E-2</v>
      </c>
      <c r="M37">
        <v>-2.8836877782919913E-2</v>
      </c>
      <c r="N37">
        <v>9.3046773913878611E-2</v>
      </c>
      <c r="O37">
        <v>2.7493815085794165E-2</v>
      </c>
      <c r="P37">
        <v>-3.328358618675753E-2</v>
      </c>
      <c r="Q37">
        <v>9.3412533513134041E-2</v>
      </c>
      <c r="R37">
        <v>3.0903254147625851E-2</v>
      </c>
      <c r="S37">
        <v>-2.6153031586574432E-2</v>
      </c>
      <c r="T37">
        <v>9.4986890040137079E-2</v>
      </c>
      <c r="U37">
        <v>2.9421033524670678E-2</v>
      </c>
      <c r="V37">
        <v>-3.1308128482758796E-2</v>
      </c>
      <c r="W37">
        <v>9.5353441679711617E-2</v>
      </c>
      <c r="X37">
        <v>3.2836595413295845E-2</v>
      </c>
      <c r="Y37">
        <v>-2.4185300784077386E-2</v>
      </c>
    </row>
    <row r="38" spans="1:25" x14ac:dyDescent="0.35">
      <c r="A38">
        <v>2016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-1.3382629643749094E-2</v>
      </c>
      <c r="I38">
        <v>1.13805181783199E-2</v>
      </c>
      <c r="J38">
        <v>-3.5168740407639724E-2</v>
      </c>
      <c r="K38">
        <v>-1.4678669164295707E-2</v>
      </c>
      <c r="L38">
        <v>1.1761477480294574E-2</v>
      </c>
      <c r="M38">
        <v>-3.0196820883047107E-2</v>
      </c>
      <c r="N38">
        <v>9.5267312694768125E-2</v>
      </c>
      <c r="O38">
        <v>3.4992623104219404E-2</v>
      </c>
      <c r="P38">
        <v>-2.9847168235066675E-2</v>
      </c>
      <c r="Q38">
        <v>9.3577915935907141E-2</v>
      </c>
      <c r="R38">
        <v>3.5530907693918062E-2</v>
      </c>
      <c r="S38">
        <v>-2.2928376028157855E-2</v>
      </c>
      <c r="T38">
        <v>9.6607121211858368E-2</v>
      </c>
      <c r="U38">
        <v>3.6330669982305143E-2</v>
      </c>
      <c r="V38">
        <v>-2.8484173769353093E-2</v>
      </c>
      <c r="W38">
        <v>9.4915616811939968E-2</v>
      </c>
      <c r="X38">
        <v>3.6869286609240638E-2</v>
      </c>
      <c r="Y38">
        <v>-2.1568519282899008E-2</v>
      </c>
    </row>
    <row r="39" spans="1:25" x14ac:dyDescent="0.35">
      <c r="A39">
        <v>2017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-1.4837607127673383E-2</v>
      </c>
      <c r="I39">
        <v>1.0400471550779361E-2</v>
      </c>
      <c r="J39">
        <v>-3.4323964156397831E-2</v>
      </c>
      <c r="K39">
        <v>-1.5526400385693639E-2</v>
      </c>
      <c r="L39">
        <v>1.0291163142659793E-2</v>
      </c>
      <c r="M39">
        <v>-2.8684556618618282E-2</v>
      </c>
      <c r="N39">
        <v>9.8363046992309702E-2</v>
      </c>
      <c r="O39">
        <v>4.0085011826002312E-2</v>
      </c>
      <c r="P39">
        <v>-2.2417239265166266E-2</v>
      </c>
      <c r="Q39">
        <v>9.6831223254645854E-2</v>
      </c>
      <c r="R39">
        <v>3.9918752280453315E-2</v>
      </c>
      <c r="S39">
        <v>-1.4504238085426805E-2</v>
      </c>
      <c r="T39">
        <v>8.8728403634887931E-2</v>
      </c>
      <c r="U39">
        <v>3.0443622145796569E-2</v>
      </c>
      <c r="V39">
        <v>-3.2244324252338689E-2</v>
      </c>
      <c r="W39">
        <v>8.7210378401845354E-2</v>
      </c>
      <c r="X39">
        <v>3.0282026301635401E-2</v>
      </c>
      <c r="Y39">
        <v>-2.4320017751576019E-2</v>
      </c>
    </row>
    <row r="40" spans="1:25" x14ac:dyDescent="0.35">
      <c r="A40">
        <v>2018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-1.6791142716807372E-2</v>
      </c>
      <c r="I40">
        <v>1.0457931400960531E-2</v>
      </c>
      <c r="J40">
        <v>-3.4049214282248046E-2</v>
      </c>
      <c r="K40">
        <v>-1.7065500809171921E-2</v>
      </c>
      <c r="L40">
        <v>9.8929165944341407E-3</v>
      </c>
      <c r="M40">
        <v>-2.7837588516541074E-2</v>
      </c>
      <c r="N40">
        <v>0.10290258371428729</v>
      </c>
      <c r="O40">
        <v>4.6521950159167415E-2</v>
      </c>
      <c r="P40">
        <v>-1.5931649072265224E-2</v>
      </c>
      <c r="Q40">
        <v>0.10242584835722815</v>
      </c>
      <c r="R40">
        <v>4.5684661295772311E-2</v>
      </c>
      <c r="S40">
        <v>-7.1181254757172992E-3</v>
      </c>
      <c r="T40">
        <v>8.2496470226818691E-2</v>
      </c>
      <c r="U40">
        <v>2.6064278042894566E-2</v>
      </c>
      <c r="V40">
        <v>-3.6768476393390162E-2</v>
      </c>
      <c r="W40">
        <v>8.2027784913603213E-2</v>
      </c>
      <c r="X40">
        <v>2.5250850497543786E-2</v>
      </c>
      <c r="Y40">
        <v>-2.7964750859955246E-2</v>
      </c>
    </row>
    <row r="41" spans="1:25" x14ac:dyDescent="0.35">
      <c r="A41">
        <v>2019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-1.4442791356708493E-2</v>
      </c>
      <c r="I41">
        <v>9.9465257025287031E-3</v>
      </c>
      <c r="J41">
        <v>-2.3887860225360498E-2</v>
      </c>
      <c r="K41">
        <v>-1.4229086771649021E-2</v>
      </c>
      <c r="L41">
        <v>1.0334519886222478E-2</v>
      </c>
      <c r="M41">
        <v>-1.8264875364486042E-2</v>
      </c>
      <c r="N41">
        <v>9.1486083492573506E-2</v>
      </c>
      <c r="O41">
        <v>3.4421021018717288E-2</v>
      </c>
      <c r="P41">
        <v>-1.3160000602277433E-2</v>
      </c>
      <c r="Q41">
        <v>9.1350243180137777E-2</v>
      </c>
      <c r="R41">
        <v>3.4980298197476133E-2</v>
      </c>
      <c r="S41">
        <v>-5.1513304338067223E-3</v>
      </c>
      <c r="T41">
        <v>6.5425317018809076E-2</v>
      </c>
      <c r="U41">
        <v>8.3164003831196313E-3</v>
      </c>
      <c r="V41">
        <v>-4.0058772759192389E-2</v>
      </c>
      <c r="W41">
        <v>6.5291129750863333E-2</v>
      </c>
      <c r="X41">
        <v>8.8671974882451755E-3</v>
      </c>
      <c r="Y41">
        <v>-3.2048452987568088E-2</v>
      </c>
    </row>
    <row r="42" spans="1:25" x14ac:dyDescent="0.35">
      <c r="A42">
        <v>2020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-9.6542836313223534E-3</v>
      </c>
      <c r="I42">
        <v>8.0047838017373949E-3</v>
      </c>
      <c r="J42">
        <v>-2.1926981350188612E-2</v>
      </c>
      <c r="K42">
        <v>-1.0127513410079947E-2</v>
      </c>
      <c r="L42">
        <v>7.1720096716527066E-3</v>
      </c>
      <c r="M42">
        <v>-1.6854087711733055E-2</v>
      </c>
      <c r="N42">
        <v>4.763426186570812E-2</v>
      </c>
      <c r="O42">
        <v>-1.4576463942004115E-2</v>
      </c>
      <c r="P42">
        <v>-5.8189453687540159E-2</v>
      </c>
      <c r="Q42">
        <v>4.727607904089505E-2</v>
      </c>
      <c r="R42">
        <v>-1.5725013756165522E-2</v>
      </c>
      <c r="S42">
        <v>-5.0949591042019925E-2</v>
      </c>
      <c r="T42">
        <v>4.3375677515765862E-2</v>
      </c>
      <c r="U42">
        <v>-1.8820649217543794E-2</v>
      </c>
      <c r="V42">
        <v>-6.2582916693067828E-2</v>
      </c>
      <c r="W42">
        <v>4.3018869458593553E-2</v>
      </c>
      <c r="X42">
        <v>-1.9962761395966245E-2</v>
      </c>
      <c r="Y42">
        <v>-5.534252999553016E-2</v>
      </c>
    </row>
    <row r="43" spans="1:25" x14ac:dyDescent="0.35">
      <c r="A43">
        <v>2021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-1.7587339335246241E-2</v>
      </c>
      <c r="I43">
        <v>1.0431437646505793E-2</v>
      </c>
      <c r="J43">
        <v>-5.4184770043770106E-2</v>
      </c>
      <c r="K43">
        <v>-1.688980466454558E-2</v>
      </c>
      <c r="L43">
        <v>1.0692444168907463E-2</v>
      </c>
      <c r="M43">
        <v>-4.4950023363444815E-2</v>
      </c>
      <c r="N43">
        <v>7.6202111880963222E-2</v>
      </c>
      <c r="O43">
        <v>2.6506818835304164E-2</v>
      </c>
      <c r="P43">
        <v>-3.1727438210175901E-2</v>
      </c>
      <c r="Q43">
        <v>7.7643854591450817E-2</v>
      </c>
      <c r="R43">
        <v>2.6043954262043836E-2</v>
      </c>
      <c r="S43">
        <v>-2.3061327017254007E-2</v>
      </c>
      <c r="T43">
        <v>7.6202111880962917E-2</v>
      </c>
      <c r="U43">
        <v>2.650681883530414E-2</v>
      </c>
      <c r="V43">
        <v>-3.1727438210175929E-2</v>
      </c>
      <c r="W43">
        <v>7.7643854591450873E-2</v>
      </c>
      <c r="X43">
        <v>2.6043954262043652E-2</v>
      </c>
      <c r="Y43">
        <v>-2.3061327017254014E-2</v>
      </c>
    </row>
    <row r="44" spans="1:25" x14ac:dyDescent="0.35">
      <c r="A44">
        <v>2022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-1.3412696813974799E-3</v>
      </c>
      <c r="I44">
        <v>1.3018763303491734E-2</v>
      </c>
      <c r="J44">
        <v>-4.9547918706558933E-2</v>
      </c>
      <c r="K44">
        <v>-9.9342681524753436E-4</v>
      </c>
      <c r="L44">
        <v>1.1555229002690846E-2</v>
      </c>
      <c r="M44">
        <v>-3.8102772977395422E-2</v>
      </c>
      <c r="N44">
        <v>4.6848023134267967E-2</v>
      </c>
      <c r="O44">
        <v>5.8425560881431825E-2</v>
      </c>
      <c r="P44">
        <v>1.8516489257921188E-2</v>
      </c>
      <c r="Q44">
        <v>4.8439116749437301E-2</v>
      </c>
      <c r="R44">
        <v>6.311031311722809E-2</v>
      </c>
      <c r="S44">
        <v>1.6710986972039044E-2</v>
      </c>
      <c r="T44">
        <v>5.0049271855009431E-2</v>
      </c>
      <c r="U44">
        <v>6.2417933227522891E-2</v>
      </c>
      <c r="V44">
        <v>1.9781769702725799E-2</v>
      </c>
      <c r="W44">
        <v>5.1749089084525149E-2</v>
      </c>
      <c r="X44">
        <v>6.742280691345702E-2</v>
      </c>
      <c r="Y44">
        <v>1.7852892693722235E-2</v>
      </c>
    </row>
    <row r="45" spans="1:25" x14ac:dyDescent="0.35">
      <c r="A45">
        <v>2023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-6.6901001065699526E-3</v>
      </c>
      <c r="I45">
        <v>7.585061938168638E-3</v>
      </c>
      <c r="J45">
        <v>-5.0107079069044477E-2</v>
      </c>
      <c r="K45">
        <v>-6.2348256743462891E-3</v>
      </c>
      <c r="L45">
        <v>5.8417373152351163E-3</v>
      </c>
      <c r="M45">
        <v>-3.8917961462812956E-2</v>
      </c>
      <c r="N45">
        <v>4.781007368188963E-2</v>
      </c>
      <c r="O45">
        <v>5.5630225990844065E-2</v>
      </c>
      <c r="P45">
        <v>1.7101190843586616E-2</v>
      </c>
      <c r="Q45">
        <v>4.935152749927102E-2</v>
      </c>
      <c r="R45">
        <v>5.97737829929125E-2</v>
      </c>
      <c r="S45">
        <v>1.5556250275581624E-2</v>
      </c>
      <c r="T45">
        <v>5.0910737073009325E-2</v>
      </c>
      <c r="U45">
        <v>5.9206520462604176E-2</v>
      </c>
      <c r="V45">
        <v>1.8248435659665409E-2</v>
      </c>
      <c r="W45">
        <v>5.2546643179009346E-2</v>
      </c>
      <c r="X45">
        <v>6.3668371487109618E-2</v>
      </c>
      <c r="Y45">
        <v>1.6601602304280125E-2</v>
      </c>
    </row>
    <row r="46" spans="1:25" x14ac:dyDescent="0.35">
      <c r="A46">
        <v>2024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-4.5709118186808484E-3</v>
      </c>
      <c r="I46">
        <v>1.1718272854779532E-2</v>
      </c>
      <c r="J46">
        <v>-4.8133545319018201E-2</v>
      </c>
      <c r="K46">
        <v>-4.6850359732159234E-3</v>
      </c>
      <c r="L46">
        <v>1.0439721696068641E-2</v>
      </c>
      <c r="M46">
        <v>-3.6641910279888508E-2</v>
      </c>
      <c r="N46">
        <v>3.9265504113138422E-2</v>
      </c>
      <c r="O46">
        <v>4.3701984660551946E-2</v>
      </c>
      <c r="P46">
        <v>1.2839362195162581E-2</v>
      </c>
      <c r="Q46">
        <v>4.0461480241482876E-2</v>
      </c>
      <c r="R46">
        <v>4.6554586834426467E-2</v>
      </c>
      <c r="S46">
        <v>1.1740108197702293E-2</v>
      </c>
      <c r="T46">
        <v>4.1680260065880069E-2</v>
      </c>
      <c r="U46">
        <v>4.6353413520558454E-2</v>
      </c>
      <c r="V46">
        <v>1.3682952815139142E-2</v>
      </c>
      <c r="W46">
        <v>4.2941380742760694E-2</v>
      </c>
      <c r="X46">
        <v>4.9403602164813439E-2</v>
      </c>
      <c r="Y46">
        <v>1.2514900693734253E-2</v>
      </c>
    </row>
    <row r="47" spans="1:25" x14ac:dyDescent="0.35">
      <c r="A47">
        <v>2025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-4.3779013428213234E-3</v>
      </c>
      <c r="I47">
        <v>1.0934448749164572E-2</v>
      </c>
      <c r="J47">
        <v>-4.4982575840620063E-2</v>
      </c>
      <c r="K47">
        <v>-4.2549705364760644E-3</v>
      </c>
      <c r="L47">
        <v>9.6822940324974571E-3</v>
      </c>
      <c r="M47">
        <v>-3.4207529369419037E-2</v>
      </c>
      <c r="N47">
        <v>3.9126411746754117E-2</v>
      </c>
      <c r="O47">
        <v>4.1106568871888294E-2</v>
      </c>
      <c r="P47">
        <v>1.1617140142251698E-2</v>
      </c>
      <c r="Q47">
        <v>4.0263317330515247E-2</v>
      </c>
      <c r="R47">
        <v>4.3651121075557707E-2</v>
      </c>
      <c r="S47">
        <v>1.067428727267084E-2</v>
      </c>
      <c r="T47">
        <v>4.142972183245331E-2</v>
      </c>
      <c r="U47">
        <v>4.3489470028969884E-2</v>
      </c>
      <c r="V47">
        <v>1.2365609638725105E-2</v>
      </c>
      <c r="W47">
        <v>4.262250085071205E-2</v>
      </c>
      <c r="X47">
        <v>4.6194900942156773E-2</v>
      </c>
      <c r="Y47">
        <v>1.1366443392414922E-2</v>
      </c>
    </row>
    <row r="48" spans="1:25" x14ac:dyDescent="0.35">
      <c r="A48">
        <v>2026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-5.5507994625302488E-3</v>
      </c>
      <c r="I48">
        <v>1.1127791999472055E-2</v>
      </c>
      <c r="J48">
        <v>-4.5089883888187868E-2</v>
      </c>
      <c r="K48">
        <v>-5.64423086380613E-3</v>
      </c>
      <c r="L48">
        <v>1.0063508712096641E-2</v>
      </c>
      <c r="M48">
        <v>-3.4589924076399554E-2</v>
      </c>
      <c r="N48">
        <v>3.8952341210260054E-2</v>
      </c>
      <c r="O48">
        <v>3.8768272570392448E-2</v>
      </c>
      <c r="P48">
        <v>1.054429095861968E-2</v>
      </c>
      <c r="Q48">
        <v>4.0031733111253971E-2</v>
      </c>
      <c r="R48">
        <v>4.1042285136211276E-2</v>
      </c>
      <c r="S48">
        <v>9.723479314389414E-3</v>
      </c>
      <c r="T48">
        <v>4.1147915159149104E-2</v>
      </c>
      <c r="U48">
        <v>4.0921446987805303E-2</v>
      </c>
      <c r="V48">
        <v>1.121003730568754E-2</v>
      </c>
      <c r="W48">
        <v>4.2274882778013119E-2</v>
      </c>
      <c r="X48">
        <v>4.3326882246764301E-2</v>
      </c>
      <c r="Y48">
        <v>1.0342334466038907E-2</v>
      </c>
    </row>
    <row r="49" spans="1:25" x14ac:dyDescent="0.35">
      <c r="A49">
        <v>2027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-6.5157245961427242E-3</v>
      </c>
      <c r="I49">
        <v>1.1480835171626343E-2</v>
      </c>
      <c r="J49">
        <v>-4.5221828261058833E-2</v>
      </c>
      <c r="K49">
        <v>-6.1314943448045507E-3</v>
      </c>
      <c r="L49">
        <v>1.0182363374099338E-2</v>
      </c>
      <c r="M49">
        <v>-3.4403099149851006E-2</v>
      </c>
      <c r="N49">
        <v>3.8743716359345232E-2</v>
      </c>
      <c r="O49">
        <v>3.6641077716280127E-2</v>
      </c>
      <c r="P49">
        <v>9.5961855298522421E-3</v>
      </c>
      <c r="Q49">
        <v>3.9772102966582061E-2</v>
      </c>
      <c r="R49">
        <v>3.868168232041453E-2</v>
      </c>
      <c r="S49">
        <v>8.8740501967990281E-3</v>
      </c>
      <c r="T49">
        <v>4.083529215719061E-2</v>
      </c>
      <c r="U49">
        <v>3.8595581751170803E-2</v>
      </c>
      <c r="V49">
        <v>1.0189734022600242E-2</v>
      </c>
      <c r="W49">
        <v>4.1904111730328299E-2</v>
      </c>
      <c r="X49">
        <v>4.0743783596981858E-2</v>
      </c>
      <c r="Y49">
        <v>9.4280288878701921E-3</v>
      </c>
    </row>
    <row r="50" spans="1:25" x14ac:dyDescent="0.35">
      <c r="A50">
        <v>2028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-6.2418190189205969E-3</v>
      </c>
      <c r="I50">
        <v>1.1899876319189706E-2</v>
      </c>
      <c r="J50">
        <v>-4.7187662050454611E-2</v>
      </c>
      <c r="K50">
        <v>-6.2137349157181049E-3</v>
      </c>
      <c r="L50">
        <v>1.0689018212822232E-2</v>
      </c>
      <c r="M50">
        <v>-3.595612703921975E-2</v>
      </c>
      <c r="N50">
        <v>3.8501158673039972E-2</v>
      </c>
      <c r="O50">
        <v>3.4696577965916547E-2</v>
      </c>
      <c r="P50">
        <v>8.7553247195289643E-3</v>
      </c>
      <c r="Q50">
        <v>3.9479656871625517E-2</v>
      </c>
      <c r="R50">
        <v>3.6528964985369644E-2</v>
      </c>
      <c r="S50">
        <v>8.1120461948057509E-3</v>
      </c>
      <c r="T50">
        <v>4.0492489457738721E-2</v>
      </c>
      <c r="U50">
        <v>3.6478009057777809E-2</v>
      </c>
      <c r="V50">
        <v>9.2857576699767498E-3</v>
      </c>
      <c r="W50">
        <v>4.150503223220154E-2</v>
      </c>
      <c r="X50">
        <v>3.8398879464365036E-2</v>
      </c>
      <c r="Y50">
        <v>8.6085422344833462E-3</v>
      </c>
    </row>
    <row r="51" spans="1:25" x14ac:dyDescent="0.35">
      <c r="A51">
        <v>2029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-6.2586240580694511E-3</v>
      </c>
      <c r="I51">
        <v>1.2693017721421321E-2</v>
      </c>
      <c r="J51">
        <v>-5.0626719295831887E-2</v>
      </c>
      <c r="K51">
        <v>-5.6714350880306434E-3</v>
      </c>
      <c r="L51">
        <v>1.1353583270005884E-2</v>
      </c>
      <c r="M51">
        <v>-3.891581671675149E-2</v>
      </c>
      <c r="N51">
        <v>3.8222433925212337E-2</v>
      </c>
      <c r="O51">
        <v>3.290530991901057E-2</v>
      </c>
      <c r="P51">
        <v>8.0078866267837955E-3</v>
      </c>
      <c r="Q51">
        <v>3.9149248412813094E-2</v>
      </c>
      <c r="R51">
        <v>3.4555024027611035E-2</v>
      </c>
      <c r="S51">
        <v>7.4285606342183591E-3</v>
      </c>
      <c r="T51">
        <v>4.0117123818362514E-2</v>
      </c>
      <c r="U51">
        <v>3.4534675981100452E-2</v>
      </c>
      <c r="V51">
        <v>8.4830850851391124E-3</v>
      </c>
      <c r="W51">
        <v>4.1072141491658984E-2</v>
      </c>
      <c r="X51">
        <v>3.625733733229311E-2</v>
      </c>
      <c r="Y51">
        <v>7.8742246790282008E-3</v>
      </c>
    </row>
    <row r="52" spans="1:25" x14ac:dyDescent="0.35">
      <c r="A52">
        <v>2030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-7.4284576898544325E-3</v>
      </c>
      <c r="I52">
        <v>1.359722823852188E-2</v>
      </c>
      <c r="J52">
        <v>-5.2826674471685736E-2</v>
      </c>
      <c r="K52">
        <v>-7.2745862196588167E-3</v>
      </c>
      <c r="L52">
        <v>1.2375810325556373E-2</v>
      </c>
      <c r="M52">
        <v>-4.0640407030074086E-2</v>
      </c>
      <c r="N52">
        <v>3.7775695508131861E-2</v>
      </c>
      <c r="O52">
        <v>3.1149382310840766E-2</v>
      </c>
      <c r="P52">
        <v>7.3177670814367985E-3</v>
      </c>
      <c r="Q52">
        <v>3.8651152922606263E-2</v>
      </c>
      <c r="R52">
        <v>3.2629269916916684E-2</v>
      </c>
      <c r="S52">
        <v>6.7878251088393429E-3</v>
      </c>
      <c r="T52">
        <v>3.9571049089673488E-2</v>
      </c>
      <c r="U52">
        <v>3.2639609707458481E-2</v>
      </c>
      <c r="V52">
        <v>7.7431487515658521E-3</v>
      </c>
      <c r="W52">
        <v>4.0469541384727872E-2</v>
      </c>
      <c r="X52">
        <v>3.4179381060209339E-2</v>
      </c>
      <c r="Y52">
        <v>7.1869599158430773E-3</v>
      </c>
    </row>
    <row r="53" spans="1:25" x14ac:dyDescent="0.35">
      <c r="A53">
        <v>2031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-5.9293889907090589E-3</v>
      </c>
      <c r="I53">
        <v>1.3177240856661606E-2</v>
      </c>
      <c r="J53">
        <v>-5.4139378008226338E-2</v>
      </c>
      <c r="K53">
        <v>-5.6541072125320677E-3</v>
      </c>
      <c r="L53">
        <v>1.1888734510683433E-2</v>
      </c>
      <c r="M53">
        <v>-4.135558363779275E-2</v>
      </c>
      <c r="N53">
        <v>3.7417682798566748E-2</v>
      </c>
      <c r="O53">
        <v>2.9609488535989898E-2</v>
      </c>
      <c r="P53">
        <v>6.7190927996040577E-3</v>
      </c>
      <c r="Q53">
        <v>3.8251133262324037E-2</v>
      </c>
      <c r="R53">
        <v>3.0941426686198623E-2</v>
      </c>
      <c r="S53">
        <v>6.2356867195487459E-3</v>
      </c>
      <c r="T53">
        <v>3.9123670616696575E-2</v>
      </c>
      <c r="U53">
        <v>3.0980507300076919E-2</v>
      </c>
      <c r="V53">
        <v>7.1017781003613464E-3</v>
      </c>
      <c r="W53">
        <v>3.9975897644001855E-2</v>
      </c>
      <c r="X53">
        <v>3.2361774975097624E-2</v>
      </c>
      <c r="Y53">
        <v>6.5950955923739056E-3</v>
      </c>
    </row>
    <row r="54" spans="1:25" x14ac:dyDescent="0.35">
      <c r="A54">
        <v>2032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-4.1693560852817339E-3</v>
      </c>
      <c r="I54">
        <v>1.3261513727286629E-2</v>
      </c>
      <c r="J54">
        <v>-5.3552695667288375E-2</v>
      </c>
      <c r="K54">
        <v>-3.8989534831767162E-3</v>
      </c>
      <c r="L54">
        <v>1.1922354122869931E-2</v>
      </c>
      <c r="M54">
        <v>-4.0203089241592077E-2</v>
      </c>
      <c r="N54">
        <v>3.6883583874175077E-2</v>
      </c>
      <c r="O54">
        <v>2.8074545010965166E-2</v>
      </c>
      <c r="P54">
        <v>6.1559203091380585E-3</v>
      </c>
      <c r="Q54">
        <v>3.7666543249815748E-2</v>
      </c>
      <c r="R54">
        <v>2.9265944106246562E-2</v>
      </c>
      <c r="S54">
        <v>5.7114947587893101E-3</v>
      </c>
      <c r="T54">
        <v>3.849754666921533E-2</v>
      </c>
      <c r="U54">
        <v>2.9334611940130508E-2</v>
      </c>
      <c r="V54">
        <v>6.499525921367438E-3</v>
      </c>
      <c r="W54">
        <v>3.9295174514634032E-2</v>
      </c>
      <c r="X54">
        <v>3.0566286290349323E-2</v>
      </c>
      <c r="Y54">
        <v>6.0342162660891882E-3</v>
      </c>
    </row>
    <row r="55" spans="1:25" x14ac:dyDescent="0.35">
      <c r="A55">
        <v>2033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-4.2323773006645391E-3</v>
      </c>
      <c r="I55">
        <v>1.2635750604637189E-2</v>
      </c>
      <c r="J55">
        <v>-5.1322688296044319E-2</v>
      </c>
      <c r="K55">
        <v>-3.5115218766344275E-3</v>
      </c>
      <c r="L55">
        <v>1.0976707775001957E-2</v>
      </c>
      <c r="M55">
        <v>-3.7537741055287455E-2</v>
      </c>
      <c r="N55">
        <v>3.802624567761171E-2</v>
      </c>
      <c r="O55">
        <v>2.7736556940076498E-2</v>
      </c>
      <c r="P55">
        <v>5.90577271693232E-3</v>
      </c>
      <c r="Q55">
        <v>3.8800640210333484E-2</v>
      </c>
      <c r="R55">
        <v>2.8880634669401561E-2</v>
      </c>
      <c r="S55">
        <v>5.4781299497552753E-3</v>
      </c>
      <c r="T55">
        <v>3.9624276048389973E-2</v>
      </c>
      <c r="U55">
        <v>2.8945084366724574E-2</v>
      </c>
      <c r="V55">
        <v>6.2289290129145655E-3</v>
      </c>
      <c r="W55">
        <v>4.0410512314653597E-2</v>
      </c>
      <c r="X55">
        <v>3.0124872193096619E-2</v>
      </c>
      <c r="Y55">
        <v>5.7816452933670695E-3</v>
      </c>
    </row>
    <row r="56" spans="1:25" x14ac:dyDescent="0.35">
      <c r="A56">
        <v>2034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-2.4434015024492042E-3</v>
      </c>
      <c r="I56">
        <v>1.1969853796952198E-2</v>
      </c>
      <c r="J56">
        <v>-5.0874770979523511E-2</v>
      </c>
      <c r="K56">
        <v>-2.3461392897884976E-3</v>
      </c>
      <c r="L56">
        <v>1.0603818487051492E-2</v>
      </c>
      <c r="M56">
        <v>-3.7268082258454689E-2</v>
      </c>
      <c r="N56">
        <v>3.9158116603815629E-2</v>
      </c>
      <c r="O56">
        <v>2.74240265877339E-2</v>
      </c>
      <c r="P56">
        <v>5.6805109093145366E-3</v>
      </c>
      <c r="Q56">
        <v>3.9922180931257364E-2</v>
      </c>
      <c r="R56">
        <v>2.8523257226104548E-2</v>
      </c>
      <c r="S56">
        <v>5.2667059688403361E-3</v>
      </c>
      <c r="T56">
        <v>4.0736677041292559E-2</v>
      </c>
      <c r="U56">
        <v>2.8584342345330294E-2</v>
      </c>
      <c r="V56">
        <v>5.9852472360749061E-3</v>
      </c>
      <c r="W56">
        <v>4.150982960717637E-2</v>
      </c>
      <c r="X56">
        <v>2.9715160270780423E-2</v>
      </c>
      <c r="Y56">
        <v>5.5528411440515235E-3</v>
      </c>
    </row>
    <row r="57" spans="1:25" x14ac:dyDescent="0.35">
      <c r="A57">
        <v>2035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-3.2429360763448476E-3</v>
      </c>
      <c r="I57">
        <v>1.0840839231489107E-2</v>
      </c>
      <c r="J57">
        <v>-4.5758431194456585E-2</v>
      </c>
      <c r="K57">
        <v>-3.233568568745022E-3</v>
      </c>
      <c r="L57">
        <v>9.1641253042281309E-3</v>
      </c>
      <c r="M57">
        <v>-3.1894058993842338E-2</v>
      </c>
      <c r="N57">
        <v>4.0276704517710225E-2</v>
      </c>
      <c r="O57">
        <v>2.7134434763870629E-2</v>
      </c>
      <c r="P57">
        <v>5.4768594801645415E-3</v>
      </c>
      <c r="Q57">
        <v>4.1028808106332304E-2</v>
      </c>
      <c r="R57">
        <v>2.8191121545155153E-2</v>
      </c>
      <c r="S57">
        <v>5.0745179145632877E-3</v>
      </c>
      <c r="T57">
        <v>4.1832436616655005E-2</v>
      </c>
      <c r="U57">
        <v>2.8249527096855066E-2</v>
      </c>
      <c r="V57">
        <v>5.7649284229521732E-3</v>
      </c>
      <c r="W57">
        <v>4.2590971893844892E-2</v>
      </c>
      <c r="X57">
        <v>2.9334022501149092E-2</v>
      </c>
      <c r="Y57">
        <v>5.3448664923090939E-3</v>
      </c>
    </row>
    <row r="58" spans="1:25" x14ac:dyDescent="0.35">
      <c r="A58">
        <v>2036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-4.8563812177183172E-3</v>
      </c>
      <c r="I58">
        <v>1.1751139808542229E-2</v>
      </c>
      <c r="J58">
        <v>-4.7116100115074215E-2</v>
      </c>
      <c r="K58">
        <v>-5.1670261617134099E-3</v>
      </c>
      <c r="L58">
        <v>1.028026241422552E-2</v>
      </c>
      <c r="M58">
        <v>-3.3259696059790643E-2</v>
      </c>
      <c r="N58">
        <v>4.1379605717853936E-2</v>
      </c>
      <c r="O58">
        <v>2.6865621118846782E-2</v>
      </c>
      <c r="P58">
        <v>5.292073716340732E-3</v>
      </c>
      <c r="Q58">
        <v>4.2118150004818881E-2</v>
      </c>
      <c r="R58">
        <v>2.7881813588522732E-2</v>
      </c>
      <c r="S58">
        <v>4.8994820189968702E-3</v>
      </c>
      <c r="T58">
        <v>4.2909355158187286E-2</v>
      </c>
      <c r="U58">
        <v>2.7938186888592675E-2</v>
      </c>
      <c r="V58">
        <v>5.5649972108821359E-3</v>
      </c>
      <c r="W58">
        <v>4.3651788504839022E-2</v>
      </c>
      <c r="X58">
        <v>2.8978744231904628E-2</v>
      </c>
      <c r="Y58">
        <v>5.1554511818904143E-3</v>
      </c>
    </row>
    <row r="59" spans="1:25" x14ac:dyDescent="0.35">
      <c r="A59">
        <v>2037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-2.6239502141901087E-3</v>
      </c>
      <c r="I59">
        <v>1.2084140994737759E-2</v>
      </c>
      <c r="J59">
        <v>-5.0736342602624371E-2</v>
      </c>
      <c r="K59">
        <v>-2.6021015558793854E-3</v>
      </c>
      <c r="L59">
        <v>1.0799094507398875E-2</v>
      </c>
      <c r="M59">
        <v>-3.6924262395609822E-2</v>
      </c>
      <c r="N59">
        <v>4.246451279252289E-2</v>
      </c>
      <c r="O59">
        <v>2.6615496079788543E-2</v>
      </c>
      <c r="P59">
        <v>5.1234425015403273E-3</v>
      </c>
      <c r="Q59">
        <v>4.3188116273019612E-2</v>
      </c>
      <c r="R59">
        <v>2.7593230191736626E-2</v>
      </c>
      <c r="S59">
        <v>4.7393057868664922E-3</v>
      </c>
      <c r="T59">
        <v>4.3965350502036732E-2</v>
      </c>
      <c r="U59">
        <v>2.7647971963800838E-2</v>
      </c>
      <c r="V59">
        <v>5.3825293854219761E-3</v>
      </c>
      <c r="W59">
        <v>4.4690435077817572E-2</v>
      </c>
      <c r="X59">
        <v>2.8646873927957867E-2</v>
      </c>
      <c r="Y59">
        <v>4.9821177618647227E-3</v>
      </c>
    </row>
    <row r="60" spans="1:25" x14ac:dyDescent="0.35">
      <c r="A60">
        <v>2038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-2.6310483708210444E-3</v>
      </c>
      <c r="I60">
        <v>1.2816978865781894E-2</v>
      </c>
      <c r="J60">
        <v>-5.3493521610374378E-2</v>
      </c>
      <c r="K60">
        <v>-2.576008181260251E-3</v>
      </c>
      <c r="L60">
        <v>1.1618753845671501E-2</v>
      </c>
      <c r="M60">
        <v>-3.9378408809562546E-2</v>
      </c>
      <c r="N60">
        <v>4.3529409184164744E-2</v>
      </c>
      <c r="O60">
        <v>2.6382420022931983E-2</v>
      </c>
      <c r="P60">
        <v>4.9695729415003441E-3</v>
      </c>
      <c r="Q60">
        <v>4.423673685895247E-2</v>
      </c>
      <c r="R60">
        <v>2.7323451694145476E-2</v>
      </c>
      <c r="S60">
        <v>4.592671589706855E-3</v>
      </c>
      <c r="T60">
        <v>4.499865459697109E-2</v>
      </c>
      <c r="U60">
        <v>2.7377024092875367E-2</v>
      </c>
      <c r="V60">
        <v>5.2159980512224268E-3</v>
      </c>
      <c r="W60">
        <v>4.5705201459654371E-2</v>
      </c>
      <c r="X60">
        <v>2.833635182196834E-2</v>
      </c>
      <c r="Y60">
        <v>4.8234233714726923E-3</v>
      </c>
    </row>
    <row r="61" spans="1:25" x14ac:dyDescent="0.35">
      <c r="A61">
        <v>2039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-2.3614318265890465E-3</v>
      </c>
      <c r="I61">
        <v>1.3286804778547419E-2</v>
      </c>
      <c r="J61">
        <v>-5.5859836003442478E-2</v>
      </c>
      <c r="K61">
        <v>-2.2737342259324801E-3</v>
      </c>
      <c r="L61">
        <v>1.2138325353920855E-2</v>
      </c>
      <c r="M61">
        <v>-4.1369581591375278E-2</v>
      </c>
      <c r="N61">
        <v>4.457232681896911E-2</v>
      </c>
      <c r="O61">
        <v>2.6165044014571506E-2</v>
      </c>
      <c r="P61">
        <v>4.8289967148961903E-3</v>
      </c>
      <c r="Q61">
        <v>4.5262198832171738E-2</v>
      </c>
      <c r="R61">
        <v>2.7070874750240816E-2</v>
      </c>
      <c r="S61">
        <v>4.4583868318893603E-3</v>
      </c>
      <c r="T61">
        <v>4.6007557835278837E-2</v>
      </c>
      <c r="U61">
        <v>2.7123806291806274E-2</v>
      </c>
      <c r="V61">
        <v>5.0638055189572177E-3</v>
      </c>
      <c r="W61">
        <v>4.6694545441141669E-2</v>
      </c>
      <c r="X61">
        <v>2.804543610549913E-2</v>
      </c>
      <c r="Y61">
        <v>4.6780646851398763E-3</v>
      </c>
    </row>
    <row r="62" spans="1:25" x14ac:dyDescent="0.35">
      <c r="A62">
        <v>2040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-1.9944978445216887E-3</v>
      </c>
      <c r="I62">
        <v>1.3500092634304182E-2</v>
      </c>
      <c r="J62">
        <v>-5.7581926533625892E-2</v>
      </c>
      <c r="K62">
        <v>-1.8754519265751627E-3</v>
      </c>
      <c r="L62">
        <v>1.2478014687341348E-2</v>
      </c>
      <c r="M62">
        <v>-4.3027333022305228E-2</v>
      </c>
      <c r="N62">
        <v>4.5591510768868963E-2</v>
      </c>
      <c r="O62">
        <v>2.5962063787401294E-2</v>
      </c>
      <c r="P62">
        <v>4.7003299341638405E-3</v>
      </c>
      <c r="Q62">
        <v>4.6262912698285343E-2</v>
      </c>
      <c r="R62">
        <v>2.6834152159079531E-2</v>
      </c>
      <c r="S62">
        <v>4.3352925766360125E-3</v>
      </c>
      <c r="T62">
        <v>4.6990575099426175E-2</v>
      </c>
      <c r="U62">
        <v>2.6886844534489075E-2</v>
      </c>
      <c r="V62">
        <v>4.9244508066557191E-3</v>
      </c>
      <c r="W62">
        <v>4.7657156655725931E-2</v>
      </c>
      <c r="X62">
        <v>2.7772488037277273E-2</v>
      </c>
      <c r="Y62">
        <v>4.5447808322303229E-3</v>
      </c>
    </row>
    <row r="63" spans="1:25" x14ac:dyDescent="0.35">
      <c r="A63">
        <v>2041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-1.5532951301088732E-3</v>
      </c>
      <c r="I63">
        <v>1.3739313133314415E-2</v>
      </c>
      <c r="J63">
        <v>-5.9618923147057488E-2</v>
      </c>
      <c r="K63">
        <v>-1.4019318286346153E-3</v>
      </c>
      <c r="L63">
        <v>1.2308994500115095E-2</v>
      </c>
      <c r="M63">
        <v>-4.3340057051477525E-2</v>
      </c>
      <c r="N63">
        <v>4.6585394134244243E-2</v>
      </c>
      <c r="O63">
        <v>2.5772350925147746E-2</v>
      </c>
      <c r="P63">
        <v>4.5823886438883903E-3</v>
      </c>
      <c r="Q63">
        <v>4.7237393063994153E-2</v>
      </c>
      <c r="R63">
        <v>2.6611995178779033E-2</v>
      </c>
      <c r="S63">
        <v>4.2223783171188699E-3</v>
      </c>
      <c r="T63">
        <v>4.7946415263225635E-2</v>
      </c>
      <c r="U63">
        <v>2.6664861471943632E-2</v>
      </c>
      <c r="V63">
        <v>4.7966496424850331E-3</v>
      </c>
      <c r="W63">
        <v>4.8591829402884465E-2</v>
      </c>
      <c r="X63">
        <v>2.7516081701315892E-2</v>
      </c>
      <c r="Y63">
        <v>4.4224714825892002E-3</v>
      </c>
    </row>
    <row r="64" spans="1:25" x14ac:dyDescent="0.35">
      <c r="A64">
        <v>2042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-1.1834044576383702E-3</v>
      </c>
      <c r="I64">
        <v>1.3644557358542491E-2</v>
      </c>
      <c r="J64">
        <v>-6.0454336081597761E-2</v>
      </c>
      <c r="K64">
        <v>-1.0010511181830699E-3</v>
      </c>
      <c r="L64">
        <v>1.2076800800781143E-2</v>
      </c>
      <c r="M64">
        <v>-4.3372956412815772E-2</v>
      </c>
      <c r="N64">
        <v>4.7552631236572628E-2</v>
      </c>
      <c r="O64">
        <v>2.5594855396958244E-2</v>
      </c>
      <c r="P64">
        <v>4.4740758014061221E-3</v>
      </c>
      <c r="Q64">
        <v>4.818446268108674E-2</v>
      </c>
      <c r="R64">
        <v>2.6403283847090418E-2</v>
      </c>
      <c r="S64">
        <v>4.1186401836981528E-3</v>
      </c>
      <c r="T64">
        <v>4.8874011131614312E-2</v>
      </c>
      <c r="U64">
        <v>2.6456673395474986E-2</v>
      </c>
      <c r="V64">
        <v>4.6792150069730901E-3</v>
      </c>
      <c r="W64">
        <v>4.9497668753173518E-2</v>
      </c>
      <c r="X64">
        <v>2.7274938120293326E-2</v>
      </c>
      <c r="Y64">
        <v>4.3100489662350428E-3</v>
      </c>
    </row>
    <row r="65" spans="1:25" x14ac:dyDescent="0.35">
      <c r="A65">
        <v>2043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-9.1127576857898888E-4</v>
      </c>
      <c r="I65">
        <v>1.304847373472388E-2</v>
      </c>
      <c r="J65">
        <v>-5.9258622819299549E-2</v>
      </c>
      <c r="K65">
        <v>-6.9890401772077437E-4</v>
      </c>
      <c r="L65">
        <v>1.1390808156401836E-2</v>
      </c>
      <c r="M65">
        <v>-4.190317201080844E-2</v>
      </c>
      <c r="N65">
        <v>4.8492010004953158E-2</v>
      </c>
      <c r="O65">
        <v>2.5428626250753258E-2</v>
      </c>
      <c r="P65">
        <v>4.3744458372501696E-3</v>
      </c>
      <c r="Q65">
        <v>4.9103020234036517E-2</v>
      </c>
      <c r="R65">
        <v>2.6207009989153797E-2</v>
      </c>
      <c r="S65">
        <v>4.0231612711608316E-3</v>
      </c>
      <c r="T65">
        <v>4.9772425605379332E-2</v>
      </c>
      <c r="U65">
        <v>2.6261210007834074E-2</v>
      </c>
      <c r="V65">
        <v>4.5711238296379485E-3</v>
      </c>
      <c r="W65">
        <v>5.0373848112730067E-2</v>
      </c>
      <c r="X65">
        <v>2.7047859600007804E-2</v>
      </c>
      <c r="Y65">
        <v>4.206521602229011E-3</v>
      </c>
    </row>
    <row r="66" spans="1:25" x14ac:dyDescent="0.35">
      <c r="A66">
        <v>2044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-6.6038779147419154E-4</v>
      </c>
      <c r="I66">
        <v>1.2475435454058796E-2</v>
      </c>
      <c r="J66">
        <v>-5.7915890527320366E-2</v>
      </c>
      <c r="K66">
        <v>-4.2245173050749533E-4</v>
      </c>
      <c r="L66">
        <v>1.0864788050348424E-2</v>
      </c>
      <c r="M66">
        <v>-4.0798233259509695E-2</v>
      </c>
      <c r="N66">
        <v>4.9402514455322497E-2</v>
      </c>
      <c r="O66">
        <v>2.5272790482003593E-2</v>
      </c>
      <c r="P66">
        <v>4.2825915989456731E-3</v>
      </c>
      <c r="Q66">
        <v>4.9992246487454435E-2</v>
      </c>
      <c r="R66">
        <v>2.6022217276367336E-2</v>
      </c>
      <c r="S66">
        <v>3.9350344133362797E-3</v>
      </c>
      <c r="T66">
        <v>5.0640912724997406E-2</v>
      </c>
      <c r="U66">
        <v>2.6077491125981633E-2</v>
      </c>
      <c r="V66">
        <v>4.4713980422474049E-3</v>
      </c>
      <c r="W66">
        <v>5.1219817955072099E-2</v>
      </c>
      <c r="X66">
        <v>2.6833785192148425E-2</v>
      </c>
      <c r="Y66">
        <v>4.1109121210064379E-3</v>
      </c>
    </row>
    <row r="67" spans="1:25" x14ac:dyDescent="0.35">
      <c r="A67">
        <v>2045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-4.5318715295129754E-4</v>
      </c>
      <c r="I67">
        <v>1.116355554566313E-2</v>
      </c>
      <c r="J67">
        <v>-5.3479232892220979E-2</v>
      </c>
      <c r="K67">
        <v>-1.8884421738074662E-4</v>
      </c>
      <c r="L67">
        <v>9.6350486984791948E-3</v>
      </c>
      <c r="M67">
        <v>-3.7388980424739711E-2</v>
      </c>
      <c r="N67">
        <v>5.0283414706414772E-2</v>
      </c>
      <c r="O67">
        <v>2.5126571948819464E-2</v>
      </c>
      <c r="P67">
        <v>4.1975879069291264E-3</v>
      </c>
      <c r="Q67">
        <v>5.0851481342143456E-2</v>
      </c>
      <c r="R67">
        <v>2.58480588747361E-2</v>
      </c>
      <c r="S67">
        <v>3.853403954973703E-3</v>
      </c>
      <c r="T67">
        <v>5.1479006685092921E-2</v>
      </c>
      <c r="U67">
        <v>2.590464492756632E-2</v>
      </c>
      <c r="V67">
        <v>4.3790453582601514E-3</v>
      </c>
      <c r="W67">
        <v>5.2035176751687146E-2</v>
      </c>
      <c r="X67">
        <v>2.6631698139059676E-2</v>
      </c>
      <c r="Y67">
        <v>4.022301645941276E-3</v>
      </c>
    </row>
    <row r="68" spans="1:25" x14ac:dyDescent="0.35">
      <c r="A68">
        <v>2046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-2.9521901202445689E-4</v>
      </c>
      <c r="I68">
        <v>1.0340789046680775E-2</v>
      </c>
      <c r="J68">
        <v>-5.0522274461889567E-2</v>
      </c>
      <c r="K68">
        <v>-5.7390171067644528E-6</v>
      </c>
      <c r="L68">
        <v>8.9642803541389801E-3</v>
      </c>
      <c r="M68">
        <v>-3.5489007876666791E-2</v>
      </c>
      <c r="N68">
        <v>5.1134106998715137E-2</v>
      </c>
      <c r="O68">
        <v>2.4989176528111109E-2</v>
      </c>
      <c r="P68">
        <v>4.1186669380635851E-3</v>
      </c>
      <c r="Q68">
        <v>5.1680247643518029E-2</v>
      </c>
      <c r="R68">
        <v>2.5683710835598655E-2</v>
      </c>
      <c r="S68">
        <v>3.777585524327691E-3</v>
      </c>
      <c r="T68">
        <v>5.228635520146304E-2</v>
      </c>
      <c r="U68">
        <v>2.5741788547934241E-2</v>
      </c>
      <c r="V68">
        <v>4.2932418516530091E-3</v>
      </c>
      <c r="W68">
        <v>5.2819693256218277E-2</v>
      </c>
      <c r="X68">
        <v>2.6440708791605001E-2</v>
      </c>
      <c r="Y68">
        <v>3.9399534776710654E-3</v>
      </c>
    </row>
    <row r="69" spans="1:25" x14ac:dyDescent="0.35">
      <c r="A69">
        <v>2047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-2.0771421784045906E-4</v>
      </c>
      <c r="I69">
        <v>9.451559502049494E-3</v>
      </c>
      <c r="J69">
        <v>-4.7018426505953115E-2</v>
      </c>
      <c r="K69">
        <v>1.0269513765722605E-4</v>
      </c>
      <c r="L69">
        <v>7.9909241640432928E-3</v>
      </c>
      <c r="M69">
        <v>-3.2492545389703399E-2</v>
      </c>
      <c r="N69">
        <v>5.1954135702890918E-2</v>
      </c>
      <c r="O69">
        <v>2.4859831665902138E-2</v>
      </c>
      <c r="P69">
        <v>4.0449868719736985E-3</v>
      </c>
      <c r="Q69">
        <v>5.2478242459516586E-2</v>
      </c>
      <c r="R69">
        <v>2.5528454628416419E-2</v>
      </c>
      <c r="S69">
        <v>3.7068347434171204E-3</v>
      </c>
      <c r="T69">
        <v>5.3062740346082896E-2</v>
      </c>
      <c r="U69">
        <v>2.5588068232005316E-2</v>
      </c>
      <c r="V69">
        <v>4.2130902235720949E-3</v>
      </c>
      <c r="W69">
        <v>5.3573295819189307E-2</v>
      </c>
      <c r="X69">
        <v>2.6259936413827886E-2</v>
      </c>
      <c r="Y69">
        <v>3.8630720094547798E-3</v>
      </c>
    </row>
    <row r="70" spans="1:25" x14ac:dyDescent="0.35">
      <c r="A70">
        <v>2048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-2.2156291256506186E-4</v>
      </c>
      <c r="I70">
        <v>9.3854634949537882E-3</v>
      </c>
      <c r="J70">
        <v>-4.643524245520568E-2</v>
      </c>
      <c r="K70">
        <v>1.0612341193645469E-4</v>
      </c>
      <c r="L70">
        <v>7.7866155122072803E-3</v>
      </c>
      <c r="M70">
        <v>-3.1671814340306879E-2</v>
      </c>
      <c r="N70">
        <v>5.2743251676298925E-2</v>
      </c>
      <c r="O70">
        <v>2.4737917460814898E-2</v>
      </c>
      <c r="P70">
        <v>3.9759025624569412E-3</v>
      </c>
      <c r="Q70">
        <v>5.3245328725539866E-2</v>
      </c>
      <c r="R70">
        <v>2.5381565267836342E-2</v>
      </c>
      <c r="S70">
        <v>3.6405854465803591E-3</v>
      </c>
      <c r="T70">
        <v>5.3808136601069062E-2</v>
      </c>
      <c r="U70">
        <v>2.544279339213177E-2</v>
      </c>
      <c r="V70">
        <v>4.1379014893952286E-3</v>
      </c>
      <c r="W70">
        <v>5.4296062543024444E-2</v>
      </c>
      <c r="X70">
        <v>2.6088664251159705E-2</v>
      </c>
      <c r="Y70">
        <v>3.791049961857891E-3</v>
      </c>
    </row>
    <row r="71" spans="1:25" x14ac:dyDescent="0.35">
      <c r="A71">
        <v>2049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-3.4281836980816288E-4</v>
      </c>
      <c r="I71">
        <v>9.2006631728173988E-3</v>
      </c>
      <c r="J71">
        <v>-4.5278852944128249E-2</v>
      </c>
      <c r="K71">
        <v>2.0966984766120945E-6</v>
      </c>
      <c r="L71">
        <v>7.3938311776487404E-3</v>
      </c>
      <c r="M71">
        <v>-3.0180787394668094E-2</v>
      </c>
      <c r="N71">
        <v>5.3501403065236278E-2</v>
      </c>
      <c r="O71">
        <v>2.4622813888705988E-2</v>
      </c>
      <c r="P71">
        <v>3.9108384138133792E-3</v>
      </c>
      <c r="Q71">
        <v>5.3981523916797954E-2</v>
      </c>
      <c r="R71">
        <v>2.524246301583841E-2</v>
      </c>
      <c r="S71">
        <v>3.5783140787282392E-3</v>
      </c>
      <c r="T71">
        <v>5.4522700064020928E-2</v>
      </c>
      <c r="U71">
        <v>2.5305278531472394E-2</v>
      </c>
      <c r="V71">
        <v>4.0670618090301444E-3</v>
      </c>
      <c r="W71">
        <v>5.4988208842597787E-2</v>
      </c>
      <c r="X71">
        <v>2.592614943387345E-2</v>
      </c>
      <c r="Y71">
        <v>3.7233276221126112E-3</v>
      </c>
    </row>
    <row r="72" spans="1:25" x14ac:dyDescent="0.35">
      <c r="A72">
        <v>2050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-5.6260679397417731E-4</v>
      </c>
      <c r="I72">
        <v>9.0289676234725433E-3</v>
      </c>
      <c r="J72">
        <v>-4.4006834110727686E-2</v>
      </c>
      <c r="K72">
        <v>-2.006585695692833E-4</v>
      </c>
      <c r="L72">
        <v>7.2528675272481493E-3</v>
      </c>
      <c r="M72">
        <v>-2.9331195096834208E-2</v>
      </c>
      <c r="N72">
        <v>5.4228655261885979E-2</v>
      </c>
      <c r="O72">
        <v>2.451401566856426E-2</v>
      </c>
      <c r="P72">
        <v>3.8494517761781693E-3</v>
      </c>
      <c r="Q72">
        <v>5.4686955140853963E-2</v>
      </c>
      <c r="R72">
        <v>2.5110531291121521E-2</v>
      </c>
      <c r="S72">
        <v>3.5196615899810461E-3</v>
      </c>
      <c r="T72">
        <v>5.5206686059232422E-2</v>
      </c>
      <c r="U72">
        <v>2.5174960724551235E-2</v>
      </c>
      <c r="V72">
        <v>4.0002017174267214E-3</v>
      </c>
      <c r="W72">
        <v>5.5650041283125222E-2</v>
      </c>
      <c r="X72">
        <v>2.577180372020059E-2</v>
      </c>
      <c r="Y72">
        <v>3.6595178725470634E-3</v>
      </c>
    </row>
    <row r="73" spans="1:25" x14ac:dyDescent="0.35">
      <c r="A73">
        <v>2051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-8.650564556303362E-4</v>
      </c>
      <c r="I73">
        <v>9.2573320887798932E-3</v>
      </c>
      <c r="J73">
        <v>-4.4131328882412342E-2</v>
      </c>
      <c r="K73">
        <v>-4.8613744396830861E-4</v>
      </c>
      <c r="L73">
        <v>7.2766865509574126E-3</v>
      </c>
      <c r="M73">
        <v>-2.8889501205244729E-2</v>
      </c>
      <c r="N73">
        <v>5.4925212646790261E-2</v>
      </c>
      <c r="O73">
        <v>2.441108452926968E-2</v>
      </c>
      <c r="P73">
        <v>3.7913901755496056E-3</v>
      </c>
      <c r="Q73">
        <v>5.5361946870641658E-2</v>
      </c>
      <c r="R73">
        <v>2.4985292892255262E-2</v>
      </c>
      <c r="S73">
        <v>3.4642608317881308E-3</v>
      </c>
      <c r="T73">
        <v>5.586047105940721E-2</v>
      </c>
      <c r="U73">
        <v>2.5051349813209087E-2</v>
      </c>
      <c r="V73">
        <v>3.936943081620561E-3</v>
      </c>
      <c r="W73">
        <v>5.6282046724747792E-2</v>
      </c>
      <c r="X73">
        <v>2.5625053389337498E-2</v>
      </c>
      <c r="Y73">
        <v>3.5992274854189906E-3</v>
      </c>
    </row>
    <row r="74" spans="1:25" x14ac:dyDescent="0.35">
      <c r="A74">
        <v>2052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-1.230317080468114E-3</v>
      </c>
      <c r="I74">
        <v>9.3614626481667105E-3</v>
      </c>
      <c r="J74">
        <v>-4.3753234759708867E-2</v>
      </c>
      <c r="K74">
        <v>-8.3414217265494119E-4</v>
      </c>
      <c r="L74">
        <v>7.0860633448774774E-3</v>
      </c>
      <c r="M74">
        <v>-2.7751489461621055E-2</v>
      </c>
      <c r="N74">
        <v>5.559137023331015E-2</v>
      </c>
      <c r="O74">
        <v>2.4313583592847354E-2</v>
      </c>
      <c r="P74">
        <v>3.7363307130962829E-3</v>
      </c>
      <c r="Q74">
        <v>5.6006906400543559E-2</v>
      </c>
      <c r="R74">
        <v>2.4866275969606461E-2</v>
      </c>
      <c r="S74">
        <v>3.4118299580647078E-3</v>
      </c>
      <c r="T74">
        <v>5.6484503554949536E-2</v>
      </c>
      <c r="U74">
        <v>2.4933960588968764E-2</v>
      </c>
      <c r="V74">
        <v>3.8769399562018484E-3</v>
      </c>
      <c r="W74">
        <v>5.6884775874675789E-2</v>
      </c>
      <c r="X74">
        <v>2.5485382862126902E-2</v>
      </c>
      <c r="Y74">
        <v>3.5421530531592675E-3</v>
      </c>
    </row>
    <row r="75" spans="1:25" x14ac:dyDescent="0.35">
      <c r="A75">
        <v>2053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-1.6390175420450826E-3</v>
      </c>
      <c r="I75">
        <v>9.1353069805468617E-3</v>
      </c>
      <c r="J75">
        <v>-4.2101676990058692E-2</v>
      </c>
      <c r="K75">
        <v>-1.2290115941342931E-3</v>
      </c>
      <c r="L75">
        <v>6.9301258921264982E-3</v>
      </c>
      <c r="M75">
        <v>-2.6677866115463071E-2</v>
      </c>
      <c r="N75">
        <v>5.6227576045693159E-2</v>
      </c>
      <c r="O75">
        <v>2.4221125715785333E-2</v>
      </c>
      <c r="P75">
        <v>3.6840399273245163E-3</v>
      </c>
      <c r="Q75">
        <v>5.6622312978460723E-2</v>
      </c>
      <c r="R75">
        <v>2.4753056994616308E-2</v>
      </c>
      <c r="S75">
        <v>3.3621048962856823E-3</v>
      </c>
      <c r="T75">
        <v>5.7079367765784643E-2</v>
      </c>
      <c r="U75">
        <v>2.4822362045239715E-2</v>
      </c>
      <c r="V75">
        <v>3.81994042839706E-3</v>
      </c>
      <c r="W75">
        <v>5.7458832917070941E-2</v>
      </c>
      <c r="X75">
        <v>2.535233883374231E-2</v>
      </c>
      <c r="Y75">
        <v>3.4880108960709038E-3</v>
      </c>
    </row>
    <row r="76" spans="1:25" x14ac:dyDescent="0.35">
      <c r="A76">
        <v>2054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-2.0660228256984357E-3</v>
      </c>
      <c r="I76">
        <v>8.8399829059705344E-3</v>
      </c>
      <c r="J76">
        <v>-4.0117837000038577E-2</v>
      </c>
      <c r="K76">
        <v>-1.6414923873118983E-3</v>
      </c>
      <c r="L76">
        <v>6.5250949705374086E-3</v>
      </c>
      <c r="M76">
        <v>-2.485643050345572E-2</v>
      </c>
      <c r="N76">
        <v>5.6834407957953033E-2</v>
      </c>
      <c r="O76">
        <v>2.4133396992185811E-2</v>
      </c>
      <c r="P76">
        <v>3.6342788983277693E-3</v>
      </c>
      <c r="Q76">
        <v>5.7208803209770225E-2</v>
      </c>
      <c r="R76">
        <v>2.4645265792880261E-2</v>
      </c>
      <c r="S76">
        <v>3.3148189447110309E-3</v>
      </c>
      <c r="T76">
        <v>5.7645760463439402E-2</v>
      </c>
      <c r="U76">
        <v>2.471620100928815E-2</v>
      </c>
      <c r="V76">
        <v>3.7656879349285688E-3</v>
      </c>
      <c r="W76">
        <v>5.8004962868556297E-2</v>
      </c>
      <c r="X76">
        <v>2.5225491268226572E-2</v>
      </c>
      <c r="Y76">
        <v>3.4365158589288948E-3</v>
      </c>
    </row>
    <row r="77" spans="1:25" x14ac:dyDescent="0.35">
      <c r="A77">
        <v>2055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-2.4817148520256144E-3</v>
      </c>
      <c r="I77">
        <v>8.9709184154583982E-3</v>
      </c>
      <c r="J77">
        <v>-3.9717971383697787E-2</v>
      </c>
      <c r="K77">
        <v>-2.044264831617717E-3</v>
      </c>
      <c r="L77">
        <v>6.5269779079393199E-3</v>
      </c>
      <c r="M77">
        <v>-2.421168006986411E-2</v>
      </c>
      <c r="N77">
        <v>5.7412496206886092E-2</v>
      </c>
      <c r="O77">
        <v>2.4050055837795774E-2</v>
      </c>
      <c r="P77">
        <v>3.586773038927531E-3</v>
      </c>
      <c r="Q77">
        <v>5.7767057789416362E-2</v>
      </c>
      <c r="R77">
        <v>2.4542548716232331E-2</v>
      </c>
      <c r="S77">
        <v>3.2697466412638376E-3</v>
      </c>
      <c r="T77">
        <v>5.8184413098740916E-2</v>
      </c>
      <c r="U77">
        <v>2.4615098445552812E-2</v>
      </c>
      <c r="V77">
        <v>3.7138900043426001E-3</v>
      </c>
      <c r="W77">
        <v>5.8523937453088974E-2</v>
      </c>
      <c r="X77">
        <v>2.5104405215301957E-2</v>
      </c>
      <c r="Y77">
        <v>3.3874264769129161E-3</v>
      </c>
    </row>
    <row r="78" spans="1:25" x14ac:dyDescent="0.35">
      <c r="A78">
        <v>2056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-2.8607144203942579E-3</v>
      </c>
      <c r="I78">
        <v>9.5233619275853099E-3</v>
      </c>
      <c r="J78">
        <v>-4.0910163455925359E-2</v>
      </c>
      <c r="K78">
        <v>-2.4100101650609091E-3</v>
      </c>
      <c r="L78">
        <v>6.995528107841713E-3</v>
      </c>
      <c r="M78">
        <v>-2.4944997125604149E-2</v>
      </c>
      <c r="N78">
        <v>5.7962544284573314E-2</v>
      </c>
      <c r="O78">
        <v>2.3970759054578801E-2</v>
      </c>
      <c r="P78">
        <v>3.5412649972448749E-3</v>
      </c>
      <c r="Q78">
        <v>5.8297790195500118E-2</v>
      </c>
      <c r="R78">
        <v>2.4444541542338868E-2</v>
      </c>
      <c r="S78">
        <v>3.2266261612549103E-3</v>
      </c>
      <c r="T78">
        <v>5.8696114022932212E-2</v>
      </c>
      <c r="U78">
        <v>2.4518676040683834E-2</v>
      </c>
      <c r="V78">
        <v>3.664273072179358E-3</v>
      </c>
      <c r="W78">
        <v>5.9016544847284594E-2</v>
      </c>
      <c r="X78">
        <v>2.4988718392545791E-2</v>
      </c>
      <c r="Y78">
        <v>3.3404643464480448E-3</v>
      </c>
    </row>
    <row r="79" spans="1:25" x14ac:dyDescent="0.35">
      <c r="A79">
        <v>2057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-3.1799357813372931E-3</v>
      </c>
      <c r="I79">
        <v>9.5395541635155089E-3</v>
      </c>
      <c r="J79">
        <v>-4.0307682855087477E-2</v>
      </c>
      <c r="K79">
        <v>-2.7188093352828683E-3</v>
      </c>
      <c r="L79">
        <v>7.2065756448126926E-3</v>
      </c>
      <c r="M79">
        <v>-2.5018203265065347E-2</v>
      </c>
      <c r="N79">
        <v>5.8485279968645609E-2</v>
      </c>
      <c r="O79">
        <v>2.3895246287119802E-2</v>
      </c>
      <c r="P79">
        <v>3.4976161144328012E-3</v>
      </c>
      <c r="Q79">
        <v>5.8801833771277345E-2</v>
      </c>
      <c r="R79">
        <v>2.4350945595982325E-2</v>
      </c>
      <c r="S79">
        <v>3.1852944606090062E-3</v>
      </c>
      <c r="T79">
        <v>5.9181660008508254E-2</v>
      </c>
      <c r="U79">
        <v>2.4426642335832919E-2</v>
      </c>
      <c r="V79">
        <v>3.6166872115450943E-3</v>
      </c>
      <c r="W79">
        <v>5.9483678962483917E-2</v>
      </c>
      <c r="X79">
        <v>2.4878080177996954E-2</v>
      </c>
      <c r="Y79">
        <v>3.2954544712076495E-3</v>
      </c>
    </row>
    <row r="80" spans="1:25" x14ac:dyDescent="0.35">
      <c r="A80">
        <v>2058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-3.4318060083358857E-3</v>
      </c>
      <c r="I80">
        <v>9.456601515747013E-3</v>
      </c>
      <c r="J80">
        <v>-3.9427912023910126E-2</v>
      </c>
      <c r="K80">
        <v>-2.9582170131536144E-3</v>
      </c>
      <c r="L80">
        <v>7.4151411890725806E-3</v>
      </c>
      <c r="M80">
        <v>-2.5171626499673593E-2</v>
      </c>
      <c r="N80">
        <v>5.8981557840338476E-2</v>
      </c>
      <c r="O80">
        <v>2.3823352938044211E-2</v>
      </c>
      <c r="P80">
        <v>3.4557964068124771E-3</v>
      </c>
      <c r="Q80">
        <v>5.9280031294013852E-2</v>
      </c>
      <c r="R80">
        <v>2.4261469175013504E-2</v>
      </c>
      <c r="S80">
        <v>3.1456668426956213E-3</v>
      </c>
      <c r="T80">
        <v>5.9641961121012138E-2</v>
      </c>
      <c r="U80">
        <v>2.433880547623906E-2</v>
      </c>
      <c r="V80">
        <v>3.5710952839149586E-3</v>
      </c>
      <c r="W80">
        <v>5.9926228791555514E-2</v>
      </c>
      <c r="X80">
        <v>2.4772224707604266E-2</v>
      </c>
      <c r="Y80">
        <v>3.2523033503807568E-3</v>
      </c>
    </row>
    <row r="81" spans="1:25" x14ac:dyDescent="0.35">
      <c r="A81">
        <v>2059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-3.6224897782886024E-3</v>
      </c>
      <c r="I81">
        <v>9.3005763144326115E-3</v>
      </c>
      <c r="J81">
        <v>-3.8357035515744695E-2</v>
      </c>
      <c r="K81">
        <v>-3.1330339757100274E-3</v>
      </c>
      <c r="L81">
        <v>7.5210796107102185E-3</v>
      </c>
      <c r="M81">
        <v>-2.5097740953471573E-2</v>
      </c>
      <c r="N81">
        <v>5.9452233104617717E-2</v>
      </c>
      <c r="O81">
        <v>2.3754824785883307E-2</v>
      </c>
      <c r="P81">
        <v>3.4156976439686224E-3</v>
      </c>
      <c r="Q81">
        <v>5.9733258575305988E-2</v>
      </c>
      <c r="R81">
        <v>2.4175899106732564E-2</v>
      </c>
      <c r="S81">
        <v>3.1076318627977413E-3</v>
      </c>
      <c r="T81">
        <v>6.0077914165762317E-2</v>
      </c>
      <c r="U81">
        <v>2.4254883594820021E-2</v>
      </c>
      <c r="V81">
        <v>3.5273795979917188E-3</v>
      </c>
      <c r="W81">
        <v>6.0345103604171904E-2</v>
      </c>
      <c r="X81">
        <v>2.4670868281404825E-2</v>
      </c>
      <c r="Y81">
        <v>3.2108905750145517E-3</v>
      </c>
    </row>
    <row r="82" spans="1:25" x14ac:dyDescent="0.35">
      <c r="A82">
        <v>2060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-3.7386789545721692E-3</v>
      </c>
      <c r="I82">
        <v>9.8903322045025832E-3</v>
      </c>
      <c r="J82">
        <v>-4.0000828390015453E-2</v>
      </c>
      <c r="K82">
        <v>-3.2354003715063043E-3</v>
      </c>
      <c r="L82">
        <v>8.2013485509017329E-3</v>
      </c>
      <c r="M82">
        <v>-2.6704400573441159E-2</v>
      </c>
      <c r="N82">
        <v>5.9898191791648112E-2</v>
      </c>
      <c r="O82">
        <v>2.3689422918274829E-2</v>
      </c>
      <c r="P82">
        <v>3.3772126956555524E-3</v>
      </c>
      <c r="Q82">
        <v>6.0162416035707961E-2</v>
      </c>
      <c r="R82">
        <v>2.409400122986181E-2</v>
      </c>
      <c r="S82">
        <v>3.0711281052993055E-3</v>
      </c>
      <c r="T82">
        <v>6.0490434545437392E-2</v>
      </c>
      <c r="U82">
        <v>2.4174612049318814E-2</v>
      </c>
      <c r="V82">
        <v>3.4854240463622092E-3</v>
      </c>
      <c r="W82">
        <v>6.0741225679064245E-2</v>
      </c>
      <c r="X82">
        <v>2.4573769765786242E-2</v>
      </c>
      <c r="Y82">
        <v>3.1711475580514232E-3</v>
      </c>
    </row>
    <row r="83" spans="1:25" x14ac:dyDescent="0.35">
      <c r="A83">
        <v>2061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-3.7908288244333384E-3</v>
      </c>
      <c r="I83">
        <v>1.0441023791641324E-2</v>
      </c>
      <c r="J83">
        <v>-4.1637844310374768E-2</v>
      </c>
      <c r="K83">
        <v>-3.272152512485554E-3</v>
      </c>
      <c r="L83">
        <v>8.7592298028252025E-3</v>
      </c>
      <c r="M83">
        <v>-2.8084854089636197E-2</v>
      </c>
      <c r="N83">
        <v>6.0320375503744632E-2</v>
      </c>
      <c r="O83">
        <v>2.3626958410117447E-2</v>
      </c>
      <c r="P83">
        <v>3.3402144409442106E-3</v>
      </c>
      <c r="Q83">
        <v>6.0568420587578775E-2</v>
      </c>
      <c r="R83">
        <v>2.4015579664089376E-2</v>
      </c>
      <c r="S83">
        <v>3.0360687438793685E-3</v>
      </c>
      <c r="T83">
        <v>6.088048243440905E-2</v>
      </c>
      <c r="U83">
        <v>2.4097778624359485E-2</v>
      </c>
      <c r="V83">
        <v>3.4450923520098721E-3</v>
      </c>
      <c r="W83">
        <v>6.1115523336727928E-2</v>
      </c>
      <c r="X83">
        <v>2.4480670406393991E-2</v>
      </c>
      <c r="Y83">
        <v>3.1329799054816932E-3</v>
      </c>
    </row>
    <row r="84" spans="1:25" x14ac:dyDescent="0.35">
      <c r="A84">
        <v>2062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-3.784042434207074E-3</v>
      </c>
      <c r="I84">
        <v>1.0794548258663673E-2</v>
      </c>
      <c r="J84">
        <v>-4.2744087648947077E-2</v>
      </c>
      <c r="K84">
        <v>-3.247673525029136E-3</v>
      </c>
      <c r="L84">
        <v>9.3292685079943167E-3</v>
      </c>
      <c r="M84">
        <v>-2.9594324139482493E-2</v>
      </c>
      <c r="N84">
        <v>6.0719598033689225E-2</v>
      </c>
      <c r="O84">
        <v>2.3567318420577955E-2</v>
      </c>
      <c r="P84">
        <v>3.3047808678286872E-3</v>
      </c>
      <c r="Q84">
        <v>6.0952197254740971E-2</v>
      </c>
      <c r="R84">
        <v>2.3940418322613507E-2</v>
      </c>
      <c r="S84">
        <v>3.0024828453151589E-3</v>
      </c>
      <c r="T84">
        <v>6.1248878988067683E-2</v>
      </c>
      <c r="U84">
        <v>2.4024249875142109E-2</v>
      </c>
      <c r="V84">
        <v>3.406460017328453E-3</v>
      </c>
      <c r="W84">
        <v>6.1468923679726742E-2</v>
      </c>
      <c r="X84">
        <v>2.4391393962497631E-2</v>
      </c>
      <c r="Y84">
        <v>3.0964128161696672E-3</v>
      </c>
    </row>
    <row r="85" spans="1:25" x14ac:dyDescent="0.35">
      <c r="A85">
        <v>2063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-3.7267392522066247E-3</v>
      </c>
      <c r="I85">
        <v>1.0466035802982589E-2</v>
      </c>
      <c r="J85">
        <v>-4.1583644778272685E-2</v>
      </c>
      <c r="K85">
        <v>-3.1716437201162384E-3</v>
      </c>
      <c r="L85">
        <v>9.293639509414784E-3</v>
      </c>
      <c r="M85">
        <v>-2.9564735258829095E-2</v>
      </c>
      <c r="N85">
        <v>6.109686302435665E-2</v>
      </c>
      <c r="O85">
        <v>2.351035656268205E-2</v>
      </c>
      <c r="P85">
        <v>3.2709414321565977E-3</v>
      </c>
      <c r="Q85">
        <v>6.1314637542082613E-2</v>
      </c>
      <c r="R85">
        <v>2.3868379111449952E-2</v>
      </c>
      <c r="S85">
        <v>2.9703898262954712E-3</v>
      </c>
      <c r="T85">
        <v>6.1596628039053837E-2</v>
      </c>
      <c r="U85">
        <v>2.3953859178052511E-2</v>
      </c>
      <c r="V85">
        <v>3.3695524363650847E-3</v>
      </c>
      <c r="W85">
        <v>6.1802311797239586E-2</v>
      </c>
      <c r="X85">
        <v>2.43057497826486E-2</v>
      </c>
      <c r="Y85">
        <v>3.061461899544989E-3</v>
      </c>
    </row>
    <row r="86" spans="1:25" x14ac:dyDescent="0.35">
      <c r="A86">
        <v>2064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-3.6283235093891248E-3</v>
      </c>
      <c r="I86">
        <v>9.5850104876598879E-3</v>
      </c>
      <c r="J86">
        <v>-3.8485183198250526E-2</v>
      </c>
      <c r="K86">
        <v>-3.0497025444958191E-3</v>
      </c>
      <c r="L86">
        <v>8.722043067405769E-3</v>
      </c>
      <c r="M86">
        <v>-2.8084994132886062E-2</v>
      </c>
      <c r="N86">
        <v>6.1453059204350173E-2</v>
      </c>
      <c r="O86">
        <v>2.3455968970145308E-2</v>
      </c>
      <c r="P86">
        <v>3.2386874211527638E-3</v>
      </c>
      <c r="Q86">
        <v>6.1656666086489127E-2</v>
      </c>
      <c r="R86">
        <v>2.3799307392103394E-2</v>
      </c>
      <c r="S86">
        <v>2.9397841846094687E-3</v>
      </c>
      <c r="T86">
        <v>6.1924609681481523E-2</v>
      </c>
      <c r="U86">
        <v>2.3886484208289347E-2</v>
      </c>
      <c r="V86">
        <v>3.3343557497147892E-3</v>
      </c>
      <c r="W86">
        <v>6.211659906556237E-2</v>
      </c>
      <c r="X86">
        <v>2.4223584434296053E-2</v>
      </c>
      <c r="Y86">
        <v>3.0281169687403735E-3</v>
      </c>
    </row>
    <row r="87" spans="1:25" x14ac:dyDescent="0.35">
      <c r="A87">
        <v>2065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-3.5010884996467687E-3</v>
      </c>
      <c r="I87">
        <v>9.531131147671559E-3</v>
      </c>
      <c r="J87">
        <v>-3.8188470272190647E-2</v>
      </c>
      <c r="K87">
        <v>-2.9018026672981115E-3</v>
      </c>
      <c r="L87">
        <v>8.8634965486989719E-3</v>
      </c>
      <c r="M87">
        <v>-2.8542552966984172E-2</v>
      </c>
      <c r="N87">
        <v>6.1789150138559519E-2</v>
      </c>
      <c r="O87">
        <v>2.340400704268919E-2</v>
      </c>
      <c r="P87">
        <v>3.20789504792673E-3</v>
      </c>
      <c r="Q87">
        <v>6.1979269820552928E-2</v>
      </c>
      <c r="R87">
        <v>2.373308285893768E-2</v>
      </c>
      <c r="S87">
        <v>2.9106243909393162E-3</v>
      </c>
      <c r="T87">
        <v>6.2233772694658303E-2</v>
      </c>
      <c r="U87">
        <v>2.3821957989156924E-2</v>
      </c>
      <c r="V87">
        <v>3.3007379054295714E-3</v>
      </c>
      <c r="W87">
        <v>6.2412753409531743E-2</v>
      </c>
      <c r="X87">
        <v>2.4144723695538901E-2</v>
      </c>
      <c r="Y87">
        <v>2.9963310018192215E-3</v>
      </c>
    </row>
    <row r="88" spans="1:25" x14ac:dyDescent="0.35">
      <c r="A88">
        <v>2066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-3.3549288153520503E-3</v>
      </c>
      <c r="I88">
        <v>1.0213545408239207E-2</v>
      </c>
      <c r="J88">
        <v>-4.0456335219625272E-2</v>
      </c>
      <c r="K88">
        <v>-2.736649882568519E-3</v>
      </c>
      <c r="L88">
        <v>9.3182376867489806E-3</v>
      </c>
      <c r="M88">
        <v>-2.9900252084355743E-2</v>
      </c>
      <c r="N88">
        <v>6.2106047702611356E-2</v>
      </c>
      <c r="O88">
        <v>2.3354253515593011E-2</v>
      </c>
      <c r="P88">
        <v>3.1784010539496789E-3</v>
      </c>
      <c r="Q88">
        <v>6.2283314935910716E-2</v>
      </c>
      <c r="R88">
        <v>2.3669562973347789E-2</v>
      </c>
      <c r="S88">
        <v>2.8827863726116837E-3</v>
      </c>
      <c r="T88">
        <v>6.2525007984497949E-2</v>
      </c>
      <c r="U88">
        <v>2.3760044642464041E-2</v>
      </c>
      <c r="V88">
        <v>3.2685267548236024E-3</v>
      </c>
      <c r="W88">
        <v>6.2691615919215932E-2</v>
      </c>
      <c r="X88">
        <v>2.40689832508009E-2</v>
      </c>
      <c r="Y88">
        <v>2.9659721380834447E-3</v>
      </c>
    </row>
    <row r="89" spans="1:25" x14ac:dyDescent="0.35">
      <c r="A89">
        <v>2067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-3.1926760723385169E-3</v>
      </c>
      <c r="I89">
        <v>9.9098902554746945E-3</v>
      </c>
      <c r="J89">
        <v>-3.9483417221673554E-2</v>
      </c>
      <c r="K89">
        <v>-2.5551132915169871E-3</v>
      </c>
      <c r="L89">
        <v>8.9533894893886745E-3</v>
      </c>
      <c r="M89">
        <v>-2.9080274635392877E-2</v>
      </c>
      <c r="N89">
        <v>6.2404649603980351E-2</v>
      </c>
      <c r="O89">
        <v>2.3306610117163295E-2</v>
      </c>
      <c r="P89">
        <v>3.1501856734325396E-3</v>
      </c>
      <c r="Q89">
        <v>6.2569612596765994E-2</v>
      </c>
      <c r="R89">
        <v>2.3608593176171477E-2</v>
      </c>
      <c r="S89">
        <v>2.8562445196250821E-3</v>
      </c>
      <c r="T89">
        <v>6.2799187356291974E-2</v>
      </c>
      <c r="U89">
        <v>2.370063026889813E-2</v>
      </c>
      <c r="V89">
        <v>3.2376981037502209E-3</v>
      </c>
      <c r="W89">
        <v>6.2953968095455018E-2</v>
      </c>
      <c r="X89">
        <v>2.3996184246458437E-2</v>
      </c>
      <c r="Y89">
        <v>2.9370100505042669E-3</v>
      </c>
    </row>
    <row r="90" spans="1:25" x14ac:dyDescent="0.35">
      <c r="A90">
        <v>2068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-3.031878985139987E-3</v>
      </c>
      <c r="I90">
        <v>9.028847092567658E-3</v>
      </c>
      <c r="J90">
        <v>-3.6500410518414142E-2</v>
      </c>
      <c r="K90">
        <v>-2.370573362722546E-3</v>
      </c>
      <c r="L90">
        <v>8.2787975636615715E-3</v>
      </c>
      <c r="M90">
        <v>-2.7376702314051236E-2</v>
      </c>
      <c r="N90">
        <v>6.268586996074843E-2</v>
      </c>
      <c r="O90">
        <v>2.3261006974310206E-2</v>
      </c>
      <c r="P90">
        <v>3.123349394475795E-3</v>
      </c>
      <c r="Q90">
        <v>6.283910452778535E-2</v>
      </c>
      <c r="R90">
        <v>2.3550022410889843E-2</v>
      </c>
      <c r="S90">
        <v>2.8310092864107694E-3</v>
      </c>
      <c r="T90">
        <v>6.3057195102003721E-2</v>
      </c>
      <c r="U90">
        <v>2.3643630527006274E-2</v>
      </c>
      <c r="V90">
        <v>3.2083513607553595E-3</v>
      </c>
      <c r="W90">
        <v>6.3200719304467759E-2</v>
      </c>
      <c r="X90">
        <v>2.392621167503016E-2</v>
      </c>
      <c r="Y90">
        <v>2.9094515997982193E-3</v>
      </c>
    </row>
    <row r="91" spans="1:25" x14ac:dyDescent="0.35">
      <c r="A91">
        <v>2069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-2.8691378374989924E-3</v>
      </c>
      <c r="I91">
        <v>8.3332834964357817E-3</v>
      </c>
      <c r="J91">
        <v>-3.4056230595929236E-2</v>
      </c>
      <c r="K91">
        <v>-2.1862058571977512E-3</v>
      </c>
      <c r="L91">
        <v>7.6794353945182428E-3</v>
      </c>
      <c r="M91">
        <v>-2.5826819942582725E-2</v>
      </c>
      <c r="N91">
        <v>6.2950455976764963E-2</v>
      </c>
      <c r="O91">
        <v>2.3217327914177403E-2</v>
      </c>
      <c r="P91">
        <v>3.097833009708376E-3</v>
      </c>
      <c r="Q91">
        <v>6.3092632171129454E-2</v>
      </c>
      <c r="R91">
        <v>2.3493760970538475E-2</v>
      </c>
      <c r="S91">
        <v>2.8070108314378677E-3</v>
      </c>
      <c r="T91">
        <v>6.3299744419936493E-2</v>
      </c>
      <c r="U91">
        <v>2.3588914665129836E-2</v>
      </c>
      <c r="V91">
        <v>3.1804218883451914E-3</v>
      </c>
      <c r="W91">
        <v>6.3432675163483415E-2</v>
      </c>
      <c r="X91">
        <v>2.3858967220597761E-2</v>
      </c>
      <c r="Y91">
        <v>2.8832215526702998E-3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1BAC-5A4B-422A-8E03-B988D835F13E}">
  <dimension ref="A1:Q92"/>
  <sheetViews>
    <sheetView workbookViewId="0">
      <selection activeCell="E92" sqref="E2:E92"/>
    </sheetView>
  </sheetViews>
  <sheetFormatPr defaultRowHeight="14.5" x14ac:dyDescent="0.35"/>
  <cols>
    <col min="2" max="2" width="10.54296875" bestFit="1" customWidth="1"/>
    <col min="3" max="3" width="11.54296875" bestFit="1" customWidth="1"/>
    <col min="4" max="4" width="10.08984375" bestFit="1" customWidth="1"/>
    <col min="5" max="5" width="11.08984375" bestFit="1" customWidth="1"/>
    <col min="6" max="6" width="11.81640625" bestFit="1" customWidth="1"/>
    <col min="7" max="7" width="12.453125" bestFit="1" customWidth="1"/>
    <col min="8" max="8" width="11.81640625" bestFit="1" customWidth="1"/>
    <col min="9" max="9" width="12" bestFit="1" customWidth="1"/>
    <col min="10" max="10" width="11.81640625" bestFit="1" customWidth="1"/>
    <col min="11" max="11" width="11.54296875" bestFit="1" customWidth="1"/>
    <col min="12" max="12" width="11.81640625" bestFit="1" customWidth="1"/>
    <col min="13" max="13" width="11.08984375" bestFit="1" customWidth="1"/>
    <col min="14" max="14" width="11.81640625" bestFit="1" customWidth="1"/>
    <col min="15" max="15" width="12.08984375" bestFit="1" customWidth="1"/>
    <col min="16" max="16" width="11.81640625" bestFit="1" customWidth="1"/>
    <col min="17" max="17" width="11.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1980</v>
      </c>
      <c r="B2">
        <v>6.6151953606236907E-2</v>
      </c>
      <c r="C2">
        <v>6.3764174345864637E-3</v>
      </c>
      <c r="D2">
        <v>6.2490014631777197E-2</v>
      </c>
      <c r="E2">
        <v>6.5828799031793618E-3</v>
      </c>
      <c r="F2">
        <f>1/15</f>
        <v>6.6666666666666666E-2</v>
      </c>
      <c r="G2">
        <f>1/40</f>
        <v>2.5000000000000001E-2</v>
      </c>
      <c r="H2">
        <f>1/15</f>
        <v>6.6666666666666666E-2</v>
      </c>
      <c r="I2">
        <f>1/40</f>
        <v>2.5000000000000001E-2</v>
      </c>
      <c r="J2">
        <f>1/15</f>
        <v>6.6666666666666666E-2</v>
      </c>
      <c r="K2">
        <f>1/40</f>
        <v>2.5000000000000001E-2</v>
      </c>
      <c r="L2">
        <f>1/15</f>
        <v>6.6666666666666666E-2</v>
      </c>
      <c r="M2">
        <f>1/40</f>
        <v>2.5000000000000001E-2</v>
      </c>
      <c r="N2">
        <f>1/15</f>
        <v>6.6666666666666666E-2</v>
      </c>
      <c r="O2">
        <f>1/40</f>
        <v>2.5000000000000001E-2</v>
      </c>
      <c r="P2">
        <f>1/15</f>
        <v>6.6666666666666666E-2</v>
      </c>
      <c r="Q2">
        <f>1/40</f>
        <v>2.5000000000000001E-2</v>
      </c>
    </row>
    <row r="3" spans="1:17" x14ac:dyDescent="0.35">
      <c r="A3">
        <v>1981</v>
      </c>
      <c r="B3">
        <v>6.5360423157248354E-2</v>
      </c>
      <c r="C3">
        <v>6.3243715148814687E-3</v>
      </c>
      <c r="D3">
        <v>6.198032133393945E-2</v>
      </c>
      <c r="E3">
        <v>6.4811728593677119E-3</v>
      </c>
      <c r="F3">
        <f t="shared" ref="F3:F66" si="0">1/15</f>
        <v>6.6666666666666666E-2</v>
      </c>
      <c r="G3">
        <f t="shared" ref="G3:G66" si="1">1/40</f>
        <v>2.5000000000000001E-2</v>
      </c>
      <c r="H3">
        <f t="shared" ref="H3:H66" si="2">1/15</f>
        <v>6.6666666666666666E-2</v>
      </c>
      <c r="I3">
        <f t="shared" ref="I3:I66" si="3">1/40</f>
        <v>2.5000000000000001E-2</v>
      </c>
      <c r="J3">
        <f t="shared" ref="J3:J66" si="4">1/15</f>
        <v>6.6666666666666666E-2</v>
      </c>
      <c r="K3">
        <f t="shared" ref="K3:K66" si="5">1/40</f>
        <v>2.5000000000000001E-2</v>
      </c>
      <c r="L3">
        <f t="shared" ref="L3:L66" si="6">1/15</f>
        <v>6.6666666666666666E-2</v>
      </c>
      <c r="M3">
        <f t="shared" ref="M3:M66" si="7">1/40</f>
        <v>2.5000000000000001E-2</v>
      </c>
      <c r="N3">
        <f t="shared" ref="N3:N66" si="8">1/15</f>
        <v>6.6666666666666666E-2</v>
      </c>
      <c r="O3">
        <f t="shared" ref="O3:O66" si="9">1/40</f>
        <v>2.5000000000000001E-2</v>
      </c>
      <c r="P3">
        <f t="shared" ref="P3:P66" si="10">1/15</f>
        <v>6.6666666666666666E-2</v>
      </c>
      <c r="Q3">
        <f t="shared" ref="Q3:Q66" si="11">1/40</f>
        <v>2.5000000000000001E-2</v>
      </c>
    </row>
    <row r="4" spans="1:17" x14ac:dyDescent="0.35">
      <c r="A4">
        <v>1982</v>
      </c>
      <c r="B4">
        <v>6.5516607899140697E-2</v>
      </c>
      <c r="C4">
        <v>6.460632795194203E-3</v>
      </c>
      <c r="D4">
        <v>6.2532056357412602E-2</v>
      </c>
      <c r="E4">
        <v>6.6894358218289847E-3</v>
      </c>
      <c r="F4">
        <f t="shared" si="0"/>
        <v>6.6666666666666666E-2</v>
      </c>
      <c r="G4">
        <f t="shared" si="1"/>
        <v>2.5000000000000001E-2</v>
      </c>
      <c r="H4">
        <f t="shared" si="2"/>
        <v>6.6666666666666666E-2</v>
      </c>
      <c r="I4">
        <f t="shared" si="3"/>
        <v>2.5000000000000001E-2</v>
      </c>
      <c r="J4">
        <f t="shared" si="4"/>
        <v>6.6666666666666666E-2</v>
      </c>
      <c r="K4">
        <f t="shared" si="5"/>
        <v>2.5000000000000001E-2</v>
      </c>
      <c r="L4">
        <f t="shared" si="6"/>
        <v>6.6666666666666666E-2</v>
      </c>
      <c r="M4">
        <f t="shared" si="7"/>
        <v>2.5000000000000001E-2</v>
      </c>
      <c r="N4">
        <f t="shared" si="8"/>
        <v>6.6666666666666666E-2</v>
      </c>
      <c r="O4">
        <f t="shared" si="9"/>
        <v>2.5000000000000001E-2</v>
      </c>
      <c r="P4">
        <f t="shared" si="10"/>
        <v>6.6666666666666666E-2</v>
      </c>
      <c r="Q4">
        <f t="shared" si="11"/>
        <v>2.5000000000000001E-2</v>
      </c>
    </row>
    <row r="5" spans="1:17" x14ac:dyDescent="0.35">
      <c r="A5">
        <v>1983</v>
      </c>
      <c r="B5">
        <v>6.3951016065700195E-2</v>
      </c>
      <c r="C5">
        <v>6.1112251064515434E-3</v>
      </c>
      <c r="D5">
        <v>6.1578874530971286E-2</v>
      </c>
      <c r="E5">
        <v>6.3546051180539635E-3</v>
      </c>
      <c r="F5">
        <f t="shared" si="0"/>
        <v>6.6666666666666666E-2</v>
      </c>
      <c r="G5">
        <f t="shared" si="1"/>
        <v>2.5000000000000001E-2</v>
      </c>
      <c r="H5">
        <f t="shared" si="2"/>
        <v>6.6666666666666666E-2</v>
      </c>
      <c r="I5">
        <f t="shared" si="3"/>
        <v>2.5000000000000001E-2</v>
      </c>
      <c r="J5">
        <f t="shared" si="4"/>
        <v>6.6666666666666666E-2</v>
      </c>
      <c r="K5">
        <f t="shared" si="5"/>
        <v>2.5000000000000001E-2</v>
      </c>
      <c r="L5">
        <f t="shared" si="6"/>
        <v>6.6666666666666666E-2</v>
      </c>
      <c r="M5">
        <f t="shared" si="7"/>
        <v>2.5000000000000001E-2</v>
      </c>
      <c r="N5">
        <f t="shared" si="8"/>
        <v>6.6666666666666666E-2</v>
      </c>
      <c r="O5">
        <f t="shared" si="9"/>
        <v>2.5000000000000001E-2</v>
      </c>
      <c r="P5">
        <f t="shared" si="10"/>
        <v>6.6666666666666666E-2</v>
      </c>
      <c r="Q5">
        <f t="shared" si="11"/>
        <v>2.5000000000000001E-2</v>
      </c>
    </row>
    <row r="6" spans="1:17" x14ac:dyDescent="0.35">
      <c r="A6">
        <v>1984</v>
      </c>
      <c r="B6">
        <v>6.3079174152629425E-2</v>
      </c>
      <c r="C6">
        <v>6.0242370962594804E-3</v>
      </c>
      <c r="D6">
        <v>6.1147848068283078E-2</v>
      </c>
      <c r="E6">
        <v>6.3268767361165899E-3</v>
      </c>
      <c r="F6">
        <f t="shared" si="0"/>
        <v>6.6666666666666666E-2</v>
      </c>
      <c r="G6">
        <f t="shared" si="1"/>
        <v>2.5000000000000001E-2</v>
      </c>
      <c r="H6">
        <f t="shared" si="2"/>
        <v>6.6666666666666666E-2</v>
      </c>
      <c r="I6">
        <f t="shared" si="3"/>
        <v>2.5000000000000001E-2</v>
      </c>
      <c r="J6">
        <f t="shared" si="4"/>
        <v>6.6666666666666666E-2</v>
      </c>
      <c r="K6">
        <f t="shared" si="5"/>
        <v>2.5000000000000001E-2</v>
      </c>
      <c r="L6">
        <f t="shared" si="6"/>
        <v>6.6666666666666666E-2</v>
      </c>
      <c r="M6">
        <f t="shared" si="7"/>
        <v>2.5000000000000001E-2</v>
      </c>
      <c r="N6">
        <f t="shared" si="8"/>
        <v>6.6666666666666666E-2</v>
      </c>
      <c r="O6">
        <f t="shared" si="9"/>
        <v>2.5000000000000001E-2</v>
      </c>
      <c r="P6">
        <f t="shared" si="10"/>
        <v>6.6666666666666666E-2</v>
      </c>
      <c r="Q6">
        <f t="shared" si="11"/>
        <v>2.5000000000000001E-2</v>
      </c>
    </row>
    <row r="7" spans="1:17" x14ac:dyDescent="0.35">
      <c r="A7">
        <v>1985</v>
      </c>
      <c r="B7">
        <v>6.4028296690940512E-2</v>
      </c>
      <c r="C7">
        <v>6.2544099648168114E-3</v>
      </c>
      <c r="D7">
        <v>6.2115444768289056E-2</v>
      </c>
      <c r="E7">
        <v>6.6961339937161449E-3</v>
      </c>
      <c r="F7">
        <f t="shared" si="0"/>
        <v>6.6666666666666666E-2</v>
      </c>
      <c r="G7">
        <f t="shared" si="1"/>
        <v>2.5000000000000001E-2</v>
      </c>
      <c r="H7">
        <f t="shared" si="2"/>
        <v>6.6666666666666666E-2</v>
      </c>
      <c r="I7">
        <f t="shared" si="3"/>
        <v>2.5000000000000001E-2</v>
      </c>
      <c r="J7">
        <f t="shared" si="4"/>
        <v>6.6666666666666666E-2</v>
      </c>
      <c r="K7">
        <f t="shared" si="5"/>
        <v>2.5000000000000001E-2</v>
      </c>
      <c r="L7">
        <f t="shared" si="6"/>
        <v>6.6666666666666666E-2</v>
      </c>
      <c r="M7">
        <f t="shared" si="7"/>
        <v>2.5000000000000001E-2</v>
      </c>
      <c r="N7">
        <f t="shared" si="8"/>
        <v>6.6666666666666666E-2</v>
      </c>
      <c r="O7">
        <f t="shared" si="9"/>
        <v>2.5000000000000001E-2</v>
      </c>
      <c r="P7">
        <f t="shared" si="10"/>
        <v>6.6666666666666666E-2</v>
      </c>
      <c r="Q7">
        <f t="shared" si="11"/>
        <v>2.5000000000000001E-2</v>
      </c>
    </row>
    <row r="8" spans="1:17" x14ac:dyDescent="0.35">
      <c r="A8">
        <v>1986</v>
      </c>
      <c r="B8">
        <v>6.2827409087065356E-2</v>
      </c>
      <c r="C8">
        <v>5.9272051638628448E-3</v>
      </c>
      <c r="D8">
        <v>6.1089480581598882E-2</v>
      </c>
      <c r="E8">
        <v>6.3574888452125619E-3</v>
      </c>
      <c r="F8">
        <f t="shared" si="0"/>
        <v>6.6666666666666666E-2</v>
      </c>
      <c r="G8">
        <f t="shared" si="1"/>
        <v>2.5000000000000001E-2</v>
      </c>
      <c r="H8">
        <f t="shared" si="2"/>
        <v>6.6666666666666666E-2</v>
      </c>
      <c r="I8">
        <f t="shared" si="3"/>
        <v>2.5000000000000001E-2</v>
      </c>
      <c r="J8">
        <f t="shared" si="4"/>
        <v>6.6666666666666666E-2</v>
      </c>
      <c r="K8">
        <f t="shared" si="5"/>
        <v>2.5000000000000001E-2</v>
      </c>
      <c r="L8">
        <f t="shared" si="6"/>
        <v>6.6666666666666666E-2</v>
      </c>
      <c r="M8">
        <f t="shared" si="7"/>
        <v>2.5000000000000001E-2</v>
      </c>
      <c r="N8">
        <f t="shared" si="8"/>
        <v>6.6666666666666666E-2</v>
      </c>
      <c r="O8">
        <f t="shared" si="9"/>
        <v>2.5000000000000001E-2</v>
      </c>
      <c r="P8">
        <f t="shared" si="10"/>
        <v>6.6666666666666666E-2</v>
      </c>
      <c r="Q8">
        <f t="shared" si="11"/>
        <v>2.5000000000000001E-2</v>
      </c>
    </row>
    <row r="9" spans="1:17" x14ac:dyDescent="0.35">
      <c r="A9">
        <v>1987</v>
      </c>
      <c r="B9">
        <v>6.2527086811194843E-2</v>
      </c>
      <c r="C9">
        <v>5.9363810057143753E-3</v>
      </c>
      <c r="D9">
        <v>6.0786395212638913E-2</v>
      </c>
      <c r="E9">
        <v>6.346916793600982E-3</v>
      </c>
      <c r="F9">
        <f t="shared" si="0"/>
        <v>6.6666666666666666E-2</v>
      </c>
      <c r="G9">
        <f t="shared" si="1"/>
        <v>2.5000000000000001E-2</v>
      </c>
      <c r="H9">
        <f t="shared" si="2"/>
        <v>6.6666666666666666E-2</v>
      </c>
      <c r="I9">
        <f t="shared" si="3"/>
        <v>2.5000000000000001E-2</v>
      </c>
      <c r="J9">
        <f t="shared" si="4"/>
        <v>6.6666666666666666E-2</v>
      </c>
      <c r="K9">
        <f t="shared" si="5"/>
        <v>2.5000000000000001E-2</v>
      </c>
      <c r="L9">
        <f t="shared" si="6"/>
        <v>6.6666666666666666E-2</v>
      </c>
      <c r="M9">
        <f t="shared" si="7"/>
        <v>2.5000000000000001E-2</v>
      </c>
      <c r="N9">
        <f t="shared" si="8"/>
        <v>6.6666666666666666E-2</v>
      </c>
      <c r="O9">
        <f t="shared" si="9"/>
        <v>2.5000000000000001E-2</v>
      </c>
      <c r="P9">
        <f t="shared" si="10"/>
        <v>6.6666666666666666E-2</v>
      </c>
      <c r="Q9">
        <f t="shared" si="11"/>
        <v>2.5000000000000001E-2</v>
      </c>
    </row>
    <row r="10" spans="1:17" x14ac:dyDescent="0.35">
      <c r="A10">
        <v>1988</v>
      </c>
      <c r="B10">
        <v>6.26575873889305E-2</v>
      </c>
      <c r="C10">
        <v>5.9156811910808403E-3</v>
      </c>
      <c r="D10">
        <v>6.0792031451263655E-2</v>
      </c>
      <c r="E10">
        <v>6.3026067832096418E-3</v>
      </c>
      <c r="F10">
        <f t="shared" si="0"/>
        <v>6.6666666666666666E-2</v>
      </c>
      <c r="G10">
        <f t="shared" si="1"/>
        <v>2.5000000000000001E-2</v>
      </c>
      <c r="H10">
        <f t="shared" si="2"/>
        <v>6.6666666666666666E-2</v>
      </c>
      <c r="I10">
        <f t="shared" si="3"/>
        <v>2.5000000000000001E-2</v>
      </c>
      <c r="J10">
        <f t="shared" si="4"/>
        <v>6.6666666666666666E-2</v>
      </c>
      <c r="K10">
        <f t="shared" si="5"/>
        <v>2.5000000000000001E-2</v>
      </c>
      <c r="L10">
        <f t="shared" si="6"/>
        <v>6.6666666666666666E-2</v>
      </c>
      <c r="M10">
        <f t="shared" si="7"/>
        <v>2.5000000000000001E-2</v>
      </c>
      <c r="N10">
        <f t="shared" si="8"/>
        <v>6.6666666666666666E-2</v>
      </c>
      <c r="O10">
        <f t="shared" si="9"/>
        <v>2.5000000000000001E-2</v>
      </c>
      <c r="P10">
        <f t="shared" si="10"/>
        <v>6.6666666666666666E-2</v>
      </c>
      <c r="Q10">
        <f t="shared" si="11"/>
        <v>2.5000000000000001E-2</v>
      </c>
    </row>
    <row r="11" spans="1:17" x14ac:dyDescent="0.35">
      <c r="A11">
        <v>1989</v>
      </c>
      <c r="B11">
        <v>6.223903456220499E-2</v>
      </c>
      <c r="C11">
        <v>6.0107131573381182E-3</v>
      </c>
      <c r="D11">
        <v>6.0784683437196674E-2</v>
      </c>
      <c r="E11">
        <v>6.4635228051188017E-3</v>
      </c>
      <c r="F11">
        <f t="shared" si="0"/>
        <v>6.6666666666666666E-2</v>
      </c>
      <c r="G11">
        <f t="shared" si="1"/>
        <v>2.5000000000000001E-2</v>
      </c>
      <c r="H11">
        <f t="shared" si="2"/>
        <v>6.6666666666666666E-2</v>
      </c>
      <c r="I11">
        <f t="shared" si="3"/>
        <v>2.5000000000000001E-2</v>
      </c>
      <c r="J11">
        <f t="shared" si="4"/>
        <v>6.6666666666666666E-2</v>
      </c>
      <c r="K11">
        <f t="shared" si="5"/>
        <v>2.5000000000000001E-2</v>
      </c>
      <c r="L11">
        <f t="shared" si="6"/>
        <v>6.6666666666666666E-2</v>
      </c>
      <c r="M11">
        <f t="shared" si="7"/>
        <v>2.5000000000000001E-2</v>
      </c>
      <c r="N11">
        <f t="shared" si="8"/>
        <v>6.6666666666666666E-2</v>
      </c>
      <c r="O11">
        <f t="shared" si="9"/>
        <v>2.5000000000000001E-2</v>
      </c>
      <c r="P11">
        <f t="shared" si="10"/>
        <v>6.6666666666666666E-2</v>
      </c>
      <c r="Q11">
        <f t="shared" si="11"/>
        <v>2.5000000000000001E-2</v>
      </c>
    </row>
    <row r="12" spans="1:17" x14ac:dyDescent="0.35">
      <c r="A12">
        <v>1990</v>
      </c>
      <c r="B12">
        <v>6.1162834101373305E-2</v>
      </c>
      <c r="C12">
        <v>5.6859823474165617E-3</v>
      </c>
      <c r="D12">
        <v>5.9807900801766359E-2</v>
      </c>
      <c r="E12">
        <v>6.1890542534369019E-3</v>
      </c>
      <c r="F12">
        <f t="shared" si="0"/>
        <v>6.6666666666666666E-2</v>
      </c>
      <c r="G12">
        <f t="shared" si="1"/>
        <v>2.5000000000000001E-2</v>
      </c>
      <c r="H12">
        <f t="shared" si="2"/>
        <v>6.6666666666666666E-2</v>
      </c>
      <c r="I12">
        <f t="shared" si="3"/>
        <v>2.5000000000000001E-2</v>
      </c>
      <c r="J12">
        <f t="shared" si="4"/>
        <v>6.6666666666666666E-2</v>
      </c>
      <c r="K12">
        <f t="shared" si="5"/>
        <v>2.5000000000000001E-2</v>
      </c>
      <c r="L12">
        <f t="shared" si="6"/>
        <v>6.6666666666666666E-2</v>
      </c>
      <c r="M12">
        <f t="shared" si="7"/>
        <v>2.5000000000000001E-2</v>
      </c>
      <c r="N12">
        <f t="shared" si="8"/>
        <v>6.6666666666666666E-2</v>
      </c>
      <c r="O12">
        <f t="shared" si="9"/>
        <v>2.5000000000000001E-2</v>
      </c>
      <c r="P12">
        <f t="shared" si="10"/>
        <v>6.6666666666666666E-2</v>
      </c>
      <c r="Q12">
        <f t="shared" si="11"/>
        <v>2.5000000000000001E-2</v>
      </c>
    </row>
    <row r="13" spans="1:17" x14ac:dyDescent="0.35">
      <c r="A13">
        <v>1991</v>
      </c>
      <c r="B13">
        <v>6.0346170332992284E-2</v>
      </c>
      <c r="C13">
        <v>5.566995226263141E-3</v>
      </c>
      <c r="D13">
        <v>5.9442182754300112E-2</v>
      </c>
      <c r="E13">
        <v>6.0511606064691621E-3</v>
      </c>
      <c r="F13">
        <f t="shared" si="0"/>
        <v>6.6666666666666666E-2</v>
      </c>
      <c r="G13">
        <f t="shared" si="1"/>
        <v>2.5000000000000001E-2</v>
      </c>
      <c r="H13">
        <f t="shared" si="2"/>
        <v>6.6666666666666666E-2</v>
      </c>
      <c r="I13">
        <f t="shared" si="3"/>
        <v>2.5000000000000001E-2</v>
      </c>
      <c r="J13">
        <f t="shared" si="4"/>
        <v>6.6666666666666666E-2</v>
      </c>
      <c r="K13">
        <f t="shared" si="5"/>
        <v>2.5000000000000001E-2</v>
      </c>
      <c r="L13">
        <f t="shared" si="6"/>
        <v>6.6666666666666666E-2</v>
      </c>
      <c r="M13">
        <f t="shared" si="7"/>
        <v>2.5000000000000001E-2</v>
      </c>
      <c r="N13">
        <f t="shared" si="8"/>
        <v>6.6666666666666666E-2</v>
      </c>
      <c r="O13">
        <f t="shared" si="9"/>
        <v>2.5000000000000001E-2</v>
      </c>
      <c r="P13">
        <f t="shared" si="10"/>
        <v>6.6666666666666666E-2</v>
      </c>
      <c r="Q13">
        <f t="shared" si="11"/>
        <v>2.5000000000000001E-2</v>
      </c>
    </row>
    <row r="14" spans="1:17" x14ac:dyDescent="0.35">
      <c r="A14">
        <v>1992</v>
      </c>
      <c r="B14">
        <v>6.0130551873096197E-2</v>
      </c>
      <c r="C14">
        <v>5.6577489376621768E-3</v>
      </c>
      <c r="D14">
        <v>5.9513876474794579E-2</v>
      </c>
      <c r="E14">
        <v>6.1976095408142621E-3</v>
      </c>
      <c r="F14">
        <f t="shared" si="0"/>
        <v>6.6666666666666666E-2</v>
      </c>
      <c r="G14">
        <f t="shared" si="1"/>
        <v>2.5000000000000001E-2</v>
      </c>
      <c r="H14">
        <f t="shared" si="2"/>
        <v>6.6666666666666666E-2</v>
      </c>
      <c r="I14">
        <f t="shared" si="3"/>
        <v>2.5000000000000001E-2</v>
      </c>
      <c r="J14">
        <f t="shared" si="4"/>
        <v>6.6666666666666666E-2</v>
      </c>
      <c r="K14">
        <f t="shared" si="5"/>
        <v>2.5000000000000001E-2</v>
      </c>
      <c r="L14">
        <f t="shared" si="6"/>
        <v>6.6666666666666666E-2</v>
      </c>
      <c r="M14">
        <f t="shared" si="7"/>
        <v>2.5000000000000001E-2</v>
      </c>
      <c r="N14">
        <f t="shared" si="8"/>
        <v>6.6666666666666666E-2</v>
      </c>
      <c r="O14">
        <f t="shared" si="9"/>
        <v>2.5000000000000001E-2</v>
      </c>
      <c r="P14">
        <f t="shared" si="10"/>
        <v>6.6666666666666666E-2</v>
      </c>
      <c r="Q14">
        <f t="shared" si="11"/>
        <v>2.5000000000000001E-2</v>
      </c>
    </row>
    <row r="15" spans="1:17" x14ac:dyDescent="0.35">
      <c r="A15">
        <v>1993</v>
      </c>
      <c r="B15">
        <v>5.9380807887310157E-2</v>
      </c>
      <c r="C15">
        <v>5.5040545502113404E-3</v>
      </c>
      <c r="D15">
        <v>5.8881787306398023E-2</v>
      </c>
      <c r="E15">
        <v>6.0264953593009941E-3</v>
      </c>
      <c r="F15">
        <f t="shared" si="0"/>
        <v>6.6666666666666666E-2</v>
      </c>
      <c r="G15">
        <f t="shared" si="1"/>
        <v>2.5000000000000001E-2</v>
      </c>
      <c r="H15">
        <f t="shared" si="2"/>
        <v>6.6666666666666666E-2</v>
      </c>
      <c r="I15">
        <f t="shared" si="3"/>
        <v>2.5000000000000001E-2</v>
      </c>
      <c r="J15">
        <f t="shared" si="4"/>
        <v>6.6666666666666666E-2</v>
      </c>
      <c r="K15">
        <f t="shared" si="5"/>
        <v>2.5000000000000001E-2</v>
      </c>
      <c r="L15">
        <f t="shared" si="6"/>
        <v>6.6666666666666666E-2</v>
      </c>
      <c r="M15">
        <f t="shared" si="7"/>
        <v>2.5000000000000001E-2</v>
      </c>
      <c r="N15">
        <f t="shared" si="8"/>
        <v>6.6666666666666666E-2</v>
      </c>
      <c r="O15">
        <f t="shared" si="9"/>
        <v>2.5000000000000001E-2</v>
      </c>
      <c r="P15">
        <f t="shared" si="10"/>
        <v>6.6666666666666666E-2</v>
      </c>
      <c r="Q15">
        <f t="shared" si="11"/>
        <v>2.5000000000000001E-2</v>
      </c>
    </row>
    <row r="16" spans="1:17" x14ac:dyDescent="0.35">
      <c r="A16">
        <v>1994</v>
      </c>
      <c r="B16">
        <v>5.9368688792048298E-2</v>
      </c>
      <c r="C16">
        <v>5.6260033978612701E-3</v>
      </c>
      <c r="D16">
        <v>5.9006059582901151E-2</v>
      </c>
      <c r="E16">
        <v>6.2036242621734163E-3</v>
      </c>
      <c r="F16">
        <f t="shared" si="0"/>
        <v>6.6666666666666666E-2</v>
      </c>
      <c r="G16">
        <f t="shared" si="1"/>
        <v>2.5000000000000001E-2</v>
      </c>
      <c r="H16">
        <f t="shared" si="2"/>
        <v>6.6666666666666666E-2</v>
      </c>
      <c r="I16">
        <f t="shared" si="3"/>
        <v>2.5000000000000001E-2</v>
      </c>
      <c r="J16">
        <f t="shared" si="4"/>
        <v>6.6666666666666666E-2</v>
      </c>
      <c r="K16">
        <f t="shared" si="5"/>
        <v>2.5000000000000001E-2</v>
      </c>
      <c r="L16">
        <f t="shared" si="6"/>
        <v>6.6666666666666666E-2</v>
      </c>
      <c r="M16">
        <f t="shared" si="7"/>
        <v>2.5000000000000001E-2</v>
      </c>
      <c r="N16">
        <f t="shared" si="8"/>
        <v>6.6666666666666666E-2</v>
      </c>
      <c r="O16">
        <f t="shared" si="9"/>
        <v>2.5000000000000001E-2</v>
      </c>
      <c r="P16">
        <f t="shared" si="10"/>
        <v>6.6666666666666666E-2</v>
      </c>
      <c r="Q16">
        <f t="shared" si="11"/>
        <v>2.5000000000000001E-2</v>
      </c>
    </row>
    <row r="17" spans="1:17" x14ac:dyDescent="0.35">
      <c r="A17">
        <v>1995</v>
      </c>
      <c r="B17">
        <v>5.8800913561289719E-2</v>
      </c>
      <c r="C17">
        <v>5.4367844182692301E-3</v>
      </c>
      <c r="D17">
        <v>5.8684488272954326E-2</v>
      </c>
      <c r="E17">
        <v>6.0848148272756248E-3</v>
      </c>
      <c r="F17">
        <f t="shared" si="0"/>
        <v>6.6666666666666666E-2</v>
      </c>
      <c r="G17">
        <f t="shared" si="1"/>
        <v>2.5000000000000001E-2</v>
      </c>
      <c r="H17">
        <f t="shared" si="2"/>
        <v>6.6666666666666666E-2</v>
      </c>
      <c r="I17">
        <f t="shared" si="3"/>
        <v>2.5000000000000001E-2</v>
      </c>
      <c r="J17">
        <f t="shared" si="4"/>
        <v>6.6666666666666666E-2</v>
      </c>
      <c r="K17">
        <f t="shared" si="5"/>
        <v>2.5000000000000001E-2</v>
      </c>
      <c r="L17">
        <f t="shared" si="6"/>
        <v>6.6666666666666666E-2</v>
      </c>
      <c r="M17">
        <f t="shared" si="7"/>
        <v>2.5000000000000001E-2</v>
      </c>
      <c r="N17">
        <f t="shared" si="8"/>
        <v>6.6666666666666666E-2</v>
      </c>
      <c r="O17">
        <f t="shared" si="9"/>
        <v>2.5000000000000001E-2</v>
      </c>
      <c r="P17">
        <f t="shared" si="10"/>
        <v>6.6666666666666666E-2</v>
      </c>
      <c r="Q17">
        <f t="shared" si="11"/>
        <v>2.5000000000000001E-2</v>
      </c>
    </row>
    <row r="18" spans="1:17" x14ac:dyDescent="0.35">
      <c r="A18">
        <v>1996</v>
      </c>
      <c r="B18">
        <v>5.870142307009641E-2</v>
      </c>
      <c r="C18">
        <v>5.4936476765305728E-3</v>
      </c>
      <c r="D18">
        <v>5.863245496040214E-2</v>
      </c>
      <c r="E18">
        <v>6.1428561910848115E-3</v>
      </c>
      <c r="F18">
        <f t="shared" si="0"/>
        <v>6.6666666666666666E-2</v>
      </c>
      <c r="G18">
        <f t="shared" si="1"/>
        <v>2.5000000000000001E-2</v>
      </c>
      <c r="H18">
        <f t="shared" si="2"/>
        <v>6.6666666666666666E-2</v>
      </c>
      <c r="I18">
        <f t="shared" si="3"/>
        <v>2.5000000000000001E-2</v>
      </c>
      <c r="J18">
        <f t="shared" si="4"/>
        <v>6.6666666666666666E-2</v>
      </c>
      <c r="K18">
        <f t="shared" si="5"/>
        <v>2.5000000000000001E-2</v>
      </c>
      <c r="L18">
        <f t="shared" si="6"/>
        <v>6.6666666666666666E-2</v>
      </c>
      <c r="M18">
        <f t="shared" si="7"/>
        <v>2.5000000000000001E-2</v>
      </c>
      <c r="N18">
        <f t="shared" si="8"/>
        <v>6.6666666666666666E-2</v>
      </c>
      <c r="O18">
        <f t="shared" si="9"/>
        <v>2.5000000000000001E-2</v>
      </c>
      <c r="P18">
        <f t="shared" si="10"/>
        <v>6.6666666666666666E-2</v>
      </c>
      <c r="Q18">
        <f t="shared" si="11"/>
        <v>2.5000000000000001E-2</v>
      </c>
    </row>
    <row r="19" spans="1:17" x14ac:dyDescent="0.35">
      <c r="A19">
        <v>1997</v>
      </c>
      <c r="B19">
        <v>5.8233116749511517E-2</v>
      </c>
      <c r="C19">
        <v>5.3687754273703666E-3</v>
      </c>
      <c r="D19">
        <v>5.869608820075612E-2</v>
      </c>
      <c r="E19">
        <v>6.140056682725336E-3</v>
      </c>
      <c r="F19">
        <f t="shared" si="0"/>
        <v>6.6666666666666666E-2</v>
      </c>
      <c r="G19">
        <f t="shared" si="1"/>
        <v>2.5000000000000001E-2</v>
      </c>
      <c r="H19">
        <f t="shared" si="2"/>
        <v>6.6666666666666666E-2</v>
      </c>
      <c r="I19">
        <f t="shared" si="3"/>
        <v>2.5000000000000001E-2</v>
      </c>
      <c r="J19">
        <f t="shared" si="4"/>
        <v>6.6666666666666666E-2</v>
      </c>
      <c r="K19">
        <f t="shared" si="5"/>
        <v>2.5000000000000001E-2</v>
      </c>
      <c r="L19">
        <f t="shared" si="6"/>
        <v>6.6666666666666666E-2</v>
      </c>
      <c r="M19">
        <f t="shared" si="7"/>
        <v>2.5000000000000001E-2</v>
      </c>
      <c r="N19">
        <f t="shared" si="8"/>
        <v>6.6666666666666666E-2</v>
      </c>
      <c r="O19">
        <f t="shared" si="9"/>
        <v>2.5000000000000001E-2</v>
      </c>
      <c r="P19">
        <f t="shared" si="10"/>
        <v>6.6666666666666666E-2</v>
      </c>
      <c r="Q19">
        <f t="shared" si="11"/>
        <v>2.5000000000000001E-2</v>
      </c>
    </row>
    <row r="20" spans="1:17" x14ac:dyDescent="0.35">
      <c r="A20">
        <v>1998</v>
      </c>
      <c r="B20">
        <v>5.7710760318502544E-2</v>
      </c>
      <c r="C20">
        <v>5.2467406079266289E-3</v>
      </c>
      <c r="D20">
        <v>5.8047860822992202E-2</v>
      </c>
      <c r="E20">
        <v>5.9514776825824777E-3</v>
      </c>
      <c r="F20">
        <f t="shared" si="0"/>
        <v>6.6666666666666666E-2</v>
      </c>
      <c r="G20">
        <f t="shared" si="1"/>
        <v>2.5000000000000001E-2</v>
      </c>
      <c r="H20">
        <f t="shared" si="2"/>
        <v>6.6666666666666666E-2</v>
      </c>
      <c r="I20">
        <f t="shared" si="3"/>
        <v>2.5000000000000001E-2</v>
      </c>
      <c r="J20">
        <f t="shared" si="4"/>
        <v>6.6666666666666666E-2</v>
      </c>
      <c r="K20">
        <f t="shared" si="5"/>
        <v>2.5000000000000001E-2</v>
      </c>
      <c r="L20">
        <f t="shared" si="6"/>
        <v>6.6666666666666666E-2</v>
      </c>
      <c r="M20">
        <f t="shared" si="7"/>
        <v>2.5000000000000001E-2</v>
      </c>
      <c r="N20">
        <f t="shared" si="8"/>
        <v>6.6666666666666666E-2</v>
      </c>
      <c r="O20">
        <f t="shared" si="9"/>
        <v>2.5000000000000001E-2</v>
      </c>
      <c r="P20">
        <f t="shared" si="10"/>
        <v>6.6666666666666666E-2</v>
      </c>
      <c r="Q20">
        <f t="shared" si="11"/>
        <v>2.5000000000000001E-2</v>
      </c>
    </row>
    <row r="21" spans="1:17" x14ac:dyDescent="0.35">
      <c r="A21">
        <v>1999</v>
      </c>
      <c r="B21">
        <v>5.728354805497695E-2</v>
      </c>
      <c r="C21">
        <v>5.1839350161414447E-3</v>
      </c>
      <c r="D21">
        <v>5.7807748503904785E-2</v>
      </c>
      <c r="E21">
        <v>5.9500270553739494E-3</v>
      </c>
      <c r="F21">
        <f t="shared" si="0"/>
        <v>6.6666666666666666E-2</v>
      </c>
      <c r="G21">
        <f t="shared" si="1"/>
        <v>2.5000000000000001E-2</v>
      </c>
      <c r="H21">
        <f t="shared" si="2"/>
        <v>6.6666666666666666E-2</v>
      </c>
      <c r="I21">
        <f t="shared" si="3"/>
        <v>2.5000000000000001E-2</v>
      </c>
      <c r="J21">
        <f t="shared" si="4"/>
        <v>6.6666666666666666E-2</v>
      </c>
      <c r="K21">
        <f t="shared" si="5"/>
        <v>2.5000000000000001E-2</v>
      </c>
      <c r="L21">
        <f t="shared" si="6"/>
        <v>6.6666666666666666E-2</v>
      </c>
      <c r="M21">
        <f t="shared" si="7"/>
        <v>2.5000000000000001E-2</v>
      </c>
      <c r="N21">
        <f t="shared" si="8"/>
        <v>6.6666666666666666E-2</v>
      </c>
      <c r="O21">
        <f t="shared" si="9"/>
        <v>2.5000000000000001E-2</v>
      </c>
      <c r="P21">
        <f t="shared" si="10"/>
        <v>6.6666666666666666E-2</v>
      </c>
      <c r="Q21">
        <f t="shared" si="11"/>
        <v>2.5000000000000001E-2</v>
      </c>
    </row>
    <row r="22" spans="1:17" x14ac:dyDescent="0.35">
      <c r="A22">
        <v>2000</v>
      </c>
      <c r="B22">
        <v>5.660390463772795E-2</v>
      </c>
      <c r="C22">
        <v>5.1087061173771342E-3</v>
      </c>
      <c r="D22">
        <v>5.761987539228472E-2</v>
      </c>
      <c r="E22">
        <v>5.9271425198873656E-3</v>
      </c>
      <c r="F22">
        <f t="shared" si="0"/>
        <v>6.6666666666666666E-2</v>
      </c>
      <c r="G22">
        <f t="shared" si="1"/>
        <v>2.5000000000000001E-2</v>
      </c>
      <c r="H22">
        <f t="shared" si="2"/>
        <v>6.6666666666666666E-2</v>
      </c>
      <c r="I22">
        <f t="shared" si="3"/>
        <v>2.5000000000000001E-2</v>
      </c>
      <c r="J22">
        <f t="shared" si="4"/>
        <v>6.6666666666666666E-2</v>
      </c>
      <c r="K22">
        <f t="shared" si="5"/>
        <v>2.5000000000000001E-2</v>
      </c>
      <c r="L22">
        <f t="shared" si="6"/>
        <v>6.6666666666666666E-2</v>
      </c>
      <c r="M22">
        <f t="shared" si="7"/>
        <v>2.5000000000000001E-2</v>
      </c>
      <c r="N22">
        <f t="shared" si="8"/>
        <v>6.6666666666666666E-2</v>
      </c>
      <c r="O22">
        <f t="shared" si="9"/>
        <v>2.5000000000000001E-2</v>
      </c>
      <c r="P22">
        <f t="shared" si="10"/>
        <v>6.6666666666666666E-2</v>
      </c>
      <c r="Q22">
        <f t="shared" si="11"/>
        <v>2.5000000000000001E-2</v>
      </c>
    </row>
    <row r="23" spans="1:17" x14ac:dyDescent="0.35">
      <c r="A23">
        <v>2001</v>
      </c>
      <c r="B23">
        <v>5.6035572833967137E-2</v>
      </c>
      <c r="C23">
        <v>5.0117936192985166E-3</v>
      </c>
      <c r="D23">
        <v>5.7176068025505553E-2</v>
      </c>
      <c r="E23">
        <v>5.8705639771503915E-3</v>
      </c>
      <c r="F23">
        <f t="shared" si="0"/>
        <v>6.6666666666666666E-2</v>
      </c>
      <c r="G23">
        <f t="shared" si="1"/>
        <v>2.5000000000000001E-2</v>
      </c>
      <c r="H23">
        <f t="shared" si="2"/>
        <v>6.6666666666666666E-2</v>
      </c>
      <c r="I23">
        <f t="shared" si="3"/>
        <v>2.5000000000000001E-2</v>
      </c>
      <c r="J23">
        <f t="shared" si="4"/>
        <v>6.6666666666666666E-2</v>
      </c>
      <c r="K23">
        <f t="shared" si="5"/>
        <v>2.5000000000000001E-2</v>
      </c>
      <c r="L23">
        <f t="shared" si="6"/>
        <v>6.6666666666666666E-2</v>
      </c>
      <c r="M23">
        <f t="shared" si="7"/>
        <v>2.5000000000000001E-2</v>
      </c>
      <c r="N23">
        <f t="shared" si="8"/>
        <v>6.6666666666666666E-2</v>
      </c>
      <c r="O23">
        <f t="shared" si="9"/>
        <v>2.5000000000000001E-2</v>
      </c>
      <c r="P23">
        <f t="shared" si="10"/>
        <v>6.6666666666666666E-2</v>
      </c>
      <c r="Q23">
        <f t="shared" si="11"/>
        <v>2.5000000000000001E-2</v>
      </c>
    </row>
    <row r="24" spans="1:17" x14ac:dyDescent="0.35">
      <c r="A24">
        <v>2002</v>
      </c>
      <c r="B24">
        <v>5.5851340258723833E-2</v>
      </c>
      <c r="C24">
        <v>5.0948901912906495E-3</v>
      </c>
      <c r="D24">
        <v>5.751874460407045E-2</v>
      </c>
      <c r="E24">
        <v>6.0323483152095085E-3</v>
      </c>
      <c r="F24">
        <f t="shared" si="0"/>
        <v>6.6666666666666666E-2</v>
      </c>
      <c r="G24">
        <f t="shared" si="1"/>
        <v>2.5000000000000001E-2</v>
      </c>
      <c r="H24">
        <f t="shared" si="2"/>
        <v>6.6666666666666666E-2</v>
      </c>
      <c r="I24">
        <f t="shared" si="3"/>
        <v>2.5000000000000001E-2</v>
      </c>
      <c r="J24">
        <f t="shared" si="4"/>
        <v>6.6666666666666666E-2</v>
      </c>
      <c r="K24">
        <f t="shared" si="5"/>
        <v>2.5000000000000001E-2</v>
      </c>
      <c r="L24">
        <f t="shared" si="6"/>
        <v>6.6666666666666666E-2</v>
      </c>
      <c r="M24">
        <f t="shared" si="7"/>
        <v>2.5000000000000001E-2</v>
      </c>
      <c r="N24">
        <f t="shared" si="8"/>
        <v>6.6666666666666666E-2</v>
      </c>
      <c r="O24">
        <f t="shared" si="9"/>
        <v>2.5000000000000001E-2</v>
      </c>
      <c r="P24">
        <f t="shared" si="10"/>
        <v>6.6666666666666666E-2</v>
      </c>
      <c r="Q24">
        <f t="shared" si="11"/>
        <v>2.5000000000000001E-2</v>
      </c>
    </row>
    <row r="25" spans="1:17" x14ac:dyDescent="0.35">
      <c r="A25">
        <v>2003</v>
      </c>
      <c r="B25">
        <v>5.5534820702894429E-2</v>
      </c>
      <c r="C25">
        <v>4.9677772771365104E-3</v>
      </c>
      <c r="D25">
        <v>5.711188703606164E-2</v>
      </c>
      <c r="E25">
        <v>5.9045270156380496E-3</v>
      </c>
      <c r="F25">
        <f t="shared" si="0"/>
        <v>6.6666666666666666E-2</v>
      </c>
      <c r="G25">
        <f t="shared" si="1"/>
        <v>2.5000000000000001E-2</v>
      </c>
      <c r="H25">
        <f t="shared" si="2"/>
        <v>6.6666666666666666E-2</v>
      </c>
      <c r="I25">
        <f t="shared" si="3"/>
        <v>2.5000000000000001E-2</v>
      </c>
      <c r="J25">
        <f t="shared" si="4"/>
        <v>6.6666666666666666E-2</v>
      </c>
      <c r="K25">
        <f t="shared" si="5"/>
        <v>2.5000000000000001E-2</v>
      </c>
      <c r="L25">
        <f t="shared" si="6"/>
        <v>6.6666666666666666E-2</v>
      </c>
      <c r="M25">
        <f t="shared" si="7"/>
        <v>2.5000000000000001E-2</v>
      </c>
      <c r="N25">
        <f t="shared" si="8"/>
        <v>6.6666666666666666E-2</v>
      </c>
      <c r="O25">
        <f t="shared" si="9"/>
        <v>2.5000000000000001E-2</v>
      </c>
      <c r="P25">
        <f t="shared" si="10"/>
        <v>6.6666666666666666E-2</v>
      </c>
      <c r="Q25">
        <f t="shared" si="11"/>
        <v>2.5000000000000001E-2</v>
      </c>
    </row>
    <row r="26" spans="1:17" x14ac:dyDescent="0.35">
      <c r="A26">
        <v>2004</v>
      </c>
      <c r="B26">
        <v>5.4992545534736259E-2</v>
      </c>
      <c r="C26">
        <v>4.9136187102671461E-3</v>
      </c>
      <c r="D26">
        <v>5.6795351629199832E-2</v>
      </c>
      <c r="E26">
        <v>5.8623158467710976E-3</v>
      </c>
      <c r="F26">
        <f t="shared" si="0"/>
        <v>6.6666666666666666E-2</v>
      </c>
      <c r="G26">
        <f t="shared" si="1"/>
        <v>2.5000000000000001E-2</v>
      </c>
      <c r="H26">
        <f t="shared" si="2"/>
        <v>6.6666666666666666E-2</v>
      </c>
      <c r="I26">
        <f t="shared" si="3"/>
        <v>2.5000000000000001E-2</v>
      </c>
      <c r="J26">
        <f t="shared" si="4"/>
        <v>6.6666666666666666E-2</v>
      </c>
      <c r="K26">
        <f t="shared" si="5"/>
        <v>2.5000000000000001E-2</v>
      </c>
      <c r="L26">
        <f t="shared" si="6"/>
        <v>6.6666666666666666E-2</v>
      </c>
      <c r="M26">
        <f t="shared" si="7"/>
        <v>2.5000000000000001E-2</v>
      </c>
      <c r="N26">
        <f t="shared" si="8"/>
        <v>6.6666666666666666E-2</v>
      </c>
      <c r="O26">
        <f t="shared" si="9"/>
        <v>2.5000000000000001E-2</v>
      </c>
      <c r="P26">
        <f t="shared" si="10"/>
        <v>6.6666666666666666E-2</v>
      </c>
      <c r="Q26">
        <f t="shared" si="11"/>
        <v>2.5000000000000001E-2</v>
      </c>
    </row>
    <row r="27" spans="1:17" x14ac:dyDescent="0.35">
      <c r="A27">
        <v>2005</v>
      </c>
      <c r="B27">
        <v>5.4623697202204509E-2</v>
      </c>
      <c r="C27">
        <v>4.7373548136776184E-3</v>
      </c>
      <c r="D27">
        <v>5.6351505727804986E-2</v>
      </c>
      <c r="E27">
        <v>5.7325618531814436E-3</v>
      </c>
      <c r="F27">
        <f t="shared" si="0"/>
        <v>6.6666666666666666E-2</v>
      </c>
      <c r="G27">
        <f t="shared" si="1"/>
        <v>2.5000000000000001E-2</v>
      </c>
      <c r="H27">
        <f t="shared" si="2"/>
        <v>6.6666666666666666E-2</v>
      </c>
      <c r="I27">
        <f t="shared" si="3"/>
        <v>2.5000000000000001E-2</v>
      </c>
      <c r="J27">
        <f t="shared" si="4"/>
        <v>6.6666666666666666E-2</v>
      </c>
      <c r="K27">
        <f t="shared" si="5"/>
        <v>2.5000000000000001E-2</v>
      </c>
      <c r="L27">
        <f t="shared" si="6"/>
        <v>6.6666666666666666E-2</v>
      </c>
      <c r="M27">
        <f t="shared" si="7"/>
        <v>2.5000000000000001E-2</v>
      </c>
      <c r="N27">
        <f t="shared" si="8"/>
        <v>6.6666666666666666E-2</v>
      </c>
      <c r="O27">
        <f t="shared" si="9"/>
        <v>2.5000000000000001E-2</v>
      </c>
      <c r="P27">
        <f t="shared" si="10"/>
        <v>6.6666666666666666E-2</v>
      </c>
      <c r="Q27">
        <f t="shared" si="11"/>
        <v>2.5000000000000001E-2</v>
      </c>
    </row>
    <row r="28" spans="1:17" x14ac:dyDescent="0.35">
      <c r="A28">
        <v>2006</v>
      </c>
      <c r="B28">
        <v>5.4355299974523104E-2</v>
      </c>
      <c r="C28">
        <v>4.7550032251549379E-3</v>
      </c>
      <c r="D28">
        <v>5.6444492915577502E-2</v>
      </c>
      <c r="E28">
        <v>5.7916682462013725E-3</v>
      </c>
      <c r="F28">
        <f t="shared" si="0"/>
        <v>6.6666666666666666E-2</v>
      </c>
      <c r="G28">
        <f t="shared" si="1"/>
        <v>2.5000000000000001E-2</v>
      </c>
      <c r="H28">
        <f t="shared" si="2"/>
        <v>6.6666666666666666E-2</v>
      </c>
      <c r="I28">
        <f t="shared" si="3"/>
        <v>2.5000000000000001E-2</v>
      </c>
      <c r="J28">
        <f t="shared" si="4"/>
        <v>6.6666666666666666E-2</v>
      </c>
      <c r="K28">
        <f t="shared" si="5"/>
        <v>2.5000000000000001E-2</v>
      </c>
      <c r="L28">
        <f t="shared" si="6"/>
        <v>6.6666666666666666E-2</v>
      </c>
      <c r="M28">
        <f t="shared" si="7"/>
        <v>2.5000000000000001E-2</v>
      </c>
      <c r="N28">
        <f t="shared" si="8"/>
        <v>6.6666666666666666E-2</v>
      </c>
      <c r="O28">
        <f t="shared" si="9"/>
        <v>2.5000000000000001E-2</v>
      </c>
      <c r="P28">
        <f t="shared" si="10"/>
        <v>6.6666666666666666E-2</v>
      </c>
      <c r="Q28">
        <f t="shared" si="11"/>
        <v>2.5000000000000001E-2</v>
      </c>
    </row>
    <row r="29" spans="1:17" x14ac:dyDescent="0.35">
      <c r="A29">
        <v>2007</v>
      </c>
      <c r="B29">
        <v>5.4390413360040149E-2</v>
      </c>
      <c r="C29">
        <v>4.7536988002555873E-3</v>
      </c>
      <c r="D29">
        <v>5.6602388059036841E-2</v>
      </c>
      <c r="E29">
        <v>5.8194395008523796E-3</v>
      </c>
      <c r="F29">
        <f t="shared" si="0"/>
        <v>6.6666666666666666E-2</v>
      </c>
      <c r="G29">
        <f t="shared" si="1"/>
        <v>2.5000000000000001E-2</v>
      </c>
      <c r="H29">
        <f t="shared" si="2"/>
        <v>6.6666666666666666E-2</v>
      </c>
      <c r="I29">
        <f t="shared" si="3"/>
        <v>2.5000000000000001E-2</v>
      </c>
      <c r="J29">
        <f t="shared" si="4"/>
        <v>6.6666666666666666E-2</v>
      </c>
      <c r="K29">
        <f t="shared" si="5"/>
        <v>2.5000000000000001E-2</v>
      </c>
      <c r="L29">
        <f t="shared" si="6"/>
        <v>6.6666666666666666E-2</v>
      </c>
      <c r="M29">
        <f t="shared" si="7"/>
        <v>2.5000000000000001E-2</v>
      </c>
      <c r="N29">
        <f t="shared" si="8"/>
        <v>6.6666666666666666E-2</v>
      </c>
      <c r="O29">
        <f t="shared" si="9"/>
        <v>2.5000000000000001E-2</v>
      </c>
      <c r="P29">
        <f t="shared" si="10"/>
        <v>6.6666666666666666E-2</v>
      </c>
      <c r="Q29">
        <f t="shared" si="11"/>
        <v>2.5000000000000001E-2</v>
      </c>
    </row>
    <row r="30" spans="1:17" x14ac:dyDescent="0.35">
      <c r="A30">
        <v>2008</v>
      </c>
      <c r="B30">
        <v>5.444353311846313E-2</v>
      </c>
      <c r="C30">
        <v>4.8310558204051682E-3</v>
      </c>
      <c r="D30">
        <v>5.6688732779617203E-2</v>
      </c>
      <c r="E30">
        <v>5.9603565167676417E-3</v>
      </c>
      <c r="F30">
        <f t="shared" si="0"/>
        <v>6.6666666666666666E-2</v>
      </c>
      <c r="G30">
        <f t="shared" si="1"/>
        <v>2.5000000000000001E-2</v>
      </c>
      <c r="H30">
        <f t="shared" si="2"/>
        <v>6.6666666666666666E-2</v>
      </c>
      <c r="I30">
        <f t="shared" si="3"/>
        <v>2.5000000000000001E-2</v>
      </c>
      <c r="J30">
        <f t="shared" si="4"/>
        <v>6.6666666666666666E-2</v>
      </c>
      <c r="K30">
        <f t="shared" si="5"/>
        <v>2.5000000000000001E-2</v>
      </c>
      <c r="L30">
        <f t="shared" si="6"/>
        <v>6.6666666666666666E-2</v>
      </c>
      <c r="M30">
        <f t="shared" si="7"/>
        <v>2.5000000000000001E-2</v>
      </c>
      <c r="N30">
        <f t="shared" si="8"/>
        <v>6.6666666666666666E-2</v>
      </c>
      <c r="O30">
        <f t="shared" si="9"/>
        <v>2.5000000000000001E-2</v>
      </c>
      <c r="P30">
        <f t="shared" si="10"/>
        <v>6.6666666666666666E-2</v>
      </c>
      <c r="Q30">
        <f t="shared" si="11"/>
        <v>2.5000000000000001E-2</v>
      </c>
    </row>
    <row r="31" spans="1:17" x14ac:dyDescent="0.35">
      <c r="A31">
        <v>2009</v>
      </c>
      <c r="B31">
        <v>5.399080933881021E-2</v>
      </c>
      <c r="C31">
        <v>4.6231746866375904E-3</v>
      </c>
      <c r="D31">
        <v>5.6242335922286738E-2</v>
      </c>
      <c r="E31">
        <v>5.681258850411354E-3</v>
      </c>
      <c r="F31">
        <f t="shared" si="0"/>
        <v>6.6666666666666666E-2</v>
      </c>
      <c r="G31">
        <f t="shared" si="1"/>
        <v>2.5000000000000001E-2</v>
      </c>
      <c r="H31">
        <f t="shared" si="2"/>
        <v>6.6666666666666666E-2</v>
      </c>
      <c r="I31">
        <f t="shared" si="3"/>
        <v>2.5000000000000001E-2</v>
      </c>
      <c r="J31">
        <f t="shared" si="4"/>
        <v>6.6666666666666666E-2</v>
      </c>
      <c r="K31">
        <f t="shared" si="5"/>
        <v>2.5000000000000001E-2</v>
      </c>
      <c r="L31">
        <f t="shared" si="6"/>
        <v>6.6666666666666666E-2</v>
      </c>
      <c r="M31">
        <f t="shared" si="7"/>
        <v>2.5000000000000001E-2</v>
      </c>
      <c r="N31">
        <f t="shared" si="8"/>
        <v>6.6666666666666666E-2</v>
      </c>
      <c r="O31">
        <f t="shared" si="9"/>
        <v>2.5000000000000001E-2</v>
      </c>
      <c r="P31">
        <f t="shared" si="10"/>
        <v>6.6666666666666666E-2</v>
      </c>
      <c r="Q31">
        <f t="shared" si="11"/>
        <v>2.5000000000000001E-2</v>
      </c>
    </row>
    <row r="32" spans="1:17" x14ac:dyDescent="0.35">
      <c r="A32">
        <v>2010</v>
      </c>
      <c r="B32">
        <v>5.3691499516753366E-2</v>
      </c>
      <c r="C32">
        <v>4.5787659348299828E-3</v>
      </c>
      <c r="D32">
        <v>5.6035809080999123E-2</v>
      </c>
      <c r="E32">
        <v>5.6812251125397863E-3</v>
      </c>
      <c r="F32">
        <f t="shared" si="0"/>
        <v>6.6666666666666666E-2</v>
      </c>
      <c r="G32">
        <f t="shared" si="1"/>
        <v>2.5000000000000001E-2</v>
      </c>
      <c r="H32">
        <f t="shared" si="2"/>
        <v>6.6666666666666666E-2</v>
      </c>
      <c r="I32">
        <f t="shared" si="3"/>
        <v>2.5000000000000001E-2</v>
      </c>
      <c r="J32">
        <f t="shared" si="4"/>
        <v>6.6666666666666666E-2</v>
      </c>
      <c r="K32">
        <f t="shared" si="5"/>
        <v>2.5000000000000001E-2</v>
      </c>
      <c r="L32">
        <f t="shared" si="6"/>
        <v>6.6666666666666666E-2</v>
      </c>
      <c r="M32">
        <f t="shared" si="7"/>
        <v>2.5000000000000001E-2</v>
      </c>
      <c r="N32">
        <f t="shared" si="8"/>
        <v>6.6666666666666666E-2</v>
      </c>
      <c r="O32">
        <f t="shared" si="9"/>
        <v>2.5000000000000001E-2</v>
      </c>
      <c r="P32">
        <f t="shared" si="10"/>
        <v>6.6666666666666666E-2</v>
      </c>
      <c r="Q32">
        <f t="shared" si="11"/>
        <v>2.5000000000000001E-2</v>
      </c>
    </row>
    <row r="33" spans="1:17" x14ac:dyDescent="0.35">
      <c r="A33">
        <v>2011</v>
      </c>
      <c r="B33">
        <v>5.8844095965535026E-2</v>
      </c>
      <c r="C33">
        <v>7.5535226765382282E-3</v>
      </c>
      <c r="D33">
        <v>6.134894152692371E-2</v>
      </c>
      <c r="E33">
        <v>8.7109435145207442E-3</v>
      </c>
      <c r="F33">
        <f t="shared" si="0"/>
        <v>6.6666666666666666E-2</v>
      </c>
      <c r="G33">
        <f t="shared" si="1"/>
        <v>2.5000000000000001E-2</v>
      </c>
      <c r="H33">
        <f t="shared" si="2"/>
        <v>6.6666666666666666E-2</v>
      </c>
      <c r="I33">
        <f t="shared" si="3"/>
        <v>2.5000000000000001E-2</v>
      </c>
      <c r="J33">
        <f t="shared" si="4"/>
        <v>6.6666666666666666E-2</v>
      </c>
      <c r="K33">
        <f t="shared" si="5"/>
        <v>2.5000000000000001E-2</v>
      </c>
      <c r="L33">
        <f t="shared" si="6"/>
        <v>6.6666666666666666E-2</v>
      </c>
      <c r="M33">
        <f t="shared" si="7"/>
        <v>2.5000000000000001E-2</v>
      </c>
      <c r="N33">
        <f t="shared" si="8"/>
        <v>6.6666666666666666E-2</v>
      </c>
      <c r="O33">
        <f t="shared" si="9"/>
        <v>2.5000000000000001E-2</v>
      </c>
      <c r="P33">
        <f t="shared" si="10"/>
        <v>6.6666666666666666E-2</v>
      </c>
      <c r="Q33">
        <f t="shared" si="11"/>
        <v>2.5000000000000001E-2</v>
      </c>
    </row>
    <row r="34" spans="1:17" x14ac:dyDescent="0.35">
      <c r="A34">
        <v>2012</v>
      </c>
      <c r="B34">
        <v>5.989260445013838E-2</v>
      </c>
      <c r="C34">
        <v>7.8198575687014934E-3</v>
      </c>
      <c r="D34">
        <v>6.0785630923961033E-2</v>
      </c>
      <c r="E34">
        <v>8.3597400185476175E-3</v>
      </c>
      <c r="F34">
        <f t="shared" si="0"/>
        <v>6.6666666666666666E-2</v>
      </c>
      <c r="G34">
        <f t="shared" si="1"/>
        <v>2.5000000000000001E-2</v>
      </c>
      <c r="H34">
        <f t="shared" si="2"/>
        <v>6.6666666666666666E-2</v>
      </c>
      <c r="I34">
        <f t="shared" si="3"/>
        <v>2.5000000000000001E-2</v>
      </c>
      <c r="J34">
        <f t="shared" si="4"/>
        <v>6.6666666666666666E-2</v>
      </c>
      <c r="K34">
        <f t="shared" si="5"/>
        <v>2.5000000000000001E-2</v>
      </c>
      <c r="L34">
        <f t="shared" si="6"/>
        <v>6.6666666666666666E-2</v>
      </c>
      <c r="M34">
        <f t="shared" si="7"/>
        <v>2.5000000000000001E-2</v>
      </c>
      <c r="N34">
        <f t="shared" si="8"/>
        <v>6.6666666666666666E-2</v>
      </c>
      <c r="O34">
        <f t="shared" si="9"/>
        <v>2.5000000000000001E-2</v>
      </c>
      <c r="P34">
        <f t="shared" si="10"/>
        <v>6.6666666666666666E-2</v>
      </c>
      <c r="Q34">
        <f t="shared" si="11"/>
        <v>2.5000000000000001E-2</v>
      </c>
    </row>
    <row r="35" spans="1:17" x14ac:dyDescent="0.35">
      <c r="A35">
        <v>2013</v>
      </c>
      <c r="B35">
        <v>5.9597973121706047E-2</v>
      </c>
      <c r="C35">
        <v>7.3987492557881732E-3</v>
      </c>
      <c r="D35">
        <v>6.0819865082604258E-2</v>
      </c>
      <c r="E35">
        <v>8.9152607379656343E-3</v>
      </c>
      <c r="F35">
        <f t="shared" si="0"/>
        <v>6.6666666666666666E-2</v>
      </c>
      <c r="G35">
        <f t="shared" si="1"/>
        <v>2.5000000000000001E-2</v>
      </c>
      <c r="H35">
        <f t="shared" si="2"/>
        <v>6.6666666666666666E-2</v>
      </c>
      <c r="I35">
        <f t="shared" si="3"/>
        <v>2.5000000000000001E-2</v>
      </c>
      <c r="J35">
        <f t="shared" si="4"/>
        <v>6.6666666666666666E-2</v>
      </c>
      <c r="K35">
        <f t="shared" si="5"/>
        <v>2.5000000000000001E-2</v>
      </c>
      <c r="L35">
        <f t="shared" si="6"/>
        <v>6.6666666666666666E-2</v>
      </c>
      <c r="M35">
        <f t="shared" si="7"/>
        <v>2.5000000000000001E-2</v>
      </c>
      <c r="N35">
        <f t="shared" si="8"/>
        <v>6.6666666666666666E-2</v>
      </c>
      <c r="O35">
        <f t="shared" si="9"/>
        <v>2.5000000000000001E-2</v>
      </c>
      <c r="P35">
        <f t="shared" si="10"/>
        <v>6.6666666666666666E-2</v>
      </c>
      <c r="Q35">
        <f t="shared" si="11"/>
        <v>2.5000000000000001E-2</v>
      </c>
    </row>
    <row r="36" spans="1:17" x14ac:dyDescent="0.35">
      <c r="A36">
        <v>2014</v>
      </c>
      <c r="B36">
        <v>5.9842730230878008E-2</v>
      </c>
      <c r="C36">
        <v>8.0462309316061773E-3</v>
      </c>
      <c r="D36">
        <v>6.1498440047662528E-2</v>
      </c>
      <c r="E36">
        <v>9.8254207777913136E-3</v>
      </c>
      <c r="F36">
        <f t="shared" si="0"/>
        <v>6.6666666666666666E-2</v>
      </c>
      <c r="G36">
        <f t="shared" si="1"/>
        <v>2.5000000000000001E-2</v>
      </c>
      <c r="H36">
        <f t="shared" si="2"/>
        <v>6.6666666666666666E-2</v>
      </c>
      <c r="I36">
        <f t="shared" si="3"/>
        <v>2.5000000000000001E-2</v>
      </c>
      <c r="J36">
        <f t="shared" si="4"/>
        <v>6.6666666666666666E-2</v>
      </c>
      <c r="K36">
        <f t="shared" si="5"/>
        <v>2.5000000000000001E-2</v>
      </c>
      <c r="L36">
        <f t="shared" si="6"/>
        <v>6.6666666666666666E-2</v>
      </c>
      <c r="M36">
        <f t="shared" si="7"/>
        <v>2.5000000000000001E-2</v>
      </c>
      <c r="N36">
        <f t="shared" si="8"/>
        <v>6.6666666666666666E-2</v>
      </c>
      <c r="O36">
        <f t="shared" si="9"/>
        <v>2.5000000000000001E-2</v>
      </c>
      <c r="P36">
        <f t="shared" si="10"/>
        <v>6.6666666666666666E-2</v>
      </c>
      <c r="Q36">
        <f t="shared" si="11"/>
        <v>2.5000000000000001E-2</v>
      </c>
    </row>
    <row r="37" spans="1:17" x14ac:dyDescent="0.35">
      <c r="A37">
        <v>2015</v>
      </c>
      <c r="B37">
        <v>6.0466060815945522E-2</v>
      </c>
      <c r="C37">
        <v>8.4149610377044961E-3</v>
      </c>
      <c r="D37">
        <v>6.304960230170184E-2</v>
      </c>
      <c r="E37">
        <v>1.0196581659740189E-2</v>
      </c>
      <c r="F37">
        <f t="shared" si="0"/>
        <v>6.6666666666666666E-2</v>
      </c>
      <c r="G37">
        <f t="shared" si="1"/>
        <v>2.5000000000000001E-2</v>
      </c>
      <c r="H37">
        <f t="shared" si="2"/>
        <v>6.6666666666666666E-2</v>
      </c>
      <c r="I37">
        <f t="shared" si="3"/>
        <v>2.5000000000000001E-2</v>
      </c>
      <c r="J37">
        <f t="shared" si="4"/>
        <v>6.6666666666666666E-2</v>
      </c>
      <c r="K37">
        <f t="shared" si="5"/>
        <v>2.5000000000000001E-2</v>
      </c>
      <c r="L37">
        <f t="shared" si="6"/>
        <v>6.6666666666666666E-2</v>
      </c>
      <c r="M37">
        <f t="shared" si="7"/>
        <v>2.5000000000000001E-2</v>
      </c>
      <c r="N37">
        <f t="shared" si="8"/>
        <v>6.6666666666666666E-2</v>
      </c>
      <c r="O37">
        <f t="shared" si="9"/>
        <v>2.5000000000000001E-2</v>
      </c>
      <c r="P37">
        <f t="shared" si="10"/>
        <v>6.6666666666666666E-2</v>
      </c>
      <c r="Q37">
        <f t="shared" si="11"/>
        <v>2.5000000000000001E-2</v>
      </c>
    </row>
    <row r="38" spans="1:17" x14ac:dyDescent="0.35">
      <c r="A38">
        <v>2016</v>
      </c>
      <c r="B38">
        <v>6.0242587786939264E-2</v>
      </c>
      <c r="C38">
        <v>8.5269598243623464E-3</v>
      </c>
      <c r="D38">
        <v>6.12452618109268E-2</v>
      </c>
      <c r="E38">
        <v>1.0406065180565062E-2</v>
      </c>
      <c r="F38">
        <f t="shared" si="0"/>
        <v>6.6666666666666666E-2</v>
      </c>
      <c r="G38">
        <f t="shared" si="1"/>
        <v>2.5000000000000001E-2</v>
      </c>
      <c r="H38">
        <f t="shared" si="2"/>
        <v>6.6666666666666666E-2</v>
      </c>
      <c r="I38">
        <f t="shared" si="3"/>
        <v>2.5000000000000001E-2</v>
      </c>
      <c r="J38">
        <f t="shared" si="4"/>
        <v>6.6666666666666666E-2</v>
      </c>
      <c r="K38">
        <f t="shared" si="5"/>
        <v>2.5000000000000001E-2</v>
      </c>
      <c r="L38">
        <f t="shared" si="6"/>
        <v>6.6666666666666666E-2</v>
      </c>
      <c r="M38">
        <f t="shared" si="7"/>
        <v>2.5000000000000001E-2</v>
      </c>
      <c r="N38">
        <f t="shared" si="8"/>
        <v>6.6666666666666666E-2</v>
      </c>
      <c r="O38">
        <f t="shared" si="9"/>
        <v>2.5000000000000001E-2</v>
      </c>
      <c r="P38">
        <f t="shared" si="10"/>
        <v>6.6666666666666666E-2</v>
      </c>
      <c r="Q38">
        <f t="shared" si="11"/>
        <v>2.5000000000000001E-2</v>
      </c>
    </row>
    <row r="39" spans="1:17" x14ac:dyDescent="0.35">
      <c r="A39">
        <v>2017</v>
      </c>
      <c r="B39">
        <v>5.96450422534811E-2</v>
      </c>
      <c r="C39">
        <v>8.7041452914866351E-3</v>
      </c>
      <c r="D39">
        <v>6.1741544716657333E-2</v>
      </c>
      <c r="E39">
        <v>1.0943044212574677E-2</v>
      </c>
      <c r="F39">
        <f t="shared" si="0"/>
        <v>6.6666666666666666E-2</v>
      </c>
      <c r="G39">
        <f t="shared" si="1"/>
        <v>2.5000000000000001E-2</v>
      </c>
      <c r="H39">
        <f t="shared" si="2"/>
        <v>6.6666666666666666E-2</v>
      </c>
      <c r="I39">
        <f t="shared" si="3"/>
        <v>2.5000000000000001E-2</v>
      </c>
      <c r="J39">
        <f t="shared" si="4"/>
        <v>6.6666666666666666E-2</v>
      </c>
      <c r="K39">
        <f t="shared" si="5"/>
        <v>2.5000000000000001E-2</v>
      </c>
      <c r="L39">
        <f t="shared" si="6"/>
        <v>6.6666666666666666E-2</v>
      </c>
      <c r="M39">
        <f t="shared" si="7"/>
        <v>2.5000000000000001E-2</v>
      </c>
      <c r="N39">
        <f t="shared" si="8"/>
        <v>6.6666666666666666E-2</v>
      </c>
      <c r="O39">
        <f t="shared" si="9"/>
        <v>2.5000000000000001E-2</v>
      </c>
      <c r="P39">
        <f t="shared" si="10"/>
        <v>6.6666666666666666E-2</v>
      </c>
      <c r="Q39">
        <f t="shared" si="11"/>
        <v>2.5000000000000001E-2</v>
      </c>
    </row>
    <row r="40" spans="1:17" x14ac:dyDescent="0.35">
      <c r="A40">
        <v>2018</v>
      </c>
      <c r="B40">
        <v>6.0266329600528627E-2</v>
      </c>
      <c r="C40">
        <v>8.6436439516256493E-3</v>
      </c>
      <c r="D40">
        <v>6.1951255316381432E-2</v>
      </c>
      <c r="E40">
        <v>1.0946448803227999E-2</v>
      </c>
      <c r="F40">
        <f t="shared" si="0"/>
        <v>6.6666666666666666E-2</v>
      </c>
      <c r="G40">
        <f t="shared" si="1"/>
        <v>2.5000000000000001E-2</v>
      </c>
      <c r="H40">
        <f t="shared" si="2"/>
        <v>6.6666666666666666E-2</v>
      </c>
      <c r="I40">
        <f t="shared" si="3"/>
        <v>2.5000000000000001E-2</v>
      </c>
      <c r="J40">
        <f t="shared" si="4"/>
        <v>6.6666666666666666E-2</v>
      </c>
      <c r="K40">
        <f t="shared" si="5"/>
        <v>2.5000000000000001E-2</v>
      </c>
      <c r="L40">
        <f t="shared" si="6"/>
        <v>6.6666666666666666E-2</v>
      </c>
      <c r="M40">
        <f t="shared" si="7"/>
        <v>2.5000000000000001E-2</v>
      </c>
      <c r="N40">
        <f t="shared" si="8"/>
        <v>6.6666666666666666E-2</v>
      </c>
      <c r="O40">
        <f t="shared" si="9"/>
        <v>2.5000000000000001E-2</v>
      </c>
      <c r="P40">
        <f t="shared" si="10"/>
        <v>6.6666666666666666E-2</v>
      </c>
      <c r="Q40">
        <f t="shared" si="11"/>
        <v>2.5000000000000001E-2</v>
      </c>
    </row>
    <row r="41" spans="1:17" x14ac:dyDescent="0.35">
      <c r="A41">
        <v>2019</v>
      </c>
      <c r="B41">
        <v>6.4614944047165584E-2</v>
      </c>
      <c r="C41">
        <v>9.511744622185023E-3</v>
      </c>
      <c r="D41">
        <v>6.60601752064751E-2</v>
      </c>
      <c r="E41">
        <v>1.1207197643321542E-2</v>
      </c>
      <c r="F41">
        <f t="shared" si="0"/>
        <v>6.6666666666666666E-2</v>
      </c>
      <c r="G41">
        <f t="shared" si="1"/>
        <v>2.5000000000000001E-2</v>
      </c>
      <c r="H41">
        <f t="shared" si="2"/>
        <v>6.6666666666666666E-2</v>
      </c>
      <c r="I41">
        <f t="shared" si="3"/>
        <v>2.5000000000000001E-2</v>
      </c>
      <c r="J41">
        <f t="shared" si="4"/>
        <v>6.6666666666666666E-2</v>
      </c>
      <c r="K41">
        <f t="shared" si="5"/>
        <v>2.5000000000000001E-2</v>
      </c>
      <c r="L41">
        <f t="shared" si="6"/>
        <v>6.6666666666666666E-2</v>
      </c>
      <c r="M41">
        <f t="shared" si="7"/>
        <v>2.5000000000000001E-2</v>
      </c>
      <c r="N41">
        <f t="shared" si="8"/>
        <v>6.6666666666666666E-2</v>
      </c>
      <c r="O41">
        <f t="shared" si="9"/>
        <v>2.5000000000000001E-2</v>
      </c>
      <c r="P41">
        <f t="shared" si="10"/>
        <v>6.6666666666666666E-2</v>
      </c>
      <c r="Q41">
        <f t="shared" si="11"/>
        <v>2.5000000000000001E-2</v>
      </c>
    </row>
    <row r="42" spans="1:17" x14ac:dyDescent="0.35">
      <c r="A42">
        <v>2020</v>
      </c>
      <c r="B42">
        <v>6.525290470377472E-2</v>
      </c>
      <c r="C42">
        <v>9.3574579436268394E-3</v>
      </c>
      <c r="D42">
        <v>6.8666922545686015E-2</v>
      </c>
      <c r="E42">
        <v>1.1109962313656123E-2</v>
      </c>
      <c r="F42">
        <f t="shared" si="0"/>
        <v>6.6666666666666666E-2</v>
      </c>
      <c r="G42">
        <f t="shared" si="1"/>
        <v>2.5000000000000001E-2</v>
      </c>
      <c r="H42">
        <f t="shared" si="2"/>
        <v>6.6666666666666666E-2</v>
      </c>
      <c r="I42">
        <f t="shared" si="3"/>
        <v>2.5000000000000001E-2</v>
      </c>
      <c r="J42">
        <f t="shared" si="4"/>
        <v>6.6666666666666666E-2</v>
      </c>
      <c r="K42">
        <f t="shared" si="5"/>
        <v>2.5000000000000001E-2</v>
      </c>
      <c r="L42">
        <f t="shared" si="6"/>
        <v>6.6666666666666666E-2</v>
      </c>
      <c r="M42">
        <f t="shared" si="7"/>
        <v>2.5000000000000001E-2</v>
      </c>
      <c r="N42">
        <f t="shared" si="8"/>
        <v>6.6666666666666666E-2</v>
      </c>
      <c r="O42">
        <f t="shared" si="9"/>
        <v>2.5000000000000001E-2</v>
      </c>
      <c r="P42">
        <f t="shared" si="10"/>
        <v>6.6666666666666666E-2</v>
      </c>
      <c r="Q42">
        <f t="shared" si="11"/>
        <v>2.5000000000000001E-2</v>
      </c>
    </row>
    <row r="43" spans="1:17" x14ac:dyDescent="0.35">
      <c r="A43">
        <v>2021</v>
      </c>
      <c r="B43">
        <v>6.8756696450051211E-2</v>
      </c>
      <c r="C43">
        <v>9.5817034427558255E-3</v>
      </c>
      <c r="D43">
        <v>7.1784176642301953E-2</v>
      </c>
      <c r="E43">
        <v>1.121393189177089E-2</v>
      </c>
      <c r="F43">
        <f t="shared" si="0"/>
        <v>6.6666666666666666E-2</v>
      </c>
      <c r="G43">
        <f t="shared" si="1"/>
        <v>2.5000000000000001E-2</v>
      </c>
      <c r="H43">
        <f t="shared" si="2"/>
        <v>6.6666666666666666E-2</v>
      </c>
      <c r="I43">
        <f t="shared" si="3"/>
        <v>2.5000000000000001E-2</v>
      </c>
      <c r="J43">
        <f t="shared" si="4"/>
        <v>6.6666666666666666E-2</v>
      </c>
      <c r="K43">
        <f t="shared" si="5"/>
        <v>2.5000000000000001E-2</v>
      </c>
      <c r="L43">
        <f t="shared" si="6"/>
        <v>6.6666666666666666E-2</v>
      </c>
      <c r="M43">
        <f t="shared" si="7"/>
        <v>2.5000000000000001E-2</v>
      </c>
      <c r="N43">
        <f t="shared" si="8"/>
        <v>6.6666666666666666E-2</v>
      </c>
      <c r="O43">
        <f t="shared" si="9"/>
        <v>2.5000000000000001E-2</v>
      </c>
      <c r="P43">
        <f t="shared" si="10"/>
        <v>6.6666666666666666E-2</v>
      </c>
      <c r="Q43">
        <f t="shared" si="11"/>
        <v>2.5000000000000001E-2</v>
      </c>
    </row>
    <row r="44" spans="1:17" x14ac:dyDescent="0.35">
      <c r="A44">
        <v>2022</v>
      </c>
      <c r="B44">
        <v>7.0442481084154948E-2</v>
      </c>
      <c r="C44">
        <v>9.4624814447077325E-3</v>
      </c>
      <c r="D44">
        <v>7.1908845599264942E-2</v>
      </c>
      <c r="E44">
        <v>1.128785194435712E-2</v>
      </c>
      <c r="F44">
        <f t="shared" si="0"/>
        <v>6.6666666666666666E-2</v>
      </c>
      <c r="G44">
        <f t="shared" si="1"/>
        <v>2.5000000000000001E-2</v>
      </c>
      <c r="H44">
        <f t="shared" si="2"/>
        <v>6.6666666666666666E-2</v>
      </c>
      <c r="I44">
        <f t="shared" si="3"/>
        <v>2.5000000000000001E-2</v>
      </c>
      <c r="J44">
        <f t="shared" si="4"/>
        <v>6.6666666666666666E-2</v>
      </c>
      <c r="K44">
        <f t="shared" si="5"/>
        <v>2.5000000000000001E-2</v>
      </c>
      <c r="L44">
        <f t="shared" si="6"/>
        <v>6.6666666666666666E-2</v>
      </c>
      <c r="M44">
        <f t="shared" si="7"/>
        <v>2.5000000000000001E-2</v>
      </c>
      <c r="N44">
        <f t="shared" si="8"/>
        <v>6.6666666666666666E-2</v>
      </c>
      <c r="O44">
        <f t="shared" si="9"/>
        <v>2.5000000000000001E-2</v>
      </c>
      <c r="P44">
        <f t="shared" si="10"/>
        <v>6.6666666666666666E-2</v>
      </c>
      <c r="Q44">
        <f t="shared" si="11"/>
        <v>2.5000000000000001E-2</v>
      </c>
    </row>
    <row r="45" spans="1:17" x14ac:dyDescent="0.35">
      <c r="A45">
        <v>2023</v>
      </c>
      <c r="B45">
        <v>6.9727954258879996E-2</v>
      </c>
      <c r="C45">
        <v>9.7679742483212165E-3</v>
      </c>
      <c r="D45">
        <v>7.1946523393497566E-2</v>
      </c>
      <c r="E45">
        <v>1.158916792995696E-2</v>
      </c>
      <c r="F45">
        <f t="shared" si="0"/>
        <v>6.6666666666666666E-2</v>
      </c>
      <c r="G45">
        <f t="shared" si="1"/>
        <v>2.5000000000000001E-2</v>
      </c>
      <c r="H45">
        <f t="shared" si="2"/>
        <v>6.6666666666666666E-2</v>
      </c>
      <c r="I45">
        <f t="shared" si="3"/>
        <v>2.5000000000000001E-2</v>
      </c>
      <c r="J45">
        <f t="shared" si="4"/>
        <v>6.6666666666666666E-2</v>
      </c>
      <c r="K45">
        <f t="shared" si="5"/>
        <v>2.5000000000000001E-2</v>
      </c>
      <c r="L45">
        <f t="shared" si="6"/>
        <v>6.6666666666666666E-2</v>
      </c>
      <c r="M45">
        <f t="shared" si="7"/>
        <v>2.5000000000000001E-2</v>
      </c>
      <c r="N45">
        <f t="shared" si="8"/>
        <v>6.6666666666666666E-2</v>
      </c>
      <c r="O45">
        <f t="shared" si="9"/>
        <v>2.5000000000000001E-2</v>
      </c>
      <c r="P45">
        <f t="shared" si="10"/>
        <v>6.6666666666666666E-2</v>
      </c>
      <c r="Q45">
        <f t="shared" si="11"/>
        <v>2.5000000000000001E-2</v>
      </c>
    </row>
    <row r="46" spans="1:17" x14ac:dyDescent="0.35">
      <c r="A46">
        <v>2024</v>
      </c>
      <c r="B46">
        <v>6.9192214413047154E-2</v>
      </c>
      <c r="C46">
        <v>1.0018017793079047E-2</v>
      </c>
      <c r="D46">
        <v>7.1695856755939633E-2</v>
      </c>
      <c r="E46">
        <v>1.1956787503472337E-2</v>
      </c>
      <c r="F46">
        <f t="shared" si="0"/>
        <v>6.6666666666666666E-2</v>
      </c>
      <c r="G46">
        <f t="shared" si="1"/>
        <v>2.5000000000000001E-2</v>
      </c>
      <c r="H46">
        <f t="shared" si="2"/>
        <v>6.6666666666666666E-2</v>
      </c>
      <c r="I46">
        <f t="shared" si="3"/>
        <v>2.5000000000000001E-2</v>
      </c>
      <c r="J46">
        <f t="shared" si="4"/>
        <v>6.6666666666666666E-2</v>
      </c>
      <c r="K46">
        <f t="shared" si="5"/>
        <v>2.5000000000000001E-2</v>
      </c>
      <c r="L46">
        <f t="shared" si="6"/>
        <v>6.6666666666666666E-2</v>
      </c>
      <c r="M46">
        <f t="shared" si="7"/>
        <v>2.5000000000000001E-2</v>
      </c>
      <c r="N46">
        <f t="shared" si="8"/>
        <v>6.6666666666666666E-2</v>
      </c>
      <c r="O46">
        <f t="shared" si="9"/>
        <v>2.5000000000000001E-2</v>
      </c>
      <c r="P46">
        <f t="shared" si="10"/>
        <v>6.6666666666666666E-2</v>
      </c>
      <c r="Q46">
        <f t="shared" si="11"/>
        <v>2.5000000000000001E-2</v>
      </c>
    </row>
    <row r="47" spans="1:17" x14ac:dyDescent="0.35">
      <c r="A47">
        <v>2025</v>
      </c>
      <c r="B47">
        <v>6.7444196950485882E-2</v>
      </c>
      <c r="C47">
        <v>1.0625889909519097E-2</v>
      </c>
      <c r="D47">
        <v>7.0218191021509779E-2</v>
      </c>
      <c r="E47">
        <v>1.2932320164559382E-2</v>
      </c>
      <c r="F47">
        <f t="shared" si="0"/>
        <v>6.6666666666666666E-2</v>
      </c>
      <c r="G47">
        <f t="shared" si="1"/>
        <v>2.5000000000000001E-2</v>
      </c>
      <c r="H47">
        <f t="shared" si="2"/>
        <v>6.6666666666666666E-2</v>
      </c>
      <c r="I47">
        <f t="shared" si="3"/>
        <v>2.5000000000000001E-2</v>
      </c>
      <c r="J47">
        <f t="shared" si="4"/>
        <v>6.6666666666666666E-2</v>
      </c>
      <c r="K47">
        <f t="shared" si="5"/>
        <v>2.5000000000000001E-2</v>
      </c>
      <c r="L47">
        <f t="shared" si="6"/>
        <v>6.6666666666666666E-2</v>
      </c>
      <c r="M47">
        <f t="shared" si="7"/>
        <v>2.5000000000000001E-2</v>
      </c>
      <c r="N47">
        <f t="shared" si="8"/>
        <v>6.6666666666666666E-2</v>
      </c>
      <c r="O47">
        <f t="shared" si="9"/>
        <v>2.5000000000000001E-2</v>
      </c>
      <c r="P47">
        <f t="shared" si="10"/>
        <v>6.6666666666666666E-2</v>
      </c>
      <c r="Q47">
        <f t="shared" si="11"/>
        <v>2.5000000000000001E-2</v>
      </c>
    </row>
    <row r="48" spans="1:17" x14ac:dyDescent="0.35">
      <c r="A48">
        <v>2026</v>
      </c>
      <c r="B48">
        <v>6.7478371081729049E-2</v>
      </c>
      <c r="C48">
        <v>1.0519794882297366E-2</v>
      </c>
      <c r="D48">
        <v>7.0356809438593515E-2</v>
      </c>
      <c r="E48">
        <v>1.2812808225250443E-2</v>
      </c>
      <c r="F48">
        <f t="shared" si="0"/>
        <v>6.6666666666666666E-2</v>
      </c>
      <c r="G48">
        <f t="shared" si="1"/>
        <v>2.5000000000000001E-2</v>
      </c>
      <c r="H48">
        <f t="shared" si="2"/>
        <v>6.6666666666666666E-2</v>
      </c>
      <c r="I48">
        <f t="shared" si="3"/>
        <v>2.5000000000000001E-2</v>
      </c>
      <c r="J48">
        <f t="shared" si="4"/>
        <v>6.6666666666666666E-2</v>
      </c>
      <c r="K48">
        <f t="shared" si="5"/>
        <v>2.5000000000000001E-2</v>
      </c>
      <c r="L48">
        <f t="shared" si="6"/>
        <v>6.6666666666666666E-2</v>
      </c>
      <c r="M48">
        <f t="shared" si="7"/>
        <v>2.5000000000000001E-2</v>
      </c>
      <c r="N48">
        <f t="shared" si="8"/>
        <v>6.6666666666666666E-2</v>
      </c>
      <c r="O48">
        <f t="shared" si="9"/>
        <v>2.5000000000000001E-2</v>
      </c>
      <c r="P48">
        <f t="shared" si="10"/>
        <v>6.6666666666666666E-2</v>
      </c>
      <c r="Q48">
        <f t="shared" si="11"/>
        <v>2.5000000000000001E-2</v>
      </c>
    </row>
    <row r="49" spans="1:17" x14ac:dyDescent="0.35">
      <c r="A49">
        <v>2027</v>
      </c>
      <c r="B49">
        <v>6.7897559137607533E-2</v>
      </c>
      <c r="C49">
        <v>1.049076339380214E-2</v>
      </c>
      <c r="D49">
        <v>6.8377007451113789E-2</v>
      </c>
      <c r="E49">
        <v>1.3030192090625241E-2</v>
      </c>
      <c r="F49">
        <f t="shared" si="0"/>
        <v>6.6666666666666666E-2</v>
      </c>
      <c r="G49">
        <f t="shared" si="1"/>
        <v>2.5000000000000001E-2</v>
      </c>
      <c r="H49">
        <f t="shared" si="2"/>
        <v>6.6666666666666666E-2</v>
      </c>
      <c r="I49">
        <f t="shared" si="3"/>
        <v>2.5000000000000001E-2</v>
      </c>
      <c r="J49">
        <f t="shared" si="4"/>
        <v>6.6666666666666666E-2</v>
      </c>
      <c r="K49">
        <f t="shared" si="5"/>
        <v>2.5000000000000001E-2</v>
      </c>
      <c r="L49">
        <f t="shared" si="6"/>
        <v>6.6666666666666666E-2</v>
      </c>
      <c r="M49">
        <f t="shared" si="7"/>
        <v>2.5000000000000001E-2</v>
      </c>
      <c r="N49">
        <f t="shared" si="8"/>
        <v>6.6666666666666666E-2</v>
      </c>
      <c r="O49">
        <f t="shared" si="9"/>
        <v>2.5000000000000001E-2</v>
      </c>
      <c r="P49">
        <f t="shared" si="10"/>
        <v>6.6666666666666666E-2</v>
      </c>
      <c r="Q49">
        <f t="shared" si="11"/>
        <v>2.5000000000000001E-2</v>
      </c>
    </row>
    <row r="50" spans="1:17" x14ac:dyDescent="0.35">
      <c r="A50">
        <v>2028</v>
      </c>
      <c r="B50">
        <v>6.7002002361536875E-2</v>
      </c>
      <c r="C50">
        <v>1.0578178436919057E-2</v>
      </c>
      <c r="D50">
        <v>6.65132557787107E-2</v>
      </c>
      <c r="E50">
        <v>1.2841411146730323E-2</v>
      </c>
      <c r="F50">
        <f t="shared" si="0"/>
        <v>6.6666666666666666E-2</v>
      </c>
      <c r="G50">
        <f t="shared" si="1"/>
        <v>2.5000000000000001E-2</v>
      </c>
      <c r="H50">
        <f t="shared" si="2"/>
        <v>6.6666666666666666E-2</v>
      </c>
      <c r="I50">
        <f t="shared" si="3"/>
        <v>2.5000000000000001E-2</v>
      </c>
      <c r="J50">
        <f t="shared" si="4"/>
        <v>6.6666666666666666E-2</v>
      </c>
      <c r="K50">
        <f t="shared" si="5"/>
        <v>2.5000000000000001E-2</v>
      </c>
      <c r="L50">
        <f t="shared" si="6"/>
        <v>6.6666666666666666E-2</v>
      </c>
      <c r="M50">
        <f t="shared" si="7"/>
        <v>2.5000000000000001E-2</v>
      </c>
      <c r="N50">
        <f t="shared" si="8"/>
        <v>6.6666666666666666E-2</v>
      </c>
      <c r="O50">
        <f t="shared" si="9"/>
        <v>2.5000000000000001E-2</v>
      </c>
      <c r="P50">
        <f t="shared" si="10"/>
        <v>6.6666666666666666E-2</v>
      </c>
      <c r="Q50">
        <f t="shared" si="11"/>
        <v>2.5000000000000001E-2</v>
      </c>
    </row>
    <row r="51" spans="1:17" x14ac:dyDescent="0.35">
      <c r="A51">
        <v>2029</v>
      </c>
      <c r="B51">
        <v>6.5675525658747069E-2</v>
      </c>
      <c r="C51">
        <v>1.0481937023343796E-2</v>
      </c>
      <c r="D51">
        <v>6.6683128494280583E-2</v>
      </c>
      <c r="E51">
        <v>1.2914400814003293E-2</v>
      </c>
      <c r="F51">
        <f t="shared" si="0"/>
        <v>6.6666666666666666E-2</v>
      </c>
      <c r="G51">
        <f t="shared" si="1"/>
        <v>2.5000000000000001E-2</v>
      </c>
      <c r="H51">
        <f t="shared" si="2"/>
        <v>6.6666666666666666E-2</v>
      </c>
      <c r="I51">
        <f t="shared" si="3"/>
        <v>2.5000000000000001E-2</v>
      </c>
      <c r="J51">
        <f t="shared" si="4"/>
        <v>6.6666666666666666E-2</v>
      </c>
      <c r="K51">
        <f t="shared" si="5"/>
        <v>2.5000000000000001E-2</v>
      </c>
      <c r="L51">
        <f t="shared" si="6"/>
        <v>6.6666666666666666E-2</v>
      </c>
      <c r="M51">
        <f t="shared" si="7"/>
        <v>2.5000000000000001E-2</v>
      </c>
      <c r="N51">
        <f t="shared" si="8"/>
        <v>6.6666666666666666E-2</v>
      </c>
      <c r="O51">
        <f t="shared" si="9"/>
        <v>2.5000000000000001E-2</v>
      </c>
      <c r="P51">
        <f t="shared" si="10"/>
        <v>6.6666666666666666E-2</v>
      </c>
      <c r="Q51">
        <f t="shared" si="11"/>
        <v>2.5000000000000001E-2</v>
      </c>
    </row>
    <row r="52" spans="1:17" x14ac:dyDescent="0.35">
      <c r="A52">
        <v>2030</v>
      </c>
      <c r="B52">
        <v>6.5019798673174978E-2</v>
      </c>
      <c r="C52">
        <v>1.0410010964772787E-2</v>
      </c>
      <c r="D52">
        <v>6.5686553293067163E-2</v>
      </c>
      <c r="E52">
        <v>1.2917145101747832E-2</v>
      </c>
      <c r="F52">
        <f t="shared" si="0"/>
        <v>6.6666666666666666E-2</v>
      </c>
      <c r="G52">
        <f t="shared" si="1"/>
        <v>2.5000000000000001E-2</v>
      </c>
      <c r="H52">
        <f t="shared" si="2"/>
        <v>6.6666666666666666E-2</v>
      </c>
      <c r="I52">
        <f t="shared" si="3"/>
        <v>2.5000000000000001E-2</v>
      </c>
      <c r="J52">
        <f t="shared" si="4"/>
        <v>6.6666666666666666E-2</v>
      </c>
      <c r="K52">
        <f t="shared" si="5"/>
        <v>2.5000000000000001E-2</v>
      </c>
      <c r="L52">
        <f t="shared" si="6"/>
        <v>6.6666666666666666E-2</v>
      </c>
      <c r="M52">
        <f t="shared" si="7"/>
        <v>2.5000000000000001E-2</v>
      </c>
      <c r="N52">
        <f t="shared" si="8"/>
        <v>6.6666666666666666E-2</v>
      </c>
      <c r="O52">
        <f t="shared" si="9"/>
        <v>2.5000000000000001E-2</v>
      </c>
      <c r="P52">
        <f t="shared" si="10"/>
        <v>6.6666666666666666E-2</v>
      </c>
      <c r="Q52">
        <f t="shared" si="11"/>
        <v>2.5000000000000001E-2</v>
      </c>
    </row>
    <row r="53" spans="1:17" x14ac:dyDescent="0.35">
      <c r="A53">
        <v>2031</v>
      </c>
      <c r="B53">
        <v>6.3075982251144941E-2</v>
      </c>
      <c r="C53">
        <v>1.0578694950519597E-2</v>
      </c>
      <c r="D53">
        <v>6.4336324673558098E-2</v>
      </c>
      <c r="E53">
        <v>1.3275121270684562E-2</v>
      </c>
      <c r="F53">
        <f t="shared" si="0"/>
        <v>6.6666666666666666E-2</v>
      </c>
      <c r="G53">
        <f t="shared" si="1"/>
        <v>2.5000000000000001E-2</v>
      </c>
      <c r="H53">
        <f t="shared" si="2"/>
        <v>6.6666666666666666E-2</v>
      </c>
      <c r="I53">
        <f t="shared" si="3"/>
        <v>2.5000000000000001E-2</v>
      </c>
      <c r="J53">
        <f t="shared" si="4"/>
        <v>6.6666666666666666E-2</v>
      </c>
      <c r="K53">
        <f t="shared" si="5"/>
        <v>2.5000000000000001E-2</v>
      </c>
      <c r="L53">
        <f t="shared" si="6"/>
        <v>6.6666666666666666E-2</v>
      </c>
      <c r="M53">
        <f t="shared" si="7"/>
        <v>2.5000000000000001E-2</v>
      </c>
      <c r="N53">
        <f t="shared" si="8"/>
        <v>6.6666666666666666E-2</v>
      </c>
      <c r="O53">
        <f t="shared" si="9"/>
        <v>2.5000000000000001E-2</v>
      </c>
      <c r="P53">
        <f t="shared" si="10"/>
        <v>6.6666666666666666E-2</v>
      </c>
      <c r="Q53">
        <f t="shared" si="11"/>
        <v>2.5000000000000001E-2</v>
      </c>
    </row>
    <row r="54" spans="1:17" x14ac:dyDescent="0.35">
      <c r="A54">
        <v>2032</v>
      </c>
      <c r="B54">
        <v>6.3373005860250173E-2</v>
      </c>
      <c r="C54">
        <v>1.062503027452473E-2</v>
      </c>
      <c r="D54">
        <v>6.4802302457109731E-2</v>
      </c>
      <c r="E54">
        <v>1.3350005398849099E-2</v>
      </c>
      <c r="F54">
        <f t="shared" si="0"/>
        <v>6.6666666666666666E-2</v>
      </c>
      <c r="G54">
        <f t="shared" si="1"/>
        <v>2.5000000000000001E-2</v>
      </c>
      <c r="H54">
        <f t="shared" si="2"/>
        <v>6.6666666666666666E-2</v>
      </c>
      <c r="I54">
        <f t="shared" si="3"/>
        <v>2.5000000000000001E-2</v>
      </c>
      <c r="J54">
        <f t="shared" si="4"/>
        <v>6.6666666666666666E-2</v>
      </c>
      <c r="K54">
        <f t="shared" si="5"/>
        <v>2.5000000000000001E-2</v>
      </c>
      <c r="L54">
        <f t="shared" si="6"/>
        <v>6.6666666666666666E-2</v>
      </c>
      <c r="M54">
        <f t="shared" si="7"/>
        <v>2.5000000000000001E-2</v>
      </c>
      <c r="N54">
        <f t="shared" si="8"/>
        <v>6.6666666666666666E-2</v>
      </c>
      <c r="O54">
        <f t="shared" si="9"/>
        <v>2.5000000000000001E-2</v>
      </c>
      <c r="P54">
        <f t="shared" si="10"/>
        <v>6.6666666666666666E-2</v>
      </c>
      <c r="Q54">
        <f t="shared" si="11"/>
        <v>2.5000000000000001E-2</v>
      </c>
    </row>
    <row r="55" spans="1:17" x14ac:dyDescent="0.35">
      <c r="A55">
        <v>2033</v>
      </c>
      <c r="B55">
        <v>6.3634991390871559E-2</v>
      </c>
      <c r="C55">
        <v>1.0679921391194825E-2</v>
      </c>
      <c r="D55">
        <v>6.5239136854334787E-2</v>
      </c>
      <c r="E55">
        <v>1.3438462002987464E-2</v>
      </c>
      <c r="F55">
        <f t="shared" si="0"/>
        <v>6.6666666666666666E-2</v>
      </c>
      <c r="G55">
        <f t="shared" si="1"/>
        <v>2.5000000000000001E-2</v>
      </c>
      <c r="H55">
        <f t="shared" si="2"/>
        <v>6.6666666666666666E-2</v>
      </c>
      <c r="I55">
        <f t="shared" si="3"/>
        <v>2.5000000000000001E-2</v>
      </c>
      <c r="J55">
        <f t="shared" si="4"/>
        <v>6.6666666666666666E-2</v>
      </c>
      <c r="K55">
        <f t="shared" si="5"/>
        <v>2.5000000000000001E-2</v>
      </c>
      <c r="L55">
        <f t="shared" si="6"/>
        <v>6.6666666666666666E-2</v>
      </c>
      <c r="M55">
        <f t="shared" si="7"/>
        <v>2.5000000000000001E-2</v>
      </c>
      <c r="N55">
        <f t="shared" si="8"/>
        <v>6.6666666666666666E-2</v>
      </c>
      <c r="O55">
        <f t="shared" si="9"/>
        <v>2.5000000000000001E-2</v>
      </c>
      <c r="P55">
        <f t="shared" si="10"/>
        <v>6.6666666666666666E-2</v>
      </c>
      <c r="Q55">
        <f t="shared" si="11"/>
        <v>2.5000000000000001E-2</v>
      </c>
    </row>
    <row r="56" spans="1:17" x14ac:dyDescent="0.35">
      <c r="A56">
        <v>2034</v>
      </c>
      <c r="B56">
        <v>6.3844096815422927E-2</v>
      </c>
      <c r="C56">
        <v>1.074029456805954E-2</v>
      </c>
      <c r="D56">
        <v>6.5621196122402595E-2</v>
      </c>
      <c r="E56">
        <v>1.3532441473676524E-2</v>
      </c>
      <c r="F56">
        <f t="shared" si="0"/>
        <v>6.6666666666666666E-2</v>
      </c>
      <c r="G56">
        <f t="shared" si="1"/>
        <v>2.5000000000000001E-2</v>
      </c>
      <c r="H56">
        <f t="shared" si="2"/>
        <v>6.6666666666666666E-2</v>
      </c>
      <c r="I56">
        <f t="shared" si="3"/>
        <v>2.5000000000000001E-2</v>
      </c>
      <c r="J56">
        <f t="shared" si="4"/>
        <v>6.6666666666666666E-2</v>
      </c>
      <c r="K56">
        <f t="shared" si="5"/>
        <v>2.5000000000000001E-2</v>
      </c>
      <c r="L56">
        <f t="shared" si="6"/>
        <v>6.6666666666666666E-2</v>
      </c>
      <c r="M56">
        <f t="shared" si="7"/>
        <v>2.5000000000000001E-2</v>
      </c>
      <c r="N56">
        <f t="shared" si="8"/>
        <v>6.6666666666666666E-2</v>
      </c>
      <c r="O56">
        <f t="shared" si="9"/>
        <v>2.5000000000000001E-2</v>
      </c>
      <c r="P56">
        <f t="shared" si="10"/>
        <v>6.6666666666666666E-2</v>
      </c>
      <c r="Q56">
        <f t="shared" si="11"/>
        <v>2.5000000000000001E-2</v>
      </c>
    </row>
    <row r="57" spans="1:17" x14ac:dyDescent="0.35">
      <c r="A57">
        <v>2035</v>
      </c>
      <c r="B57">
        <v>6.4017799258508715E-2</v>
      </c>
      <c r="C57">
        <v>1.0804874662006964E-2</v>
      </c>
      <c r="D57">
        <v>6.5981221732235487E-2</v>
      </c>
      <c r="E57">
        <v>1.364384859648334E-2</v>
      </c>
      <c r="F57">
        <f t="shared" si="0"/>
        <v>6.6666666666666666E-2</v>
      </c>
      <c r="G57">
        <f t="shared" si="1"/>
        <v>2.5000000000000001E-2</v>
      </c>
      <c r="H57">
        <f t="shared" si="2"/>
        <v>6.6666666666666666E-2</v>
      </c>
      <c r="I57">
        <f t="shared" si="3"/>
        <v>2.5000000000000001E-2</v>
      </c>
      <c r="J57">
        <f t="shared" si="4"/>
        <v>6.6666666666666666E-2</v>
      </c>
      <c r="K57">
        <f t="shared" si="5"/>
        <v>2.5000000000000001E-2</v>
      </c>
      <c r="L57">
        <f t="shared" si="6"/>
        <v>6.6666666666666666E-2</v>
      </c>
      <c r="M57">
        <f t="shared" si="7"/>
        <v>2.5000000000000001E-2</v>
      </c>
      <c r="N57">
        <f t="shared" si="8"/>
        <v>6.6666666666666666E-2</v>
      </c>
      <c r="O57">
        <f t="shared" si="9"/>
        <v>2.5000000000000001E-2</v>
      </c>
      <c r="P57">
        <f t="shared" si="10"/>
        <v>6.6666666666666666E-2</v>
      </c>
      <c r="Q57">
        <f t="shared" si="11"/>
        <v>2.5000000000000001E-2</v>
      </c>
    </row>
    <row r="58" spans="1:17" x14ac:dyDescent="0.35">
      <c r="A58">
        <v>2036</v>
      </c>
      <c r="B58">
        <v>6.4109647323981722E-2</v>
      </c>
      <c r="C58">
        <v>1.0856506533243208E-2</v>
      </c>
      <c r="D58">
        <v>6.6265399356169652E-2</v>
      </c>
      <c r="E58">
        <v>1.3738523720039838E-2</v>
      </c>
      <c r="F58">
        <f t="shared" si="0"/>
        <v>6.6666666666666666E-2</v>
      </c>
      <c r="G58">
        <f t="shared" si="1"/>
        <v>2.5000000000000001E-2</v>
      </c>
      <c r="H58">
        <f t="shared" si="2"/>
        <v>6.6666666666666666E-2</v>
      </c>
      <c r="I58">
        <f t="shared" si="3"/>
        <v>2.5000000000000001E-2</v>
      </c>
      <c r="J58">
        <f t="shared" si="4"/>
        <v>6.6666666666666666E-2</v>
      </c>
      <c r="K58">
        <f t="shared" si="5"/>
        <v>2.5000000000000001E-2</v>
      </c>
      <c r="L58">
        <f t="shared" si="6"/>
        <v>6.6666666666666666E-2</v>
      </c>
      <c r="M58">
        <f t="shared" si="7"/>
        <v>2.5000000000000001E-2</v>
      </c>
      <c r="N58">
        <f t="shared" si="8"/>
        <v>6.6666666666666666E-2</v>
      </c>
      <c r="O58">
        <f t="shared" si="9"/>
        <v>2.5000000000000001E-2</v>
      </c>
      <c r="P58">
        <f t="shared" si="10"/>
        <v>6.6666666666666666E-2</v>
      </c>
      <c r="Q58">
        <f t="shared" si="11"/>
        <v>2.5000000000000001E-2</v>
      </c>
    </row>
    <row r="59" spans="1:17" x14ac:dyDescent="0.35">
      <c r="A59">
        <v>2037</v>
      </c>
      <c r="B59">
        <v>6.423321652559727E-2</v>
      </c>
      <c r="C59">
        <v>1.0931206644331212E-2</v>
      </c>
      <c r="D59">
        <v>6.6580064750875481E-2</v>
      </c>
      <c r="E59">
        <v>1.385856975062941E-2</v>
      </c>
      <c r="F59">
        <f t="shared" si="0"/>
        <v>6.6666666666666666E-2</v>
      </c>
      <c r="G59">
        <f t="shared" si="1"/>
        <v>2.5000000000000001E-2</v>
      </c>
      <c r="H59">
        <f t="shared" si="2"/>
        <v>6.6666666666666666E-2</v>
      </c>
      <c r="I59">
        <f t="shared" si="3"/>
        <v>2.5000000000000001E-2</v>
      </c>
      <c r="J59">
        <f t="shared" si="4"/>
        <v>6.6666666666666666E-2</v>
      </c>
      <c r="K59">
        <f t="shared" si="5"/>
        <v>2.5000000000000001E-2</v>
      </c>
      <c r="L59">
        <f t="shared" si="6"/>
        <v>6.6666666666666666E-2</v>
      </c>
      <c r="M59">
        <f t="shared" si="7"/>
        <v>2.5000000000000001E-2</v>
      </c>
      <c r="N59">
        <f t="shared" si="8"/>
        <v>6.6666666666666666E-2</v>
      </c>
      <c r="O59">
        <f t="shared" si="9"/>
        <v>2.5000000000000001E-2</v>
      </c>
      <c r="P59">
        <f t="shared" si="10"/>
        <v>6.6666666666666666E-2</v>
      </c>
      <c r="Q59">
        <f t="shared" si="11"/>
        <v>2.5000000000000001E-2</v>
      </c>
    </row>
    <row r="60" spans="1:17" x14ac:dyDescent="0.35">
      <c r="A60">
        <v>2038</v>
      </c>
      <c r="B60">
        <v>6.4387748875554915E-2</v>
      </c>
      <c r="C60">
        <v>1.1017609570118304E-2</v>
      </c>
      <c r="D60">
        <v>6.6935345283192282E-2</v>
      </c>
      <c r="E60">
        <v>1.4001138474829726E-2</v>
      </c>
      <c r="F60">
        <f t="shared" si="0"/>
        <v>6.6666666666666666E-2</v>
      </c>
      <c r="G60">
        <f t="shared" si="1"/>
        <v>2.5000000000000001E-2</v>
      </c>
      <c r="H60">
        <f t="shared" si="2"/>
        <v>6.6666666666666666E-2</v>
      </c>
      <c r="I60">
        <f t="shared" si="3"/>
        <v>2.5000000000000001E-2</v>
      </c>
      <c r="J60">
        <f t="shared" si="4"/>
        <v>6.6666666666666666E-2</v>
      </c>
      <c r="K60">
        <f t="shared" si="5"/>
        <v>2.5000000000000001E-2</v>
      </c>
      <c r="L60">
        <f t="shared" si="6"/>
        <v>6.6666666666666666E-2</v>
      </c>
      <c r="M60">
        <f t="shared" si="7"/>
        <v>2.5000000000000001E-2</v>
      </c>
      <c r="N60">
        <f t="shared" si="8"/>
        <v>6.6666666666666666E-2</v>
      </c>
      <c r="O60">
        <f t="shared" si="9"/>
        <v>2.5000000000000001E-2</v>
      </c>
      <c r="P60">
        <f t="shared" si="10"/>
        <v>6.6666666666666666E-2</v>
      </c>
      <c r="Q60">
        <f t="shared" si="11"/>
        <v>2.5000000000000001E-2</v>
      </c>
    </row>
    <row r="61" spans="1:17" x14ac:dyDescent="0.35">
      <c r="A61">
        <v>2039</v>
      </c>
      <c r="B61">
        <v>6.4533163517655423E-2</v>
      </c>
      <c r="C61">
        <v>1.1109827299002758E-2</v>
      </c>
      <c r="D61">
        <v>6.7295715460254674E-2</v>
      </c>
      <c r="E61">
        <v>1.4157154260623025E-2</v>
      </c>
      <c r="F61">
        <f t="shared" si="0"/>
        <v>6.6666666666666666E-2</v>
      </c>
      <c r="G61">
        <f t="shared" si="1"/>
        <v>2.5000000000000001E-2</v>
      </c>
      <c r="H61">
        <f t="shared" si="2"/>
        <v>6.6666666666666666E-2</v>
      </c>
      <c r="I61">
        <f t="shared" si="3"/>
        <v>2.5000000000000001E-2</v>
      </c>
      <c r="J61">
        <f t="shared" si="4"/>
        <v>6.6666666666666666E-2</v>
      </c>
      <c r="K61">
        <f t="shared" si="5"/>
        <v>2.5000000000000001E-2</v>
      </c>
      <c r="L61">
        <f t="shared" si="6"/>
        <v>6.6666666666666666E-2</v>
      </c>
      <c r="M61">
        <f t="shared" si="7"/>
        <v>2.5000000000000001E-2</v>
      </c>
      <c r="N61">
        <f t="shared" si="8"/>
        <v>6.6666666666666666E-2</v>
      </c>
      <c r="O61">
        <f t="shared" si="9"/>
        <v>2.5000000000000001E-2</v>
      </c>
      <c r="P61">
        <f t="shared" si="10"/>
        <v>6.6666666666666666E-2</v>
      </c>
      <c r="Q61">
        <f t="shared" si="11"/>
        <v>2.5000000000000001E-2</v>
      </c>
    </row>
    <row r="62" spans="1:17" x14ac:dyDescent="0.35">
      <c r="A62">
        <v>2040</v>
      </c>
      <c r="B62">
        <v>6.4689002567958079E-2</v>
      </c>
      <c r="C62">
        <v>1.1207766499917544E-2</v>
      </c>
      <c r="D62">
        <v>6.7674540990121282E-2</v>
      </c>
      <c r="E62">
        <v>1.4326009060282448E-2</v>
      </c>
      <c r="F62">
        <f t="shared" si="0"/>
        <v>6.6666666666666666E-2</v>
      </c>
      <c r="G62">
        <f t="shared" si="1"/>
        <v>2.5000000000000001E-2</v>
      </c>
      <c r="H62">
        <f t="shared" si="2"/>
        <v>6.6666666666666666E-2</v>
      </c>
      <c r="I62">
        <f t="shared" si="3"/>
        <v>2.5000000000000001E-2</v>
      </c>
      <c r="J62">
        <f t="shared" si="4"/>
        <v>6.6666666666666666E-2</v>
      </c>
      <c r="K62">
        <f t="shared" si="5"/>
        <v>2.5000000000000001E-2</v>
      </c>
      <c r="L62">
        <f t="shared" si="6"/>
        <v>6.6666666666666666E-2</v>
      </c>
      <c r="M62">
        <f t="shared" si="7"/>
        <v>2.5000000000000001E-2</v>
      </c>
      <c r="N62">
        <f t="shared" si="8"/>
        <v>6.6666666666666666E-2</v>
      </c>
      <c r="O62">
        <f t="shared" si="9"/>
        <v>2.5000000000000001E-2</v>
      </c>
      <c r="P62">
        <f t="shared" si="10"/>
        <v>6.6666666666666666E-2</v>
      </c>
      <c r="Q62">
        <f t="shared" si="11"/>
        <v>2.5000000000000001E-2</v>
      </c>
    </row>
    <row r="63" spans="1:17" x14ac:dyDescent="0.35">
      <c r="A63">
        <v>2041</v>
      </c>
      <c r="B63">
        <v>6.4847905833012601E-2</v>
      </c>
      <c r="C63">
        <v>1.1307519662326097E-2</v>
      </c>
      <c r="D63">
        <v>6.806049983616555E-2</v>
      </c>
      <c r="E63">
        <v>1.449764432955287E-2</v>
      </c>
      <c r="F63">
        <f t="shared" si="0"/>
        <v>6.6666666666666666E-2</v>
      </c>
      <c r="G63">
        <f t="shared" si="1"/>
        <v>2.5000000000000001E-2</v>
      </c>
      <c r="H63">
        <f t="shared" si="2"/>
        <v>6.6666666666666666E-2</v>
      </c>
      <c r="I63">
        <f t="shared" si="3"/>
        <v>2.5000000000000001E-2</v>
      </c>
      <c r="J63">
        <f t="shared" si="4"/>
        <v>6.6666666666666666E-2</v>
      </c>
      <c r="K63">
        <f t="shared" si="5"/>
        <v>2.5000000000000001E-2</v>
      </c>
      <c r="L63">
        <f t="shared" si="6"/>
        <v>6.6666666666666666E-2</v>
      </c>
      <c r="M63">
        <f t="shared" si="7"/>
        <v>2.5000000000000001E-2</v>
      </c>
      <c r="N63">
        <f t="shared" si="8"/>
        <v>6.6666666666666666E-2</v>
      </c>
      <c r="O63">
        <f t="shared" si="9"/>
        <v>2.5000000000000001E-2</v>
      </c>
      <c r="P63">
        <f t="shared" si="10"/>
        <v>6.6666666666666666E-2</v>
      </c>
      <c r="Q63">
        <f t="shared" si="11"/>
        <v>2.5000000000000001E-2</v>
      </c>
    </row>
    <row r="64" spans="1:17" x14ac:dyDescent="0.35">
      <c r="A64">
        <v>2042</v>
      </c>
      <c r="B64">
        <v>6.501901525234545E-2</v>
      </c>
      <c r="C64">
        <v>1.1409028159006249E-2</v>
      </c>
      <c r="D64">
        <v>6.8442540883010466E-2</v>
      </c>
      <c r="E64">
        <v>1.4668024847612772E-2</v>
      </c>
      <c r="F64">
        <f t="shared" si="0"/>
        <v>6.6666666666666666E-2</v>
      </c>
      <c r="G64">
        <f t="shared" si="1"/>
        <v>2.5000000000000001E-2</v>
      </c>
      <c r="H64">
        <f t="shared" si="2"/>
        <v>6.6666666666666666E-2</v>
      </c>
      <c r="I64">
        <f t="shared" si="3"/>
        <v>2.5000000000000001E-2</v>
      </c>
      <c r="J64">
        <f t="shared" si="4"/>
        <v>6.6666666666666666E-2</v>
      </c>
      <c r="K64">
        <f t="shared" si="5"/>
        <v>2.5000000000000001E-2</v>
      </c>
      <c r="L64">
        <f t="shared" si="6"/>
        <v>6.6666666666666666E-2</v>
      </c>
      <c r="M64">
        <f t="shared" si="7"/>
        <v>2.5000000000000001E-2</v>
      </c>
      <c r="N64">
        <f t="shared" si="8"/>
        <v>6.6666666666666666E-2</v>
      </c>
      <c r="O64">
        <f t="shared" si="9"/>
        <v>2.5000000000000001E-2</v>
      </c>
      <c r="P64">
        <f t="shared" si="10"/>
        <v>6.6666666666666666E-2</v>
      </c>
      <c r="Q64">
        <f t="shared" si="11"/>
        <v>2.5000000000000001E-2</v>
      </c>
    </row>
    <row r="65" spans="1:17" x14ac:dyDescent="0.35">
      <c r="A65">
        <v>2043</v>
      </c>
      <c r="B65">
        <v>6.5186202825808587E-2</v>
      </c>
      <c r="C65">
        <v>1.1507685519187686E-2</v>
      </c>
      <c r="D65">
        <v>6.8809493044710485E-2</v>
      </c>
      <c r="E65">
        <v>1.482771380604447E-2</v>
      </c>
      <c r="F65">
        <f t="shared" si="0"/>
        <v>6.6666666666666666E-2</v>
      </c>
      <c r="G65">
        <f t="shared" si="1"/>
        <v>2.5000000000000001E-2</v>
      </c>
      <c r="H65">
        <f t="shared" si="2"/>
        <v>6.6666666666666666E-2</v>
      </c>
      <c r="I65">
        <f t="shared" si="3"/>
        <v>2.5000000000000001E-2</v>
      </c>
      <c r="J65">
        <f t="shared" si="4"/>
        <v>6.6666666666666666E-2</v>
      </c>
      <c r="K65">
        <f t="shared" si="5"/>
        <v>2.5000000000000001E-2</v>
      </c>
      <c r="L65">
        <f t="shared" si="6"/>
        <v>6.6666666666666666E-2</v>
      </c>
      <c r="M65">
        <f t="shared" si="7"/>
        <v>2.5000000000000001E-2</v>
      </c>
      <c r="N65">
        <f t="shared" si="8"/>
        <v>6.6666666666666666E-2</v>
      </c>
      <c r="O65">
        <f t="shared" si="9"/>
        <v>2.5000000000000001E-2</v>
      </c>
      <c r="P65">
        <f t="shared" si="10"/>
        <v>6.6666666666666666E-2</v>
      </c>
      <c r="Q65">
        <f t="shared" si="11"/>
        <v>2.5000000000000001E-2</v>
      </c>
    </row>
    <row r="66" spans="1:17" x14ac:dyDescent="0.35">
      <c r="A66">
        <v>2044</v>
      </c>
      <c r="B66">
        <v>6.5347063501019112E-2</v>
      </c>
      <c r="C66">
        <v>1.1596118775094862E-2</v>
      </c>
      <c r="D66">
        <v>6.9137611232666082E-2</v>
      </c>
      <c r="E66">
        <v>1.4970700863647036E-2</v>
      </c>
      <c r="F66">
        <f t="shared" si="0"/>
        <v>6.6666666666666666E-2</v>
      </c>
      <c r="G66">
        <f t="shared" si="1"/>
        <v>2.5000000000000001E-2</v>
      </c>
      <c r="H66">
        <f t="shared" si="2"/>
        <v>6.6666666666666666E-2</v>
      </c>
      <c r="I66">
        <f t="shared" si="3"/>
        <v>2.5000000000000001E-2</v>
      </c>
      <c r="J66">
        <f t="shared" si="4"/>
        <v>6.6666666666666666E-2</v>
      </c>
      <c r="K66">
        <f t="shared" si="5"/>
        <v>2.5000000000000001E-2</v>
      </c>
      <c r="L66">
        <f t="shared" si="6"/>
        <v>6.6666666666666666E-2</v>
      </c>
      <c r="M66">
        <f t="shared" si="7"/>
        <v>2.5000000000000001E-2</v>
      </c>
      <c r="N66">
        <f t="shared" si="8"/>
        <v>6.6666666666666666E-2</v>
      </c>
      <c r="O66">
        <f t="shared" si="9"/>
        <v>2.5000000000000001E-2</v>
      </c>
      <c r="P66">
        <f t="shared" si="10"/>
        <v>6.6666666666666666E-2</v>
      </c>
      <c r="Q66">
        <f t="shared" si="11"/>
        <v>2.5000000000000001E-2</v>
      </c>
    </row>
    <row r="67" spans="1:17" x14ac:dyDescent="0.35">
      <c r="A67">
        <v>2045</v>
      </c>
      <c r="B67">
        <v>6.5479606740722784E-2</v>
      </c>
      <c r="C67">
        <v>1.1676224957355251E-2</v>
      </c>
      <c r="D67">
        <v>6.9439853324349488E-2</v>
      </c>
      <c r="E67">
        <v>1.5102607145646471E-2</v>
      </c>
      <c r="F67">
        <f t="shared" ref="F67:F92" si="12">1/15</f>
        <v>6.6666666666666666E-2</v>
      </c>
      <c r="G67">
        <f t="shared" ref="G67:G92" si="13">1/40</f>
        <v>2.5000000000000001E-2</v>
      </c>
      <c r="H67">
        <f t="shared" ref="H67:H92" si="14">1/15</f>
        <v>6.6666666666666666E-2</v>
      </c>
      <c r="I67">
        <f t="shared" ref="I67:I92" si="15">1/40</f>
        <v>2.5000000000000001E-2</v>
      </c>
      <c r="J67">
        <f t="shared" ref="J67:J92" si="16">1/15</f>
        <v>6.6666666666666666E-2</v>
      </c>
      <c r="K67">
        <f t="shared" ref="K67:K92" si="17">1/40</f>
        <v>2.5000000000000001E-2</v>
      </c>
      <c r="L67">
        <f t="shared" ref="L67:L92" si="18">1/15</f>
        <v>6.6666666666666666E-2</v>
      </c>
      <c r="M67">
        <f t="shared" ref="M67:M92" si="19">1/40</f>
        <v>2.5000000000000001E-2</v>
      </c>
      <c r="N67">
        <f t="shared" ref="N67:N92" si="20">1/15</f>
        <v>6.6666666666666666E-2</v>
      </c>
      <c r="O67">
        <f t="shared" ref="O67:O92" si="21">1/40</f>
        <v>2.5000000000000001E-2</v>
      </c>
      <c r="P67">
        <f t="shared" ref="P67:P92" si="22">1/15</f>
        <v>6.6666666666666666E-2</v>
      </c>
      <c r="Q67">
        <f t="shared" ref="Q67:Q92" si="23">1/40</f>
        <v>2.5000000000000001E-2</v>
      </c>
    </row>
    <row r="68" spans="1:17" x14ac:dyDescent="0.35">
      <c r="A68">
        <v>2046</v>
      </c>
      <c r="B68">
        <v>6.5569518423913078E-2</v>
      </c>
      <c r="C68">
        <v>1.1738472088998817E-2</v>
      </c>
      <c r="D68">
        <v>6.9687276090540554E-2</v>
      </c>
      <c r="E68">
        <v>1.5210060671270696E-2</v>
      </c>
      <c r="F68">
        <f t="shared" si="12"/>
        <v>6.6666666666666666E-2</v>
      </c>
      <c r="G68">
        <f t="shared" si="13"/>
        <v>2.5000000000000001E-2</v>
      </c>
      <c r="H68">
        <f t="shared" si="14"/>
        <v>6.6666666666666666E-2</v>
      </c>
      <c r="I68">
        <f t="shared" si="15"/>
        <v>2.5000000000000001E-2</v>
      </c>
      <c r="J68">
        <f t="shared" si="16"/>
        <v>6.6666666666666666E-2</v>
      </c>
      <c r="K68">
        <f t="shared" si="17"/>
        <v>2.5000000000000001E-2</v>
      </c>
      <c r="L68">
        <f t="shared" si="18"/>
        <v>6.6666666666666666E-2</v>
      </c>
      <c r="M68">
        <f t="shared" si="19"/>
        <v>2.5000000000000001E-2</v>
      </c>
      <c r="N68">
        <f t="shared" si="20"/>
        <v>6.6666666666666666E-2</v>
      </c>
      <c r="O68">
        <f t="shared" si="21"/>
        <v>2.5000000000000001E-2</v>
      </c>
      <c r="P68">
        <f t="shared" si="22"/>
        <v>6.6666666666666666E-2</v>
      </c>
      <c r="Q68">
        <f t="shared" si="23"/>
        <v>2.5000000000000001E-2</v>
      </c>
    </row>
    <row r="69" spans="1:17" x14ac:dyDescent="0.35">
      <c r="A69">
        <v>2047</v>
      </c>
      <c r="B69">
        <v>6.5650918732455335E-2</v>
      </c>
      <c r="C69">
        <v>1.1788145022072621E-2</v>
      </c>
      <c r="D69">
        <v>6.9910501602400713E-2</v>
      </c>
      <c r="E69">
        <v>1.5301592826568653E-2</v>
      </c>
      <c r="F69">
        <f t="shared" si="12"/>
        <v>6.6666666666666666E-2</v>
      </c>
      <c r="G69">
        <f t="shared" si="13"/>
        <v>2.5000000000000001E-2</v>
      </c>
      <c r="H69">
        <f t="shared" si="14"/>
        <v>6.6666666666666666E-2</v>
      </c>
      <c r="I69">
        <f t="shared" si="15"/>
        <v>2.5000000000000001E-2</v>
      </c>
      <c r="J69">
        <f t="shared" si="16"/>
        <v>6.6666666666666666E-2</v>
      </c>
      <c r="K69">
        <f t="shared" si="17"/>
        <v>2.5000000000000001E-2</v>
      </c>
      <c r="L69">
        <f t="shared" si="18"/>
        <v>6.6666666666666666E-2</v>
      </c>
      <c r="M69">
        <f t="shared" si="19"/>
        <v>2.5000000000000001E-2</v>
      </c>
      <c r="N69">
        <f t="shared" si="20"/>
        <v>6.6666666666666666E-2</v>
      </c>
      <c r="O69">
        <f t="shared" si="21"/>
        <v>2.5000000000000001E-2</v>
      </c>
      <c r="P69">
        <f t="shared" si="22"/>
        <v>6.6666666666666666E-2</v>
      </c>
      <c r="Q69">
        <f t="shared" si="23"/>
        <v>2.5000000000000001E-2</v>
      </c>
    </row>
    <row r="70" spans="1:17" x14ac:dyDescent="0.35">
      <c r="A70">
        <v>2048</v>
      </c>
      <c r="B70">
        <v>6.5704571460633215E-2</v>
      </c>
      <c r="C70">
        <v>1.182482943102502E-2</v>
      </c>
      <c r="D70">
        <v>7.0092261694917626E-2</v>
      </c>
      <c r="E70">
        <v>1.5375051912279246E-2</v>
      </c>
      <c r="F70">
        <f t="shared" si="12"/>
        <v>6.6666666666666666E-2</v>
      </c>
      <c r="G70">
        <f t="shared" si="13"/>
        <v>2.5000000000000001E-2</v>
      </c>
      <c r="H70">
        <f t="shared" si="14"/>
        <v>6.6666666666666666E-2</v>
      </c>
      <c r="I70">
        <f t="shared" si="15"/>
        <v>2.5000000000000001E-2</v>
      </c>
      <c r="J70">
        <f t="shared" si="16"/>
        <v>6.6666666666666666E-2</v>
      </c>
      <c r="K70">
        <f t="shared" si="17"/>
        <v>2.5000000000000001E-2</v>
      </c>
      <c r="L70">
        <f t="shared" si="18"/>
        <v>6.6666666666666666E-2</v>
      </c>
      <c r="M70">
        <f t="shared" si="19"/>
        <v>2.5000000000000001E-2</v>
      </c>
      <c r="N70">
        <f t="shared" si="20"/>
        <v>6.6666666666666666E-2</v>
      </c>
      <c r="O70">
        <f t="shared" si="21"/>
        <v>2.5000000000000001E-2</v>
      </c>
      <c r="P70">
        <f t="shared" si="22"/>
        <v>6.6666666666666666E-2</v>
      </c>
      <c r="Q70">
        <f t="shared" si="23"/>
        <v>2.5000000000000001E-2</v>
      </c>
    </row>
    <row r="71" spans="1:17" x14ac:dyDescent="0.35">
      <c r="A71">
        <v>2049</v>
      </c>
      <c r="B71">
        <v>6.5742949032055631E-2</v>
      </c>
      <c r="C71">
        <v>1.1858574654247807E-2</v>
      </c>
      <c r="D71">
        <v>7.0257427148230175E-2</v>
      </c>
      <c r="E71">
        <v>1.5441262035010313E-2</v>
      </c>
      <c r="F71">
        <f t="shared" si="12"/>
        <v>6.6666666666666666E-2</v>
      </c>
      <c r="G71">
        <f t="shared" si="13"/>
        <v>2.5000000000000001E-2</v>
      </c>
      <c r="H71">
        <f t="shared" si="14"/>
        <v>6.6666666666666666E-2</v>
      </c>
      <c r="I71">
        <f t="shared" si="15"/>
        <v>2.5000000000000001E-2</v>
      </c>
      <c r="J71">
        <f t="shared" si="16"/>
        <v>6.6666666666666666E-2</v>
      </c>
      <c r="K71">
        <f t="shared" si="17"/>
        <v>2.5000000000000001E-2</v>
      </c>
      <c r="L71">
        <f t="shared" si="18"/>
        <v>6.6666666666666666E-2</v>
      </c>
      <c r="M71">
        <f t="shared" si="19"/>
        <v>2.5000000000000001E-2</v>
      </c>
      <c r="N71">
        <f t="shared" si="20"/>
        <v>6.6666666666666666E-2</v>
      </c>
      <c r="O71">
        <f t="shared" si="21"/>
        <v>2.5000000000000001E-2</v>
      </c>
      <c r="P71">
        <f t="shared" si="22"/>
        <v>6.6666666666666666E-2</v>
      </c>
      <c r="Q71">
        <f t="shared" si="23"/>
        <v>2.5000000000000001E-2</v>
      </c>
    </row>
    <row r="72" spans="1:17" x14ac:dyDescent="0.35">
      <c r="A72">
        <v>2050</v>
      </c>
      <c r="B72">
        <v>6.5763393528618069E-2</v>
      </c>
      <c r="C72">
        <v>1.1886657049181258E-2</v>
      </c>
      <c r="D72">
        <v>7.0386835611791154E-2</v>
      </c>
      <c r="E72">
        <v>1.5495750746856036E-2</v>
      </c>
      <c r="F72">
        <f t="shared" si="12"/>
        <v>6.6666666666666666E-2</v>
      </c>
      <c r="G72">
        <f t="shared" si="13"/>
        <v>2.5000000000000001E-2</v>
      </c>
      <c r="H72">
        <f t="shared" si="14"/>
        <v>6.6666666666666666E-2</v>
      </c>
      <c r="I72">
        <f t="shared" si="15"/>
        <v>2.5000000000000001E-2</v>
      </c>
      <c r="J72">
        <f t="shared" si="16"/>
        <v>6.6666666666666666E-2</v>
      </c>
      <c r="K72">
        <f t="shared" si="17"/>
        <v>2.5000000000000001E-2</v>
      </c>
      <c r="L72">
        <f t="shared" si="18"/>
        <v>6.6666666666666666E-2</v>
      </c>
      <c r="M72">
        <f t="shared" si="19"/>
        <v>2.5000000000000001E-2</v>
      </c>
      <c r="N72">
        <f t="shared" si="20"/>
        <v>6.6666666666666666E-2</v>
      </c>
      <c r="O72">
        <f t="shared" si="21"/>
        <v>2.5000000000000001E-2</v>
      </c>
      <c r="P72">
        <f t="shared" si="22"/>
        <v>6.6666666666666666E-2</v>
      </c>
      <c r="Q72">
        <f t="shared" si="23"/>
        <v>2.5000000000000001E-2</v>
      </c>
    </row>
    <row r="73" spans="1:17" x14ac:dyDescent="0.35">
      <c r="A73">
        <v>2051</v>
      </c>
      <c r="B73">
        <v>6.5763957436515419E-2</v>
      </c>
      <c r="C73">
        <v>1.1908663354678833E-2</v>
      </c>
      <c r="D73">
        <v>7.0494146261935245E-2</v>
      </c>
      <c r="E73">
        <v>1.5543577191402263E-2</v>
      </c>
      <c r="F73">
        <f t="shared" si="12"/>
        <v>6.6666666666666666E-2</v>
      </c>
      <c r="G73">
        <f t="shared" si="13"/>
        <v>2.5000000000000001E-2</v>
      </c>
      <c r="H73">
        <f t="shared" si="14"/>
        <v>6.6666666666666666E-2</v>
      </c>
      <c r="I73">
        <f t="shared" si="15"/>
        <v>2.5000000000000001E-2</v>
      </c>
      <c r="J73">
        <f t="shared" si="16"/>
        <v>6.6666666666666666E-2</v>
      </c>
      <c r="K73">
        <f t="shared" si="17"/>
        <v>2.5000000000000001E-2</v>
      </c>
      <c r="L73">
        <f t="shared" si="18"/>
        <v>6.6666666666666666E-2</v>
      </c>
      <c r="M73">
        <f t="shared" si="19"/>
        <v>2.5000000000000001E-2</v>
      </c>
      <c r="N73">
        <f t="shared" si="20"/>
        <v>6.6666666666666666E-2</v>
      </c>
      <c r="O73">
        <f t="shared" si="21"/>
        <v>2.5000000000000001E-2</v>
      </c>
      <c r="P73">
        <f t="shared" si="22"/>
        <v>6.6666666666666666E-2</v>
      </c>
      <c r="Q73">
        <f t="shared" si="23"/>
        <v>2.5000000000000001E-2</v>
      </c>
    </row>
    <row r="74" spans="1:17" x14ac:dyDescent="0.35">
      <c r="A74">
        <v>2052</v>
      </c>
      <c r="B74">
        <v>6.5756064221238641E-2</v>
      </c>
      <c r="C74">
        <v>1.1928260512012161E-2</v>
      </c>
      <c r="D74">
        <v>7.0587035602185183E-2</v>
      </c>
      <c r="E74">
        <v>1.5583902713031814E-2</v>
      </c>
      <c r="F74">
        <f t="shared" si="12"/>
        <v>6.6666666666666666E-2</v>
      </c>
      <c r="G74">
        <f t="shared" si="13"/>
        <v>2.5000000000000001E-2</v>
      </c>
      <c r="H74">
        <f t="shared" si="14"/>
        <v>6.6666666666666666E-2</v>
      </c>
      <c r="I74">
        <f t="shared" si="15"/>
        <v>2.5000000000000001E-2</v>
      </c>
      <c r="J74">
        <f t="shared" si="16"/>
        <v>6.6666666666666666E-2</v>
      </c>
      <c r="K74">
        <f t="shared" si="17"/>
        <v>2.5000000000000001E-2</v>
      </c>
      <c r="L74">
        <f t="shared" si="18"/>
        <v>6.6666666666666666E-2</v>
      </c>
      <c r="M74">
        <f t="shared" si="19"/>
        <v>2.5000000000000001E-2</v>
      </c>
      <c r="N74">
        <f t="shared" si="20"/>
        <v>6.6666666666666666E-2</v>
      </c>
      <c r="O74">
        <f t="shared" si="21"/>
        <v>2.5000000000000001E-2</v>
      </c>
      <c r="P74">
        <f t="shared" si="22"/>
        <v>6.6666666666666666E-2</v>
      </c>
      <c r="Q74">
        <f t="shared" si="23"/>
        <v>2.5000000000000001E-2</v>
      </c>
    </row>
    <row r="75" spans="1:17" x14ac:dyDescent="0.35">
      <c r="A75">
        <v>2053</v>
      </c>
      <c r="B75">
        <v>6.5749740634815021E-2</v>
      </c>
      <c r="C75">
        <v>1.1943696940756365E-2</v>
      </c>
      <c r="D75">
        <v>7.0655831418780485E-2</v>
      </c>
      <c r="E75">
        <v>1.5613756549810771E-2</v>
      </c>
      <c r="F75">
        <f t="shared" si="12"/>
        <v>6.6666666666666666E-2</v>
      </c>
      <c r="G75">
        <f t="shared" si="13"/>
        <v>2.5000000000000001E-2</v>
      </c>
      <c r="H75">
        <f t="shared" si="14"/>
        <v>6.6666666666666666E-2</v>
      </c>
      <c r="I75">
        <f t="shared" si="15"/>
        <v>2.5000000000000001E-2</v>
      </c>
      <c r="J75">
        <f t="shared" si="16"/>
        <v>6.6666666666666666E-2</v>
      </c>
      <c r="K75">
        <f t="shared" si="17"/>
        <v>2.5000000000000001E-2</v>
      </c>
      <c r="L75">
        <f t="shared" si="18"/>
        <v>6.6666666666666666E-2</v>
      </c>
      <c r="M75">
        <f t="shared" si="19"/>
        <v>2.5000000000000001E-2</v>
      </c>
      <c r="N75">
        <f t="shared" si="20"/>
        <v>6.6666666666666666E-2</v>
      </c>
      <c r="O75">
        <f t="shared" si="21"/>
        <v>2.5000000000000001E-2</v>
      </c>
      <c r="P75">
        <f t="shared" si="22"/>
        <v>6.6666666666666666E-2</v>
      </c>
      <c r="Q75">
        <f t="shared" si="23"/>
        <v>2.5000000000000001E-2</v>
      </c>
    </row>
    <row r="76" spans="1:17" x14ac:dyDescent="0.35">
      <c r="A76">
        <v>2054</v>
      </c>
      <c r="B76">
        <v>6.571328100849616E-2</v>
      </c>
      <c r="C76">
        <v>1.1951119433119658E-2</v>
      </c>
      <c r="D76">
        <v>7.0686560888533423E-2</v>
      </c>
      <c r="E76">
        <v>1.5634945963588741E-2</v>
      </c>
      <c r="F76">
        <f t="shared" si="12"/>
        <v>6.6666666666666666E-2</v>
      </c>
      <c r="G76">
        <f t="shared" si="13"/>
        <v>2.5000000000000001E-2</v>
      </c>
      <c r="H76">
        <f t="shared" si="14"/>
        <v>6.6666666666666666E-2</v>
      </c>
      <c r="I76">
        <f t="shared" si="15"/>
        <v>2.5000000000000001E-2</v>
      </c>
      <c r="J76">
        <f t="shared" si="16"/>
        <v>6.6666666666666666E-2</v>
      </c>
      <c r="K76">
        <f t="shared" si="17"/>
        <v>2.5000000000000001E-2</v>
      </c>
      <c r="L76">
        <f t="shared" si="18"/>
        <v>6.6666666666666666E-2</v>
      </c>
      <c r="M76">
        <f t="shared" si="19"/>
        <v>2.5000000000000001E-2</v>
      </c>
      <c r="N76">
        <f t="shared" si="20"/>
        <v>6.6666666666666666E-2</v>
      </c>
      <c r="O76">
        <f t="shared" si="21"/>
        <v>2.5000000000000001E-2</v>
      </c>
      <c r="P76">
        <f t="shared" si="22"/>
        <v>6.6666666666666666E-2</v>
      </c>
      <c r="Q76">
        <f t="shared" si="23"/>
        <v>2.5000000000000001E-2</v>
      </c>
    </row>
    <row r="77" spans="1:17" x14ac:dyDescent="0.35">
      <c r="A77">
        <v>2055</v>
      </c>
      <c r="B77">
        <v>6.563869271694614E-2</v>
      </c>
      <c r="C77">
        <v>1.1949924730788855E-2</v>
      </c>
      <c r="D77">
        <v>7.0680519093306859E-2</v>
      </c>
      <c r="E77">
        <v>1.564115355704588E-2</v>
      </c>
      <c r="F77">
        <f t="shared" si="12"/>
        <v>6.6666666666666666E-2</v>
      </c>
      <c r="G77">
        <f t="shared" si="13"/>
        <v>2.5000000000000001E-2</v>
      </c>
      <c r="H77">
        <f t="shared" si="14"/>
        <v>6.6666666666666666E-2</v>
      </c>
      <c r="I77">
        <f t="shared" si="15"/>
        <v>2.5000000000000001E-2</v>
      </c>
      <c r="J77">
        <f t="shared" si="16"/>
        <v>6.6666666666666666E-2</v>
      </c>
      <c r="K77">
        <f t="shared" si="17"/>
        <v>2.5000000000000001E-2</v>
      </c>
      <c r="L77">
        <f t="shared" si="18"/>
        <v>6.6666666666666666E-2</v>
      </c>
      <c r="M77">
        <f t="shared" si="19"/>
        <v>2.5000000000000001E-2</v>
      </c>
      <c r="N77">
        <f t="shared" si="20"/>
        <v>6.6666666666666666E-2</v>
      </c>
      <c r="O77">
        <f t="shared" si="21"/>
        <v>2.5000000000000001E-2</v>
      </c>
      <c r="P77">
        <f t="shared" si="22"/>
        <v>6.6666666666666666E-2</v>
      </c>
      <c r="Q77">
        <f t="shared" si="23"/>
        <v>2.5000000000000001E-2</v>
      </c>
    </row>
    <row r="78" spans="1:17" x14ac:dyDescent="0.35">
      <c r="A78">
        <v>2056</v>
      </c>
      <c r="B78">
        <v>6.5553967630574347E-2</v>
      </c>
      <c r="C78">
        <v>1.1946586227287441E-2</v>
      </c>
      <c r="D78">
        <v>7.0646815978532243E-2</v>
      </c>
      <c r="E78">
        <v>1.5640983143927256E-2</v>
      </c>
      <c r="F78">
        <f t="shared" si="12"/>
        <v>6.6666666666666666E-2</v>
      </c>
      <c r="G78">
        <f t="shared" si="13"/>
        <v>2.5000000000000001E-2</v>
      </c>
      <c r="H78">
        <f t="shared" si="14"/>
        <v>6.6666666666666666E-2</v>
      </c>
      <c r="I78">
        <f t="shared" si="15"/>
        <v>2.5000000000000001E-2</v>
      </c>
      <c r="J78">
        <f t="shared" si="16"/>
        <v>6.6666666666666666E-2</v>
      </c>
      <c r="K78">
        <f t="shared" si="17"/>
        <v>2.5000000000000001E-2</v>
      </c>
      <c r="L78">
        <f t="shared" si="18"/>
        <v>6.6666666666666666E-2</v>
      </c>
      <c r="M78">
        <f t="shared" si="19"/>
        <v>2.5000000000000001E-2</v>
      </c>
      <c r="N78">
        <f t="shared" si="20"/>
        <v>6.6666666666666666E-2</v>
      </c>
      <c r="O78">
        <f t="shared" si="21"/>
        <v>2.5000000000000001E-2</v>
      </c>
      <c r="P78">
        <f t="shared" si="22"/>
        <v>6.6666666666666666E-2</v>
      </c>
      <c r="Q78">
        <f t="shared" si="23"/>
        <v>2.5000000000000001E-2</v>
      </c>
    </row>
    <row r="79" spans="1:17" x14ac:dyDescent="0.35">
      <c r="A79">
        <v>2057</v>
      </c>
      <c r="B79">
        <v>6.5483332034017613E-2</v>
      </c>
      <c r="C79">
        <v>1.1947866987452671E-2</v>
      </c>
      <c r="D79">
        <v>7.0610758131682244E-2</v>
      </c>
      <c r="E79">
        <v>1.5642046662094573E-2</v>
      </c>
      <c r="F79">
        <f t="shared" si="12"/>
        <v>6.6666666666666666E-2</v>
      </c>
      <c r="G79">
        <f t="shared" si="13"/>
        <v>2.5000000000000001E-2</v>
      </c>
      <c r="H79">
        <f t="shared" si="14"/>
        <v>6.6666666666666666E-2</v>
      </c>
      <c r="I79">
        <f t="shared" si="15"/>
        <v>2.5000000000000001E-2</v>
      </c>
      <c r="J79">
        <f t="shared" si="16"/>
        <v>6.6666666666666666E-2</v>
      </c>
      <c r="K79">
        <f t="shared" si="17"/>
        <v>2.5000000000000001E-2</v>
      </c>
      <c r="L79">
        <f t="shared" si="18"/>
        <v>6.6666666666666666E-2</v>
      </c>
      <c r="M79">
        <f t="shared" si="19"/>
        <v>2.5000000000000001E-2</v>
      </c>
      <c r="N79">
        <f t="shared" si="20"/>
        <v>6.6666666666666666E-2</v>
      </c>
      <c r="O79">
        <f t="shared" si="21"/>
        <v>2.5000000000000001E-2</v>
      </c>
      <c r="P79">
        <f t="shared" si="22"/>
        <v>6.6666666666666666E-2</v>
      </c>
      <c r="Q79">
        <f t="shared" si="23"/>
        <v>2.5000000000000001E-2</v>
      </c>
    </row>
    <row r="80" spans="1:17" x14ac:dyDescent="0.35">
      <c r="A80">
        <v>2058</v>
      </c>
      <c r="B80">
        <v>6.5401306197933551E-2</v>
      </c>
      <c r="C80">
        <v>1.1948216993416125E-2</v>
      </c>
      <c r="D80">
        <v>7.0564787264952411E-2</v>
      </c>
      <c r="E80">
        <v>1.5640549323877827E-2</v>
      </c>
      <c r="F80">
        <f t="shared" si="12"/>
        <v>6.6666666666666666E-2</v>
      </c>
      <c r="G80">
        <f t="shared" si="13"/>
        <v>2.5000000000000001E-2</v>
      </c>
      <c r="H80">
        <f t="shared" si="14"/>
        <v>6.6666666666666666E-2</v>
      </c>
      <c r="I80">
        <f t="shared" si="15"/>
        <v>2.5000000000000001E-2</v>
      </c>
      <c r="J80">
        <f t="shared" si="16"/>
        <v>6.6666666666666666E-2</v>
      </c>
      <c r="K80">
        <f t="shared" si="17"/>
        <v>2.5000000000000001E-2</v>
      </c>
      <c r="L80">
        <f t="shared" si="18"/>
        <v>6.6666666666666666E-2</v>
      </c>
      <c r="M80">
        <f t="shared" si="19"/>
        <v>2.5000000000000001E-2</v>
      </c>
      <c r="N80">
        <f t="shared" si="20"/>
        <v>6.6666666666666666E-2</v>
      </c>
      <c r="O80">
        <f t="shared" si="21"/>
        <v>2.5000000000000001E-2</v>
      </c>
      <c r="P80">
        <f t="shared" si="22"/>
        <v>6.6666666666666666E-2</v>
      </c>
      <c r="Q80">
        <f t="shared" si="23"/>
        <v>2.5000000000000001E-2</v>
      </c>
    </row>
    <row r="81" spans="1:17" x14ac:dyDescent="0.35">
      <c r="A81">
        <v>2059</v>
      </c>
      <c r="B81">
        <v>6.5313744138057891E-2</v>
      </c>
      <c r="C81">
        <v>1.1947140174103841E-2</v>
      </c>
      <c r="D81">
        <v>7.0530396622839164E-2</v>
      </c>
      <c r="E81">
        <v>1.5641400938766977E-2</v>
      </c>
      <c r="F81">
        <f t="shared" si="12"/>
        <v>6.6666666666666666E-2</v>
      </c>
      <c r="G81">
        <f t="shared" si="13"/>
        <v>2.5000000000000001E-2</v>
      </c>
      <c r="H81">
        <f t="shared" si="14"/>
        <v>6.6666666666666666E-2</v>
      </c>
      <c r="I81">
        <f t="shared" si="15"/>
        <v>2.5000000000000001E-2</v>
      </c>
      <c r="J81">
        <f t="shared" si="16"/>
        <v>6.6666666666666666E-2</v>
      </c>
      <c r="K81">
        <f t="shared" si="17"/>
        <v>2.5000000000000001E-2</v>
      </c>
      <c r="L81">
        <f t="shared" si="18"/>
        <v>6.6666666666666666E-2</v>
      </c>
      <c r="M81">
        <f t="shared" si="19"/>
        <v>2.5000000000000001E-2</v>
      </c>
      <c r="N81">
        <f t="shared" si="20"/>
        <v>6.6666666666666666E-2</v>
      </c>
      <c r="O81">
        <f t="shared" si="21"/>
        <v>2.5000000000000001E-2</v>
      </c>
      <c r="P81">
        <f t="shared" si="22"/>
        <v>6.6666666666666666E-2</v>
      </c>
      <c r="Q81">
        <f t="shared" si="23"/>
        <v>2.5000000000000001E-2</v>
      </c>
    </row>
    <row r="82" spans="1:17" x14ac:dyDescent="0.35">
      <c r="A82">
        <v>2060</v>
      </c>
      <c r="B82">
        <v>6.5229188532045554E-2</v>
      </c>
      <c r="C82">
        <v>1.1942628806344202E-2</v>
      </c>
      <c r="D82">
        <v>7.0485801805874188E-2</v>
      </c>
      <c r="E82">
        <v>1.5641139735368417E-2</v>
      </c>
      <c r="F82">
        <f t="shared" si="12"/>
        <v>6.6666666666666666E-2</v>
      </c>
      <c r="G82">
        <f t="shared" si="13"/>
        <v>2.5000000000000001E-2</v>
      </c>
      <c r="H82">
        <f t="shared" si="14"/>
        <v>6.6666666666666666E-2</v>
      </c>
      <c r="I82">
        <f t="shared" si="15"/>
        <v>2.5000000000000001E-2</v>
      </c>
      <c r="J82">
        <f t="shared" si="16"/>
        <v>6.6666666666666666E-2</v>
      </c>
      <c r="K82">
        <f t="shared" si="17"/>
        <v>2.5000000000000001E-2</v>
      </c>
      <c r="L82">
        <f t="shared" si="18"/>
        <v>6.6666666666666666E-2</v>
      </c>
      <c r="M82">
        <f t="shared" si="19"/>
        <v>2.5000000000000001E-2</v>
      </c>
      <c r="N82">
        <f t="shared" si="20"/>
        <v>6.6666666666666666E-2</v>
      </c>
      <c r="O82">
        <f t="shared" si="21"/>
        <v>2.5000000000000001E-2</v>
      </c>
      <c r="P82">
        <f t="shared" si="22"/>
        <v>6.6666666666666666E-2</v>
      </c>
      <c r="Q82">
        <f t="shared" si="23"/>
        <v>2.5000000000000001E-2</v>
      </c>
    </row>
    <row r="83" spans="1:17" x14ac:dyDescent="0.35">
      <c r="A83">
        <v>2061</v>
      </c>
      <c r="B83">
        <v>6.5179309881399861E-2</v>
      </c>
      <c r="C83">
        <v>1.1949023213025737E-2</v>
      </c>
      <c r="D83">
        <v>7.0479161356647196E-2</v>
      </c>
      <c r="E83">
        <v>1.5653306210079893E-2</v>
      </c>
      <c r="F83">
        <f t="shared" si="12"/>
        <v>6.6666666666666666E-2</v>
      </c>
      <c r="G83">
        <f t="shared" si="13"/>
        <v>2.5000000000000001E-2</v>
      </c>
      <c r="H83">
        <f t="shared" si="14"/>
        <v>6.6666666666666666E-2</v>
      </c>
      <c r="I83">
        <f t="shared" si="15"/>
        <v>2.5000000000000001E-2</v>
      </c>
      <c r="J83">
        <f t="shared" si="16"/>
        <v>6.6666666666666666E-2</v>
      </c>
      <c r="K83">
        <f t="shared" si="17"/>
        <v>2.5000000000000001E-2</v>
      </c>
      <c r="L83">
        <f t="shared" si="18"/>
        <v>6.6666666666666666E-2</v>
      </c>
      <c r="M83">
        <f t="shared" si="19"/>
        <v>2.5000000000000001E-2</v>
      </c>
      <c r="N83">
        <f t="shared" si="20"/>
        <v>6.6666666666666666E-2</v>
      </c>
      <c r="O83">
        <f t="shared" si="21"/>
        <v>2.5000000000000001E-2</v>
      </c>
      <c r="P83">
        <f t="shared" si="22"/>
        <v>6.6666666666666666E-2</v>
      </c>
      <c r="Q83">
        <f t="shared" si="23"/>
        <v>2.5000000000000001E-2</v>
      </c>
    </row>
    <row r="84" spans="1:17" x14ac:dyDescent="0.35">
      <c r="A84">
        <v>2062</v>
      </c>
      <c r="B84">
        <v>6.5145257538541126E-2</v>
      </c>
      <c r="C84">
        <v>1.1963474242581743E-2</v>
      </c>
      <c r="D84">
        <v>7.0497822329093462E-2</v>
      </c>
      <c r="E84">
        <v>1.5677314788899898E-2</v>
      </c>
      <c r="F84">
        <f t="shared" si="12"/>
        <v>6.6666666666666666E-2</v>
      </c>
      <c r="G84">
        <f t="shared" si="13"/>
        <v>2.5000000000000001E-2</v>
      </c>
      <c r="H84">
        <f t="shared" si="14"/>
        <v>6.6666666666666666E-2</v>
      </c>
      <c r="I84">
        <f t="shared" si="15"/>
        <v>2.5000000000000001E-2</v>
      </c>
      <c r="J84">
        <f t="shared" si="16"/>
        <v>6.6666666666666666E-2</v>
      </c>
      <c r="K84">
        <f t="shared" si="17"/>
        <v>2.5000000000000001E-2</v>
      </c>
      <c r="L84">
        <f t="shared" si="18"/>
        <v>6.6666666666666666E-2</v>
      </c>
      <c r="M84">
        <f t="shared" si="19"/>
        <v>2.5000000000000001E-2</v>
      </c>
      <c r="N84">
        <f t="shared" si="20"/>
        <v>6.6666666666666666E-2</v>
      </c>
      <c r="O84">
        <f t="shared" si="21"/>
        <v>2.5000000000000001E-2</v>
      </c>
      <c r="P84">
        <f t="shared" si="22"/>
        <v>6.6666666666666666E-2</v>
      </c>
      <c r="Q84">
        <f t="shared" si="23"/>
        <v>2.5000000000000001E-2</v>
      </c>
    </row>
    <row r="85" spans="1:17" x14ac:dyDescent="0.35">
      <c r="A85">
        <v>2063</v>
      </c>
      <c r="B85">
        <v>6.5129903560472505E-2</v>
      </c>
      <c r="C85">
        <v>1.1983472142098352E-2</v>
      </c>
      <c r="D85">
        <v>7.0539870397078E-2</v>
      </c>
      <c r="E85">
        <v>1.5710526998547202E-2</v>
      </c>
      <c r="F85">
        <f t="shared" si="12"/>
        <v>6.6666666666666666E-2</v>
      </c>
      <c r="G85">
        <f t="shared" si="13"/>
        <v>2.5000000000000001E-2</v>
      </c>
      <c r="H85">
        <f t="shared" si="14"/>
        <v>6.6666666666666666E-2</v>
      </c>
      <c r="I85">
        <f t="shared" si="15"/>
        <v>2.5000000000000001E-2</v>
      </c>
      <c r="J85">
        <f t="shared" si="16"/>
        <v>6.6666666666666666E-2</v>
      </c>
      <c r="K85">
        <f t="shared" si="17"/>
        <v>2.5000000000000001E-2</v>
      </c>
      <c r="L85">
        <f t="shared" si="18"/>
        <v>6.6666666666666666E-2</v>
      </c>
      <c r="M85">
        <f t="shared" si="19"/>
        <v>2.5000000000000001E-2</v>
      </c>
      <c r="N85">
        <f t="shared" si="20"/>
        <v>6.6666666666666666E-2</v>
      </c>
      <c r="O85">
        <f t="shared" si="21"/>
        <v>2.5000000000000001E-2</v>
      </c>
      <c r="P85">
        <f t="shared" si="22"/>
        <v>6.6666666666666666E-2</v>
      </c>
      <c r="Q85">
        <f t="shared" si="23"/>
        <v>2.5000000000000001E-2</v>
      </c>
    </row>
    <row r="86" spans="1:17" x14ac:dyDescent="0.35">
      <c r="A86">
        <v>2064</v>
      </c>
      <c r="B86">
        <v>6.5116336687983181E-2</v>
      </c>
      <c r="C86">
        <v>1.2000239500168219E-2</v>
      </c>
      <c r="D86">
        <v>7.0596649553720761E-2</v>
      </c>
      <c r="E86">
        <v>1.5748332173971164E-2</v>
      </c>
      <c r="F86">
        <f t="shared" si="12"/>
        <v>6.6666666666666666E-2</v>
      </c>
      <c r="G86">
        <f t="shared" si="13"/>
        <v>2.5000000000000001E-2</v>
      </c>
      <c r="H86">
        <f t="shared" si="14"/>
        <v>6.6666666666666666E-2</v>
      </c>
      <c r="I86">
        <f t="shared" si="15"/>
        <v>2.5000000000000001E-2</v>
      </c>
      <c r="J86">
        <f t="shared" si="16"/>
        <v>6.6666666666666666E-2</v>
      </c>
      <c r="K86">
        <f t="shared" si="17"/>
        <v>2.5000000000000001E-2</v>
      </c>
      <c r="L86">
        <f t="shared" si="18"/>
        <v>6.6666666666666666E-2</v>
      </c>
      <c r="M86">
        <f t="shared" si="19"/>
        <v>2.5000000000000001E-2</v>
      </c>
      <c r="N86">
        <f t="shared" si="20"/>
        <v>6.6666666666666666E-2</v>
      </c>
      <c r="O86">
        <f t="shared" si="21"/>
        <v>2.5000000000000001E-2</v>
      </c>
      <c r="P86">
        <f t="shared" si="22"/>
        <v>6.6666666666666666E-2</v>
      </c>
      <c r="Q86">
        <f t="shared" si="23"/>
        <v>2.5000000000000001E-2</v>
      </c>
    </row>
    <row r="87" spans="1:17" x14ac:dyDescent="0.35">
      <c r="A87">
        <v>2065</v>
      </c>
      <c r="B87">
        <v>6.5082276839560124E-2</v>
      </c>
      <c r="C87">
        <v>1.2009902242522127E-2</v>
      </c>
      <c r="D87">
        <v>7.0643798533841451E-2</v>
      </c>
      <c r="E87">
        <v>1.5779705261721143E-2</v>
      </c>
      <c r="F87">
        <f t="shared" si="12"/>
        <v>6.6666666666666666E-2</v>
      </c>
      <c r="G87">
        <f t="shared" si="13"/>
        <v>2.5000000000000001E-2</v>
      </c>
      <c r="H87">
        <f t="shared" si="14"/>
        <v>6.6666666666666666E-2</v>
      </c>
      <c r="I87">
        <f t="shared" si="15"/>
        <v>2.5000000000000001E-2</v>
      </c>
      <c r="J87">
        <f t="shared" si="16"/>
        <v>6.6666666666666666E-2</v>
      </c>
      <c r="K87">
        <f t="shared" si="17"/>
        <v>2.5000000000000001E-2</v>
      </c>
      <c r="L87">
        <f t="shared" si="18"/>
        <v>6.6666666666666666E-2</v>
      </c>
      <c r="M87">
        <f t="shared" si="19"/>
        <v>2.5000000000000001E-2</v>
      </c>
      <c r="N87">
        <f t="shared" si="20"/>
        <v>6.6666666666666666E-2</v>
      </c>
      <c r="O87">
        <f t="shared" si="21"/>
        <v>2.5000000000000001E-2</v>
      </c>
      <c r="P87">
        <f t="shared" si="22"/>
        <v>6.6666666666666666E-2</v>
      </c>
      <c r="Q87">
        <f t="shared" si="23"/>
        <v>2.5000000000000001E-2</v>
      </c>
    </row>
    <row r="88" spans="1:17" x14ac:dyDescent="0.35">
      <c r="A88">
        <v>2066</v>
      </c>
      <c r="B88">
        <v>6.5058325526802005E-2</v>
      </c>
      <c r="C88">
        <v>1.2022796194552932E-2</v>
      </c>
      <c r="D88">
        <v>7.06914274633509E-2</v>
      </c>
      <c r="E88">
        <v>1.5816409242655427E-2</v>
      </c>
      <c r="F88">
        <f t="shared" si="12"/>
        <v>6.6666666666666666E-2</v>
      </c>
      <c r="G88">
        <f t="shared" si="13"/>
        <v>2.5000000000000001E-2</v>
      </c>
      <c r="H88">
        <f t="shared" si="14"/>
        <v>6.6666666666666666E-2</v>
      </c>
      <c r="I88">
        <f t="shared" si="15"/>
        <v>2.5000000000000001E-2</v>
      </c>
      <c r="J88">
        <f t="shared" si="16"/>
        <v>6.6666666666666666E-2</v>
      </c>
      <c r="K88">
        <f t="shared" si="17"/>
        <v>2.5000000000000001E-2</v>
      </c>
      <c r="L88">
        <f t="shared" si="18"/>
        <v>6.6666666666666666E-2</v>
      </c>
      <c r="M88">
        <f t="shared" si="19"/>
        <v>2.5000000000000001E-2</v>
      </c>
      <c r="N88">
        <f t="shared" si="20"/>
        <v>6.6666666666666666E-2</v>
      </c>
      <c r="O88">
        <f t="shared" si="21"/>
        <v>2.5000000000000001E-2</v>
      </c>
      <c r="P88">
        <f t="shared" si="22"/>
        <v>6.6666666666666666E-2</v>
      </c>
      <c r="Q88">
        <f t="shared" si="23"/>
        <v>2.5000000000000001E-2</v>
      </c>
    </row>
    <row r="89" spans="1:17" x14ac:dyDescent="0.35">
      <c r="A89">
        <v>2067</v>
      </c>
      <c r="B89">
        <v>6.5068435475273037E-2</v>
      </c>
      <c r="C89">
        <v>1.2048500087455274E-2</v>
      </c>
      <c r="D89">
        <v>7.0767661524744924E-2</v>
      </c>
      <c r="E89">
        <v>1.586316651964461E-2</v>
      </c>
      <c r="F89">
        <f t="shared" si="12"/>
        <v>6.6666666666666666E-2</v>
      </c>
      <c r="G89">
        <f t="shared" si="13"/>
        <v>2.5000000000000001E-2</v>
      </c>
      <c r="H89">
        <f t="shared" si="14"/>
        <v>6.6666666666666666E-2</v>
      </c>
      <c r="I89">
        <f t="shared" si="15"/>
        <v>2.5000000000000001E-2</v>
      </c>
      <c r="J89">
        <f t="shared" si="16"/>
        <v>6.6666666666666666E-2</v>
      </c>
      <c r="K89">
        <f t="shared" si="17"/>
        <v>2.5000000000000001E-2</v>
      </c>
      <c r="L89">
        <f t="shared" si="18"/>
        <v>6.6666666666666666E-2</v>
      </c>
      <c r="M89">
        <f t="shared" si="19"/>
        <v>2.5000000000000001E-2</v>
      </c>
      <c r="N89">
        <f t="shared" si="20"/>
        <v>6.6666666666666666E-2</v>
      </c>
      <c r="O89">
        <f t="shared" si="21"/>
        <v>2.5000000000000001E-2</v>
      </c>
      <c r="P89">
        <f t="shared" si="22"/>
        <v>6.6666666666666666E-2</v>
      </c>
      <c r="Q89">
        <f t="shared" si="23"/>
        <v>2.5000000000000001E-2</v>
      </c>
    </row>
    <row r="90" spans="1:17" x14ac:dyDescent="0.35">
      <c r="A90">
        <v>2068</v>
      </c>
      <c r="B90">
        <v>6.5086604448208893E-2</v>
      </c>
      <c r="C90">
        <v>1.2074928441124269E-2</v>
      </c>
      <c r="D90">
        <v>7.0861518465691137E-2</v>
      </c>
      <c r="E90">
        <v>1.5909345298625737E-2</v>
      </c>
      <c r="F90">
        <f t="shared" si="12"/>
        <v>6.6666666666666666E-2</v>
      </c>
      <c r="G90">
        <f t="shared" si="13"/>
        <v>2.5000000000000001E-2</v>
      </c>
      <c r="H90">
        <f t="shared" si="14"/>
        <v>6.6666666666666666E-2</v>
      </c>
      <c r="I90">
        <f t="shared" si="15"/>
        <v>2.5000000000000001E-2</v>
      </c>
      <c r="J90">
        <f t="shared" si="16"/>
        <v>6.6666666666666666E-2</v>
      </c>
      <c r="K90">
        <f t="shared" si="17"/>
        <v>2.5000000000000001E-2</v>
      </c>
      <c r="L90">
        <f t="shared" si="18"/>
        <v>6.6666666666666666E-2</v>
      </c>
      <c r="M90">
        <f t="shared" si="19"/>
        <v>2.5000000000000001E-2</v>
      </c>
      <c r="N90">
        <f t="shared" si="20"/>
        <v>6.6666666666666666E-2</v>
      </c>
      <c r="O90">
        <f t="shared" si="21"/>
        <v>2.5000000000000001E-2</v>
      </c>
      <c r="P90">
        <f t="shared" si="22"/>
        <v>6.6666666666666666E-2</v>
      </c>
      <c r="Q90">
        <f t="shared" si="23"/>
        <v>2.5000000000000001E-2</v>
      </c>
    </row>
    <row r="91" spans="1:17" x14ac:dyDescent="0.35">
      <c r="A91">
        <v>2069</v>
      </c>
      <c r="B91">
        <v>6.5103023101777485E-2</v>
      </c>
      <c r="C91">
        <v>1.2097282091693298E-2</v>
      </c>
      <c r="D91">
        <v>7.0944656588344895E-2</v>
      </c>
      <c r="E91">
        <v>1.5954332802140092E-2</v>
      </c>
      <c r="F91">
        <f t="shared" si="12"/>
        <v>6.6666666666666666E-2</v>
      </c>
      <c r="G91">
        <f t="shared" si="13"/>
        <v>2.5000000000000001E-2</v>
      </c>
      <c r="H91">
        <f t="shared" si="14"/>
        <v>6.6666666666666666E-2</v>
      </c>
      <c r="I91">
        <f t="shared" si="15"/>
        <v>2.5000000000000001E-2</v>
      </c>
      <c r="J91">
        <f t="shared" si="16"/>
        <v>6.6666666666666666E-2</v>
      </c>
      <c r="K91">
        <f t="shared" si="17"/>
        <v>2.5000000000000001E-2</v>
      </c>
      <c r="L91">
        <f t="shared" si="18"/>
        <v>6.6666666666666666E-2</v>
      </c>
      <c r="M91">
        <f t="shared" si="19"/>
        <v>2.5000000000000001E-2</v>
      </c>
      <c r="N91">
        <f t="shared" si="20"/>
        <v>6.6666666666666666E-2</v>
      </c>
      <c r="O91">
        <f t="shared" si="21"/>
        <v>2.5000000000000001E-2</v>
      </c>
      <c r="P91">
        <f t="shared" si="22"/>
        <v>6.6666666666666666E-2</v>
      </c>
      <c r="Q91">
        <f t="shared" si="23"/>
        <v>2.5000000000000001E-2</v>
      </c>
    </row>
    <row r="92" spans="1:17" x14ac:dyDescent="0.35">
      <c r="A92">
        <v>2070</v>
      </c>
      <c r="B92">
        <v>6.5110219607872805E-2</v>
      </c>
      <c r="C92">
        <v>1.2116052820396295E-2</v>
      </c>
      <c r="D92">
        <v>7.1027501772888857E-2</v>
      </c>
      <c r="E92">
        <v>1.5998994762656878E-2</v>
      </c>
      <c r="F92">
        <f t="shared" si="12"/>
        <v>6.6666666666666666E-2</v>
      </c>
      <c r="G92">
        <f t="shared" si="13"/>
        <v>2.5000000000000001E-2</v>
      </c>
      <c r="H92">
        <f t="shared" si="14"/>
        <v>6.6666666666666666E-2</v>
      </c>
      <c r="I92">
        <f t="shared" si="15"/>
        <v>2.5000000000000001E-2</v>
      </c>
      <c r="J92">
        <f t="shared" si="16"/>
        <v>6.6666666666666666E-2</v>
      </c>
      <c r="K92">
        <f t="shared" si="17"/>
        <v>2.5000000000000001E-2</v>
      </c>
      <c r="L92">
        <f t="shared" si="18"/>
        <v>6.6666666666666666E-2</v>
      </c>
      <c r="M92">
        <f t="shared" si="19"/>
        <v>2.5000000000000001E-2</v>
      </c>
      <c r="N92">
        <f t="shared" si="20"/>
        <v>6.6666666666666666E-2</v>
      </c>
      <c r="O92">
        <f t="shared" si="21"/>
        <v>2.5000000000000001E-2</v>
      </c>
      <c r="P92">
        <f t="shared" si="22"/>
        <v>6.6666666666666666E-2</v>
      </c>
      <c r="Q92">
        <f t="shared" si="23"/>
        <v>2.5000000000000001E-2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5095-2545-4B15-A8C1-6A47A0E7761F}">
  <dimension ref="A1:B92"/>
  <sheetViews>
    <sheetView workbookViewId="0">
      <selection activeCell="C49" sqref="C49"/>
    </sheetView>
  </sheetViews>
  <sheetFormatPr defaultRowHeight="14.5" x14ac:dyDescent="0.35"/>
  <cols>
    <col min="2" max="2" width="13.81640625" bestFit="1" customWidth="1"/>
  </cols>
  <sheetData>
    <row r="1" spans="1:2" x14ac:dyDescent="0.35">
      <c r="A1" t="s">
        <v>0</v>
      </c>
      <c r="B1" t="s">
        <v>17</v>
      </c>
    </row>
    <row r="2" spans="1:2" x14ac:dyDescent="0.35">
      <c r="A2">
        <v>1980</v>
      </c>
      <c r="B2" s="1">
        <f>SUM(pop_size!B2:Y2)</f>
        <v>14695356</v>
      </c>
    </row>
    <row r="3" spans="1:2" x14ac:dyDescent="0.35">
      <c r="A3">
        <v>1981</v>
      </c>
      <c r="B3" s="1">
        <f>SUM(pop_size!B3:Y3)</f>
        <v>14923260</v>
      </c>
    </row>
    <row r="4" spans="1:2" x14ac:dyDescent="0.35">
      <c r="A4">
        <v>1982</v>
      </c>
      <c r="B4" s="1">
        <f>SUM(pop_size!B4:Y4)</f>
        <v>15184246.999999998</v>
      </c>
    </row>
    <row r="5" spans="1:2" x14ac:dyDescent="0.35">
      <c r="A5">
        <v>1983</v>
      </c>
      <c r="B5" s="1">
        <f>SUM(pop_size!B5:Y5)</f>
        <v>15393472</v>
      </c>
    </row>
    <row r="6" spans="1:2" x14ac:dyDescent="0.35">
      <c r="A6">
        <v>1984</v>
      </c>
      <c r="B6" s="1">
        <f>SUM(pop_size!B6:Y6)</f>
        <v>15579390.999999998</v>
      </c>
    </row>
    <row r="7" spans="1:2" x14ac:dyDescent="0.35">
      <c r="A7">
        <v>1985</v>
      </c>
      <c r="B7" s="1">
        <f>SUM(pop_size!B7:Y7)</f>
        <v>15788312.000000002</v>
      </c>
    </row>
    <row r="8" spans="1:2" x14ac:dyDescent="0.35">
      <c r="A8">
        <v>1986</v>
      </c>
      <c r="B8" s="1">
        <f>SUM(pop_size!B8:Y8)</f>
        <v>16018350.000000004</v>
      </c>
    </row>
    <row r="9" spans="1:2" x14ac:dyDescent="0.35">
      <c r="A9">
        <v>1987</v>
      </c>
      <c r="B9" s="1">
        <f>SUM(pop_size!B9:Y9)</f>
        <v>16263874</v>
      </c>
    </row>
    <row r="10" spans="1:2" x14ac:dyDescent="0.35">
      <c r="A10">
        <v>1988</v>
      </c>
      <c r="B10" s="1">
        <f>SUM(pop_size!B10:Y10)</f>
        <v>16532163.999999998</v>
      </c>
    </row>
    <row r="11" spans="1:2" x14ac:dyDescent="0.35">
      <c r="A11">
        <v>1989</v>
      </c>
      <c r="B11" s="1">
        <f>SUM(pop_size!B11:Y11)</f>
        <v>16814416</v>
      </c>
    </row>
    <row r="12" spans="1:2" x14ac:dyDescent="0.35">
      <c r="A12">
        <v>1990</v>
      </c>
      <c r="B12" s="1">
        <f>SUM(pop_size!B12:Y12)</f>
        <v>17065128</v>
      </c>
    </row>
    <row r="13" spans="1:2" x14ac:dyDescent="0.35">
      <c r="A13">
        <v>1991</v>
      </c>
      <c r="B13" s="1">
        <f>SUM(pop_size!B13:Y13)</f>
        <v>17284036.000000004</v>
      </c>
    </row>
    <row r="14" spans="1:2" x14ac:dyDescent="0.35">
      <c r="A14">
        <v>1992</v>
      </c>
      <c r="B14" s="1">
        <f>SUM(pop_size!B14:Y14)</f>
        <v>17478635</v>
      </c>
    </row>
    <row r="15" spans="1:2" x14ac:dyDescent="0.35">
      <c r="A15">
        <v>1993</v>
      </c>
      <c r="B15" s="1">
        <f>SUM(pop_size!B15:Y15)</f>
        <v>17634808.000000004</v>
      </c>
    </row>
    <row r="16" spans="1:2" x14ac:dyDescent="0.35">
      <c r="A16">
        <v>1994</v>
      </c>
      <c r="B16" s="1">
        <f>SUM(pop_size!B16:Y16)</f>
        <v>17805468</v>
      </c>
    </row>
    <row r="17" spans="1:2" x14ac:dyDescent="0.35">
      <c r="A17">
        <v>1995</v>
      </c>
      <c r="B17" s="1">
        <f>SUM(pop_size!B17:Y17)</f>
        <v>18004882.000000004</v>
      </c>
    </row>
    <row r="18" spans="1:2" x14ac:dyDescent="0.35">
      <c r="A18">
        <v>1996</v>
      </c>
      <c r="B18" s="1">
        <f>SUM(pop_size!B18:Y18)</f>
        <v>18224766.999999996</v>
      </c>
    </row>
    <row r="19" spans="1:2" x14ac:dyDescent="0.35">
      <c r="A19">
        <v>1997</v>
      </c>
      <c r="B19" s="1">
        <f>SUM(pop_size!B19:Y19)</f>
        <v>18423037</v>
      </c>
    </row>
    <row r="20" spans="1:2" x14ac:dyDescent="0.35">
      <c r="A20">
        <v>1998</v>
      </c>
      <c r="B20" s="1">
        <f>SUM(pop_size!B20:Y20)</f>
        <v>18607584</v>
      </c>
    </row>
    <row r="21" spans="1:2" x14ac:dyDescent="0.35">
      <c r="A21">
        <v>1999</v>
      </c>
      <c r="B21" s="1">
        <f>SUM(pop_size!B21:Y21)</f>
        <v>18812263.999999996</v>
      </c>
    </row>
    <row r="22" spans="1:2" x14ac:dyDescent="0.35">
      <c r="A22">
        <v>2000</v>
      </c>
      <c r="B22" s="1">
        <f>SUM(pop_size!B22:Y22)</f>
        <v>19028802</v>
      </c>
    </row>
    <row r="23" spans="1:2" x14ac:dyDescent="0.35">
      <c r="A23">
        <v>2001</v>
      </c>
      <c r="B23" s="1">
        <f>SUM(pop_size!B23:Y23)</f>
        <v>19274701.000000007</v>
      </c>
    </row>
    <row r="24" spans="1:2" x14ac:dyDescent="0.35">
      <c r="A24">
        <v>2002</v>
      </c>
      <c r="B24" s="1">
        <f>SUM(pop_size!B24:Y24)</f>
        <v>19495209.999999996</v>
      </c>
    </row>
    <row r="25" spans="1:2" x14ac:dyDescent="0.35">
      <c r="A25">
        <v>2003</v>
      </c>
      <c r="B25" s="1">
        <f>SUM(pop_size!B25:Y25)</f>
        <v>19720737</v>
      </c>
    </row>
    <row r="26" spans="1:2" x14ac:dyDescent="0.35">
      <c r="A26">
        <v>2004</v>
      </c>
      <c r="B26" s="1">
        <f>SUM(pop_size!B26:Y26)</f>
        <v>19932722</v>
      </c>
    </row>
    <row r="27" spans="1:2" x14ac:dyDescent="0.35">
      <c r="A27">
        <v>2005</v>
      </c>
      <c r="B27" s="1">
        <f>SUM(pop_size!B27:Y27)</f>
        <v>20176844.000000004</v>
      </c>
    </row>
    <row r="28" spans="1:2" x14ac:dyDescent="0.35">
      <c r="A28">
        <v>2006</v>
      </c>
      <c r="B28" s="1">
        <f>SUM(pop_size!B28:Y28)</f>
        <v>20450966.000000004</v>
      </c>
    </row>
    <row r="29" spans="1:2" x14ac:dyDescent="0.35">
      <c r="A29">
        <v>2007</v>
      </c>
      <c r="B29" s="1">
        <f>SUM(pop_size!B29:Y29)</f>
        <v>20827622.000000004</v>
      </c>
    </row>
    <row r="30" spans="1:2" x14ac:dyDescent="0.35">
      <c r="A30">
        <v>2008</v>
      </c>
      <c r="B30" s="1">
        <f>SUM(pop_size!B30:Y30)</f>
        <v>21249198.999999996</v>
      </c>
    </row>
    <row r="31" spans="1:2" x14ac:dyDescent="0.35">
      <c r="A31">
        <v>2009</v>
      </c>
      <c r="B31" s="1">
        <f>SUM(pop_size!B31:Y31)</f>
        <v>21691652.999999996</v>
      </c>
    </row>
    <row r="32" spans="1:2" x14ac:dyDescent="0.35">
      <c r="A32">
        <v>2010</v>
      </c>
      <c r="B32" s="1">
        <f>SUM(pop_size!B32:Y32)</f>
        <v>22031750.000000004</v>
      </c>
    </row>
    <row r="33" spans="1:2" x14ac:dyDescent="0.35">
      <c r="A33">
        <v>2011</v>
      </c>
      <c r="B33" s="1">
        <f>SUM(pop_size!B33:Y33)</f>
        <v>22340024</v>
      </c>
    </row>
    <row r="34" spans="1:2" x14ac:dyDescent="0.35">
      <c r="A34">
        <v>2012</v>
      </c>
      <c r="B34" s="1">
        <f>SUM(pop_size!B34:Y34)</f>
        <v>22733465</v>
      </c>
    </row>
    <row r="35" spans="1:2" x14ac:dyDescent="0.35">
      <c r="A35">
        <v>2013</v>
      </c>
      <c r="B35" s="1">
        <f>SUM(pop_size!B35:Y35)</f>
        <v>23128129</v>
      </c>
    </row>
    <row r="36" spans="1:2" x14ac:dyDescent="0.35">
      <c r="A36">
        <v>2014</v>
      </c>
      <c r="B36" s="1">
        <f>SUM(pop_size!B36:Y36)</f>
        <v>23475686.000000004</v>
      </c>
    </row>
    <row r="37" spans="1:2" x14ac:dyDescent="0.35">
      <c r="A37">
        <v>2015</v>
      </c>
      <c r="B37" s="1">
        <f>SUM(pop_size!B37:Y37)</f>
        <v>23815995</v>
      </c>
    </row>
    <row r="38" spans="1:2" x14ac:dyDescent="0.35">
      <c r="A38">
        <v>2016</v>
      </c>
      <c r="B38" s="1">
        <f>SUM(pop_size!B38:Y38)</f>
        <v>24190907</v>
      </c>
    </row>
    <row r="39" spans="1:2" x14ac:dyDescent="0.35">
      <c r="A39">
        <v>2017</v>
      </c>
      <c r="B39" s="1">
        <f>SUM(pop_size!B39:Y39)</f>
        <v>24592587.999999996</v>
      </c>
    </row>
    <row r="40" spans="1:2" x14ac:dyDescent="0.35">
      <c r="A40">
        <v>2018</v>
      </c>
      <c r="B40" s="1">
        <f>SUM(pop_size!B40:Y40)</f>
        <v>24963258</v>
      </c>
    </row>
    <row r="41" spans="1:2" x14ac:dyDescent="0.35">
      <c r="A41">
        <v>2019</v>
      </c>
      <c r="B41" s="1">
        <f>SUM(pop_size!B41:Y41)</f>
        <v>25334826.000000004</v>
      </c>
    </row>
    <row r="42" spans="1:2" x14ac:dyDescent="0.35">
      <c r="A42">
        <v>2020</v>
      </c>
      <c r="B42" s="1">
        <f>SUM(pop_size!B42:Y42)</f>
        <v>25649248.000000004</v>
      </c>
    </row>
    <row r="43" spans="1:2" x14ac:dyDescent="0.35">
      <c r="A43">
        <v>2021</v>
      </c>
      <c r="B43" s="1">
        <f>SUM(pop_size!B43:Y43)</f>
        <v>25685412</v>
      </c>
    </row>
    <row r="44" spans="1:2" x14ac:dyDescent="0.35">
      <c r="A44">
        <v>2022</v>
      </c>
      <c r="B44" s="1">
        <f>SUM(pop_size!B44:Y44)</f>
        <v>26013060.999999993</v>
      </c>
    </row>
    <row r="45" spans="1:2" x14ac:dyDescent="0.35">
      <c r="A45">
        <v>2023</v>
      </c>
      <c r="B45" s="1">
        <f>SUM(pop_size!B45:Y45)</f>
        <v>26535367</v>
      </c>
    </row>
    <row r="46" spans="1:2" x14ac:dyDescent="0.35">
      <c r="A46">
        <v>2024</v>
      </c>
      <c r="B46" s="1">
        <f>SUM(pop_size!B46:Y46)</f>
        <v>26971766.000000004</v>
      </c>
    </row>
    <row r="47" spans="1:2" x14ac:dyDescent="0.35">
      <c r="A47">
        <v>2025</v>
      </c>
      <c r="B47" s="1">
        <f>SUM(pop_size!B47:Y47)</f>
        <v>27395011.000000004</v>
      </c>
    </row>
    <row r="48" spans="1:2" x14ac:dyDescent="0.35">
      <c r="A48">
        <v>2026</v>
      </c>
      <c r="B48" s="1">
        <f>SUM(pop_size!B48:Y48)</f>
        <v>27805684</v>
      </c>
    </row>
    <row r="49" spans="1:2" x14ac:dyDescent="0.35">
      <c r="A49">
        <v>2027</v>
      </c>
      <c r="B49" s="1">
        <f>SUM(pop_size!B49:Y49)</f>
        <v>28201094.000000004</v>
      </c>
    </row>
    <row r="50" spans="1:2" x14ac:dyDescent="0.35">
      <c r="A50">
        <v>2028</v>
      </c>
      <c r="B50" s="1">
        <f>SUM(pop_size!B50:Y50)</f>
        <v>28581272.000000004</v>
      </c>
    </row>
    <row r="51" spans="1:2" x14ac:dyDescent="0.35">
      <c r="A51">
        <v>2029</v>
      </c>
      <c r="B51" s="1">
        <f>SUM(pop_size!B51:Y51)</f>
        <v>28946317.000000004</v>
      </c>
    </row>
    <row r="52" spans="1:2" x14ac:dyDescent="0.35">
      <c r="A52">
        <v>2030</v>
      </c>
      <c r="B52" s="1">
        <f>SUM(pop_size!B52:Y52)</f>
        <v>29294969.999999993</v>
      </c>
    </row>
    <row r="53" spans="1:2" x14ac:dyDescent="0.35">
      <c r="A53">
        <v>2031</v>
      </c>
      <c r="B53" s="1">
        <f>SUM(pop_size!B53:Y53)</f>
        <v>29628140.999999996</v>
      </c>
    </row>
    <row r="54" spans="1:2" x14ac:dyDescent="0.35">
      <c r="A54">
        <v>2032</v>
      </c>
      <c r="B54" s="1">
        <f>SUM(pop_size!B54:Y54)</f>
        <v>29944139.000000004</v>
      </c>
    </row>
    <row r="55" spans="1:2" x14ac:dyDescent="0.35">
      <c r="A55">
        <v>2033</v>
      </c>
      <c r="B55" s="1">
        <f>SUM(pop_size!B55:Y55)</f>
        <v>30255081.999999993</v>
      </c>
    </row>
    <row r="56" spans="1:2" x14ac:dyDescent="0.35">
      <c r="A56">
        <v>2034</v>
      </c>
      <c r="B56" s="1">
        <f>SUM(pop_size!B56:Y56)</f>
        <v>30561214</v>
      </c>
    </row>
    <row r="57" spans="1:2" x14ac:dyDescent="0.35">
      <c r="A57">
        <v>2035</v>
      </c>
      <c r="B57" s="1">
        <f>SUM(pop_size!B57:Y57)</f>
        <v>30862815</v>
      </c>
    </row>
    <row r="58" spans="1:2" x14ac:dyDescent="0.35">
      <c r="A58">
        <v>2036</v>
      </c>
      <c r="B58" s="1">
        <f>SUM(pop_size!B58:Y58)</f>
        <v>31160201</v>
      </c>
    </row>
    <row r="59" spans="1:2" x14ac:dyDescent="0.35">
      <c r="A59">
        <v>2037</v>
      </c>
      <c r="B59" s="1">
        <f>SUM(pop_size!B59:Y59)</f>
        <v>31453335</v>
      </c>
    </row>
    <row r="60" spans="1:2" x14ac:dyDescent="0.35">
      <c r="A60">
        <v>2038</v>
      </c>
      <c r="B60" s="1">
        <f>SUM(pop_size!B60:Y60)</f>
        <v>31742413.999999996</v>
      </c>
    </row>
    <row r="61" spans="1:2" x14ac:dyDescent="0.35">
      <c r="A61">
        <v>2039</v>
      </c>
      <c r="B61" s="1">
        <f>SUM(pop_size!B61:Y61)</f>
        <v>32027609.000000004</v>
      </c>
    </row>
    <row r="62" spans="1:2" x14ac:dyDescent="0.35">
      <c r="A62">
        <v>2040</v>
      </c>
      <c r="B62" s="1">
        <f>SUM(pop_size!B62:Y62)</f>
        <v>32308943.999999996</v>
      </c>
    </row>
    <row r="63" spans="1:2" x14ac:dyDescent="0.35">
      <c r="A63">
        <v>2041</v>
      </c>
      <c r="B63" s="1">
        <f>SUM(pop_size!B63:Y63)</f>
        <v>32586368</v>
      </c>
    </row>
    <row r="64" spans="1:2" x14ac:dyDescent="0.35">
      <c r="A64">
        <v>2042</v>
      </c>
      <c r="B64" s="1">
        <f>SUM(pop_size!B64:Y64)</f>
        <v>32859780.000000004</v>
      </c>
    </row>
    <row r="65" spans="1:2" x14ac:dyDescent="0.35">
      <c r="A65">
        <v>2043</v>
      </c>
      <c r="B65" s="1">
        <f>SUM(pop_size!B65:Y65)</f>
        <v>33129057</v>
      </c>
    </row>
    <row r="66" spans="1:2" x14ac:dyDescent="0.35">
      <c r="A66">
        <v>2044</v>
      </c>
      <c r="B66" s="1">
        <f>SUM(pop_size!B66:Y66)</f>
        <v>33394089.999999996</v>
      </c>
    </row>
    <row r="67" spans="1:2" x14ac:dyDescent="0.35">
      <c r="A67">
        <v>2045</v>
      </c>
      <c r="B67" s="1">
        <f>SUM(pop_size!B67:Y67)</f>
        <v>33654800.000000007</v>
      </c>
    </row>
    <row r="68" spans="1:2" x14ac:dyDescent="0.35">
      <c r="A68">
        <v>2046</v>
      </c>
      <c r="B68" s="1">
        <f>SUM(pop_size!B68:Y68)</f>
        <v>33911034</v>
      </c>
    </row>
    <row r="69" spans="1:2" x14ac:dyDescent="0.35">
      <c r="A69">
        <v>2047</v>
      </c>
      <c r="B69" s="1">
        <f>SUM(pop_size!B69:Y69)</f>
        <v>34162704</v>
      </c>
    </row>
    <row r="70" spans="1:2" x14ac:dyDescent="0.35">
      <c r="A70">
        <v>2048</v>
      </c>
      <c r="B70" s="1">
        <f>SUM(pop_size!B70:Y70)</f>
        <v>34409841</v>
      </c>
    </row>
    <row r="71" spans="1:2" x14ac:dyDescent="0.35">
      <c r="A71">
        <v>2049</v>
      </c>
      <c r="B71" s="1">
        <f>SUM(pop_size!B71:Y71)</f>
        <v>34652393</v>
      </c>
    </row>
    <row r="72" spans="1:2" x14ac:dyDescent="0.35">
      <c r="A72">
        <v>2050</v>
      </c>
      <c r="B72" s="1">
        <f>SUM(pop_size!B72:Y72)</f>
        <v>34890378</v>
      </c>
    </row>
    <row r="73" spans="1:2" x14ac:dyDescent="0.35">
      <c r="A73">
        <v>2051</v>
      </c>
      <c r="B73" s="1">
        <f>SUM(pop_size!B73:Y73)</f>
        <v>35123947.999999993</v>
      </c>
    </row>
    <row r="74" spans="1:2" x14ac:dyDescent="0.35">
      <c r="A74">
        <v>2052</v>
      </c>
      <c r="B74" s="1">
        <f>SUM(pop_size!B74:Y74)</f>
        <v>35353281</v>
      </c>
    </row>
    <row r="75" spans="1:2" x14ac:dyDescent="0.35">
      <c r="A75">
        <v>2053</v>
      </c>
      <c r="B75" s="1">
        <f>SUM(pop_size!B75:Y75)</f>
        <v>35578653</v>
      </c>
    </row>
    <row r="76" spans="1:2" x14ac:dyDescent="0.35">
      <c r="A76">
        <v>2054</v>
      </c>
      <c r="B76" s="1">
        <f>SUM(pop_size!B76:Y76)</f>
        <v>35800310</v>
      </c>
    </row>
    <row r="77" spans="1:2" x14ac:dyDescent="0.35">
      <c r="A77">
        <v>2055</v>
      </c>
      <c r="B77" s="1">
        <f>SUM(pop_size!B77:Y77)</f>
        <v>36018580</v>
      </c>
    </row>
    <row r="78" spans="1:2" x14ac:dyDescent="0.35">
      <c r="A78">
        <v>2056</v>
      </c>
      <c r="B78" s="1">
        <f>SUM(pop_size!B78:Y78)</f>
        <v>36233685</v>
      </c>
    </row>
    <row r="79" spans="1:2" x14ac:dyDescent="0.35">
      <c r="A79">
        <v>2057</v>
      </c>
      <c r="B79" s="1">
        <f>SUM(pop_size!B79:Y79)</f>
        <v>36445900</v>
      </c>
    </row>
    <row r="80" spans="1:2" x14ac:dyDescent="0.35">
      <c r="A80">
        <v>2058</v>
      </c>
      <c r="B80" s="1">
        <f>SUM(pop_size!B80:Y80)</f>
        <v>36655452.000000007</v>
      </c>
    </row>
    <row r="81" spans="1:2" x14ac:dyDescent="0.35">
      <c r="A81">
        <v>2059</v>
      </c>
      <c r="B81" s="1">
        <f>SUM(pop_size!B81:Y81)</f>
        <v>36862520.000000007</v>
      </c>
    </row>
    <row r="82" spans="1:2" x14ac:dyDescent="0.35">
      <c r="A82">
        <v>2060</v>
      </c>
      <c r="B82" s="1">
        <f>SUM(pop_size!B82:Y82)</f>
        <v>37067286.999999993</v>
      </c>
    </row>
    <row r="83" spans="1:2" x14ac:dyDescent="0.35">
      <c r="A83">
        <v>2061</v>
      </c>
      <c r="B83" s="1">
        <f>SUM(pop_size!B83:Y83)</f>
        <v>37269885.000000007</v>
      </c>
    </row>
    <row r="84" spans="1:2" x14ac:dyDescent="0.35">
      <c r="A84">
        <v>2062</v>
      </c>
      <c r="B84" s="1">
        <f>SUM(pop_size!B84:Y84)</f>
        <v>37470402.000000007</v>
      </c>
    </row>
    <row r="85" spans="1:2" x14ac:dyDescent="0.35">
      <c r="A85">
        <v>2063</v>
      </c>
      <c r="B85" s="1">
        <f>SUM(pop_size!B85:Y85)</f>
        <v>37668911.999999993</v>
      </c>
    </row>
    <row r="86" spans="1:2" x14ac:dyDescent="0.35">
      <c r="A86">
        <v>2064</v>
      </c>
      <c r="B86" s="1">
        <f>SUM(pop_size!B86:Y86)</f>
        <v>37865440.999999993</v>
      </c>
    </row>
    <row r="87" spans="1:2" x14ac:dyDescent="0.35">
      <c r="A87">
        <v>2065</v>
      </c>
      <c r="B87" s="1">
        <f>SUM(pop_size!B87:Y87)</f>
        <v>38060029.999999993</v>
      </c>
    </row>
    <row r="88" spans="1:2" x14ac:dyDescent="0.35">
      <c r="A88">
        <v>2066</v>
      </c>
      <c r="B88" s="1">
        <f>SUM(pop_size!B88:Y88)</f>
        <v>38252662.999999993</v>
      </c>
    </row>
    <row r="89" spans="1:2" x14ac:dyDescent="0.35">
      <c r="A89">
        <v>2067</v>
      </c>
      <c r="B89" s="1">
        <f>SUM(pop_size!B89:Y89)</f>
        <v>38443366.999999993</v>
      </c>
    </row>
    <row r="90" spans="1:2" x14ac:dyDescent="0.35">
      <c r="A90">
        <v>2068</v>
      </c>
      <c r="B90" s="1">
        <f>SUM(pop_size!B90:Y90)</f>
        <v>38632078.000000015</v>
      </c>
    </row>
    <row r="91" spans="1:2" x14ac:dyDescent="0.35">
      <c r="A91">
        <v>2069</v>
      </c>
      <c r="B91" s="1">
        <f>SUM(pop_size!B91:Y91)</f>
        <v>38818717.999999993</v>
      </c>
    </row>
    <row r="92" spans="1:2" x14ac:dyDescent="0.35">
      <c r="A92">
        <v>2070</v>
      </c>
      <c r="B92" s="1">
        <f>SUM(pop_size!B92:Y92)</f>
        <v>39003121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pop_size</vt:lpstr>
      <vt:lpstr>births</vt:lpstr>
      <vt:lpstr>acm</vt:lpstr>
      <vt:lpstr>migration</vt:lpstr>
      <vt:lpstr>aging</vt:lpstr>
      <vt:lpstr>calib_vals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Seaman</dc:creator>
  <cp:lastModifiedBy>Chris Seaman</cp:lastModifiedBy>
  <dcterms:created xsi:type="dcterms:W3CDTF">2026-09-20T22:40:50Z</dcterms:created>
  <dcterms:modified xsi:type="dcterms:W3CDTF">2026-09-22T02:04:34Z</dcterms:modified>
</cp:coreProperties>
</file>