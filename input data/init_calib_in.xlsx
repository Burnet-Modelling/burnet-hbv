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input data\"/>
    </mc:Choice>
  </mc:AlternateContent>
  <xr:revisionPtr revIDLastSave="0" documentId="13_ncr:1_{7B7E19C3-165D-4E19-A126-1468B0F9A54B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init_conds" sheetId="1" r:id="rId1"/>
    <sheet name="calib_par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" l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Y7" i="1"/>
  <c r="X7" i="1"/>
  <c r="V7" i="1"/>
  <c r="U7" i="1"/>
  <c r="S7" i="1"/>
  <c r="R7" i="1"/>
  <c r="P7" i="1"/>
  <c r="O7" i="1"/>
  <c r="M7" i="1"/>
  <c r="L7" i="1"/>
  <c r="J7" i="1"/>
  <c r="I7" i="1"/>
  <c r="G7" i="1"/>
  <c r="F7" i="1"/>
  <c r="D7" i="1"/>
  <c r="C8" i="1"/>
  <c r="C7" i="1"/>
</calcChain>
</file>

<file path=xl/sharedStrings.xml><?xml version="1.0" encoding="utf-8"?>
<sst xmlns="http://schemas.openxmlformats.org/spreadsheetml/2006/main" count="72" uniqueCount="37">
  <si>
    <t>atsi_0-14_M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</si>
  <si>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</si>
  <si>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</si>
  <si>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</si>
  <si>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</si>
  <si>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</si>
  <si>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</si>
  <si>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</si>
  <si>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</si>
  <si>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</si>
  <si>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</si>
  <si>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</si>
  <si>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</si>
  <si>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</si>
  <si>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</si>
  <si>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</si>
  <si>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</si>
  <si>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</si>
  <si>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</si>
  <si>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</si>
  <si>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</si>
  <si>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</si>
  <si>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</si>
  <si>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</si>
  <si>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par</t>
  </si>
  <si>
    <t>year</t>
  </si>
  <si>
    <t>chb_init</t>
  </si>
  <si>
    <t>eag_init</t>
  </si>
  <si>
    <t>cc_prop</t>
  </si>
  <si>
    <t>dc_prop</t>
  </si>
  <si>
    <t>hcc_prop</t>
  </si>
  <si>
    <t>ei_prop</t>
  </si>
  <si>
    <t>si_prop</t>
  </si>
  <si>
    <t>init_clr</t>
  </si>
  <si>
    <t>hepb_prev</t>
  </si>
  <si>
    <t>epos_total</t>
  </si>
  <si>
    <t>hep_dth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</si>
</sst>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164" fontId="0" fillId="0" borderId="0" xfId="1" applyNumberFormat="1" applyFont="1"/>
    <xf numFmtId="9" fontId="0" fillId="0" borderId="0" xfId="0" applyNumberFormat="1"/>
    <xf numFmtId="10" fontId="0" fillId="0" borderId="0" xfId="0" applyNumberFormat="1"/>
    <xf numFmtId="1" fontId="0" fillId="0" borderId="0" xfId="0" applyNumberFormat="1"/>
    <xf numFmtId="10" fontId="0" fillId="2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workbookViewId="0">
      <selection activeCell="C2" sqref="C2:Z2"/>
    </sheetView>
  </sheetViews>
  <sheetFormatPr defaultRowHeight="14.5" x14ac:dyDescent="0.35"/>
  <sheetData>
    <row r="1" spans="1:26" x14ac:dyDescent="0.35">
      <c r="A1" t="s">
        <v>24</v>
      </c>
      <c r="B1" t="s">
        <v>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35">
      <c r="A2" t="s">
        <v>26</v>
      </c>
      <c r="B2">
        <v>1980</v>
      </c>
      <c r="C2" s="6">
        <v>1.504173599723199E-2</v>
      </c>
      <c r="D2" s="6">
        <v>2.9357058471310291E-2</v>
      </c>
      <c r="E2" s="6">
        <v>5.9394687751976739E-2</v>
      </c>
      <c r="F2" s="6">
        <v>9.6942951817503044E-3</v>
      </c>
      <c r="G2" s="6">
        <v>1.8176681218554019E-2</v>
      </c>
      <c r="H2" s="6">
        <v>4.3627118360180198E-2</v>
      </c>
      <c r="I2" s="6">
        <v>2.358468137844755E-3</v>
      </c>
      <c r="J2" s="6">
        <v>2.8250450821862118E-3</v>
      </c>
      <c r="K2" s="6">
        <v>2.368612243409611E-3</v>
      </c>
      <c r="L2" s="6">
        <v>1.517072922697429E-3</v>
      </c>
      <c r="M2" s="6">
        <v>1.8306935106352409E-3</v>
      </c>
      <c r="N2" s="6">
        <v>1.5156073779766801E-3</v>
      </c>
      <c r="O2" s="6">
        <v>6.169753412677636E-3</v>
      </c>
      <c r="P2" s="6">
        <v>7.39031885023238E-3</v>
      </c>
      <c r="Q2" s="6">
        <v>6.1962903961216963E-3</v>
      </c>
      <c r="R2" s="6">
        <v>3.9686632572644102E-3</v>
      </c>
      <c r="S2" s="6">
        <v>4.7890948169137656E-3</v>
      </c>
      <c r="T2" s="6">
        <v>3.964829391800137E-3</v>
      </c>
      <c r="U2" s="6">
        <v>6.2616409947349877E-2</v>
      </c>
      <c r="V2" s="6">
        <v>7.5003845991139101E-2</v>
      </c>
      <c r="W2" s="6">
        <v>6.288573199686405E-2</v>
      </c>
      <c r="X2" s="6">
        <v>4.0277694883109477E-2</v>
      </c>
      <c r="Y2" s="6">
        <v>4.8604199272602143E-2</v>
      </c>
      <c r="Z2" s="6">
        <v>4.0238785241907167E-2</v>
      </c>
    </row>
    <row r="3" spans="1:26" x14ac:dyDescent="0.35">
      <c r="A3" t="s">
        <v>27</v>
      </c>
      <c r="B3">
        <v>1980</v>
      </c>
      <c r="C3">
        <v>0.6</v>
      </c>
      <c r="D3">
        <v>0.25</v>
      </c>
      <c r="E3">
        <v>7.0000000000000007E-2</v>
      </c>
      <c r="F3">
        <v>0.6</v>
      </c>
      <c r="G3">
        <v>0.25</v>
      </c>
      <c r="H3">
        <v>7.0000000000000007E-2</v>
      </c>
      <c r="I3">
        <v>0.6</v>
      </c>
      <c r="J3">
        <v>0.25</v>
      </c>
      <c r="K3">
        <v>7.0000000000000007E-2</v>
      </c>
      <c r="L3">
        <v>0.6</v>
      </c>
      <c r="M3">
        <v>0.25</v>
      </c>
      <c r="N3">
        <v>7.0000000000000007E-2</v>
      </c>
      <c r="O3">
        <v>0.6</v>
      </c>
      <c r="P3">
        <v>0.25</v>
      </c>
      <c r="Q3">
        <v>7.0000000000000007E-2</v>
      </c>
      <c r="R3">
        <v>0.6</v>
      </c>
      <c r="S3">
        <v>0.25</v>
      </c>
      <c r="T3">
        <v>7.0000000000000007E-2</v>
      </c>
      <c r="U3">
        <v>0.6</v>
      </c>
      <c r="V3">
        <v>0.25</v>
      </c>
      <c r="W3">
        <v>7.0000000000000007E-2</v>
      </c>
      <c r="X3">
        <v>0.6</v>
      </c>
      <c r="Y3">
        <v>0.25</v>
      </c>
      <c r="Z3">
        <v>7.0000000000000007E-2</v>
      </c>
    </row>
    <row r="4" spans="1:26" x14ac:dyDescent="0.35">
      <c r="A4" t="s">
        <v>28</v>
      </c>
      <c r="B4">
        <v>1980</v>
      </c>
      <c r="C4" s="3">
        <v>0.01</v>
      </c>
      <c r="D4" s="4">
        <v>6.5000000000000002E-2</v>
      </c>
      <c r="E4" s="3">
        <v>0.13</v>
      </c>
      <c r="F4" s="3">
        <v>0.01</v>
      </c>
      <c r="G4" s="4">
        <v>6.5000000000000002E-2</v>
      </c>
      <c r="H4" s="3">
        <v>0.13</v>
      </c>
      <c r="I4" s="3">
        <v>0.01</v>
      </c>
      <c r="J4" s="4">
        <v>6.5000000000000002E-2</v>
      </c>
      <c r="K4" s="3">
        <v>0.13</v>
      </c>
      <c r="L4" s="3">
        <v>0.01</v>
      </c>
      <c r="M4" s="4">
        <v>6.5000000000000002E-2</v>
      </c>
      <c r="N4" s="3">
        <v>0.13</v>
      </c>
      <c r="O4" s="3">
        <v>0.01</v>
      </c>
      <c r="P4" s="4">
        <v>6.5000000000000002E-2</v>
      </c>
      <c r="Q4" s="3">
        <v>0.13</v>
      </c>
      <c r="R4" s="3">
        <v>0.01</v>
      </c>
      <c r="S4" s="4">
        <v>6.5000000000000002E-2</v>
      </c>
      <c r="T4" s="3">
        <v>0.13</v>
      </c>
      <c r="U4" s="3">
        <v>0.01</v>
      </c>
      <c r="V4" s="4">
        <v>6.5000000000000002E-2</v>
      </c>
      <c r="W4" s="3">
        <v>0.13</v>
      </c>
      <c r="X4" s="3">
        <v>0.01</v>
      </c>
      <c r="Y4" s="4">
        <v>6.5000000000000002E-2</v>
      </c>
      <c r="Z4" s="3">
        <v>0.13</v>
      </c>
    </row>
    <row r="5" spans="1:26" x14ac:dyDescent="0.35">
      <c r="A5" t="s">
        <v>29</v>
      </c>
      <c r="B5">
        <v>1980</v>
      </c>
      <c r="C5" s="4">
        <v>0</v>
      </c>
      <c r="D5" s="4">
        <v>8.5000000000000006E-3</v>
      </c>
      <c r="E5" s="4">
        <v>2.8000000000000001E-2</v>
      </c>
      <c r="F5" s="4">
        <v>0</v>
      </c>
      <c r="G5" s="4">
        <v>8.5000000000000006E-3</v>
      </c>
      <c r="H5" s="4">
        <v>2.8000000000000001E-2</v>
      </c>
      <c r="I5" s="4">
        <v>0</v>
      </c>
      <c r="J5" s="4">
        <v>8.5000000000000006E-3</v>
      </c>
      <c r="K5" s="4">
        <v>2.8000000000000001E-2</v>
      </c>
      <c r="L5" s="4">
        <v>0</v>
      </c>
      <c r="M5" s="4">
        <v>8.5000000000000006E-3</v>
      </c>
      <c r="N5" s="4">
        <v>2.8000000000000001E-2</v>
      </c>
      <c r="O5" s="4">
        <v>0</v>
      </c>
      <c r="P5" s="4">
        <v>8.5000000000000006E-3</v>
      </c>
      <c r="Q5" s="4">
        <v>2.8000000000000001E-2</v>
      </c>
      <c r="R5" s="4">
        <v>0</v>
      </c>
      <c r="S5" s="4">
        <v>8.5000000000000006E-3</v>
      </c>
      <c r="T5" s="4">
        <v>2.8000000000000001E-2</v>
      </c>
      <c r="U5" s="4">
        <v>0</v>
      </c>
      <c r="V5" s="4">
        <v>8.5000000000000006E-3</v>
      </c>
      <c r="W5" s="4">
        <v>2.8000000000000001E-2</v>
      </c>
      <c r="X5" s="4">
        <v>0</v>
      </c>
      <c r="Y5" s="4">
        <v>8.5000000000000006E-3</v>
      </c>
      <c r="Z5" s="4">
        <v>2.8000000000000001E-2</v>
      </c>
    </row>
    <row r="6" spans="1:26" x14ac:dyDescent="0.35">
      <c r="A6" t="s">
        <v>30</v>
      </c>
      <c r="B6">
        <v>1980</v>
      </c>
      <c r="C6" s="4">
        <v>0</v>
      </c>
      <c r="D6" s="4">
        <v>1.5E-3</v>
      </c>
      <c r="E6" s="4">
        <v>4.0000000000000001E-3</v>
      </c>
      <c r="F6" s="4">
        <v>0</v>
      </c>
      <c r="G6" s="4">
        <v>1.5E-3</v>
      </c>
      <c r="H6" s="4">
        <v>4.0000000000000001E-3</v>
      </c>
      <c r="I6" s="4">
        <v>0</v>
      </c>
      <c r="J6" s="4">
        <v>1.5E-3</v>
      </c>
      <c r="K6" s="4">
        <v>4.0000000000000001E-3</v>
      </c>
      <c r="L6" s="4">
        <v>0</v>
      </c>
      <c r="M6" s="4">
        <v>1.5E-3</v>
      </c>
      <c r="N6" s="4">
        <v>4.0000000000000001E-3</v>
      </c>
      <c r="O6" s="4">
        <v>0</v>
      </c>
      <c r="P6" s="4">
        <v>1.5E-3</v>
      </c>
      <c r="Q6" s="4">
        <v>4.0000000000000001E-3</v>
      </c>
      <c r="R6" s="4">
        <v>0</v>
      </c>
      <c r="S6" s="4">
        <v>1.5E-3</v>
      </c>
      <c r="T6" s="4">
        <v>4.0000000000000001E-3</v>
      </c>
      <c r="U6" s="4">
        <v>0</v>
      </c>
      <c r="V6" s="4">
        <v>1.5E-3</v>
      </c>
      <c r="W6" s="4">
        <v>4.0000000000000001E-3</v>
      </c>
      <c r="X6" s="4">
        <v>0</v>
      </c>
      <c r="Y6" s="4">
        <v>1.5E-3</v>
      </c>
      <c r="Z6" s="4">
        <v>4.0000000000000001E-3</v>
      </c>
    </row>
    <row r="7" spans="1:26" x14ac:dyDescent="0.35">
      <c r="A7" t="s">
        <v>31</v>
      </c>
      <c r="B7">
        <v>1980</v>
      </c>
      <c r="C7" s="1">
        <f>5/6</f>
        <v>0.83333333333333337</v>
      </c>
      <c r="D7" s="1">
        <f>25/32</f>
        <v>0.78125</v>
      </c>
      <c r="E7" s="4">
        <v>0.5</v>
      </c>
      <c r="F7" s="1">
        <f>5/6</f>
        <v>0.83333333333333337</v>
      </c>
      <c r="G7" s="1">
        <f>25/32</f>
        <v>0.78125</v>
      </c>
      <c r="H7" s="4">
        <v>0.5</v>
      </c>
      <c r="I7" s="1">
        <f>5/6</f>
        <v>0.83333333333333337</v>
      </c>
      <c r="J7" s="1">
        <f>25/32</f>
        <v>0.78125</v>
      </c>
      <c r="K7" s="4">
        <v>0.5</v>
      </c>
      <c r="L7" s="1">
        <f>5/6</f>
        <v>0.83333333333333337</v>
      </c>
      <c r="M7" s="1">
        <f>25/32</f>
        <v>0.78125</v>
      </c>
      <c r="N7" s="4">
        <v>0.5</v>
      </c>
      <c r="O7" s="1">
        <f>5/6</f>
        <v>0.83333333333333337</v>
      </c>
      <c r="P7" s="1">
        <f>25/32</f>
        <v>0.78125</v>
      </c>
      <c r="Q7" s="4">
        <v>0.5</v>
      </c>
      <c r="R7" s="1">
        <f>5/6</f>
        <v>0.83333333333333337</v>
      </c>
      <c r="S7" s="1">
        <f>25/32</f>
        <v>0.78125</v>
      </c>
      <c r="T7" s="4">
        <v>0.5</v>
      </c>
      <c r="U7" s="1">
        <f>5/6</f>
        <v>0.83333333333333337</v>
      </c>
      <c r="V7" s="1">
        <f>25/32</f>
        <v>0.78125</v>
      </c>
      <c r="W7" s="4">
        <v>0.5</v>
      </c>
      <c r="X7" s="1">
        <f>5/6</f>
        <v>0.83333333333333337</v>
      </c>
      <c r="Y7" s="1">
        <f>25/32</f>
        <v>0.78125</v>
      </c>
      <c r="Z7" s="4">
        <v>0.5</v>
      </c>
    </row>
    <row r="8" spans="1:26" x14ac:dyDescent="0.35">
      <c r="A8" t="s">
        <v>32</v>
      </c>
      <c r="B8">
        <v>1980</v>
      </c>
      <c r="C8" s="2">
        <f>33/38</f>
        <v>0.86842105263157898</v>
      </c>
      <c r="D8" s="2">
        <f>46/61</f>
        <v>0.75409836065573765</v>
      </c>
      <c r="E8" s="2">
        <f>48/86</f>
        <v>0.55813953488372092</v>
      </c>
      <c r="F8" s="2">
        <f>33/38</f>
        <v>0.86842105263157898</v>
      </c>
      <c r="G8" s="2">
        <f>46/61</f>
        <v>0.75409836065573765</v>
      </c>
      <c r="H8" s="2">
        <f>48/86</f>
        <v>0.55813953488372092</v>
      </c>
      <c r="I8" s="2">
        <f>33/38</f>
        <v>0.86842105263157898</v>
      </c>
      <c r="J8" s="2">
        <f>46/61</f>
        <v>0.75409836065573765</v>
      </c>
      <c r="K8" s="2">
        <f>48/86</f>
        <v>0.55813953488372092</v>
      </c>
      <c r="L8" s="2">
        <f>33/38</f>
        <v>0.86842105263157898</v>
      </c>
      <c r="M8" s="2">
        <f>46/61</f>
        <v>0.75409836065573765</v>
      </c>
      <c r="N8" s="2">
        <f>48/86</f>
        <v>0.55813953488372092</v>
      </c>
      <c r="O8" s="2">
        <f>33/38</f>
        <v>0.86842105263157898</v>
      </c>
      <c r="P8" s="2">
        <f>46/61</f>
        <v>0.75409836065573765</v>
      </c>
      <c r="Q8" s="2">
        <f>48/86</f>
        <v>0.55813953488372092</v>
      </c>
      <c r="R8" s="2">
        <f>33/38</f>
        <v>0.86842105263157898</v>
      </c>
      <c r="S8" s="2">
        <f>46/61</f>
        <v>0.75409836065573765</v>
      </c>
      <c r="T8" s="2">
        <f>48/86</f>
        <v>0.55813953488372092</v>
      </c>
      <c r="U8" s="2">
        <f>33/38</f>
        <v>0.86842105263157898</v>
      </c>
      <c r="V8" s="2">
        <f>46/61</f>
        <v>0.75409836065573765</v>
      </c>
      <c r="W8" s="2">
        <f>48/86</f>
        <v>0.55813953488372092</v>
      </c>
      <c r="X8" s="2">
        <f>33/38</f>
        <v>0.86842105263157898</v>
      </c>
      <c r="Y8" s="2">
        <f>46/61</f>
        <v>0.75409836065573765</v>
      </c>
      <c r="Z8" s="2">
        <f>48/86</f>
        <v>0.55813953488372092</v>
      </c>
    </row>
    <row r="9" spans="1:26" x14ac:dyDescent="0.35">
      <c r="A9" t="s">
        <v>33</v>
      </c>
      <c r="B9">
        <v>1980</v>
      </c>
      <c r="C9" s="3">
        <v>0.3</v>
      </c>
      <c r="D9" s="3">
        <v>0.3</v>
      </c>
      <c r="E9" s="3">
        <v>0.3</v>
      </c>
      <c r="F9" s="3">
        <v>0.3</v>
      </c>
      <c r="G9" s="3">
        <v>0.3</v>
      </c>
      <c r="H9" s="3">
        <v>0.3</v>
      </c>
      <c r="I9" s="3">
        <v>0.15</v>
      </c>
      <c r="J9" s="3">
        <v>0.15</v>
      </c>
      <c r="K9" s="3">
        <v>0.15</v>
      </c>
      <c r="L9" s="3">
        <v>0.15</v>
      </c>
      <c r="M9" s="3">
        <v>0.15</v>
      </c>
      <c r="N9" s="3">
        <v>0.15</v>
      </c>
      <c r="O9" s="3">
        <v>0.15</v>
      </c>
      <c r="P9" s="3">
        <v>0.15</v>
      </c>
      <c r="Q9" s="3">
        <v>0.15</v>
      </c>
      <c r="R9" s="3">
        <v>0.15</v>
      </c>
      <c r="S9" s="3">
        <v>0.15</v>
      </c>
      <c r="T9" s="3">
        <v>0.15</v>
      </c>
      <c r="U9" s="3">
        <v>0.5</v>
      </c>
      <c r="V9" s="3">
        <v>0.5</v>
      </c>
      <c r="W9" s="3">
        <v>0.5</v>
      </c>
      <c r="X9" s="3">
        <v>0.5</v>
      </c>
      <c r="Y9" s="3">
        <v>0.5</v>
      </c>
      <c r="Z9" s="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7944-41BF-4805-96D1-25BA9FD42B50}">
  <dimension ref="A1:Z13"/>
  <sheetViews>
    <sheetView tabSelected="1" workbookViewId="0">
      <selection activeCell="E11" sqref="E11"/>
    </sheetView>
  </sheetViews>
  <sheetFormatPr defaultRowHeight="14.5" x14ac:dyDescent="0.35"/>
  <cols>
    <col min="1" max="1" width="9.81640625" bestFit="1" customWidth="1"/>
    <col min="10" max="10" width="9.453125" customWidth="1"/>
  </cols>
  <sheetData>
    <row r="1" spans="1:26" x14ac:dyDescent="0.35">
      <c r="A1" t="s">
        <v>24</v>
      </c>
      <c r="B1" t="s">
        <v>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35">
      <c r="A2" t="s">
        <v>34</v>
      </c>
      <c r="B2">
        <v>1980</v>
      </c>
      <c r="C2" s="6">
        <v>1.504173599723199E-2</v>
      </c>
      <c r="D2" s="6">
        <v>2.9357058471310291E-2</v>
      </c>
      <c r="E2" s="6">
        <v>5.9394687751976739E-2</v>
      </c>
      <c r="F2" s="6">
        <v>9.6942951817503044E-3</v>
      </c>
      <c r="G2" s="6">
        <v>1.8176681218554019E-2</v>
      </c>
      <c r="H2" s="6">
        <v>4.3627118360180198E-2</v>
      </c>
      <c r="I2" s="6">
        <v>2.358468137844755E-3</v>
      </c>
      <c r="J2" s="6">
        <v>2.8250450821862118E-3</v>
      </c>
      <c r="K2" s="6">
        <v>2.368612243409611E-3</v>
      </c>
      <c r="L2" s="6">
        <v>1.517072922697429E-3</v>
      </c>
      <c r="M2" s="6">
        <v>1.8306935106352409E-3</v>
      </c>
      <c r="N2" s="6">
        <v>1.5156073779766801E-3</v>
      </c>
      <c r="O2" s="6">
        <v>6.169753412677636E-3</v>
      </c>
      <c r="P2" s="6">
        <v>7.39031885023238E-3</v>
      </c>
      <c r="Q2" s="6">
        <v>6.1962903961216963E-3</v>
      </c>
      <c r="R2" s="6">
        <v>3.9686632572644102E-3</v>
      </c>
      <c r="S2" s="6">
        <v>4.7890948169137656E-3</v>
      </c>
      <c r="T2" s="6">
        <v>3.964829391800137E-3</v>
      </c>
      <c r="U2" s="6">
        <v>6.2616409947349877E-2</v>
      </c>
      <c r="V2" s="6">
        <v>7.5003845991139101E-2</v>
      </c>
      <c r="W2" s="6">
        <v>6.288573199686405E-2</v>
      </c>
      <c r="X2" s="6">
        <v>4.0277694883109477E-2</v>
      </c>
      <c r="Y2" s="6">
        <v>4.8604199272602143E-2</v>
      </c>
      <c r="Z2" s="6">
        <v>4.0238785241907167E-2</v>
      </c>
    </row>
    <row r="3" spans="1:26" x14ac:dyDescent="0.35">
      <c r="A3" t="s">
        <v>34</v>
      </c>
      <c r="B3">
        <v>1990</v>
      </c>
      <c r="C3" s="6">
        <v>1.382232388317887E-2</v>
      </c>
      <c r="D3" s="6">
        <v>2.6977123552929239E-2</v>
      </c>
      <c r="E3" s="6">
        <v>5.4579645009005362E-2</v>
      </c>
      <c r="F3" s="6">
        <v>8.9083924784979333E-3</v>
      </c>
      <c r="G3" s="6">
        <v>1.670312356036447E-2</v>
      </c>
      <c r="H3" s="6">
        <v>4.009033001078869E-2</v>
      </c>
      <c r="I3" s="6">
        <v>2.783764276611925E-3</v>
      </c>
      <c r="J3" s="6">
        <v>2.8163676256740058E-3</v>
      </c>
      <c r="K3" s="6">
        <v>2.0659175178905031E-3</v>
      </c>
      <c r="L3" s="6">
        <v>1.803572767616462E-3</v>
      </c>
      <c r="M3" s="6">
        <v>1.822586244670869E-3</v>
      </c>
      <c r="N3" s="6">
        <v>1.356393291086073E-3</v>
      </c>
      <c r="O3" s="6">
        <v>7.4976595349561404E-3</v>
      </c>
      <c r="P3" s="6">
        <v>7.5854718590888191E-3</v>
      </c>
      <c r="Q3" s="6">
        <v>5.5642448991035723E-3</v>
      </c>
      <c r="R3" s="6">
        <v>4.8576579100888936E-3</v>
      </c>
      <c r="S3" s="6">
        <v>4.9088679132947488E-3</v>
      </c>
      <c r="T3" s="6">
        <v>3.6532457785684019E-3</v>
      </c>
      <c r="U3" s="6">
        <v>5.8709175520506043E-2</v>
      </c>
      <c r="V3" s="6">
        <v>5.9396775314326133E-2</v>
      </c>
      <c r="W3" s="6">
        <v>4.3569893897891308E-2</v>
      </c>
      <c r="X3" s="6">
        <v>3.8037082043050077E-2</v>
      </c>
      <c r="Y3" s="6">
        <v>3.8438073452782828E-2</v>
      </c>
      <c r="Z3" s="6">
        <v>2.860613323845395E-2</v>
      </c>
    </row>
    <row r="4" spans="1:26" x14ac:dyDescent="0.35">
      <c r="A4" t="s">
        <v>34</v>
      </c>
      <c r="B4">
        <v>2005</v>
      </c>
      <c r="C4" s="6">
        <v>5.7941119571865551E-3</v>
      </c>
      <c r="D4" s="6">
        <v>2.4945578475156192E-2</v>
      </c>
      <c r="E4" s="6">
        <v>6.1614127278750243E-2</v>
      </c>
      <c r="F4" s="6">
        <v>3.602578300298794E-3</v>
      </c>
      <c r="G4" s="6">
        <v>1.5809154582655249E-2</v>
      </c>
      <c r="H4" s="6">
        <v>4.3092743969185117E-2</v>
      </c>
      <c r="I4" s="6">
        <v>1.633177655433153E-3</v>
      </c>
      <c r="J4" s="6">
        <v>3.2455863487780888E-3</v>
      </c>
      <c r="K4" s="6">
        <v>2.3485463255848819E-3</v>
      </c>
      <c r="L4" s="6">
        <v>1.0217060668516579E-3</v>
      </c>
      <c r="M4" s="6">
        <v>2.1061677751782332E-3</v>
      </c>
      <c r="N4" s="6">
        <v>1.60465257140001E-3</v>
      </c>
      <c r="O4" s="6">
        <v>4.4933693481512072E-3</v>
      </c>
      <c r="P4" s="6">
        <v>8.9295969534371172E-3</v>
      </c>
      <c r="Q4" s="6">
        <v>6.4615665276766274E-3</v>
      </c>
      <c r="R4" s="6">
        <v>2.8110246967552139E-3</v>
      </c>
      <c r="S4" s="6">
        <v>5.7947092844223983E-3</v>
      </c>
      <c r="T4" s="6">
        <v>4.4148881505781433E-3</v>
      </c>
      <c r="U4" s="6">
        <v>2.751454005028783E-2</v>
      </c>
      <c r="V4" s="6">
        <v>5.4679180359247397E-2</v>
      </c>
      <c r="W4" s="6">
        <v>3.9566529532344838E-2</v>
      </c>
      <c r="X4" s="6">
        <v>1.7212929899262049E-2</v>
      </c>
      <c r="Y4" s="6">
        <v>3.5483119310371347E-2</v>
      </c>
      <c r="Z4" s="6">
        <v>2.7033971041486662E-2</v>
      </c>
    </row>
    <row r="5" spans="1:26" x14ac:dyDescent="0.35">
      <c r="A5" t="s">
        <v>34</v>
      </c>
      <c r="B5">
        <v>2024</v>
      </c>
      <c r="C5" s="6">
        <v>1.5116042286348471E-3</v>
      </c>
      <c r="D5" s="6">
        <v>2.1252206081061559E-2</v>
      </c>
      <c r="E5" s="6">
        <v>5.5338632537204363E-2</v>
      </c>
      <c r="F5" s="6">
        <v>9.5153869066014923E-4</v>
      </c>
      <c r="G5" s="6">
        <v>1.4018091807244591E-2</v>
      </c>
      <c r="H5" s="6">
        <v>3.7341383411790358E-2</v>
      </c>
      <c r="I5" s="6">
        <v>4.8269051570177472E-4</v>
      </c>
      <c r="J5" s="6">
        <v>3.740653213370027E-3</v>
      </c>
      <c r="K5" s="6">
        <v>3.3895711962685692E-3</v>
      </c>
      <c r="L5" s="6">
        <v>3.023578733477638E-4</v>
      </c>
      <c r="M5" s="6">
        <v>2.4747087023300062E-3</v>
      </c>
      <c r="N5" s="6">
        <v>2.3138745106789358E-3</v>
      </c>
      <c r="O5" s="6">
        <v>1.0564083484407929E-3</v>
      </c>
      <c r="P5" s="6">
        <v>6.9575854914156214E-3</v>
      </c>
      <c r="Q5" s="6">
        <v>6.0718239271718216E-3</v>
      </c>
      <c r="R5" s="6">
        <v>6.6021946788870042E-4</v>
      </c>
      <c r="S5" s="6">
        <v>4.5447953716199543E-3</v>
      </c>
      <c r="T5" s="6">
        <v>4.2407007135885728E-3</v>
      </c>
      <c r="U5" s="6">
        <v>6.7774666058225529E-3</v>
      </c>
      <c r="V5" s="6">
        <v>4.4602112830308398E-2</v>
      </c>
      <c r="W5" s="6">
        <v>3.9108563794420327E-2</v>
      </c>
      <c r="X5" s="6">
        <v>4.2348582992285388E-3</v>
      </c>
      <c r="Y5" s="6">
        <v>2.9149210218059302E-2</v>
      </c>
      <c r="Z5" s="6">
        <v>2.7321796414283509E-2</v>
      </c>
    </row>
    <row r="6" spans="1:26" x14ac:dyDescent="0.35">
      <c r="A6" t="s">
        <v>35</v>
      </c>
      <c r="B6">
        <v>1980</v>
      </c>
      <c r="C6">
        <v>0.6</v>
      </c>
      <c r="D6">
        <v>0.25</v>
      </c>
      <c r="E6">
        <v>7.0000000000000007E-2</v>
      </c>
      <c r="F6">
        <v>0.6</v>
      </c>
      <c r="G6">
        <v>0.25</v>
      </c>
      <c r="H6">
        <v>7.0000000000000007E-2</v>
      </c>
      <c r="I6">
        <v>0.6</v>
      </c>
      <c r="J6">
        <v>0.25</v>
      </c>
      <c r="K6">
        <v>7.0000000000000007E-2</v>
      </c>
      <c r="L6">
        <v>0.6</v>
      </c>
      <c r="M6">
        <v>0.25</v>
      </c>
      <c r="N6">
        <v>7.0000000000000007E-2</v>
      </c>
      <c r="O6">
        <v>0.6</v>
      </c>
      <c r="P6">
        <v>0.25</v>
      </c>
      <c r="Q6">
        <v>7.0000000000000007E-2</v>
      </c>
      <c r="R6">
        <v>0.6</v>
      </c>
      <c r="S6">
        <v>0.25</v>
      </c>
      <c r="T6">
        <v>7.0000000000000007E-2</v>
      </c>
      <c r="U6">
        <v>0.6</v>
      </c>
      <c r="V6">
        <v>0.25</v>
      </c>
      <c r="W6">
        <v>7.0000000000000007E-2</v>
      </c>
      <c r="X6">
        <v>0.6</v>
      </c>
      <c r="Y6">
        <v>0.25</v>
      </c>
      <c r="Z6">
        <v>7.0000000000000007E-2</v>
      </c>
    </row>
    <row r="7" spans="1:26" x14ac:dyDescent="0.35">
      <c r="A7" t="s">
        <v>35</v>
      </c>
      <c r="B7">
        <v>1990</v>
      </c>
      <c r="C7">
        <v>0.6</v>
      </c>
      <c r="D7">
        <v>0.25</v>
      </c>
      <c r="E7">
        <v>7.0000000000000007E-2</v>
      </c>
      <c r="F7">
        <v>0.6</v>
      </c>
      <c r="G7">
        <v>0.25</v>
      </c>
      <c r="H7">
        <v>7.0000000000000007E-2</v>
      </c>
      <c r="I7">
        <v>0.6</v>
      </c>
      <c r="J7">
        <v>0.25</v>
      </c>
      <c r="K7">
        <v>7.0000000000000007E-2</v>
      </c>
      <c r="L7">
        <v>0.6</v>
      </c>
      <c r="M7">
        <v>0.25</v>
      </c>
      <c r="N7">
        <v>7.0000000000000007E-2</v>
      </c>
      <c r="O7">
        <v>0.6</v>
      </c>
      <c r="P7">
        <v>0.25</v>
      </c>
      <c r="Q7">
        <v>7.0000000000000007E-2</v>
      </c>
      <c r="R7">
        <v>0.6</v>
      </c>
      <c r="S7">
        <v>0.25</v>
      </c>
      <c r="T7">
        <v>7.0000000000000007E-2</v>
      </c>
      <c r="U7">
        <v>0.6</v>
      </c>
      <c r="V7">
        <v>0.25</v>
      </c>
      <c r="W7">
        <v>7.0000000000000007E-2</v>
      </c>
      <c r="X7">
        <v>0.6</v>
      </c>
      <c r="Y7">
        <v>0.25</v>
      </c>
      <c r="Z7">
        <v>7.0000000000000007E-2</v>
      </c>
    </row>
    <row r="8" spans="1:26" x14ac:dyDescent="0.35">
      <c r="A8" t="s">
        <v>35</v>
      </c>
      <c r="B8">
        <v>2005</v>
      </c>
      <c r="C8">
        <v>0.6</v>
      </c>
      <c r="D8">
        <v>0.25</v>
      </c>
      <c r="E8">
        <v>7.0000000000000007E-2</v>
      </c>
      <c r="F8">
        <v>0.6</v>
      </c>
      <c r="G8">
        <v>0.25</v>
      </c>
      <c r="H8">
        <v>7.0000000000000007E-2</v>
      </c>
      <c r="I8">
        <v>0.6</v>
      </c>
      <c r="J8">
        <v>0.25</v>
      </c>
      <c r="K8">
        <v>7.0000000000000007E-2</v>
      </c>
      <c r="L8">
        <v>0.6</v>
      </c>
      <c r="M8">
        <v>0.25</v>
      </c>
      <c r="N8">
        <v>7.0000000000000007E-2</v>
      </c>
      <c r="O8">
        <v>0.6</v>
      </c>
      <c r="P8">
        <v>0.25</v>
      </c>
      <c r="Q8">
        <v>7.0000000000000007E-2</v>
      </c>
      <c r="R8">
        <v>0.6</v>
      </c>
      <c r="S8">
        <v>0.25</v>
      </c>
      <c r="T8">
        <v>7.0000000000000007E-2</v>
      </c>
      <c r="U8">
        <v>0.6</v>
      </c>
      <c r="V8">
        <v>0.25</v>
      </c>
      <c r="W8">
        <v>7.0000000000000007E-2</v>
      </c>
      <c r="X8">
        <v>0.6</v>
      </c>
      <c r="Y8">
        <v>0.25</v>
      </c>
      <c r="Z8">
        <v>7.0000000000000007E-2</v>
      </c>
    </row>
    <row r="9" spans="1:26" x14ac:dyDescent="0.35">
      <c r="A9" t="s">
        <v>35</v>
      </c>
      <c r="B9">
        <v>2024</v>
      </c>
      <c r="C9">
        <v>0.6</v>
      </c>
      <c r="D9">
        <v>0.25</v>
      </c>
      <c r="E9">
        <v>7.0000000000000007E-2</v>
      </c>
      <c r="F9">
        <v>0.6</v>
      </c>
      <c r="G9">
        <v>0.25</v>
      </c>
      <c r="H9">
        <v>7.0000000000000007E-2</v>
      </c>
      <c r="I9">
        <v>0.6</v>
      </c>
      <c r="J9">
        <v>0.25</v>
      </c>
      <c r="K9">
        <v>7.0000000000000007E-2</v>
      </c>
      <c r="L9">
        <v>0.6</v>
      </c>
      <c r="M9">
        <v>0.25</v>
      </c>
      <c r="N9">
        <v>7.0000000000000007E-2</v>
      </c>
      <c r="O9">
        <v>0.6</v>
      </c>
      <c r="P9">
        <v>0.25</v>
      </c>
      <c r="Q9">
        <v>7.0000000000000007E-2</v>
      </c>
      <c r="R9">
        <v>0.6</v>
      </c>
      <c r="S9">
        <v>0.25</v>
      </c>
      <c r="T9">
        <v>7.0000000000000007E-2</v>
      </c>
      <c r="U9">
        <v>0.6</v>
      </c>
      <c r="V9">
        <v>0.25</v>
      </c>
      <c r="W9">
        <v>7.0000000000000007E-2</v>
      </c>
      <c r="X9">
        <v>0.6</v>
      </c>
      <c r="Y9">
        <v>0.25</v>
      </c>
      <c r="Z9">
        <v>7.0000000000000007E-2</v>
      </c>
    </row>
    <row r="10" spans="1:26" x14ac:dyDescent="0.35">
      <c r="A10" t="s">
        <v>36</v>
      </c>
      <c r="B10">
        <v>2010</v>
      </c>
      <c r="C10">
        <v>0</v>
      </c>
      <c r="D10" s="5">
        <v>14.298647537812691</v>
      </c>
      <c r="E10" s="5">
        <v>8.0259221354587336</v>
      </c>
      <c r="F10">
        <v>0</v>
      </c>
      <c r="G10" s="5">
        <v>4.3760853001769764</v>
      </c>
      <c r="H10" s="5">
        <v>3.5876780420171328</v>
      </c>
      <c r="I10">
        <v>0</v>
      </c>
      <c r="J10" s="5">
        <v>44.622929584946398</v>
      </c>
      <c r="K10" s="5">
        <v>25.04713521735102</v>
      </c>
      <c r="L10">
        <v>0</v>
      </c>
      <c r="M10" s="5">
        <v>13.656798357405199</v>
      </c>
      <c r="N10" s="5">
        <v>11.196352957090847</v>
      </c>
      <c r="O10">
        <v>0</v>
      </c>
      <c r="P10" s="5">
        <v>15.801499760938905</v>
      </c>
      <c r="Q10" s="5">
        <v>8.8694826814484671</v>
      </c>
      <c r="R10">
        <v>0</v>
      </c>
      <c r="S10" s="5">
        <v>4.8360315646449346</v>
      </c>
      <c r="T10" s="5">
        <v>3.9647591545522936</v>
      </c>
      <c r="U10">
        <v>0</v>
      </c>
      <c r="V10" s="5">
        <v>143.25371296273633</v>
      </c>
      <c r="W10" s="5">
        <v>80.409223516684932</v>
      </c>
      <c r="X10">
        <v>0</v>
      </c>
      <c r="Y10" s="5">
        <v>43.842640769638827</v>
      </c>
      <c r="Z10" s="5">
        <v>35.943833084541822</v>
      </c>
    </row>
    <row r="11" spans="1:26" x14ac:dyDescent="0.35">
      <c r="A11" t="s">
        <v>36</v>
      </c>
      <c r="B11">
        <v>2015</v>
      </c>
      <c r="C11">
        <v>0</v>
      </c>
      <c r="D11" s="5">
        <v>10.894129101927685</v>
      </c>
      <c r="E11" s="5">
        <v>7.1082859227863864</v>
      </c>
      <c r="F11">
        <v>0</v>
      </c>
      <c r="G11" s="5">
        <v>3.5992004691417323</v>
      </c>
      <c r="H11" s="5">
        <v>3.0507476594685032</v>
      </c>
      <c r="I11">
        <v>0</v>
      </c>
      <c r="J11" s="5">
        <v>33.998177416365564</v>
      </c>
      <c r="K11" s="5">
        <v>22.183394713615311</v>
      </c>
      <c r="L11">
        <v>0</v>
      </c>
      <c r="M11" s="5">
        <v>11.232311914248786</v>
      </c>
      <c r="N11" s="5">
        <v>9.520711495957876</v>
      </c>
      <c r="O11">
        <v>0</v>
      </c>
      <c r="P11" s="5">
        <v>12.039151111635922</v>
      </c>
      <c r="Q11" s="5">
        <v>7.8553987719860006</v>
      </c>
      <c r="R11">
        <v>0</v>
      </c>
      <c r="S11" s="5">
        <v>3.9774926406371356</v>
      </c>
      <c r="T11" s="5">
        <v>3.3713949717478497</v>
      </c>
      <c r="U11">
        <v>0</v>
      </c>
      <c r="V11" s="5">
        <v>109.14489913955002</v>
      </c>
      <c r="W11" s="5">
        <v>71.215711034700504</v>
      </c>
      <c r="X11">
        <v>0</v>
      </c>
      <c r="Y11" s="5">
        <v>36.059272706616312</v>
      </c>
      <c r="Z11" s="5">
        <v>30.564494185587478</v>
      </c>
    </row>
    <row r="12" spans="1:26" x14ac:dyDescent="0.35">
      <c r="A12" t="s">
        <v>36</v>
      </c>
      <c r="B12">
        <v>2020</v>
      </c>
      <c r="C12">
        <v>0</v>
      </c>
      <c r="D12" s="5">
        <v>9.9268837871518212</v>
      </c>
      <c r="E12" s="5">
        <v>8.2132911048255579</v>
      </c>
      <c r="F12">
        <v>0</v>
      </c>
      <c r="G12" s="5">
        <v>3.7188048169150183</v>
      </c>
      <c r="H12" s="5">
        <v>3.5818618984539139</v>
      </c>
      <c r="I12">
        <v>0</v>
      </c>
      <c r="J12" s="5">
        <v>30.979617831728419</v>
      </c>
      <c r="K12" s="5">
        <v>25.631872501373813</v>
      </c>
      <c r="L12">
        <v>0</v>
      </c>
      <c r="M12" s="5">
        <v>11.605570739926311</v>
      </c>
      <c r="N12" s="5">
        <v>11.178202054077738</v>
      </c>
      <c r="O12">
        <v>0</v>
      </c>
      <c r="P12" s="5">
        <v>10.97024396011814</v>
      </c>
      <c r="Q12" s="5">
        <v>9.0765449729573451</v>
      </c>
      <c r="R12">
        <v>0</v>
      </c>
      <c r="S12" s="5">
        <v>4.1096679437732488</v>
      </c>
      <c r="T12" s="5">
        <v>3.9583317081185836</v>
      </c>
      <c r="U12">
        <v>0</v>
      </c>
      <c r="V12" s="5">
        <v>99.454368456768421</v>
      </c>
      <c r="W12" s="5">
        <v>82.286415082168119</v>
      </c>
      <c r="X12">
        <v>0</v>
      </c>
      <c r="Y12" s="5">
        <v>37.257551554996866</v>
      </c>
      <c r="Z12" s="5">
        <v>35.885562946869562</v>
      </c>
    </row>
    <row r="13" spans="1:26" x14ac:dyDescent="0.35">
      <c r="A13" t="s">
        <v>36</v>
      </c>
      <c r="B13">
        <v>2024</v>
      </c>
      <c r="C13">
        <v>0</v>
      </c>
      <c r="D13" s="5">
        <v>10.379478235753581</v>
      </c>
      <c r="E13" s="5">
        <v>9.3649135884610573</v>
      </c>
      <c r="F13">
        <v>0</v>
      </c>
      <c r="G13" s="5">
        <v>4.2050907058008926</v>
      </c>
      <c r="H13" s="5">
        <v>4.3774729044004834</v>
      </c>
      <c r="I13">
        <v>0</v>
      </c>
      <c r="J13" s="5">
        <v>32.392065418612816</v>
      </c>
      <c r="K13" s="5">
        <v>29.225832619616511</v>
      </c>
      <c r="L13">
        <v>0</v>
      </c>
      <c r="M13" s="5">
        <v>13.123161891153952</v>
      </c>
      <c r="N13" s="5">
        <v>13.661128764556896</v>
      </c>
      <c r="O13">
        <v>0</v>
      </c>
      <c r="P13" s="5">
        <v>11.470408122670609</v>
      </c>
      <c r="Q13" s="5">
        <v>10.349208163775593</v>
      </c>
      <c r="R13">
        <v>0</v>
      </c>
      <c r="S13" s="5">
        <v>4.6470646686493389</v>
      </c>
      <c r="T13" s="5">
        <v>4.8375650123187821</v>
      </c>
      <c r="U13">
        <v>0</v>
      </c>
      <c r="V13" s="5">
        <v>103.98877180205452</v>
      </c>
      <c r="W13" s="5">
        <v>93.82416340947529</v>
      </c>
      <c r="X13">
        <v>0</v>
      </c>
      <c r="Y13" s="5">
        <v>42.129498986393067</v>
      </c>
      <c r="Z13" s="5">
        <v>43.856542745795281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init_conds</vt:lpstr>
      <vt:lpstr>calib_pars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Seaman</dc:creator>
  <cp:lastModifiedBy>Chris Seaman</cp:lastModifiedBy>
  <dcterms:created xsi:type="dcterms:W3CDTF">2015-06-05T18:17:20Z</dcterms:created>
  <dcterms:modified xsi:type="dcterms:W3CDTF">2026-09-30T01:19:11Z</dcterms:modified>
</cp:coreProperties>
</file>