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input data\"/>
    </mc:Choice>
  </mc:AlternateContent>
  <xr:revisionPtr revIDLastSave="0" documentId="13_ncr:1_{A78969AF-5A5C-427B-8117-D038E0989AB3}" xr6:coauthVersionLast="47" xr6:coauthVersionMax="47" xr10:uidLastSave="{00000000-0000-0000-0000-000000000000}"/>
  <bookViews>
    <workbookView xWindow="3660" yWindow="17172" windowWidth="23256" windowHeight="12456" xr2:uid="{00000000-000D-0000-FFFF-FFFF00000000}"/>
  </bookViews>
  <sheets>
    <sheet name="init_conds" sheetId="1" r:id="rId1"/>
    <sheet name="calib_par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" i="1" l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Y7" i="1"/>
  <c r="X7" i="1"/>
  <c r="V7" i="1"/>
  <c r="U7" i="1"/>
  <c r="S7" i="1"/>
  <c r="R7" i="1"/>
  <c r="P7" i="1"/>
  <c r="O7" i="1"/>
  <c r="M7" i="1"/>
  <c r="L7" i="1"/>
  <c r="J7" i="1"/>
  <c r="I7" i="1"/>
  <c r="G7" i="1"/>
  <c r="F7" i="1"/>
  <c r="D7" i="1"/>
  <c r="C8" i="1"/>
  <c r="C7" i="1"/>
</calcChain>
</file>

<file path=xl/sharedStrings.xml><?xml version="1.0" encoding="utf-8"?>
<sst xmlns="http://schemas.openxmlformats.org/spreadsheetml/2006/main" count="72" uniqueCount="37">
  <si>
    <t>atsi_0-14_M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</si>
  <si>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</si>
  <si>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</si>
  <si>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</si>
  <si>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</si>
  <si>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</si>
  <si>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</si>
  <si>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</si>
  <si>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</si>
  <si>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</si>
  <si>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</si>
  <si>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</si>
  <si>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</si>
  <si>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</si>
  <si>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</si>
  <si>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</si>
  <si>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</si>
  <si>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</si>
  <si>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</si>
  <si>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</si>
  <si>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</si>
  <si>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</si>
  <si>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</si>
  <si>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</si>
  <si>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par</t>
  </si>
  <si>
    <t>year</t>
  </si>
  <si>
    <t>chb_init</t>
  </si>
  <si>
    <t>eag_init</t>
  </si>
  <si>
    <t>cc_prop</t>
  </si>
  <si>
    <t>dc_prop</t>
  </si>
  <si>
    <t>hcc_prop</t>
  </si>
  <si>
    <t>ei_prop</t>
  </si>
  <si>
    <t>si_prop</t>
  </si>
  <si>
    <t>init_clr</t>
  </si>
  <si>
    <t>hepb_prev</t>
  </si>
  <si>
    <t>epos_total</t>
  </si>
  <si>
    <t>hep_dth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</si>
</sst>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"/>
  <sheetViews>
    <sheetView tabSelected="1" workbookViewId="0">
      <selection activeCell="H14" sqref="H14"/>
    </sheetView>
  </sheetViews>
  <sheetFormatPr defaultRowHeight="14.5" x14ac:dyDescent="0.35"/>
  <sheetData>
    <row r="1" spans="1:26" x14ac:dyDescent="0.35">
      <c r="A1" t="s">
        <v>24</v>
      </c>
      <c r="B1" t="s">
        <v>25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</row>
    <row r="2" spans="1:26" x14ac:dyDescent="0.35">
      <c r="A2" t="s">
        <v>26</v>
      </c>
      <c r="B2">
        <v>1980</v>
      </c>
      <c r="C2" s="3">
        <v>9.2425124802268856E-3</v>
      </c>
      <c r="D2" s="3">
        <v>1.8038674482371383E-2</v>
      </c>
      <c r="E2" s="3">
        <v>3.6495531028323064E-2</v>
      </c>
      <c r="F2" s="3">
        <v>5.9567355936056086E-3</v>
      </c>
      <c r="G2" s="3">
        <v>1.1168804122244039E-2</v>
      </c>
      <c r="H2" s="3">
        <v>2.6807024534568558E-2</v>
      </c>
      <c r="I2" s="3">
        <v>1.4491792172299102E-3</v>
      </c>
      <c r="J2" s="3">
        <v>1.7358710745963473E-3</v>
      </c>
      <c r="K2" s="3">
        <v>1.4554123423360262E-3</v>
      </c>
      <c r="L2" s="3">
        <v>9.321773380429984E-4</v>
      </c>
      <c r="M2" s="3">
        <v>1.1248839643662324E-3</v>
      </c>
      <c r="N2" s="3">
        <v>9.3127682261217671E-4</v>
      </c>
      <c r="O2" s="3">
        <v>3.7910533017657755E-3</v>
      </c>
      <c r="P2" s="3">
        <v>4.5410392935162818E-3</v>
      </c>
      <c r="Q2" s="3">
        <v>3.8073591590627293E-3</v>
      </c>
      <c r="R2" s="3">
        <v>2.4385762183190955E-3</v>
      </c>
      <c r="S2" s="3">
        <v>2.9426968152120726E-3</v>
      </c>
      <c r="T2" s="3">
        <v>2.4362204696603252E-3</v>
      </c>
      <c r="U2" s="3">
        <v>3.8475143461624624E-2</v>
      </c>
      <c r="V2" s="3">
        <v>4.6086700548772216E-2</v>
      </c>
      <c r="W2" s="3">
        <v>3.864063050409719E-2</v>
      </c>
      <c r="X2" s="3">
        <v>2.4748945048657631E-2</v>
      </c>
      <c r="Y2" s="3">
        <v>2.9865230878345892E-2</v>
      </c>
      <c r="Z2" s="3">
        <v>2.472503671490682E-2</v>
      </c>
    </row>
    <row r="3" spans="1:26" x14ac:dyDescent="0.35">
      <c r="A3" t="s">
        <v>27</v>
      </c>
      <c r="B3">
        <v>1980</v>
      </c>
      <c r="C3">
        <v>0.6</v>
      </c>
      <c r="D3">
        <v>0.25</v>
      </c>
      <c r="E3">
        <v>7.0000000000000007E-2</v>
      </c>
      <c r="F3">
        <v>0.6</v>
      </c>
      <c r="G3">
        <v>0.25</v>
      </c>
      <c r="H3">
        <v>7.0000000000000007E-2</v>
      </c>
      <c r="I3">
        <v>0.6</v>
      </c>
      <c r="J3">
        <v>0.25</v>
      </c>
      <c r="K3">
        <v>7.0000000000000007E-2</v>
      </c>
      <c r="L3">
        <v>0.6</v>
      </c>
      <c r="M3">
        <v>0.25</v>
      </c>
      <c r="N3">
        <v>7.0000000000000007E-2</v>
      </c>
      <c r="O3">
        <v>0.6</v>
      </c>
      <c r="P3">
        <v>0.25</v>
      </c>
      <c r="Q3">
        <v>7.0000000000000007E-2</v>
      </c>
      <c r="R3">
        <v>0.6</v>
      </c>
      <c r="S3">
        <v>0.25</v>
      </c>
      <c r="T3">
        <v>7.0000000000000007E-2</v>
      </c>
      <c r="U3">
        <v>0.6</v>
      </c>
      <c r="V3">
        <v>0.25</v>
      </c>
      <c r="W3">
        <v>7.0000000000000007E-2</v>
      </c>
      <c r="X3">
        <v>0.6</v>
      </c>
      <c r="Y3">
        <v>0.25</v>
      </c>
      <c r="Z3">
        <v>7.0000000000000007E-2</v>
      </c>
    </row>
    <row r="4" spans="1:26" x14ac:dyDescent="0.35">
      <c r="A4" t="s">
        <v>28</v>
      </c>
      <c r="B4">
        <v>1980</v>
      </c>
      <c r="C4" s="4">
        <v>0.01</v>
      </c>
      <c r="D4" s="5">
        <v>6.5000000000000002E-2</v>
      </c>
      <c r="E4" s="4">
        <v>0.13</v>
      </c>
      <c r="F4" s="4">
        <v>0.01</v>
      </c>
      <c r="G4" s="5">
        <v>6.5000000000000002E-2</v>
      </c>
      <c r="H4" s="4">
        <v>0.13</v>
      </c>
      <c r="I4" s="4">
        <v>0.01</v>
      </c>
      <c r="J4" s="5">
        <v>6.5000000000000002E-2</v>
      </c>
      <c r="K4" s="4">
        <v>0.13</v>
      </c>
      <c r="L4" s="4">
        <v>0.01</v>
      </c>
      <c r="M4" s="5">
        <v>6.5000000000000002E-2</v>
      </c>
      <c r="N4" s="4">
        <v>0.13</v>
      </c>
      <c r="O4" s="4">
        <v>0.01</v>
      </c>
      <c r="P4" s="5">
        <v>6.5000000000000002E-2</v>
      </c>
      <c r="Q4" s="4">
        <v>0.13</v>
      </c>
      <c r="R4" s="4">
        <v>0.01</v>
      </c>
      <c r="S4" s="5">
        <v>6.5000000000000002E-2</v>
      </c>
      <c r="T4" s="4">
        <v>0.13</v>
      </c>
      <c r="U4" s="4">
        <v>0.01</v>
      </c>
      <c r="V4" s="5">
        <v>6.5000000000000002E-2</v>
      </c>
      <c r="W4" s="4">
        <v>0.13</v>
      </c>
      <c r="X4" s="4">
        <v>0.01</v>
      </c>
      <c r="Y4" s="5">
        <v>6.5000000000000002E-2</v>
      </c>
      <c r="Z4" s="4">
        <v>0.13</v>
      </c>
    </row>
    <row r="5" spans="1:26" x14ac:dyDescent="0.35">
      <c r="A5" t="s">
        <v>29</v>
      </c>
      <c r="B5">
        <v>1980</v>
      </c>
      <c r="C5" s="5">
        <v>0</v>
      </c>
      <c r="D5" s="5">
        <v>8.5000000000000006E-3</v>
      </c>
      <c r="E5" s="5">
        <v>2.8000000000000001E-2</v>
      </c>
      <c r="F5" s="5">
        <v>0</v>
      </c>
      <c r="G5" s="5">
        <v>8.5000000000000006E-3</v>
      </c>
      <c r="H5" s="5">
        <v>2.8000000000000001E-2</v>
      </c>
      <c r="I5" s="5">
        <v>0</v>
      </c>
      <c r="J5" s="5">
        <v>8.5000000000000006E-3</v>
      </c>
      <c r="K5" s="5">
        <v>2.8000000000000001E-2</v>
      </c>
      <c r="L5" s="5">
        <v>0</v>
      </c>
      <c r="M5" s="5">
        <v>8.5000000000000006E-3</v>
      </c>
      <c r="N5" s="5">
        <v>2.8000000000000001E-2</v>
      </c>
      <c r="O5" s="5">
        <v>0</v>
      </c>
      <c r="P5" s="5">
        <v>8.5000000000000006E-3</v>
      </c>
      <c r="Q5" s="5">
        <v>2.8000000000000001E-2</v>
      </c>
      <c r="R5" s="5">
        <v>0</v>
      </c>
      <c r="S5" s="5">
        <v>8.5000000000000006E-3</v>
      </c>
      <c r="T5" s="5">
        <v>2.8000000000000001E-2</v>
      </c>
      <c r="U5" s="5">
        <v>0</v>
      </c>
      <c r="V5" s="5">
        <v>8.5000000000000006E-3</v>
      </c>
      <c r="W5" s="5">
        <v>2.8000000000000001E-2</v>
      </c>
      <c r="X5" s="5">
        <v>0</v>
      </c>
      <c r="Y5" s="5">
        <v>8.5000000000000006E-3</v>
      </c>
      <c r="Z5" s="5">
        <v>2.8000000000000001E-2</v>
      </c>
    </row>
    <row r="6" spans="1:26" x14ac:dyDescent="0.35">
      <c r="A6" t="s">
        <v>30</v>
      </c>
      <c r="B6">
        <v>1980</v>
      </c>
      <c r="C6" s="5">
        <v>0</v>
      </c>
      <c r="D6" s="5">
        <v>1.5E-3</v>
      </c>
      <c r="E6" s="5">
        <v>4.0000000000000001E-3</v>
      </c>
      <c r="F6" s="5">
        <v>0</v>
      </c>
      <c r="G6" s="5">
        <v>1.5E-3</v>
      </c>
      <c r="H6" s="5">
        <v>4.0000000000000001E-3</v>
      </c>
      <c r="I6" s="5">
        <v>0</v>
      </c>
      <c r="J6" s="5">
        <v>1.5E-3</v>
      </c>
      <c r="K6" s="5">
        <v>4.0000000000000001E-3</v>
      </c>
      <c r="L6" s="5">
        <v>0</v>
      </c>
      <c r="M6" s="5">
        <v>1.5E-3</v>
      </c>
      <c r="N6" s="5">
        <v>4.0000000000000001E-3</v>
      </c>
      <c r="O6" s="5">
        <v>0</v>
      </c>
      <c r="P6" s="5">
        <v>1.5E-3</v>
      </c>
      <c r="Q6" s="5">
        <v>4.0000000000000001E-3</v>
      </c>
      <c r="R6" s="5">
        <v>0</v>
      </c>
      <c r="S6" s="5">
        <v>1.5E-3</v>
      </c>
      <c r="T6" s="5">
        <v>4.0000000000000001E-3</v>
      </c>
      <c r="U6" s="5">
        <v>0</v>
      </c>
      <c r="V6" s="5">
        <v>1.5E-3</v>
      </c>
      <c r="W6" s="5">
        <v>4.0000000000000001E-3</v>
      </c>
      <c r="X6" s="5">
        <v>0</v>
      </c>
      <c r="Y6" s="5">
        <v>1.5E-3</v>
      </c>
      <c r="Z6" s="5">
        <v>4.0000000000000001E-3</v>
      </c>
    </row>
    <row r="7" spans="1:26" x14ac:dyDescent="0.35">
      <c r="A7" t="s">
        <v>31</v>
      </c>
      <c r="B7">
        <v>1980</v>
      </c>
      <c r="C7" s="1">
        <f>5/6</f>
        <v>0.83333333333333337</v>
      </c>
      <c r="D7" s="1">
        <f>25/32</f>
        <v>0.78125</v>
      </c>
      <c r="E7" s="5">
        <v>0.5</v>
      </c>
      <c r="F7" s="1">
        <f>5/6</f>
        <v>0.83333333333333337</v>
      </c>
      <c r="G7" s="1">
        <f>25/32</f>
        <v>0.78125</v>
      </c>
      <c r="H7" s="5">
        <v>0.5</v>
      </c>
      <c r="I7" s="1">
        <f>5/6</f>
        <v>0.83333333333333337</v>
      </c>
      <c r="J7" s="1">
        <f>25/32</f>
        <v>0.78125</v>
      </c>
      <c r="K7" s="5">
        <v>0.5</v>
      </c>
      <c r="L7" s="1">
        <f>5/6</f>
        <v>0.83333333333333337</v>
      </c>
      <c r="M7" s="1">
        <f>25/32</f>
        <v>0.78125</v>
      </c>
      <c r="N7" s="5">
        <v>0.5</v>
      </c>
      <c r="O7" s="1">
        <f>5/6</f>
        <v>0.83333333333333337</v>
      </c>
      <c r="P7" s="1">
        <f>25/32</f>
        <v>0.78125</v>
      </c>
      <c r="Q7" s="5">
        <v>0.5</v>
      </c>
      <c r="R7" s="1">
        <f>5/6</f>
        <v>0.83333333333333337</v>
      </c>
      <c r="S7" s="1">
        <f>25/32</f>
        <v>0.78125</v>
      </c>
      <c r="T7" s="5">
        <v>0.5</v>
      </c>
      <c r="U7" s="1">
        <f>5/6</f>
        <v>0.83333333333333337</v>
      </c>
      <c r="V7" s="1">
        <f>25/32</f>
        <v>0.78125</v>
      </c>
      <c r="W7" s="5">
        <v>0.5</v>
      </c>
      <c r="X7" s="1">
        <f>5/6</f>
        <v>0.83333333333333337</v>
      </c>
      <c r="Y7" s="1">
        <f>25/32</f>
        <v>0.78125</v>
      </c>
      <c r="Z7" s="5">
        <v>0.5</v>
      </c>
    </row>
    <row r="8" spans="1:26" x14ac:dyDescent="0.35">
      <c r="A8" t="s">
        <v>32</v>
      </c>
      <c r="B8">
        <v>1980</v>
      </c>
      <c r="C8" s="2">
        <f>33/38</f>
        <v>0.86842105263157898</v>
      </c>
      <c r="D8" s="2">
        <f>46/61</f>
        <v>0.75409836065573765</v>
      </c>
      <c r="E8" s="2">
        <f>48/86</f>
        <v>0.55813953488372092</v>
      </c>
      <c r="F8" s="2">
        <f>33/38</f>
        <v>0.86842105263157898</v>
      </c>
      <c r="G8" s="2">
        <f>46/61</f>
        <v>0.75409836065573765</v>
      </c>
      <c r="H8" s="2">
        <f>48/86</f>
        <v>0.55813953488372092</v>
      </c>
      <c r="I8" s="2">
        <f>33/38</f>
        <v>0.86842105263157898</v>
      </c>
      <c r="J8" s="2">
        <f>46/61</f>
        <v>0.75409836065573765</v>
      </c>
      <c r="K8" s="2">
        <f>48/86</f>
        <v>0.55813953488372092</v>
      </c>
      <c r="L8" s="2">
        <f>33/38</f>
        <v>0.86842105263157898</v>
      </c>
      <c r="M8" s="2">
        <f>46/61</f>
        <v>0.75409836065573765</v>
      </c>
      <c r="N8" s="2">
        <f>48/86</f>
        <v>0.55813953488372092</v>
      </c>
      <c r="O8" s="2">
        <f>33/38</f>
        <v>0.86842105263157898</v>
      </c>
      <c r="P8" s="2">
        <f>46/61</f>
        <v>0.75409836065573765</v>
      </c>
      <c r="Q8" s="2">
        <f>48/86</f>
        <v>0.55813953488372092</v>
      </c>
      <c r="R8" s="2">
        <f>33/38</f>
        <v>0.86842105263157898</v>
      </c>
      <c r="S8" s="2">
        <f>46/61</f>
        <v>0.75409836065573765</v>
      </c>
      <c r="T8" s="2">
        <f>48/86</f>
        <v>0.55813953488372092</v>
      </c>
      <c r="U8" s="2">
        <f>33/38</f>
        <v>0.86842105263157898</v>
      </c>
      <c r="V8" s="2">
        <f>46/61</f>
        <v>0.75409836065573765</v>
      </c>
      <c r="W8" s="2">
        <f>48/86</f>
        <v>0.55813953488372092</v>
      </c>
      <c r="X8" s="2">
        <f>33/38</f>
        <v>0.86842105263157898</v>
      </c>
      <c r="Y8" s="2">
        <f>46/61</f>
        <v>0.75409836065573765</v>
      </c>
      <c r="Z8" s="2">
        <f>48/86</f>
        <v>0.55813953488372092</v>
      </c>
    </row>
    <row r="9" spans="1:26" x14ac:dyDescent="0.35">
      <c r="A9" t="s">
        <v>33</v>
      </c>
      <c r="B9">
        <v>1980</v>
      </c>
      <c r="C9" s="4">
        <v>0.3</v>
      </c>
      <c r="D9" s="4">
        <v>0.3</v>
      </c>
      <c r="E9" s="4">
        <v>0.3</v>
      </c>
      <c r="F9" s="4">
        <v>0.3</v>
      </c>
      <c r="G9" s="4">
        <v>0.3</v>
      </c>
      <c r="H9" s="4">
        <v>0.3</v>
      </c>
      <c r="I9" s="4">
        <v>0.15</v>
      </c>
      <c r="J9" s="4">
        <v>0.15</v>
      </c>
      <c r="K9" s="4">
        <v>0.15</v>
      </c>
      <c r="L9" s="4">
        <v>0.15</v>
      </c>
      <c r="M9" s="4">
        <v>0.15</v>
      </c>
      <c r="N9" s="4">
        <v>0.15</v>
      </c>
      <c r="O9" s="4">
        <v>0.15</v>
      </c>
      <c r="P9" s="4">
        <v>0.15</v>
      </c>
      <c r="Q9" s="4">
        <v>0.15</v>
      </c>
      <c r="R9" s="4">
        <v>0.15</v>
      </c>
      <c r="S9" s="4">
        <v>0.15</v>
      </c>
      <c r="T9" s="4">
        <v>0.15</v>
      </c>
      <c r="U9" s="4">
        <v>0.5</v>
      </c>
      <c r="V9" s="4">
        <v>0.5</v>
      </c>
      <c r="W9" s="4">
        <v>0.5</v>
      </c>
      <c r="X9" s="4">
        <v>0.5</v>
      </c>
      <c r="Y9" s="4">
        <v>0.5</v>
      </c>
      <c r="Z9" s="4">
        <v>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87944-41BF-4805-96D1-25BA9FD42B50}">
  <dimension ref="A1:Z13"/>
  <sheetViews>
    <sheetView workbookViewId="0">
      <selection activeCell="F14" sqref="F14"/>
    </sheetView>
  </sheetViews>
  <sheetFormatPr defaultRowHeight="14.5" x14ac:dyDescent="0.35"/>
  <cols>
    <col min="1" max="1" width="9.81640625" bestFit="1" customWidth="1"/>
    <col min="10" max="10" width="9.453125" customWidth="1"/>
  </cols>
  <sheetData>
    <row r="1" spans="1:26" x14ac:dyDescent="0.35">
      <c r="A1" t="s">
        <v>24</v>
      </c>
      <c r="B1" t="s">
        <v>25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</row>
    <row r="2" spans="1:26" x14ac:dyDescent="0.35">
      <c r="A2" t="s">
        <v>34</v>
      </c>
      <c r="B2">
        <v>1980</v>
      </c>
      <c r="C2" s="3">
        <v>9.2425124802268856E-3</v>
      </c>
      <c r="D2" s="3">
        <v>1.8038674482371383E-2</v>
      </c>
      <c r="E2" s="3">
        <v>3.6495531028323064E-2</v>
      </c>
      <c r="F2" s="3">
        <v>5.9567355936056086E-3</v>
      </c>
      <c r="G2" s="3">
        <v>1.1168804122244039E-2</v>
      </c>
      <c r="H2" s="3">
        <v>2.6807024534568558E-2</v>
      </c>
      <c r="I2" s="3">
        <v>1.4491792172299102E-3</v>
      </c>
      <c r="J2" s="3">
        <v>1.7358710745963473E-3</v>
      </c>
      <c r="K2" s="3">
        <v>1.4554123423360262E-3</v>
      </c>
      <c r="L2" s="3">
        <v>9.321773380429984E-4</v>
      </c>
      <c r="M2" s="3">
        <v>1.1248839643662324E-3</v>
      </c>
      <c r="N2" s="3">
        <v>9.3127682261217671E-4</v>
      </c>
      <c r="O2" s="3">
        <v>3.7910533017657755E-3</v>
      </c>
      <c r="P2" s="3">
        <v>4.5410392935162818E-3</v>
      </c>
      <c r="Q2" s="3">
        <v>3.8073591590627293E-3</v>
      </c>
      <c r="R2" s="3">
        <v>2.4385762183190955E-3</v>
      </c>
      <c r="S2" s="3">
        <v>2.9426968152120726E-3</v>
      </c>
      <c r="T2" s="3">
        <v>2.4362204696603252E-3</v>
      </c>
      <c r="U2" s="3">
        <v>3.8475143461624624E-2</v>
      </c>
      <c r="V2" s="3">
        <v>4.6086700548772216E-2</v>
      </c>
      <c r="W2" s="3">
        <v>3.864063050409719E-2</v>
      </c>
      <c r="X2" s="3">
        <v>2.4748945048657631E-2</v>
      </c>
      <c r="Y2" s="3">
        <v>2.9865230878345892E-2</v>
      </c>
      <c r="Z2" s="3">
        <v>2.472503671490682E-2</v>
      </c>
    </row>
    <row r="3" spans="1:26" x14ac:dyDescent="0.35">
      <c r="A3" t="s">
        <v>34</v>
      </c>
      <c r="B3">
        <v>1990</v>
      </c>
      <c r="C3" s="3">
        <v>9.8255073386452202E-3</v>
      </c>
      <c r="D3" s="3">
        <v>1.9176509513528013E-2</v>
      </c>
      <c r="E3" s="3">
        <v>3.8797578982305021E-2</v>
      </c>
      <c r="F3" s="3">
        <v>6.3324717618238316E-3</v>
      </c>
      <c r="G3" s="3">
        <v>1.1873304699536191E-2</v>
      </c>
      <c r="H3" s="3">
        <v>2.8497945429355818E-2</v>
      </c>
      <c r="I3" s="3">
        <v>1.9788203893988383E-3</v>
      </c>
      <c r="J3" s="3">
        <v>2.0019962640333297E-3</v>
      </c>
      <c r="K3" s="3">
        <v>1.4685437777775861E-3</v>
      </c>
      <c r="L3" s="3">
        <v>1.2820577504743527E-3</v>
      </c>
      <c r="M3" s="3">
        <v>1.2955733546455572E-3</v>
      </c>
      <c r="N3" s="3">
        <v>9.6418318282022063E-4</v>
      </c>
      <c r="O3" s="3">
        <v>5.3296615971374977E-3</v>
      </c>
      <c r="P3" s="3">
        <v>5.3920824058583169E-3</v>
      </c>
      <c r="Q3" s="3">
        <v>3.9553066150254312E-3</v>
      </c>
      <c r="R3" s="3">
        <v>3.4530339360872861E-3</v>
      </c>
      <c r="S3" s="3">
        <v>3.489436227522773E-3</v>
      </c>
      <c r="T3" s="3">
        <v>2.5968855534401897E-3</v>
      </c>
      <c r="U3" s="3">
        <v>4.1733028382046462E-2</v>
      </c>
      <c r="V3" s="3">
        <v>4.2221804139099296E-2</v>
      </c>
      <c r="W3" s="3">
        <v>3.0971370361151652E-2</v>
      </c>
      <c r="X3" s="3">
        <v>2.7038407717348851E-2</v>
      </c>
      <c r="Y3" s="3">
        <v>2.7323449803785382E-2</v>
      </c>
      <c r="Z3" s="3">
        <v>2.0334480253840763E-2</v>
      </c>
    </row>
    <row r="4" spans="1:26" x14ac:dyDescent="0.35">
      <c r="A4" t="s">
        <v>34</v>
      </c>
      <c r="B4">
        <v>2005</v>
      </c>
      <c r="C4" s="3">
        <v>4.3979404012379876E-3</v>
      </c>
      <c r="D4" s="3">
        <v>1.8934595710058313E-2</v>
      </c>
      <c r="E4" s="3">
        <v>4.6767349621220075E-2</v>
      </c>
      <c r="F4" s="3">
        <v>2.7344871436002895E-3</v>
      </c>
      <c r="G4" s="3">
        <v>1.1999719743461217E-2</v>
      </c>
      <c r="H4" s="3">
        <v>3.2708950241670628E-2</v>
      </c>
      <c r="I4" s="3">
        <v>1.2396408709914293E-3</v>
      </c>
      <c r="J4" s="3">
        <v>2.4635173490725249E-3</v>
      </c>
      <c r="K4" s="3">
        <v>1.7826315483355124E-3</v>
      </c>
      <c r="L4" s="3">
        <v>7.7551183387535494E-4</v>
      </c>
      <c r="M4" s="3">
        <v>1.5986574679063698E-3</v>
      </c>
      <c r="N4" s="3">
        <v>1.2179893011831401E-3</v>
      </c>
      <c r="O4" s="3">
        <v>3.4106297461870614E-3</v>
      </c>
      <c r="P4" s="3">
        <v>6.7778868441751607E-3</v>
      </c>
      <c r="Q4" s="3">
        <v>4.9045625451039458E-3</v>
      </c>
      <c r="R4" s="3">
        <v>2.1336693481394994E-3</v>
      </c>
      <c r="S4" s="3">
        <v>4.3983937942001341E-3</v>
      </c>
      <c r="T4" s="3">
        <v>3.3510596805593137E-3</v>
      </c>
      <c r="U4" s="3">
        <v>2.0884530399616071E-2</v>
      </c>
      <c r="V4" s="3">
        <v>4.150347424858538E-2</v>
      </c>
      <c r="W4" s="3">
        <v>3.0032426030575005E-2</v>
      </c>
      <c r="X4" s="3">
        <v>1.3065235947632639E-2</v>
      </c>
      <c r="Y4" s="3">
        <v>2.6932970078956568E-2</v>
      </c>
      <c r="Z4" s="3">
        <v>2.0519761151971804E-2</v>
      </c>
    </row>
    <row r="5" spans="1:26" x14ac:dyDescent="0.35">
      <c r="A5" t="s">
        <v>34</v>
      </c>
      <c r="B5">
        <v>2024</v>
      </c>
      <c r="C5" s="3">
        <v>1.5116042286348469E-3</v>
      </c>
      <c r="D5" s="3">
        <v>2.1252206081061563E-2</v>
      </c>
      <c r="E5" s="3">
        <v>5.5338632537204356E-2</v>
      </c>
      <c r="F5" s="3">
        <v>9.5153869066014923E-4</v>
      </c>
      <c r="G5" s="3">
        <v>1.4018091807244585E-2</v>
      </c>
      <c r="H5" s="3">
        <v>3.7341383411790365E-2</v>
      </c>
      <c r="I5" s="3">
        <v>4.8269051570177472E-4</v>
      </c>
      <c r="J5" s="3">
        <v>3.7406532133700265E-3</v>
      </c>
      <c r="K5" s="3">
        <v>3.3895711962685687E-3</v>
      </c>
      <c r="L5" s="3">
        <v>3.023578733477638E-4</v>
      </c>
      <c r="M5" s="3">
        <v>2.4747087023300062E-3</v>
      </c>
      <c r="N5" s="3">
        <v>2.3138745106789358E-3</v>
      </c>
      <c r="O5" s="3">
        <v>1.0564083484407927E-3</v>
      </c>
      <c r="P5" s="3">
        <v>6.9575854914156205E-3</v>
      </c>
      <c r="Q5" s="3">
        <v>6.0718239271718216E-3</v>
      </c>
      <c r="R5" s="3">
        <v>6.6021946788870042E-4</v>
      </c>
      <c r="S5" s="3">
        <v>4.5447953716199543E-3</v>
      </c>
      <c r="T5" s="3">
        <v>4.2407007135885728E-3</v>
      </c>
      <c r="U5" s="3">
        <v>6.7774666058225529E-3</v>
      </c>
      <c r="V5" s="3">
        <v>4.4602112830308398E-2</v>
      </c>
      <c r="W5" s="3">
        <v>3.9108563794420327E-2</v>
      </c>
      <c r="X5" s="3">
        <v>4.2348582992285388E-3</v>
      </c>
      <c r="Y5" s="3">
        <v>2.9149210218059302E-2</v>
      </c>
      <c r="Z5" s="3">
        <v>2.7321796414283506E-2</v>
      </c>
    </row>
    <row r="6" spans="1:26" x14ac:dyDescent="0.35">
      <c r="A6" t="s">
        <v>35</v>
      </c>
      <c r="B6">
        <v>1980</v>
      </c>
      <c r="C6">
        <v>0.6</v>
      </c>
      <c r="D6">
        <v>0.25</v>
      </c>
      <c r="E6">
        <v>7.0000000000000007E-2</v>
      </c>
      <c r="F6">
        <v>0.6</v>
      </c>
      <c r="G6">
        <v>0.25</v>
      </c>
      <c r="H6">
        <v>7.0000000000000007E-2</v>
      </c>
      <c r="I6">
        <v>0.6</v>
      </c>
      <c r="J6">
        <v>0.25</v>
      </c>
      <c r="K6">
        <v>7.0000000000000007E-2</v>
      </c>
      <c r="L6">
        <v>0.6</v>
      </c>
      <c r="M6">
        <v>0.25</v>
      </c>
      <c r="N6">
        <v>7.0000000000000007E-2</v>
      </c>
      <c r="O6">
        <v>0.6</v>
      </c>
      <c r="P6">
        <v>0.25</v>
      </c>
      <c r="Q6">
        <v>7.0000000000000007E-2</v>
      </c>
      <c r="R6">
        <v>0.6</v>
      </c>
      <c r="S6">
        <v>0.25</v>
      </c>
      <c r="T6">
        <v>7.0000000000000007E-2</v>
      </c>
      <c r="U6">
        <v>0.6</v>
      </c>
      <c r="V6">
        <v>0.25</v>
      </c>
      <c r="W6">
        <v>7.0000000000000007E-2</v>
      </c>
      <c r="X6">
        <v>0.6</v>
      </c>
      <c r="Y6">
        <v>0.25</v>
      </c>
      <c r="Z6">
        <v>7.0000000000000007E-2</v>
      </c>
    </row>
    <row r="7" spans="1:26" x14ac:dyDescent="0.35">
      <c r="A7" t="s">
        <v>35</v>
      </c>
      <c r="B7">
        <v>1990</v>
      </c>
      <c r="C7">
        <v>0.6</v>
      </c>
      <c r="D7">
        <v>0.25</v>
      </c>
      <c r="E7">
        <v>7.0000000000000007E-2</v>
      </c>
      <c r="F7">
        <v>0.6</v>
      </c>
      <c r="G7">
        <v>0.25</v>
      </c>
      <c r="H7">
        <v>7.0000000000000007E-2</v>
      </c>
      <c r="I7">
        <v>0.6</v>
      </c>
      <c r="J7">
        <v>0.25</v>
      </c>
      <c r="K7">
        <v>7.0000000000000007E-2</v>
      </c>
      <c r="L7">
        <v>0.6</v>
      </c>
      <c r="M7">
        <v>0.25</v>
      </c>
      <c r="N7">
        <v>7.0000000000000007E-2</v>
      </c>
      <c r="O7">
        <v>0.6</v>
      </c>
      <c r="P7">
        <v>0.25</v>
      </c>
      <c r="Q7">
        <v>7.0000000000000007E-2</v>
      </c>
      <c r="R7">
        <v>0.6</v>
      </c>
      <c r="S7">
        <v>0.25</v>
      </c>
      <c r="T7">
        <v>7.0000000000000007E-2</v>
      </c>
      <c r="U7">
        <v>0.6</v>
      </c>
      <c r="V7">
        <v>0.25</v>
      </c>
      <c r="W7">
        <v>7.0000000000000007E-2</v>
      </c>
      <c r="X7">
        <v>0.6</v>
      </c>
      <c r="Y7">
        <v>0.25</v>
      </c>
      <c r="Z7">
        <v>7.0000000000000007E-2</v>
      </c>
    </row>
    <row r="8" spans="1:26" x14ac:dyDescent="0.35">
      <c r="A8" t="s">
        <v>35</v>
      </c>
      <c r="B8">
        <v>2005</v>
      </c>
      <c r="C8">
        <v>0.6</v>
      </c>
      <c r="D8">
        <v>0.25</v>
      </c>
      <c r="E8">
        <v>7.0000000000000007E-2</v>
      </c>
      <c r="F8">
        <v>0.6</v>
      </c>
      <c r="G8">
        <v>0.25</v>
      </c>
      <c r="H8">
        <v>7.0000000000000007E-2</v>
      </c>
      <c r="I8">
        <v>0.6</v>
      </c>
      <c r="J8">
        <v>0.25</v>
      </c>
      <c r="K8">
        <v>7.0000000000000007E-2</v>
      </c>
      <c r="L8">
        <v>0.6</v>
      </c>
      <c r="M8">
        <v>0.25</v>
      </c>
      <c r="N8">
        <v>7.0000000000000007E-2</v>
      </c>
      <c r="O8">
        <v>0.6</v>
      </c>
      <c r="P8">
        <v>0.25</v>
      </c>
      <c r="Q8">
        <v>7.0000000000000007E-2</v>
      </c>
      <c r="R8">
        <v>0.6</v>
      </c>
      <c r="S8">
        <v>0.25</v>
      </c>
      <c r="T8">
        <v>7.0000000000000007E-2</v>
      </c>
      <c r="U8">
        <v>0.6</v>
      </c>
      <c r="V8">
        <v>0.25</v>
      </c>
      <c r="W8">
        <v>7.0000000000000007E-2</v>
      </c>
      <c r="X8">
        <v>0.6</v>
      </c>
      <c r="Y8">
        <v>0.25</v>
      </c>
      <c r="Z8">
        <v>7.0000000000000007E-2</v>
      </c>
    </row>
    <row r="9" spans="1:26" x14ac:dyDescent="0.35">
      <c r="A9" t="s">
        <v>35</v>
      </c>
      <c r="B9">
        <v>2024</v>
      </c>
      <c r="C9">
        <v>0.6</v>
      </c>
      <c r="D9">
        <v>0.25</v>
      </c>
      <c r="E9">
        <v>7.0000000000000007E-2</v>
      </c>
      <c r="F9">
        <v>0.6</v>
      </c>
      <c r="G9">
        <v>0.25</v>
      </c>
      <c r="H9">
        <v>7.0000000000000007E-2</v>
      </c>
      <c r="I9">
        <v>0.6</v>
      </c>
      <c r="J9">
        <v>0.25</v>
      </c>
      <c r="K9">
        <v>7.0000000000000007E-2</v>
      </c>
      <c r="L9">
        <v>0.6</v>
      </c>
      <c r="M9">
        <v>0.25</v>
      </c>
      <c r="N9">
        <v>7.0000000000000007E-2</v>
      </c>
      <c r="O9">
        <v>0.6</v>
      </c>
      <c r="P9">
        <v>0.25</v>
      </c>
      <c r="Q9">
        <v>7.0000000000000007E-2</v>
      </c>
      <c r="R9">
        <v>0.6</v>
      </c>
      <c r="S9">
        <v>0.25</v>
      </c>
      <c r="T9">
        <v>7.0000000000000007E-2</v>
      </c>
      <c r="U9">
        <v>0.6</v>
      </c>
      <c r="V9">
        <v>0.25</v>
      </c>
      <c r="W9">
        <v>7.0000000000000007E-2</v>
      </c>
      <c r="X9">
        <v>0.6</v>
      </c>
      <c r="Y9">
        <v>0.25</v>
      </c>
      <c r="Z9">
        <v>7.0000000000000007E-2</v>
      </c>
    </row>
    <row r="10" spans="1:26" x14ac:dyDescent="0.35">
      <c r="A10" t="s">
        <v>36</v>
      </c>
      <c r="B10">
        <v>2010</v>
      </c>
      <c r="C10">
        <v>0</v>
      </c>
      <c r="D10" s="6">
        <v>14.298647537812691</v>
      </c>
      <c r="E10" s="6">
        <v>8.0259221354587336</v>
      </c>
      <c r="F10">
        <v>0</v>
      </c>
      <c r="G10" s="6">
        <v>4.3760853001769764</v>
      </c>
      <c r="H10" s="6">
        <v>3.5876780420171328</v>
      </c>
      <c r="I10">
        <v>0</v>
      </c>
      <c r="J10" s="6">
        <v>44.622929584946398</v>
      </c>
      <c r="K10" s="6">
        <v>25.04713521735102</v>
      </c>
      <c r="L10">
        <v>0</v>
      </c>
      <c r="M10" s="6">
        <v>13.656798357405199</v>
      </c>
      <c r="N10" s="6">
        <v>11.196352957090847</v>
      </c>
      <c r="O10">
        <v>0</v>
      </c>
      <c r="P10" s="6">
        <v>15.801499760938905</v>
      </c>
      <c r="Q10" s="6">
        <v>8.8694826814484671</v>
      </c>
      <c r="R10">
        <v>0</v>
      </c>
      <c r="S10" s="6">
        <v>4.8360315646449346</v>
      </c>
      <c r="T10" s="6">
        <v>3.9647591545522936</v>
      </c>
      <c r="U10">
        <v>0</v>
      </c>
      <c r="V10" s="6">
        <v>143.25371296273633</v>
      </c>
      <c r="W10" s="6">
        <v>80.409223516684932</v>
      </c>
      <c r="X10">
        <v>0</v>
      </c>
      <c r="Y10" s="6">
        <v>43.842640769638827</v>
      </c>
      <c r="Z10" s="6">
        <v>35.943833084541822</v>
      </c>
    </row>
    <row r="11" spans="1:26" x14ac:dyDescent="0.35">
      <c r="A11" t="s">
        <v>36</v>
      </c>
      <c r="B11">
        <v>2015</v>
      </c>
      <c r="C11">
        <v>0</v>
      </c>
      <c r="D11" s="6">
        <v>10.894129101927685</v>
      </c>
      <c r="E11" s="6">
        <v>7.1082859227863864</v>
      </c>
      <c r="F11">
        <v>0</v>
      </c>
      <c r="G11" s="6">
        <v>3.5992004691417323</v>
      </c>
      <c r="H11" s="6">
        <v>3.0507476594685032</v>
      </c>
      <c r="I11">
        <v>0</v>
      </c>
      <c r="J11" s="6">
        <v>33.998177416365564</v>
      </c>
      <c r="K11" s="6">
        <v>22.183394713615311</v>
      </c>
      <c r="L11">
        <v>0</v>
      </c>
      <c r="M11" s="6">
        <v>11.232311914248786</v>
      </c>
      <c r="N11" s="6">
        <v>9.520711495957876</v>
      </c>
      <c r="O11">
        <v>0</v>
      </c>
      <c r="P11" s="6">
        <v>12.039151111635922</v>
      </c>
      <c r="Q11" s="6">
        <v>7.8553987719860006</v>
      </c>
      <c r="R11">
        <v>0</v>
      </c>
      <c r="S11" s="6">
        <v>3.9774926406371356</v>
      </c>
      <c r="T11" s="6">
        <v>3.3713949717478497</v>
      </c>
      <c r="U11">
        <v>0</v>
      </c>
      <c r="V11" s="6">
        <v>109.14489913955002</v>
      </c>
      <c r="W11" s="6">
        <v>71.215711034700504</v>
      </c>
      <c r="X11">
        <v>0</v>
      </c>
      <c r="Y11" s="6">
        <v>36.059272706616312</v>
      </c>
      <c r="Z11" s="6">
        <v>30.564494185587478</v>
      </c>
    </row>
    <row r="12" spans="1:26" x14ac:dyDescent="0.35">
      <c r="A12" t="s">
        <v>36</v>
      </c>
      <c r="B12">
        <v>2020</v>
      </c>
      <c r="C12">
        <v>0</v>
      </c>
      <c r="D12" s="6">
        <v>9.9268837871518212</v>
      </c>
      <c r="E12" s="6">
        <v>8.2132911048255579</v>
      </c>
      <c r="F12">
        <v>0</v>
      </c>
      <c r="G12" s="6">
        <v>3.7188048169150183</v>
      </c>
      <c r="H12" s="6">
        <v>3.5818618984539139</v>
      </c>
      <c r="I12">
        <v>0</v>
      </c>
      <c r="J12" s="6">
        <v>30.979617831728419</v>
      </c>
      <c r="K12" s="6">
        <v>25.631872501373813</v>
      </c>
      <c r="L12">
        <v>0</v>
      </c>
      <c r="M12" s="6">
        <v>11.605570739926311</v>
      </c>
      <c r="N12" s="6">
        <v>11.178202054077738</v>
      </c>
      <c r="O12">
        <v>0</v>
      </c>
      <c r="P12" s="6">
        <v>10.97024396011814</v>
      </c>
      <c r="Q12" s="6">
        <v>9.0765449729573451</v>
      </c>
      <c r="R12">
        <v>0</v>
      </c>
      <c r="S12" s="6">
        <v>4.1096679437732488</v>
      </c>
      <c r="T12" s="6">
        <v>3.9583317081185836</v>
      </c>
      <c r="U12">
        <v>0</v>
      </c>
      <c r="V12" s="6">
        <v>99.454368456768421</v>
      </c>
      <c r="W12" s="6">
        <v>82.286415082168119</v>
      </c>
      <c r="X12">
        <v>0</v>
      </c>
      <c r="Y12" s="6">
        <v>37.257551554996866</v>
      </c>
      <c r="Z12" s="6">
        <v>35.885562946869562</v>
      </c>
    </row>
    <row r="13" spans="1:26" x14ac:dyDescent="0.35">
      <c r="A13" t="s">
        <v>36</v>
      </c>
      <c r="B13">
        <v>2024</v>
      </c>
      <c r="C13">
        <v>0</v>
      </c>
      <c r="D13" s="6">
        <v>10.379478235753581</v>
      </c>
      <c r="E13" s="6">
        <v>9.3649135884610573</v>
      </c>
      <c r="F13">
        <v>0</v>
      </c>
      <c r="G13" s="6">
        <v>4.2050907058008926</v>
      </c>
      <c r="H13" s="6">
        <v>4.3774729044004834</v>
      </c>
      <c r="I13">
        <v>0</v>
      </c>
      <c r="J13" s="6">
        <v>32.392065418612816</v>
      </c>
      <c r="K13" s="6">
        <v>29.225832619616511</v>
      </c>
      <c r="L13">
        <v>0</v>
      </c>
      <c r="M13" s="6">
        <v>13.123161891153952</v>
      </c>
      <c r="N13" s="6">
        <v>13.661128764556896</v>
      </c>
      <c r="O13">
        <v>0</v>
      </c>
      <c r="P13" s="6">
        <v>11.470408122670609</v>
      </c>
      <c r="Q13" s="6">
        <v>10.349208163775593</v>
      </c>
      <c r="R13">
        <v>0</v>
      </c>
      <c r="S13" s="6">
        <v>4.6470646686493389</v>
      </c>
      <c r="T13" s="6">
        <v>4.8375650123187821</v>
      </c>
      <c r="U13">
        <v>0</v>
      </c>
      <c r="V13" s="6">
        <v>103.98877180205452</v>
      </c>
      <c r="W13" s="6">
        <v>93.82416340947529</v>
      </c>
      <c r="X13">
        <v>0</v>
      </c>
      <c r="Y13" s="6">
        <v>42.129498986393067</v>
      </c>
      <c r="Z13" s="6">
        <v>43.856542745795281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init_conds</vt:lpstr>
      <vt:lpstr>calib_pars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Seaman</dc:creator>
  <cp:lastModifiedBy>Chris Seaman</cp:lastModifiedBy>
  <dcterms:created xsi:type="dcterms:W3CDTF">2015-06-05T18:17:20Z</dcterms:created>
  <dcterms:modified xsi:type="dcterms:W3CDTF">2026-09-23T03:29:32Z</dcterms:modified>
</cp:coreProperties>
</file>