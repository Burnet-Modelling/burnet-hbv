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chris.seaman\Documents\hbv-vimc\frameworks\"/>
    </mc:Choice>
  </mc:AlternateContent>
  <xr:revisionPtr revIDLastSave="0" documentId="13_ncr:1_{EE9B4AEC-DA6B-42EB-BC2F-2A6376CDE305}" xr6:coauthVersionLast="47" xr6:coauthVersionMax="47" xr10:uidLastSave="{00000000-0000-0000-0000-000000000000}"/>
  <bookViews>
    <workbookView xWindow="-108" yWindow="-108" windowWidth="30936" windowHeight="17040" firstSheet="1" activeTab="6" xr2:uid="{00000000-000D-0000-FFFF-FFFF00000000}"/>
  </bookViews>
  <sheets>
    <sheet name="About" sheetId="9" r:id="rId1"/>
    <sheet name="Databook Pages" sheetId="1" r:id="rId2"/>
    <sheet name="Population types" sheetId="10" r:id="rId3"/>
    <sheet name="Compartments" sheetId="2" r:id="rId4"/>
    <sheet name="Transitions" sheetId="3" r:id="rId5"/>
    <sheet name="Characteristics" sheetId="4" r:id="rId6"/>
    <sheet name="Parameters" sheetId="6"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 i="3" l="1"/>
  <c r="AB15" i="3"/>
  <c r="S15" i="3"/>
  <c r="L15" i="3"/>
  <c r="A15" i="3"/>
  <c r="O1" i="3"/>
  <c r="N1" i="3"/>
  <c r="I1" i="3"/>
  <c r="A9" i="3"/>
  <c r="OJ1" i="3"/>
  <c r="OI1" i="3"/>
  <c r="OH1" i="3"/>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M1" i="3"/>
  <c r="L1" i="3"/>
  <c r="K1" i="3"/>
  <c r="J1" i="3"/>
  <c r="H1" i="3"/>
  <c r="G1" i="3"/>
  <c r="F1" i="3"/>
  <c r="E1" i="3"/>
  <c r="D1" i="3"/>
  <c r="C1" i="3"/>
  <c r="B1" i="3"/>
  <c r="A3" i="3"/>
  <c r="A4" i="3"/>
  <c r="A5" i="3"/>
  <c r="A6" i="3"/>
  <c r="A7" i="3"/>
  <c r="A8" i="3"/>
  <c r="A10" i="3"/>
  <c r="A11" i="3"/>
  <c r="A12" i="3"/>
  <c r="A13" i="3"/>
  <c r="A14"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00000000-0006-0000-0100-000001000000}">
      <text>
        <r>
          <rPr>
            <sz val="10"/>
            <color rgb="FF000000"/>
            <rFont val="Tahoma"/>
            <family val="2"/>
          </rPr>
          <t>For instructions on how to fill this out, please see cascade.tools/ug-frw-databookpages</t>
        </r>
      </text>
    </comment>
    <comment ref="B1" authorId="0" shapeId="0" xr:uid="{00000000-0006-0000-0100-000002000000}">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200-000001000000}">
      <text>
        <r>
          <rPr>
            <sz val="9"/>
            <color indexed="81"/>
            <rFont val="Tahoma"/>
            <family val="2"/>
          </rPr>
          <t>The code name for the population type. This should be lowercase with no spaces</t>
        </r>
      </text>
    </comment>
    <comment ref="B1" authorId="0" shapeId="0" xr:uid="{00000000-0006-0000-0200-000002000000}">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Yinzong Xiao</author>
  </authors>
  <commentList>
    <comment ref="A1" authorId="0" shapeId="0" xr:uid="{00000000-0006-0000-0300-000001000000}">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00000000-0006-0000-0300-000002000000}">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00000000-0006-0000-0300-00000300000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00000000-0006-0000-0300-000004000000}">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00000000-0006-0000-0300-000005000000}">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00000000-0006-0000-0300-000006000000}">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00000000-0006-0000-0300-000007000000}">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00000000-0006-0000-0300-000008000000}">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00000000-0006-0000-0300-000009000000}">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00000000-0006-0000-0300-00000A000000}">
      <text>
        <r>
          <rPr>
            <sz val="9"/>
            <color indexed="81"/>
            <rFont val="Tahoma"/>
            <family val="2"/>
          </rPr>
          <t>Text entered here will appear as a comment in the title row of data entry tables in the databook</t>
        </r>
      </text>
    </comment>
    <comment ref="K1" authorId="1" shapeId="0" xr:uid="{00000000-0006-0000-0300-00000B000000}">
      <text>
        <r>
          <rPr>
            <sz val="9"/>
            <color indexed="81"/>
            <rFont val="Tahoma"/>
            <family val="2"/>
          </rPr>
          <t>Assign quantity to a population type. This column must match a population type listed on the 'Population types' sheet. If left empty, the first population type listed will be used</t>
        </r>
      </text>
    </comment>
    <comment ref="A9" authorId="2" shapeId="0" xr:uid="{00000000-0006-0000-0300-00000C000000}">
      <text>
        <r>
          <rPr>
            <b/>
            <sz val="9"/>
            <color indexed="81"/>
            <rFont val="Tahoma"/>
            <family val="2"/>
          </rPr>
          <t>Yinzong Xiao:</t>
        </r>
        <r>
          <rPr>
            <sz val="9"/>
            <color indexed="81"/>
            <rFont val="Tahoma"/>
            <family val="2"/>
          </rPr>
          <t xml:space="preserve">
Newly added compartment</t>
        </r>
      </text>
    </comment>
    <comment ref="A15" authorId="2" shapeId="0" xr:uid="{00000000-0006-0000-0300-00000D000000}">
      <text>
        <r>
          <rPr>
            <b/>
            <sz val="9"/>
            <color indexed="81"/>
            <rFont val="Tahoma"/>
            <family val="2"/>
          </rPr>
          <t>Yinzong Xiao:</t>
        </r>
        <r>
          <rPr>
            <sz val="9"/>
            <color indexed="81"/>
            <rFont val="Tahoma"/>
            <family val="2"/>
          </rPr>
          <t xml:space="preserve">
Newly added compartment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400-000001000000}">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5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00000000-0006-0000-0500-000002000000}">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00000000-0006-0000-0500-000003000000}">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00000000-0006-0000-0500-000004000000}">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00000000-0006-0000-0500-000005000000}">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00000000-0006-0000-0500-000006000000}">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00000000-0006-0000-0500-000007000000}">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00000000-0006-0000-0500-000008000000}">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00000000-0006-0000-0500-000009000000}">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00000000-0006-0000-0500-00000A000000}">
      <text>
        <r>
          <rPr>
            <sz val="9"/>
            <color indexed="81"/>
            <rFont val="Tahoma"/>
            <family val="2"/>
          </rPr>
          <t>Text entered here will appear as a comment in the title row of data entry tables in the databook</t>
        </r>
      </text>
    </comment>
    <comment ref="K1" authorId="1" shapeId="0" xr:uid="{00000000-0006-0000-0500-00000B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6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00000000-0006-0000-0600-000002000000}">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00000000-0006-0000-0600-000003000000}">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00000000-0006-0000-0600-000004000000}">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00000000-0006-0000-0600-000005000000}">
      <text>
        <r>
          <rPr>
            <sz val="10"/>
            <color rgb="FF000000"/>
            <rFont val="Tahoma"/>
            <family val="2"/>
          </rPr>
          <t xml:space="preserve">This column defines a 'default_value'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F1" authorId="0" shapeId="0" xr:uid="{00000000-0006-0000-0600-000006000000}">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00000000-0006-0000-0600-000007000000}">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00000000-0006-0000-0600-000008000000}">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00000000-0006-0000-0600-00000900000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00000000-0006-0000-0600-00000A000000}">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00000000-0006-0000-0600-00000B000000}">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00000000-0006-0000-0600-00000C000000}">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00000000-0006-0000-0600-00000D000000}">
      <text>
        <r>
          <rPr>
            <sz val="9"/>
            <color indexed="81"/>
            <rFont val="Tahoma"/>
            <family val="2"/>
          </rPr>
          <t>Text entered here will appear as a comment in the title row of data entry tables in the databook</t>
        </r>
      </text>
    </comment>
    <comment ref="N1" authorId="1" shapeId="0" xr:uid="{00000000-0006-0000-0600-00000E000000}">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00000000-0006-0000-0600-00000F000000}">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00000000-0006-0000-0600-000010000000}">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7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00000000-0006-0000-0700-000002000000}">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00000000-0006-0000-0700-000003000000}">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00000000-0006-0000-0700-000004000000}">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00000000-0006-0000-0700-000005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800-000001000000}">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00000000-0006-0000-0800-000002000000}">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List>
</comments>
</file>

<file path=xl/sharedStrings.xml><?xml version="1.0" encoding="utf-8"?>
<sst xmlns="http://schemas.openxmlformats.org/spreadsheetml/2006/main" count="1359" uniqueCount="873">
  <si>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</si>
  <si>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</si>
  <si>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</si>
  <si>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</si>
  <si>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</si>
  <si>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</si>
  <si>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</si>
  <si>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</si>
  <si>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</si>
  <si>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</si>
  <si>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</si>
  <si>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</si>
  <si>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</si>
  <si>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</si>
  <si>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</si>
  <si>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</si>
  <si>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</si>
  <si>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</si>
  <si>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alive</t>
  </si>
  <si>
    <t>Name</t>
  </si>
  <si>
    <t>Description</t>
  </si>
  <si>
    <t>Template</t>
  </si>
  <si>
    <t>Calibrate</t>
  </si>
  <si>
    <t>Targetable</t>
  </si>
  <si>
    <t>This is a template cascade. For instructions on how to fill it out, please see: cascade.tools/user-guide</t>
  </si>
  <si>
    <t>Guidance</t>
  </si>
  <si>
    <t>Timescale</t>
  </si>
  <si>
    <t>Code name</t>
  </si>
  <si>
    <t>default</t>
  </si>
  <si>
    <t>Default</t>
  </si>
  <si>
    <t>Population type</t>
  </si>
  <si>
    <t>From population type</t>
  </si>
  <si>
    <t>To population type</t>
  </si>
  <si>
    <t>Timed</t>
  </si>
  <si>
    <t>Is derivative</t>
  </si>
  <si>
    <t>sh_init</t>
  </si>
  <si>
    <t>Initialization</t>
  </si>
  <si>
    <t>sh_pops</t>
  </si>
  <si>
    <t>Population Demography</t>
  </si>
  <si>
    <t>sh_data</t>
  </si>
  <si>
    <t>Calibration Data</t>
  </si>
  <si>
    <t>sh_calib</t>
  </si>
  <si>
    <t>Calibration Parameters</t>
  </si>
  <si>
    <t>sh_prog</t>
  </si>
  <si>
    <t>Natural History Parameters</t>
  </si>
  <si>
    <t>sh_cov</t>
  </si>
  <si>
    <t>Intervention Coverage</t>
  </si>
  <si>
    <t>sh_eff</t>
  </si>
  <si>
    <t>Intervention Effectiveness</t>
  </si>
  <si>
    <t>sh_utils</t>
  </si>
  <si>
    <t>Health Utilities</t>
  </si>
  <si>
    <t>sh_costs</t>
  </si>
  <si>
    <t>Model Costs</t>
  </si>
  <si>
    <t>j_init</t>
  </si>
  <si>
    <t>src_b</t>
  </si>
  <si>
    <t>sus</t>
  </si>
  <si>
    <t>vax</t>
  </si>
  <si>
    <t>j_acu</t>
  </si>
  <si>
    <t>it</t>
  </si>
  <si>
    <t>it_dx</t>
  </si>
  <si>
    <t>icl</t>
  </si>
  <si>
    <t>icl_dx</t>
  </si>
  <si>
    <t>icl_tx</t>
  </si>
  <si>
    <t>ict</t>
  </si>
  <si>
    <t>ict_dx</t>
  </si>
  <si>
    <t>ie</t>
  </si>
  <si>
    <t>ict_tx</t>
  </si>
  <si>
    <t>ie_dx</t>
  </si>
  <si>
    <t>ie_tx</t>
  </si>
  <si>
    <t>cc</t>
  </si>
  <si>
    <t>cc_dx</t>
  </si>
  <si>
    <t>cc_tx</t>
  </si>
  <si>
    <t>dc</t>
  </si>
  <si>
    <t>dc_dx</t>
  </si>
  <si>
    <t>hcc</t>
  </si>
  <si>
    <t>hcc_tx</t>
  </si>
  <si>
    <t>hcc_dx</t>
  </si>
  <si>
    <t>rec</t>
  </si>
  <si>
    <t>dd_hbv</t>
  </si>
  <si>
    <t>dd_oth</t>
  </si>
  <si>
    <t>Junction: Model Initialization</t>
  </si>
  <si>
    <t>Source: Annual Livebirths</t>
  </si>
  <si>
    <t>HBV: Susceptible</t>
  </si>
  <si>
    <t>HBV: Vaccine Protected</t>
  </si>
  <si>
    <t>HBV: Acute Infection (junction)</t>
  </si>
  <si>
    <t>HBV: eAg+ Chronic Infection</t>
  </si>
  <si>
    <t>HBV: eAg+ Chronic Infection (diagnosed)</t>
  </si>
  <si>
    <t>HBV: eAg+ Chronic Hepatitis</t>
  </si>
  <si>
    <t>HBV: eAg+ Chronic Hepatitis (diagnosed)</t>
  </si>
  <si>
    <t>HBV: eAg+ Chronic Hepatitis (treated)</t>
  </si>
  <si>
    <t>HBV: eAg- Chronic Infection</t>
  </si>
  <si>
    <t>HBV: eAg- Chronic Infection(diagnosed)</t>
  </si>
  <si>
    <t>HBV: eAg- Chronic Hepatitis</t>
  </si>
  <si>
    <t>HBV: eAg- Chronic Hepatitis (diagnosed)</t>
  </si>
  <si>
    <t>HBV: eAg- Chronic Hepatitis (treated)</t>
  </si>
  <si>
    <t>HBV:  Compensated Cirrhosis</t>
  </si>
  <si>
    <t>HBV:  Compensated Cirrhosis (treated)</t>
  </si>
  <si>
    <t>HBV:  Compensated Cirrhosis (diagnosed)</t>
  </si>
  <si>
    <t>HBV:  Decompensated Cirrhosis</t>
  </si>
  <si>
    <t>HBV:  Decompensated Cirrhosis (diagnosed)</t>
  </si>
  <si>
    <t>HBV:  Decompensated Cirrhosis (treated)</t>
  </si>
  <si>
    <t>HBV:  Hepatocellular Carcinoma</t>
  </si>
  <si>
    <t>HBV:  Hepatocellular Carcinoma (diagnosed)</t>
  </si>
  <si>
    <t>HBV:  Hepatocellular Carcinoma (treated)</t>
  </si>
  <si>
    <t>HBV: HBsAg seroclearance (recovered)</t>
  </si>
  <si>
    <t>Non-HBV associated mortality</t>
  </si>
  <si>
    <t>HBV: Attributable mortality</t>
  </si>
  <si>
    <t>y</t>
  </si>
  <si>
    <t>i_sus</t>
  </si>
  <si>
    <t>b_sus</t>
  </si>
  <si>
    <t>i_vax</t>
  </si>
  <si>
    <t>b_vax</t>
  </si>
  <si>
    <t>i_it</t>
  </si>
  <si>
    <t>i_itd</t>
  </si>
  <si>
    <t>i_ic</t>
  </si>
  <si>
    <t>i_icd</t>
  </si>
  <si>
    <t>i_ict</t>
  </si>
  <si>
    <t>i_ia</t>
  </si>
  <si>
    <t>i_iad</t>
  </si>
  <si>
    <t>i_iat</t>
  </si>
  <si>
    <t>i_ie</t>
  </si>
  <si>
    <t>i_ied</t>
  </si>
  <si>
    <t>i_iet</t>
  </si>
  <si>
    <t>i_cc</t>
  </si>
  <si>
    <t>i_ccd</t>
  </si>
  <si>
    <t>i_cct</t>
  </si>
  <si>
    <t>i_dc</t>
  </si>
  <si>
    <t>i_dcd</t>
  </si>
  <si>
    <t>i_dct</t>
  </si>
  <si>
    <t>dc_tx</t>
  </si>
  <si>
    <t>i_hcc</t>
  </si>
  <si>
    <t>i_hccd</t>
  </si>
  <si>
    <t>i_hcct</t>
  </si>
  <si>
    <t>i_rec</t>
  </si>
  <si>
    <t>mtct_inf</t>
  </si>
  <si>
    <t>mtct_rec</t>
  </si>
  <si>
    <t>echt</t>
  </si>
  <si>
    <t>horiz</t>
  </si>
  <si>
    <t>acm</t>
  </si>
  <si>
    <t>echt, horiz</t>
  </si>
  <si>
    <t>acu_it</t>
  </si>
  <si>
    <t>acu_icl</t>
  </si>
  <si>
    <t>acu_clr</t>
  </si>
  <si>
    <t>m_acu</t>
  </si>
  <si>
    <t>m_dc</t>
  </si>
  <si>
    <t>m_hcc</t>
  </si>
  <si>
    <t>it_icl</t>
  </si>
  <si>
    <t>it_hcc</t>
  </si>
  <si>
    <t>icl_ict</t>
  </si>
  <si>
    <t>icl_ict_t</t>
  </si>
  <si>
    <t>icl_cc</t>
  </si>
  <si>
    <t>icl_cc_t</t>
  </si>
  <si>
    <t>icl_hcc</t>
  </si>
  <si>
    <t>icl_hcc_t</t>
  </si>
  <si>
    <t>icl_clr</t>
  </si>
  <si>
    <t>ict_clr</t>
  </si>
  <si>
    <t>ie_clr</t>
  </si>
  <si>
    <t>icl_clr_t</t>
  </si>
  <si>
    <t>ict_icl</t>
  </si>
  <si>
    <t>ict_icl_t</t>
  </si>
  <si>
    <t>ict_ie</t>
  </si>
  <si>
    <t>ict_ie_t</t>
  </si>
  <si>
    <t>ict_hcc</t>
  </si>
  <si>
    <t>ie_hcc</t>
  </si>
  <si>
    <t>cc_hcc</t>
  </si>
  <si>
    <t>dc_hcc</t>
  </si>
  <si>
    <t>ict_hcc_t</t>
  </si>
  <si>
    <t>ie_hcc_t</t>
  </si>
  <si>
    <t>cc_hcc_t</t>
  </si>
  <si>
    <t>dc_hcc_t</t>
  </si>
  <si>
    <t>ict_clr_t</t>
  </si>
  <si>
    <t>ie_clr_t</t>
  </si>
  <si>
    <t>cc_dc</t>
  </si>
  <si>
    <t>cc_dc_t</t>
  </si>
  <si>
    <t>m_dc_t</t>
  </si>
  <si>
    <t>m_hcc_t</t>
  </si>
  <si>
    <t>ie_cc</t>
  </si>
  <si>
    <t>ie_cc_t</t>
  </si>
  <si>
    <t>Total Population</t>
  </si>
  <si>
    <t>chb_pop</t>
  </si>
  <si>
    <t>People living with chronic hepatitis B</t>
  </si>
  <si>
    <t>prev</t>
  </si>
  <si>
    <t>Prevalence of chronic hepatitis B</t>
  </si>
  <si>
    <t>eag_ott</t>
  </si>
  <si>
    <t>Prevalence of HBeAg among people living with chronic hepatitis B</t>
  </si>
  <si>
    <t>eag_tot</t>
  </si>
  <si>
    <t>Prevalence of HBeAg in the total living population</t>
  </si>
  <si>
    <t>eag_supr</t>
  </si>
  <si>
    <t xml:space="preserve">Prevalence of virally suppressed HBeAg positive in the population </t>
  </si>
  <si>
    <t>sag_supr</t>
  </si>
  <si>
    <t>sag_tot</t>
  </si>
  <si>
    <t>comp</t>
  </si>
  <si>
    <t>decomp</t>
  </si>
  <si>
    <t>hepcc</t>
  </si>
  <si>
    <t>undiag</t>
  </si>
  <si>
    <t>diag</t>
  </si>
  <si>
    <t>treat</t>
  </si>
  <si>
    <t>Prevalence of non-HBeAg among the total living population</t>
  </si>
  <si>
    <t>Prevalence of virally suppressed non-HBeAg among the total living population</t>
  </si>
  <si>
    <t>People living with compensated cirrhosis attributable to HBV</t>
  </si>
  <si>
    <t>People living with decompensated cirrhosis attributable to HBV</t>
  </si>
  <si>
    <t>People living with hepatocellular carcinoma attributable to HBV</t>
  </si>
  <si>
    <t>cc, cc_dx, cc_tx</t>
  </si>
  <si>
    <t>dc, dc_dx, dc_tx</t>
  </si>
  <si>
    <t xml:space="preserve"> hcc, hcc_dx, hcc_tx</t>
  </si>
  <si>
    <t>it, icl, ict, ie, cc, dc, hcc</t>
  </si>
  <si>
    <t>#ignore</t>
  </si>
  <si>
    <t>Population Demographics</t>
  </si>
  <si>
    <t>b_rate</t>
  </si>
  <si>
    <t>Estimated Annual Livebirths</t>
  </si>
  <si>
    <t>Age/sex specific all-cause mortality rate</t>
  </si>
  <si>
    <t>life_exp</t>
  </si>
  <si>
    <t>Age/sex specific years life remaining</t>
  </si>
  <si>
    <t>Discounting</t>
  </si>
  <si>
    <t>disc</t>
  </si>
  <si>
    <t>Annual disounting rate</t>
  </si>
  <si>
    <t>number</t>
  </si>
  <si>
    <t>probability</t>
  </si>
  <si>
    <t>Model Initialization</t>
  </si>
  <si>
    <t>Initial vaccination coverage</t>
  </si>
  <si>
    <t>proportion</t>
  </si>
  <si>
    <t>i_dx</t>
  </si>
  <si>
    <t>i_tx</t>
  </si>
  <si>
    <t>i_hcp</t>
  </si>
  <si>
    <t>i_dcp</t>
  </si>
  <si>
    <t>i_ccp</t>
  </si>
  <si>
    <t>i_uchb</t>
  </si>
  <si>
    <t>i_epos</t>
  </si>
  <si>
    <t>i_edis</t>
  </si>
  <si>
    <t>i_sdis</t>
  </si>
  <si>
    <t>i_chb</t>
  </si>
  <si>
    <t>0</t>
  </si>
  <si>
    <t>Initial recovered proportion</t>
  </si>
  <si>
    <t>Initial diagnosis coverage</t>
  </si>
  <si>
    <t>Initial treatment coverage</t>
  </si>
  <si>
    <t>Initial proportion of CHB with HCC</t>
  </si>
  <si>
    <t>Initial proportion of CHB with DC</t>
  </si>
  <si>
    <t>Initial proportion of CHB with CC</t>
  </si>
  <si>
    <t>Unadjusted initial CHB prevalence</t>
  </si>
  <si>
    <t>Initial proportion HBeAg+ with chronic infection</t>
  </si>
  <si>
    <t>Initial proportion HBeAg- with chronic infection</t>
  </si>
  <si>
    <t>Adjusted initial CHB prevalence</t>
  </si>
  <si>
    <t>max(i_uchb-(i_uchb*(i_ccp+i_dcp+i_hcp)),0)</t>
  </si>
  <si>
    <t>i_chb*i_epos*i_edis*(1-i_dx)</t>
  </si>
  <si>
    <t>i_chb*i_epos*i_edis*i_dx</t>
  </si>
  <si>
    <t>i_chb*i_epos*(1-i_edis)*(1-i_dx)</t>
  </si>
  <si>
    <t>i_chb*i_epos*(1-i_edis)*i_dx</t>
  </si>
  <si>
    <t>i_chb*i_epos*(1-i_edis)*i_tx</t>
  </si>
  <si>
    <t>i_chb*(1-i_epos)*i_sdis*(1-i_dx)</t>
  </si>
  <si>
    <t>i_chb*(1-i_epos)*i_sdis*i_dx</t>
  </si>
  <si>
    <t>i_chb*(1-i_epos)*i_sdis*i_tx</t>
  </si>
  <si>
    <t>i_chb*(1-i_epos)*(1-i_sdis)*(1-i_dx)</t>
  </si>
  <si>
    <t>i_chb*(1-i_epos)*(1-i_sdis)*i_dx</t>
  </si>
  <si>
    <t>i_chb*(1-i_epos)*(1-i_sdis)*i_tx</t>
  </si>
  <si>
    <t>i_uchb*i_ccp*(1-i_dx)</t>
  </si>
  <si>
    <t>i_uchb*i_ccp*i_dx</t>
  </si>
  <si>
    <t>i_uchb*i_ccp*i_tx</t>
  </si>
  <si>
    <t>i_uchb*i_dcp*(1-i_dx)</t>
  </si>
  <si>
    <t>i_uchb*i_dcp*i_dx</t>
  </si>
  <si>
    <t>i_uchb*i_dcp*i_tx</t>
  </si>
  <si>
    <t>i_uchb*i_hcp*(1-i_dx)</t>
  </si>
  <si>
    <t>i_uchb*i_hcp*i_dx</t>
  </si>
  <si>
    <t>i_uchb*i_hcp*i_tx</t>
  </si>
  <si>
    <t>1-(i_uchb+i_rec+i_vax)</t>
  </si>
  <si>
    <t>Initial HBeAg+ chronic infection (undiagnosed)</t>
  </si>
  <si>
    <t>Initial HBeAg+ chronic infection (diagnosed)</t>
  </si>
  <si>
    <t>Initial HBeAg+ chronic hepatitis (undiagnosed)</t>
  </si>
  <si>
    <t>Initial HBeAg+ chronic hepatitis (diagnosed)</t>
  </si>
  <si>
    <t>Initial HBeAg+ chronic hepatitis (treated)</t>
  </si>
  <si>
    <t>Initial HBeAg- chronic infection(diagnosed)</t>
  </si>
  <si>
    <t>Initial HBeAg- chronic infection (undiagnosed)</t>
  </si>
  <si>
    <t>Initial HBeAg- chronic infection (treated)</t>
  </si>
  <si>
    <t>Initial HBeAg- chronic hepatitis (undiagnosed)</t>
  </si>
  <si>
    <t>Initial HBeAg- chronic hepatitis (diagnosed)</t>
  </si>
  <si>
    <t>Initial HBeAg- chronic hepatitis (treated)</t>
  </si>
  <si>
    <t>Vaccine Effectiveness</t>
  </si>
  <si>
    <t>Initial: Compensated Cirrhosis (undiagnosed)</t>
  </si>
  <si>
    <t>Initial: Compensated Cirrhosis (diagnosed)</t>
  </si>
  <si>
    <t>Initial: Compensated Cirrhosis (treated)</t>
  </si>
  <si>
    <t>Initial: Decompensated Cirrhosis (undiagnosed)</t>
  </si>
  <si>
    <t>Initial: Decompensated Cirrhosis (diagnosed)</t>
  </si>
  <si>
    <t>Initial: Decompensated Cirrhosis (treated)</t>
  </si>
  <si>
    <t>Initial: Hepatocellular Carcinoma (undiagnosed)</t>
  </si>
  <si>
    <t>Initial: Hepatocellular Carcinoma (diagnosed)</t>
  </si>
  <si>
    <t>Initial: Hepatocellular Carcinoma (treated)</t>
  </si>
  <si>
    <t>Initial: Hepatitis B susceptible population</t>
  </si>
  <si>
    <t>eag_ve</t>
  </si>
  <si>
    <t>sag_ve</t>
  </si>
  <si>
    <t>hb3_ve</t>
  </si>
  <si>
    <t>mav_ve</t>
  </si>
  <si>
    <t>Vaccine Effectiveness: HepB-BD, eAg+ mother</t>
  </si>
  <si>
    <t>Vaccine Effectiveness: HepB-BD, eAg- mother</t>
  </si>
  <si>
    <t>Vaccine Effectiveness: HepB3</t>
  </si>
  <si>
    <t>Vaccine Effectiveness: HepB-BD, eAg+ mother, mAV (sensitivity)</t>
  </si>
  <si>
    <t>bd</t>
  </si>
  <si>
    <t>HepB-BD Coverage (%)</t>
  </si>
  <si>
    <t>hb3</t>
  </si>
  <si>
    <t>HepB3 Coverage (%)</t>
  </si>
  <si>
    <t>mav</t>
  </si>
  <si>
    <t>Maternal Antiviral Coverage (% of HepB-BD in eAg+ mothers; sensitivity)</t>
  </si>
  <si>
    <t>Vaccine Coverage and Unit Costs</t>
  </si>
  <si>
    <t>MTCT: Assumptions and Inputs</t>
  </si>
  <si>
    <t>eag_hvl</t>
  </si>
  <si>
    <t>sag_hvl</t>
  </si>
  <si>
    <t>hvl_trisk</t>
  </si>
  <si>
    <t>lvl_trisk</t>
  </si>
  <si>
    <t>ci_p</t>
  </si>
  <si>
    <t>hbe_pos</t>
  </si>
  <si>
    <t>hbe_neg</t>
  </si>
  <si>
    <t>e_preg</t>
  </si>
  <si>
    <t>s_preg</t>
  </si>
  <si>
    <t>MTCT: Decision Tree Model</t>
  </si>
  <si>
    <t>eag_ix</t>
  </si>
  <si>
    <t>sag_ix</t>
  </si>
  <si>
    <t>foi_out</t>
  </si>
  <si>
    <t>foi_in_horiz</t>
  </si>
  <si>
    <t>ad_pop_sus</t>
  </si>
  <si>
    <t>foi_in_ec</t>
  </si>
  <si>
    <t>ch_pop_sus</t>
  </si>
  <si>
    <t xml:space="preserve">Horizontal Transmission: Outputs </t>
  </si>
  <si>
    <t>Horizontal Transmission: Assumptions and Inputs (calibrated)</t>
  </si>
  <si>
    <t>Acute Infection</t>
  </si>
  <si>
    <t>Care Cascade</t>
  </si>
  <si>
    <t>MTCT: Cost Outputs (discounted)</t>
  </si>
  <si>
    <t>max(1-(m_acu+acu_it+acu_icl),0)</t>
  </si>
  <si>
    <t>Treatment Effectiveness (RR&lt;1 = less transfers, RR&gt;1 = more transfers)</t>
  </si>
  <si>
    <t>te_icl_ict</t>
  </si>
  <si>
    <t>te_icl_cc</t>
  </si>
  <si>
    <t>te_icl_hcc</t>
  </si>
  <si>
    <t>te_icl_clr</t>
  </si>
  <si>
    <t>te_ict_icl</t>
  </si>
  <si>
    <t>te_ict_ie</t>
  </si>
  <si>
    <t>te_ict_hcc</t>
  </si>
  <si>
    <t>te_ie_cc</t>
  </si>
  <si>
    <t>te_ie_hcc</t>
  </si>
  <si>
    <t>te_ie_clr</t>
  </si>
  <si>
    <t>te_cc_dc</t>
  </si>
  <si>
    <t>te_cc_hcc</t>
  </si>
  <si>
    <t>te_dc_hcc</t>
  </si>
  <si>
    <t>te_m_dc</t>
  </si>
  <si>
    <t>te_m_hcc</t>
  </si>
  <si>
    <t>Treatment Effectiveness: HBeAg seroclearance</t>
  </si>
  <si>
    <t>Treatment Effectiveness: Cirrhosis prevention from HBeAg+ chronic hepatitis</t>
  </si>
  <si>
    <t>Treatment Effectiveness: HBsAg seroclearance from HBeAg+ chronic hepatitis</t>
  </si>
  <si>
    <t>Treatment Effectiveness: HBsAg seroclearance from HBeAg- chronic hepatitis</t>
  </si>
  <si>
    <t>Treatment Effectiveness: Preventing HBeAg reactivation during HBeAg- chronic infection</t>
  </si>
  <si>
    <t>Treatment Effectiveness: Preventing HBeAg- chronic hepatitis activation from HBeAg- chronic infection</t>
  </si>
  <si>
    <t>Treatment Effectiveness: Cirrhosis prevention from HBeAg- chronic hepatitis</t>
  </si>
  <si>
    <t>Treatment Effectiveness: Prevention of decompensation from compensated cirrhosis</t>
  </si>
  <si>
    <t>te_dc_cc</t>
  </si>
  <si>
    <t>Treatment Effectiveness: Hepatocellular carcinoma prevention from HBeAg+ chronic hepatitis</t>
  </si>
  <si>
    <t>Treatment Effectiveness: Hepatocellular carcinoma prevention from HBeAg- chronic infection</t>
  </si>
  <si>
    <t>Treatment Effectiveness: Hepatocellular carcinoma prevention from HBeAg- chronic hepatitis</t>
  </si>
  <si>
    <t>Treatment Effectiveness: Hepatocellular carcinoma prevention from compensated cirrhosis</t>
  </si>
  <si>
    <t>Treatment Effectiveness: Hepatocellular carcinoma prevention from decompensated cirrhosis</t>
  </si>
  <si>
    <t>Treatment Effectiveness: Reduction in decompensated cirrhosis mortality</t>
  </si>
  <si>
    <t>Treatment Effectiveness: Reduction in hepatocellular carcinoma mortality</t>
  </si>
  <si>
    <t>rr_it_hcc</t>
  </si>
  <si>
    <t>rr_icl_hcc</t>
  </si>
  <si>
    <t>rr_ict_hcc</t>
  </si>
  <si>
    <t>rr_ie_hcc</t>
  </si>
  <si>
    <t>rr_cc_hcc</t>
  </si>
  <si>
    <t>rr_icl_cc</t>
  </si>
  <si>
    <t>rr_ict_icl</t>
  </si>
  <si>
    <t>Relative Risk: HBeAg- chronic infection to HBeAg+ chronic hepatitis (vs HBeAg+ chronic infection)</t>
  </si>
  <si>
    <t>Relative Risk: HBeAg+ chronic hepatitis to compensated cirrhosis (vs HBeAg- chronic hepatitis)</t>
  </si>
  <si>
    <t>Relative Risk: HBeAg+ chronic infection to hepatocellular carcinoma (vs decompensated cirrhosis)</t>
  </si>
  <si>
    <t>Relative Risk: HBeAg+ chronic hepatitis to hepatocellular carcinoma (vs decompensated cirrhosis)</t>
  </si>
  <si>
    <t>Relative Risk: HBeAg- chronic infection to hepatocellular carcinoma (vs decompensated cirrhosis)</t>
  </si>
  <si>
    <t>Relative Risk: HBeAg- chronic hepatitis to hepatocellular carcinoma (vs decompensated cirrhosis)</t>
  </si>
  <si>
    <t>Relative Risk: Compensated cirrhosis to hepatocellular carcinoma (vs decompensated cirrhosis)</t>
  </si>
  <si>
    <t>CHB Disease Progression Relative Rates (to simplify calibration; RR&lt;1 = less transfers, RR&gt;1 = more transfers)</t>
  </si>
  <si>
    <t>rr_ie_clr</t>
  </si>
  <si>
    <t>Relative Risk: HBeAg- chronic hepatitis to HBsAg seroclearance (vs HBeAg+ chronic hepatitis)</t>
  </si>
  <si>
    <t>rr_ict_clr</t>
  </si>
  <si>
    <t>Relative Risk: HBeAg- chronic infection to HBsAg seroclearance (vs HBeAg+ chronic hepatitis)</t>
  </si>
  <si>
    <t>te_ict_clr</t>
  </si>
  <si>
    <t>Treatment Effectiveness: HBsAg seroclearance from HBeAg- chronic infection</t>
  </si>
  <si>
    <t>CHB Disease Natural History Progression Rates (not calibrated)</t>
  </si>
  <si>
    <t>CHB Disease Progression Rates on Treatment (not calibrated)</t>
  </si>
  <si>
    <t>Calibration Parameters (Flows and Sinks)</t>
  </si>
  <si>
    <t>total_chb</t>
  </si>
  <si>
    <t>diagnosed</t>
  </si>
  <si>
    <t>treatment</t>
  </si>
  <si>
    <t>flw_hcc</t>
  </si>
  <si>
    <t>mx_mtct</t>
  </si>
  <si>
    <t>Matrix: Mother to Child Transmission</t>
  </si>
  <si>
    <t>mx_echt</t>
  </si>
  <si>
    <t>Matrix: Early Childhood Horizontal Transmission</t>
  </si>
  <si>
    <t>mx_horiz</t>
  </si>
  <si>
    <t xml:space="preserve">Matrix: Population Horizontal Transmission </t>
  </si>
  <si>
    <t>HBeAg+ chronic infection to HBeAg+ chronic hepatitis</t>
  </si>
  <si>
    <t>HBeAg+ chronic hepatitis to HBeAg- chronic infection (HBeAg seroconversion)</t>
  </si>
  <si>
    <t>HBeAg+ chronic hepatitis to HBsAg seroclearance (recovered)</t>
  </si>
  <si>
    <t>HBeAg- chronic infection to HBeAg- chronic hepatitis</t>
  </si>
  <si>
    <t>HBeAg- chronic hepatitis to compensated cirrhosis</t>
  </si>
  <si>
    <t>Decompensation of cirrhosis</t>
  </si>
  <si>
    <t>Decompensated cirrhosis to hepatocellular carcinoma</t>
  </si>
  <si>
    <t>Death from decompensated cirrhosis</t>
  </si>
  <si>
    <t>Death from hepatocellular carcinoma</t>
  </si>
  <si>
    <t>dw_chi</t>
  </si>
  <si>
    <t>dw_chb</t>
  </si>
  <si>
    <t>dw_chb_t</t>
  </si>
  <si>
    <t>dw_cc</t>
  </si>
  <si>
    <t>dw_cc_t</t>
  </si>
  <si>
    <t>dw_dc</t>
  </si>
  <si>
    <t>dw_dc_t</t>
  </si>
  <si>
    <t>dw_hcc</t>
  </si>
  <si>
    <t>dw_hcc_t</t>
  </si>
  <si>
    <t>yld</t>
  </si>
  <si>
    <t>DALYs (inputs)</t>
  </si>
  <si>
    <t>ir_hcc</t>
  </si>
  <si>
    <t>cl_acu</t>
  </si>
  <si>
    <t>cl_cir</t>
  </si>
  <si>
    <t>cl_hcc</t>
  </si>
  <si>
    <t>HBeAg+ mothers: Viral Load &lt;200,000 IU HBV DNA</t>
  </si>
  <si>
    <t>HBeAg- mothers: Viral Load &lt;200,000 IU HBV DNA</t>
  </si>
  <si>
    <t>Risk of MTCT in HVL mother</t>
  </si>
  <si>
    <t>Risk of MTCT in LVL mother</t>
  </si>
  <si>
    <t>Risk of chronic infection following MTCT</t>
  </si>
  <si>
    <t>HBeAg+ pregnancy</t>
  </si>
  <si>
    <t>HBeAg negative, non-virally suppressed, prevalence</t>
  </si>
  <si>
    <t>HBeAg- preganancy</t>
  </si>
  <si>
    <t>Chronic hepatitis B infections acquired via MTCT</t>
  </si>
  <si>
    <t>HBsAg seroclearance following MTCT</t>
  </si>
  <si>
    <t>Fully vaccinated infants</t>
  </si>
  <si>
    <t>Hepatitis B susceptible following birth</t>
  </si>
  <si>
    <t>Relative infectiousness of HBeAg+, non virally suppressed, individuals</t>
  </si>
  <si>
    <t>Baseline infectiousness in HBeAg-, non virally suppressed, individuals</t>
  </si>
  <si>
    <t>Population susceptibility to infection (&gt;5y)</t>
  </si>
  <si>
    <t>Population susceptibility to infection (0-4y)</t>
  </si>
  <si>
    <t>Force of Infection: Imparted by HBV positive population</t>
  </si>
  <si>
    <t>Force of Infection: Experienced by HBV susceptible adults</t>
  </si>
  <si>
    <t>Horizontal Transmission Rate (&gt;5y)</t>
  </si>
  <si>
    <t>Force of Infection: Experienced by HBV susceptible children</t>
  </si>
  <si>
    <t>Horizontal Transmission Rate (0-4y)</t>
  </si>
  <si>
    <t>supr_eff</t>
  </si>
  <si>
    <t>Antiviral suppression effectiveness</t>
  </si>
  <si>
    <t>SRC_POP_AVG(hbe_pos, mx_mtct, alive)</t>
  </si>
  <si>
    <t>b_rate-(mtct_inf+mtct_rec+b_vax)</t>
  </si>
  <si>
    <t>SRC_POP_AVG(foi_out, mx_horiz, alive)</t>
  </si>
  <si>
    <t>ad_pop_sus*foi_in_horiz</t>
  </si>
  <si>
    <t>SRC_POP_AVG(foi_out, mx_echt, alive)</t>
  </si>
  <si>
    <t>ch_pop_sus*foi_in_ec</t>
  </si>
  <si>
    <t>1</t>
  </si>
  <si>
    <t>Mortality:Acute hepatitis B infection</t>
  </si>
  <si>
    <t>Acute hepatitis B infection to HBeAg+ chronic infection (&lt;5y)</t>
  </si>
  <si>
    <t>Acute hepatitis B infection to HBeAg+ chronic hepatitis (&gt;5y)</t>
  </si>
  <si>
    <t>HBsAg seroclearance following acute hepatitis B</t>
  </si>
  <si>
    <t>HBeAg- chronic infection to HBeAg+ chronic hepatitis</t>
  </si>
  <si>
    <t>HBeAg- chronic infection to HBsAg seroclearance</t>
  </si>
  <si>
    <t>HBeAg- chronic hepatitis to HBsAg seroclearance</t>
  </si>
  <si>
    <t>HBeAg+ chronic hepatitis to compensated cirrhosis</t>
  </si>
  <si>
    <t>HBeAg+ chronic infection to hepatocellular carcinoma</t>
  </si>
  <si>
    <t>HBeAg+ chronic hepatitis to hepatocellular carcinoma</t>
  </si>
  <si>
    <t>HBeAg- chronic infection to hepatocellular carcinoma</t>
  </si>
  <si>
    <t>HBeAg- chronic hepatitis to hepatocellular carcinoma</t>
  </si>
  <si>
    <t>Compensated cirrhosis to hepatocellular carcinoma</t>
  </si>
  <si>
    <t>HBeAg seroclearance (on treatment)</t>
  </si>
  <si>
    <t>HBeAg+ chronic hepatitis to compensated cirrhosis (on treatment)</t>
  </si>
  <si>
    <t>HBeAg+ chronic hepatitis to hepatocellular carcinoma (on treatment)</t>
  </si>
  <si>
    <t>HBeAg+ chronic hepatitis to HBsAg seroclearance (on treatment)</t>
  </si>
  <si>
    <t>HBeAg reactivation (on treatment)</t>
  </si>
  <si>
    <t>HBeAg- chronic infection to HBeAg chronic hepatitis (on treatment)</t>
  </si>
  <si>
    <t>HBeAg- chronic infection to hepatocellular carcinoma (on treatment)</t>
  </si>
  <si>
    <t>HBeAg- chronic infection to HBsAg seroclearance (on treatment)</t>
  </si>
  <si>
    <t>HBeAg- chronic hepatitis to compensated cirrhosis (on treatment)</t>
  </si>
  <si>
    <t>HBeAg- chronic hepatitis to hepatocellular carcinoma (on treatment)</t>
  </si>
  <si>
    <t>HBeAg- chronic hepatitis to HBsAg seroclearance (on treatment)</t>
  </si>
  <si>
    <t>Decompensation of cirrhosis (on treatment)</t>
  </si>
  <si>
    <t>Compensated cirrhosis to hepatocellular carcinoma (on treatment)</t>
  </si>
  <si>
    <t>Recompensation of cirrhosis (on treatment)</t>
  </si>
  <si>
    <t>Decompensated cirrhosis to hepatocellular carcinoma (on treatment)</t>
  </si>
  <si>
    <t>Death from decompensated cirrhosis (on treatment)</t>
  </si>
  <si>
    <t>Death from hepatocellular carcinoma (on treatment)</t>
  </si>
  <si>
    <t>Disability Weight: Active chronic hepatitis B infection</t>
  </si>
  <si>
    <t>Disability Weight: Inactive chronic hepatitis B infection</t>
  </si>
  <si>
    <t>Disability Weight: Active chronic hepatitis B infection (on treatment)</t>
  </si>
  <si>
    <t>Disability Weight: Compensated cirrhosis</t>
  </si>
  <si>
    <t>Disability Weight: Compensated cirrhosis (on treatment)</t>
  </si>
  <si>
    <t>Disability Weight: Decompensated cirrhosis</t>
  </si>
  <si>
    <t>Disability Weight: Decompensated cirrhosis (on treatment)</t>
  </si>
  <si>
    <t>Disability Weight: Hepatocellular carcinoma</t>
  </si>
  <si>
    <t>Disability Weight: Hepatocellular carcinoma (on treatment)</t>
  </si>
  <si>
    <t>Years Lost to Disability</t>
  </si>
  <si>
    <t>HCC incidence rate (per 1e5)</t>
  </si>
  <si>
    <t>HCC incidence (total cases)</t>
  </si>
  <si>
    <t>Deaths from acute HBV</t>
  </si>
  <si>
    <t>Deaths from decompensated cirrhosis</t>
  </si>
  <si>
    <t>Deaths from hepatocellular carcinoma</t>
  </si>
  <si>
    <t>CHB Disease Natural History Progression Rates (can be calibrated)</t>
  </si>
  <si>
    <t>rr_ict_icl*it_icl</t>
  </si>
  <si>
    <t>rr_ict_clr*icl_clr</t>
  </si>
  <si>
    <t>rr_ie_clr*icl_clr</t>
  </si>
  <si>
    <t>rr_icl_cc*ie_cc</t>
  </si>
  <si>
    <t>rr_it_hcc*dc_hcc</t>
  </si>
  <si>
    <t>rr_icl_hcc*dc_hcc</t>
  </si>
  <si>
    <t>rr_ict_hcc*dc_hcc</t>
  </si>
  <si>
    <t>rr_ie_hcc*dc_hcc</t>
  </si>
  <si>
    <t>rr_cc_hcc*dc_hcc</t>
  </si>
  <si>
    <t>te_icl_ict*icl_ict</t>
  </si>
  <si>
    <t>te_icl_cc*icl_cc</t>
  </si>
  <si>
    <t>te_icl_hcc*icl_hcc</t>
  </si>
  <si>
    <t>te_icl_clr*icl_clr</t>
  </si>
  <si>
    <t>te_ict_icl*ict_icl</t>
  </si>
  <si>
    <t>te_ict_ie*ict_ie</t>
  </si>
  <si>
    <t>te_ict_hcc*ict_hcc</t>
  </si>
  <si>
    <t>te_ict_clr*ict_clr</t>
  </si>
  <si>
    <t>te_ie_cc*ie_cc</t>
  </si>
  <si>
    <t>te_ie_hcc*ie_hcc</t>
  </si>
  <si>
    <t>te_ie_clr*ie_clr</t>
  </si>
  <si>
    <t>te_cc_dc*cc_dc</t>
  </si>
  <si>
    <t>te_cc_hcc*cc_hcc</t>
  </si>
  <si>
    <t>te_dc_hcc*dc_hcc</t>
  </si>
  <si>
    <t>te_m_dc*m_dc</t>
  </si>
  <si>
    <t>te_m_hcc*m_hcc</t>
  </si>
  <si>
    <t>((it_hcc:flow+icl_hcc:flow+icl_hcc_t:flow+ict_hcc:flow+ict_hcc_t:flow+ie_hcc:flow+ie_hcc_t:flow+cc_hcc:flow+cc_hcc_t:flow+dc_hcc:flow+dc_hcc_t:flow)/alive)*1e5</t>
  </si>
  <si>
    <t>it_hcc:flow+icl_hcc:flow+icl_hcc_t:flow+ict_hcc:flow+ict_hcc_t:flow+ie_hcc:flow+ie_hcc_t:flow+cc_hcc:flow+cc_hcc_t:flow+dc_hcc:flow+dc_hcc_t:flow</t>
  </si>
  <si>
    <t>m_acu:flow</t>
  </si>
  <si>
    <t>m_dc:flow+m_dc_t:flow</t>
  </si>
  <si>
    <t>m_hcc:flow+m_hcc_t:flow</t>
  </si>
  <si>
    <t>tot_inc</t>
  </si>
  <si>
    <t>Total CHB incidence</t>
  </si>
  <si>
    <t>mtct_inf+j_acu:it+j_acu:icl</t>
  </si>
  <si>
    <t>SRC_POP_AVG(hbe_neg, mx_mtct, alive)</t>
  </si>
  <si>
    <t>diag_cov</t>
  </si>
  <si>
    <t>undiag,diag,treat</t>
  </si>
  <si>
    <t>diag, treat</t>
  </si>
  <si>
    <t>eag_tot-eag_supr</t>
  </si>
  <si>
    <t>sag_tot-sag_supr</t>
  </si>
  <si>
    <t>hb3_vax</t>
  </si>
  <si>
    <t>Childhood vaccination coverage</t>
  </si>
  <si>
    <t>(eag_tot-eag_supr*supr_eff)*eag_ix*sag_ix+(sag_tot-sag_supr*supr_eff)*sag_ix</t>
  </si>
  <si>
    <t>preg_scr</t>
  </si>
  <si>
    <t>preg_scr_num</t>
  </si>
  <si>
    <t>Number of pregnancies (assumed equal to number of births)</t>
  </si>
  <si>
    <t>pregs</t>
  </si>
  <si>
    <t>preg_scr_elig</t>
  </si>
  <si>
    <t>Eligible for preganancy screening (HBsAg)</t>
  </si>
  <si>
    <t>pregs*preg_scr*preg_scr_elig</t>
  </si>
  <si>
    <t>preg_scr_dbl</t>
  </si>
  <si>
    <t>Number of annual follow-up HBeAg tests</t>
  </si>
  <si>
    <t>preg_pos_prev</t>
  </si>
  <si>
    <t>preg_scr_pop</t>
  </si>
  <si>
    <t>Eligible for preganancy screening (HBsAg; proportion)</t>
  </si>
  <si>
    <t>it, icl,ict,ie,cc,dc,hcc</t>
  </si>
  <si>
    <t>Proportion of those screened HBsAg positive</t>
  </si>
  <si>
    <t>preg_diag_rate</t>
  </si>
  <si>
    <t>Annual diagnosis rate via pregnancy screening</t>
  </si>
  <si>
    <t>bd_adj</t>
  </si>
  <si>
    <t>nonv_adj</t>
  </si>
  <si>
    <t>Adjusted birth dose coverage in mAV eligible births</t>
  </si>
  <si>
    <t>Adjusted non-coverage in mAV eligible births</t>
  </si>
  <si>
    <t>1-max(mav,bd)</t>
  </si>
  <si>
    <t>b_rate*ci_p*(e_preg*mav*(1-mav_ve)*eag_hvl*hvl_trisk+e_preg*mav*(1-mav_ve)*(1-eag_hvl)*lvl_trisk+e_preg*bd_adj*(1-eag_ve)*eag_hvl*hvl_trisk+e_preg*bd_adj*(1-eag_ve)*(1-eag_hvl)*lvl_trisk+e_preg*nonv_adj*eag_hvl*hvl_trisk+e_preg*nonv_adj*(1-eag_hvl)*lvl_trisk+s_preg*bd*(1-sag_ve)*sag_hvl*hvl_trisk+s_preg*bd*(1-sag_ve)*(1-sag_hvl)*lvl_trisk+s_preg*(1-bd)*sag_hvl*hvl_trisk+s_preg*(1-bd)*(1-sag_hvl)*lvl_trisk)</t>
  </si>
  <si>
    <t>b_rate*(1-ci_p)*(e_preg*mav*(1-mav_ve)*eag_hvl*hvl_trisk+e_preg*mav*(1-mav_ve)*(1-eag_hvl)*lvl_trisk+e_preg*bd_adj*(1-eag_ve)*eag_hvl*hvl_trisk+e_preg*bd_adj*(1-eag_ve)*(1-eag_hvl)*lvl_trisk+e_preg*nonv_adj*eag_hvl*hvl_trisk+e_preg*nonv_adj*(1-eag_hvl)*lvl_trisk+s_preg*bd*(1-sag_ve)*sag_hvl*hvl_trisk+s_preg*bd*(1-sag_ve)*(1-sag_hvl)*lvl_trisk+s_preg*(1-bd)*sag_hvl*hvl_trisk+s_preg*(1-bd)*(1-sag_hvl)*lvl_trisk)</t>
  </si>
  <si>
    <t>mav_births</t>
  </si>
  <si>
    <t>e_preg*b_rate*mav</t>
  </si>
  <si>
    <t>max(0, bd-mav)</t>
  </si>
  <si>
    <t>it, icl,ict,ie,cc,dc,hcc,sus, vax</t>
  </si>
  <si>
    <t>(preg_scr_num*preg_pos_prev)</t>
  </si>
  <si>
    <t>preg_scr_pdx</t>
  </si>
  <si>
    <t>Number of annual HBeAg tests in pre-diagnosed women</t>
  </si>
  <si>
    <t>Total number of follow-up tests in pregnant women for mAV</t>
  </si>
  <si>
    <t>preg_scr_dbl+preg_scr_pdx</t>
  </si>
  <si>
    <t>net_hr_test</t>
  </si>
  <si>
    <t>it_tx</t>
  </si>
  <si>
    <t>HBV: eAg+ Chronic Infection (treated)</t>
  </si>
  <si>
    <t>HBV: eAg- Chronic Infection (treated; initiated at eAg- chronic infection phase)</t>
  </si>
  <si>
    <t>HBV: eAg- Chronic Infection (treated; initiated at eligible phases)</t>
  </si>
  <si>
    <t>ict_tx_i</t>
  </si>
  <si>
    <t>chb_uncomp</t>
  </si>
  <si>
    <t>it, it_dx, it_tx, icl, icl_dx, icl_tx, ict, ict_dx, ict_tx_i, ict_tx, ie, ie_dx, ie_tx</t>
  </si>
  <si>
    <t>it_dx, icl_dx, ict_dx, ie_dx, cc_dx, dc_dx, hcc_dx</t>
  </si>
  <si>
    <t>icl_dx, ie_dx, cc_dx, dc_dx, hcc_dx</t>
  </si>
  <si>
    <t>it_dx, ict_dx</t>
  </si>
  <si>
    <t>it_hcc_t</t>
  </si>
  <si>
    <t>it_icl_t</t>
  </si>
  <si>
    <t>Demographics</t>
  </si>
  <si>
    <t>Prevalence</t>
  </si>
  <si>
    <t>People living with uncomplicated chronic hepatitis B</t>
  </si>
  <si>
    <t>Care Cascade (total)</t>
  </si>
  <si>
    <t>diag_ntx</t>
  </si>
  <si>
    <t>Chronic hepatitis B: Diagnosed untreated</t>
  </si>
  <si>
    <t>Care Cascade (stratified by 2015 WHO treatment eligibility)</t>
  </si>
  <si>
    <t>elig_diag</t>
  </si>
  <si>
    <t>elig_undiag</t>
  </si>
  <si>
    <t>elig_diag_ntx</t>
  </si>
  <si>
    <t>elig_treat</t>
  </si>
  <si>
    <t>inelig_undiag</t>
  </si>
  <si>
    <t>inelig_diag</t>
  </si>
  <si>
    <t>inelig_diag_ntx</t>
  </si>
  <si>
    <t>inelig_treat</t>
  </si>
  <si>
    <t>Care Coverage Proportions (%)</t>
  </si>
  <si>
    <t>Eligible: Undiagnosed</t>
  </si>
  <si>
    <t>Eligible: Diagnosed</t>
  </si>
  <si>
    <t>Ineligible: Undiagnosed</t>
  </si>
  <si>
    <t>Ineligible: Diagnosed</t>
  </si>
  <si>
    <t>Eligible: Diagnosed untreated</t>
  </si>
  <si>
    <t>Ineligible: Diagnosed untreated</t>
  </si>
  <si>
    <t>Eligible: Treated</t>
  </si>
  <si>
    <t>elig</t>
  </si>
  <si>
    <t>inelig</t>
  </si>
  <si>
    <t>icl, ie, cc, dc, hcc</t>
  </si>
  <si>
    <t>it, ict</t>
  </si>
  <si>
    <t>Ineligible: Treated</t>
  </si>
  <si>
    <t>j_init, sus, vax, j_acu, it, it_dx, it_tx, icl, icl_dx, icl_tx, ict, ict_dx, ict_tx_i, ict_tx, ie, ie_dx, ie_tx, cc, cc_dx, cc_tx, dc, dc_dx, dc_tx, hcc, hcc_dx, hcc_tx, rec</t>
  </si>
  <si>
    <t>it, it_dx, it_tx, icl, icl_dx, icl_tx, ict, ict_dx, ict_tx_i, ict_tx, ie, ie_dx, ie_tx, cc, cc_dx, cc_tx, dc, dc_dx, dc_tx, hcc, hcc_dx, hcc_tx</t>
  </si>
  <si>
    <t>it, it_dx, it_tx, icl, icl_dx, icl_tx</t>
  </si>
  <si>
    <t xml:space="preserve"> it_dx, it_tx, icl_dx, icl_tx, ict_dx, ict_tx_i, ict_tx, ie_dx, ie_tx, cc_dx, cc_tx, dc_dx, dc_tx, hcc_dx, hcc_tx</t>
  </si>
  <si>
    <t>it_tx, icl_tx, ict_tx_i, ict_tx, ie_tx, cc_tx, dc_tx, hcc_tx</t>
  </si>
  <si>
    <t>Eligible: Total Population</t>
  </si>
  <si>
    <t>Ineligible: Total Population</t>
  </si>
  <si>
    <t>elig_diag_cov</t>
  </si>
  <si>
    <t>inelig_diag_cov</t>
  </si>
  <si>
    <t>treat_cov</t>
  </si>
  <si>
    <t>elig_treat_cov</t>
  </si>
  <si>
    <t>inelig_treat_cov</t>
  </si>
  <si>
    <t>Coverage: Total Diagnosed/Total CHB population</t>
  </si>
  <si>
    <t>Coverage: Total eligible diagnosed/Total eligible pop</t>
  </si>
  <si>
    <t>Coverage: Total ineligible diagnosed/Total ineligible pop</t>
  </si>
  <si>
    <t>Coverage: Total on treatment/Total CHB population</t>
  </si>
  <si>
    <t>Coverage: Total eligble on treatment/Total eligible pop</t>
  </si>
  <si>
    <t>Coverage: Total ineligble on treatment/Total ineligible pop</t>
  </si>
  <si>
    <t>Pregnancy Screening</t>
  </si>
  <si>
    <t>elig_prop</t>
  </si>
  <si>
    <t>inelig_prop</t>
  </si>
  <si>
    <t>Treatment-transmission impact</t>
  </si>
  <si>
    <t>Eligible: Proportion of total CHB cases</t>
  </si>
  <si>
    <t>Ineligible: Proportion of total CHB cases</t>
  </si>
  <si>
    <t>preg_prop</t>
  </si>
  <si>
    <t xml:space="preserve">Proportion of population pregnant </t>
  </si>
  <si>
    <t>sdiv(pregs, alive)</t>
  </si>
  <si>
    <t>preg_prop*preg_scr</t>
  </si>
  <si>
    <t>it_dx_w</t>
  </si>
  <si>
    <t>icl_dx_w</t>
  </si>
  <si>
    <t>ict_dx_w</t>
  </si>
  <si>
    <t>ie_dx_w</t>
  </si>
  <si>
    <t>cc_dx_w</t>
  </si>
  <si>
    <t>dc_dx_w</t>
  </si>
  <si>
    <t>hcc_dx_w</t>
  </si>
  <si>
    <t>bd_com</t>
  </si>
  <si>
    <t>Cost: Hepatitis B birth dose vaccine (commodity cost)</t>
  </si>
  <si>
    <t>hb3_com</t>
  </si>
  <si>
    <t>Cost: Hepatitis B infant series vaccine (commodity cost)</t>
  </si>
  <si>
    <t>vax_hr</t>
  </si>
  <si>
    <t>vax_hr_lb</t>
  </si>
  <si>
    <t>Cost: Human resources associated with vaccination (lower bound)</t>
  </si>
  <si>
    <t>vax_hr_ub</t>
  </si>
  <si>
    <t>Cost: Human resources associated with vaccination (upper bound)</t>
  </si>
  <si>
    <t>vax_del</t>
  </si>
  <si>
    <t>vax_del_lb</t>
  </si>
  <si>
    <t>Cost: Delivery costs associated with vaccination (lower bound)</t>
  </si>
  <si>
    <t>vax_del_ub</t>
  </si>
  <si>
    <t>Cost: Delivery costs associated with vaccination (upper bound)</t>
  </si>
  <si>
    <t>hbs_test</t>
  </si>
  <si>
    <t>Cost: HBsAg screening test (commodity)</t>
  </si>
  <si>
    <t>hbs_hr</t>
  </si>
  <si>
    <t>Cost: HBsAg screening test (human resource)</t>
  </si>
  <si>
    <t>hrs_preg</t>
  </si>
  <si>
    <t>Cost: High risk pregnancy (HBeAg+/HVL) screening test</t>
  </si>
  <si>
    <t>dna_test</t>
  </si>
  <si>
    <t>Cost: HBV DNA test (commodity)</t>
  </si>
  <si>
    <t>dna_hr</t>
  </si>
  <si>
    <t>Cost: HBV DNA test (human resource)</t>
  </si>
  <si>
    <t>cirr_test</t>
  </si>
  <si>
    <t>hcc_4049_prp</t>
  </si>
  <si>
    <t>Proportion: 40-49y among 15-49y eligible for HCC surveillance</t>
  </si>
  <si>
    <t>hcc_surv</t>
  </si>
  <si>
    <t>Cost: Annual HCC surveillance</t>
  </si>
  <si>
    <t>hosp</t>
  </si>
  <si>
    <t>Cost: Annual hospitalisation</t>
  </si>
  <si>
    <t>nuc</t>
  </si>
  <si>
    <t>Cost: Annual tenofovir disoproxil (TDF)</t>
  </si>
  <si>
    <t>hbig</t>
  </si>
  <si>
    <t>Optional Cost: HBIG for HBV positive (or high risk) pregnancies</t>
  </si>
  <si>
    <t>gni_pw</t>
  </si>
  <si>
    <t>Cost: Annual wage proxy (GNI per worker)</t>
  </si>
  <si>
    <t>emp_pop_ratio</t>
  </si>
  <si>
    <t>Proportion: Employment to Population ratio among 15+</t>
  </si>
  <si>
    <t>Model Costs and Economics</t>
  </si>
  <si>
    <t>te_it_hcc</t>
  </si>
  <si>
    <t>te_it_icl</t>
  </si>
  <si>
    <t>Treatment Effectiveness: Rate of disease activation from tolerant state</t>
  </si>
  <si>
    <t>Immune tolerant to immune clearance (on treatment)</t>
  </si>
  <si>
    <t>Immune tolerant to hepatocellular carcinoma (on treatment)</t>
  </si>
  <si>
    <t>te_it_icl*it_icl</t>
  </si>
  <si>
    <t>te_it_hcc*it_hcc</t>
  </si>
  <si>
    <t>it_tx, icl_tx</t>
  </si>
  <si>
    <t>ict_tx_i, ict_tx, ie_tx, cc_tx, dc_tx, hcc_tx</t>
  </si>
  <si>
    <t>(pregs*prev*(diag_cov-treat_cov))*preg_scr</t>
  </si>
  <si>
    <t>treat_diag_cov</t>
  </si>
  <si>
    <t>Coverage: Total Treated/Total Diagnosed</t>
  </si>
  <si>
    <t>dx_cov_inp</t>
  </si>
  <si>
    <t>annual_dx</t>
  </si>
  <si>
    <t>n_hcc_dx</t>
  </si>
  <si>
    <t>adj_dx_a</t>
  </si>
  <si>
    <t>annual_dx-n_hcc_dx</t>
  </si>
  <si>
    <t>n_dc_dx</t>
  </si>
  <si>
    <t>adj_dx_b</t>
  </si>
  <si>
    <t>adj_dx_a-n_dc_dx</t>
  </si>
  <si>
    <t>n_cc_dx</t>
  </si>
  <si>
    <t>min((hcc_dx_w/(it_dx_w+icl_dx_w+ict_dx_w+ie_dx_w+cc_dx_w+dc_dx_w+hcc_dx_w))*annual_dx,hcc)</t>
  </si>
  <si>
    <t>min((cc_dx_w/(it_dx_w+icl_dx_w+ict_dx_w+ie_dx_w+cc_dx_w))*adj_dx_b,cc)</t>
  </si>
  <si>
    <t>min((dc_dx_w/(it_dx_w+icl_dx_w+ict_dx_w+ie_dx_w+cc_dx_w+dc_dx_w))*adj_dx_a,dc)</t>
  </si>
  <si>
    <t>adj_dx_c</t>
  </si>
  <si>
    <t>adj_dx_b-n_cc_dx</t>
  </si>
  <si>
    <t>n_ie_dx</t>
  </si>
  <si>
    <t>adj_dx_d</t>
  </si>
  <si>
    <t>n_icl_dx</t>
  </si>
  <si>
    <t>adj_dx_e</t>
  </si>
  <si>
    <t>n_ict_dx</t>
  </si>
  <si>
    <t>adj_dx_f</t>
  </si>
  <si>
    <t>n_it_dx</t>
  </si>
  <si>
    <t>min((ie_dx_w/(it_dx_w+icl_dx_w+ict_dx_w+ie_dx_w))*adj_dx_c,ie)</t>
  </si>
  <si>
    <t>adj_dx_c-n_ie_dx</t>
  </si>
  <si>
    <t>min((icl_dx_w/(it_dx_w+icl_dx_w+ict_dx_w))*adj_dx_d,icl)</t>
  </si>
  <si>
    <t>adj_dx_d-n_icl_dx</t>
  </si>
  <si>
    <t>adj_dx_e-n_ict_dx</t>
  </si>
  <si>
    <t>min((ict_dx_w/(it_dx_w+ict_dx_w))*adj_dx_e,ict)</t>
  </si>
  <si>
    <t>min(adj_dx_f, it)</t>
  </si>
  <si>
    <t xml:space="preserve"> ict, ict_dx, ict_tx_i, ict_tx, ie, ie_dx, ie_tx, cc, cc_dx, cc_tx, dc, dc_dx, dc_tx, hcc, hcc_dx, hcc_tx</t>
  </si>
  <si>
    <t>Care Cascade: Diagnosed Coverage Calculations</t>
  </si>
  <si>
    <t>Care Cascade: Treated Coverage Calculations</t>
  </si>
  <si>
    <t>icl_tx_w</t>
  </si>
  <si>
    <t>ie_tx_w</t>
  </si>
  <si>
    <t>cc_tx_w</t>
  </si>
  <si>
    <t>dc_tx_w</t>
  </si>
  <si>
    <t>hcc_tx_w</t>
  </si>
  <si>
    <t>n_ict_tx</t>
  </si>
  <si>
    <t>n_it_tx</t>
  </si>
  <si>
    <t>tx_cov_inp_elig</t>
  </si>
  <si>
    <t>tx_cov_inp_inelig</t>
  </si>
  <si>
    <t>annual_tx_elig</t>
  </si>
  <si>
    <t>annual_tx_inelig</t>
  </si>
  <si>
    <t>max((tx_cov_inp_inelig*inelig_diag)-inelig_treat, 0)</t>
  </si>
  <si>
    <t>adj_tx_inelig</t>
  </si>
  <si>
    <t>min(0.5*annual_tx_inelig, ict_dx)</t>
  </si>
  <si>
    <t>min(adj_tx_inelig, it_dx)</t>
  </si>
  <si>
    <t>annual_tx_inelig-n_ict_tx</t>
  </si>
  <si>
    <t>it_dx, it_tx, ict_dx, ict_tx_i</t>
  </si>
  <si>
    <t>it, it_dx, it_tx, ict, ict_dx, ict_tx_i</t>
  </si>
  <si>
    <t>it_tx, ict_tx_i</t>
  </si>
  <si>
    <t>elig_treat_diag_cov</t>
  </si>
  <si>
    <t>inelig_treat_diag_cov</t>
  </si>
  <si>
    <t>Coverage: Eligible Treated/Eligible Diagnosed</t>
  </si>
  <si>
    <t>Coverage: Ineligible Treated/Ineligible Diagnosed</t>
  </si>
  <si>
    <t>Coverage of HBsAg screening in pregnancy</t>
  </si>
  <si>
    <t>icl, icl_dx, icl_tx, ie, ie_dx, ie_tx, cc, cc_dx, cc_tx, dc, dc_dx, dc_tx, hcc, hcc_dx, hcc_tx</t>
  </si>
  <si>
    <t>rate</t>
  </si>
  <si>
    <t>sdiv(max((dx_cov_inp*chb_pop)-diag, 0), undiag)</t>
  </si>
  <si>
    <t xml:space="preserve"> </t>
  </si>
  <si>
    <t>trt_pop_all</t>
  </si>
  <si>
    <t>trt_pop_elig</t>
  </si>
  <si>
    <t>max(tx_cov_inp_elig*((trt_pop_all*diag)+(trt_pop_elig*elig_diag))-elig_treat,0)</t>
  </si>
  <si>
    <t>sumprod</t>
  </si>
  <si>
    <t>(hcc_dx*hcc_tx_w)+(dc_dx*dc_tx_w)+(cc_dx*dc_tx_w)+(ie_dx*ie_tx_w)+(icl_dx*icl_tx_w)</t>
  </si>
  <si>
    <t>hcc_tx_n</t>
  </si>
  <si>
    <t>min(sdiv(hcc_dx*hcc_tx_w, sumprod)*annual_tx_elig, hcc_dx)</t>
  </si>
  <si>
    <t>hcc_tx_p</t>
  </si>
  <si>
    <t>sdiv(hcc_tx_n, hcc_dx)</t>
  </si>
  <si>
    <t>hcc_adj</t>
  </si>
  <si>
    <t>(sdiv(hcc_dx*hcc_tx_w, sumprod)*annual_tx_elig)-hcc_tx_n</t>
  </si>
  <si>
    <t>dc_tx_n</t>
  </si>
  <si>
    <t>dc_tx_p</t>
  </si>
  <si>
    <t>dc_adj</t>
  </si>
  <si>
    <t>cc_tx_n</t>
  </si>
  <si>
    <t>cc_tx_p</t>
  </si>
  <si>
    <t>cc_adj</t>
  </si>
  <si>
    <t>ie_tx_n</t>
  </si>
  <si>
    <t>ie_tx_p</t>
  </si>
  <si>
    <t>ie_adj</t>
  </si>
  <si>
    <t>icl_tx_n</t>
  </si>
  <si>
    <t>icl_tx_p</t>
  </si>
  <si>
    <t>sfall</t>
  </si>
  <si>
    <t>min(sdiv(dc_dx*dc_tx_w, sumprod)*annual_tx_elig+hcc_adj, dc_dx)</t>
  </si>
  <si>
    <t>sdiv(dc_tx_n, dc_dx)</t>
  </si>
  <si>
    <t>(sdiv(dc_dx*dc_tx_w, sumprod)*annual_tx_elig+hcc_adj)-dc_tx_n</t>
  </si>
  <si>
    <t>min(sdiv(cc_dx*cc_tx_w, sumprod)*annual_tx_elig+dc_adj, cc_dx)</t>
  </si>
  <si>
    <t>sdiv(cc_tx_n, cc_dx)</t>
  </si>
  <si>
    <t>(sdiv(cc_dx*cc_tx_w, sumprod)*annual_tx_elig+dc_adj)-cc_tx_n</t>
  </si>
  <si>
    <t>min(sdiv(ie_dx*ie_tx_w, sumprod)*annual_tx_elig+cc_adj, ie_dx)</t>
  </si>
  <si>
    <t>sdiv(ie_tx_n, ie_dx)</t>
  </si>
  <si>
    <t>(sdiv(ie_dx*ie_tx_w, sumprod)*annual_tx_elig+cc_adj)-ie_tx_n</t>
  </si>
  <si>
    <t>min(sdiv(icl_dx*icl_tx_w, sumprod)*annual_tx_elig+ie_adj, icl_dx)</t>
  </si>
  <si>
    <t>sdiv(icl_tx_n, icl_dx)</t>
  </si>
  <si>
    <t>(sdiv(icl_dx*icl_tx_w, sumprod)*annual_tx_elig+ie_adj)-icl_tx_n</t>
  </si>
  <si>
    <t>1-trt_pop_all</t>
  </si>
  <si>
    <t>icl_dx, icl_tx, ie_dx, ie_tx, cc_dx, cc_tx, dc_dx, dc_tx, hcc_dx, hcc_tx</t>
  </si>
  <si>
    <t xml:space="preserve"> icl_tx, ie_tx, cc_tx,  dc_tx,  hcc_tx</t>
  </si>
  <si>
    <t>Chronic hepatitis B: Treated</t>
  </si>
  <si>
    <t>Chronic hepatitis B: Undiagnosed</t>
  </si>
  <si>
    <t>Chronic hepatitis B: Diagnosed</t>
  </si>
  <si>
    <r>
      <t xml:space="preserve">Input: </t>
    </r>
    <r>
      <rPr>
        <u/>
        <sz val="11"/>
        <rFont val="Arial"/>
        <family val="2"/>
      </rPr>
      <t>Total diagnosis coverage in a given year (as a proportion of total CHB positive)</t>
    </r>
  </si>
  <si>
    <r>
      <t xml:space="preserve">Function: </t>
    </r>
    <r>
      <rPr>
        <u/>
        <sz val="11"/>
        <rFont val="Arial"/>
        <family val="2"/>
      </rPr>
      <t xml:space="preserve">Estimated annual diagnoses needed to achieve </t>
    </r>
    <r>
      <rPr>
        <i/>
        <u/>
        <sz val="11"/>
        <rFont val="Arial"/>
        <family val="2"/>
      </rPr>
      <t>dx_cov_inp</t>
    </r>
    <r>
      <rPr>
        <u/>
        <sz val="11"/>
        <rFont val="Arial"/>
        <family val="2"/>
      </rPr>
      <t xml:space="preserve"> coverage</t>
    </r>
  </si>
  <si>
    <r>
      <t>Weight Input</t>
    </r>
    <r>
      <rPr>
        <u/>
        <sz val="11"/>
        <rFont val="Arial"/>
        <family val="2"/>
      </rPr>
      <t>: Immune Tolerant diagnosis likelihood (vs other disease stages)</t>
    </r>
  </si>
  <si>
    <r>
      <t>Weight Input</t>
    </r>
    <r>
      <rPr>
        <u/>
        <sz val="11"/>
        <rFont val="Arial"/>
        <family val="2"/>
      </rPr>
      <t>: Immune Clearance diagnosis likelihood (vs other disease stages)</t>
    </r>
  </si>
  <si>
    <r>
      <t>Weight Input</t>
    </r>
    <r>
      <rPr>
        <u/>
        <sz val="11"/>
        <rFont val="Arial"/>
        <family val="2"/>
      </rPr>
      <t>: Immune Control diagnosis likelihood (vs other disease stages)</t>
    </r>
  </si>
  <si>
    <r>
      <t>Weight Input</t>
    </r>
    <r>
      <rPr>
        <u/>
        <sz val="11"/>
        <rFont val="Arial"/>
        <family val="2"/>
      </rPr>
      <t>: Immune Escape diagnosis likelihood (vs other disease stages)</t>
    </r>
  </si>
  <si>
    <r>
      <t>Weight Input</t>
    </r>
    <r>
      <rPr>
        <u/>
        <sz val="11"/>
        <rFont val="Arial"/>
        <family val="2"/>
      </rPr>
      <t>: Compensated Cirrhosis diagnosis likelihood (vs other disease stages)</t>
    </r>
  </si>
  <si>
    <r>
      <t>Weight Input</t>
    </r>
    <r>
      <rPr>
        <u/>
        <sz val="11"/>
        <rFont val="Arial"/>
        <family val="2"/>
      </rPr>
      <t>: Decompensated Cirrhosis diagnosis likelihood (vs other disease stages)</t>
    </r>
  </si>
  <si>
    <r>
      <t>Weight Input</t>
    </r>
    <r>
      <rPr>
        <u/>
        <sz val="11"/>
        <rFont val="Arial"/>
        <family val="2"/>
      </rPr>
      <t>: Hepatocellular Carcinoma diagnosis likelihood (vs other disease stages)</t>
    </r>
  </si>
  <si>
    <r>
      <t xml:space="preserve">Transition: </t>
    </r>
    <r>
      <rPr>
        <u/>
        <sz val="11"/>
        <rFont val="Arial"/>
        <family val="2"/>
      </rPr>
      <t>Number with HCC diagnosed in a given year</t>
    </r>
  </si>
  <si>
    <r>
      <rPr>
        <b/>
        <u/>
        <sz val="11"/>
        <rFont val="Arial"/>
        <family val="2"/>
      </rPr>
      <t xml:space="preserve">Difference Sum: </t>
    </r>
    <r>
      <rPr>
        <u/>
        <sz val="11"/>
        <rFont val="Arial"/>
        <family val="2"/>
      </rPr>
      <t>First in a series of adjustments to ensure all diagnoses are made in a given year</t>
    </r>
  </si>
  <si>
    <r>
      <t xml:space="preserve">Transition: </t>
    </r>
    <r>
      <rPr>
        <u/>
        <sz val="11"/>
        <rFont val="Arial"/>
        <family val="2"/>
      </rPr>
      <t>Number with DC diagnosed in a given year</t>
    </r>
  </si>
  <si>
    <r>
      <rPr>
        <b/>
        <u/>
        <sz val="11"/>
        <rFont val="Arial"/>
        <family val="2"/>
      </rPr>
      <t xml:space="preserve">Difference Sum: </t>
    </r>
    <r>
      <rPr>
        <u/>
        <sz val="11"/>
        <rFont val="Arial"/>
        <family val="2"/>
      </rPr>
      <t>Second in a series of adjustments to ensure all diagnoses are made in a given year</t>
    </r>
  </si>
  <si>
    <r>
      <rPr>
        <b/>
        <u/>
        <sz val="11"/>
        <rFont val="Arial"/>
        <family val="2"/>
      </rPr>
      <t xml:space="preserve">Difference Sum: </t>
    </r>
    <r>
      <rPr>
        <u/>
        <sz val="11"/>
        <rFont val="Arial"/>
        <family val="2"/>
      </rPr>
      <t>Third in a series of adjustments to ensure all diagnoses are made in a given year</t>
    </r>
  </si>
  <si>
    <r>
      <t xml:space="preserve">Transition: </t>
    </r>
    <r>
      <rPr>
        <u/>
        <sz val="11"/>
        <rFont val="Arial"/>
        <family val="2"/>
      </rPr>
      <t>Number with IE CHB diagnosed in a given year</t>
    </r>
  </si>
  <si>
    <r>
      <rPr>
        <b/>
        <u/>
        <sz val="11"/>
        <rFont val="Arial"/>
        <family val="2"/>
      </rPr>
      <t xml:space="preserve">Difference Sum: </t>
    </r>
    <r>
      <rPr>
        <u/>
        <sz val="11"/>
        <rFont val="Arial"/>
        <family val="2"/>
      </rPr>
      <t>Fourth in a series of adjustments to ensure all diagnoses are made in a given year</t>
    </r>
  </si>
  <si>
    <r>
      <t xml:space="preserve">Transition: </t>
    </r>
    <r>
      <rPr>
        <u/>
        <sz val="11"/>
        <rFont val="Arial"/>
        <family val="2"/>
      </rPr>
      <t>Number with ICl CHB diagnosed in a given year</t>
    </r>
  </si>
  <si>
    <r>
      <rPr>
        <b/>
        <u/>
        <sz val="11"/>
        <rFont val="Arial"/>
        <family val="2"/>
      </rPr>
      <t xml:space="preserve">Difference Sum: </t>
    </r>
    <r>
      <rPr>
        <u/>
        <sz val="11"/>
        <rFont val="Arial"/>
        <family val="2"/>
      </rPr>
      <t>Fifth in a series of adjustments to ensure all diagnoses are made in a given year</t>
    </r>
  </si>
  <si>
    <r>
      <rPr>
        <b/>
        <u/>
        <sz val="11"/>
        <rFont val="Arial"/>
        <family val="2"/>
      </rPr>
      <t xml:space="preserve">Difference Sum: </t>
    </r>
    <r>
      <rPr>
        <u/>
        <sz val="11"/>
        <rFont val="Arial"/>
        <family val="2"/>
      </rPr>
      <t>Sixth in a series of adjustments to ensure all diagnoses are made in a given year</t>
    </r>
  </si>
  <si>
    <r>
      <t xml:space="preserve">Transition: </t>
    </r>
    <r>
      <rPr>
        <u/>
        <sz val="11"/>
        <rFont val="Arial"/>
        <family val="2"/>
      </rPr>
      <t>Number with IT CHB diagnosed in a given year</t>
    </r>
  </si>
  <si>
    <r>
      <t xml:space="preserve">Input: </t>
    </r>
    <r>
      <rPr>
        <u/>
        <sz val="11"/>
        <rFont val="Arial"/>
        <family val="2"/>
      </rPr>
      <t>Total treatment coverage in a given year (as a proportion of total diagnosed)</t>
    </r>
  </si>
  <si>
    <r>
      <rPr>
        <b/>
        <u/>
        <sz val="11"/>
        <rFont val="Arial"/>
        <family val="2"/>
      </rPr>
      <t xml:space="preserve">Binary: </t>
    </r>
    <r>
      <rPr>
        <u/>
        <sz val="11"/>
        <rFont val="Arial"/>
        <family val="2"/>
      </rPr>
      <t>Treatment coverage estimated proportional to all diagnosed (initial)</t>
    </r>
  </si>
  <si>
    <r>
      <rPr>
        <b/>
        <u/>
        <sz val="11"/>
        <rFont val="Arial"/>
        <family val="2"/>
      </rPr>
      <t xml:space="preserve">Binary: </t>
    </r>
    <r>
      <rPr>
        <u/>
        <sz val="11"/>
        <rFont val="Arial"/>
        <family val="2"/>
      </rPr>
      <t>Treatment coverage estimated proportional to eligible only (projections)</t>
    </r>
  </si>
  <si>
    <r>
      <rPr>
        <b/>
        <u/>
        <sz val="11"/>
        <rFont val="Arial"/>
        <family val="2"/>
      </rPr>
      <t>Function</t>
    </r>
    <r>
      <rPr>
        <u/>
        <sz val="11"/>
        <rFont val="Arial"/>
        <family val="2"/>
      </rPr>
      <t>: Annual treatment initiations among treatment eligible population</t>
    </r>
  </si>
  <si>
    <r>
      <t xml:space="preserve">Weight Input: </t>
    </r>
    <r>
      <rPr>
        <u/>
        <sz val="11"/>
        <rFont val="Arial"/>
        <family val="2"/>
      </rPr>
      <t>Immune Clearance treatment likelihood (vs other disease stages)</t>
    </r>
  </si>
  <si>
    <r>
      <t xml:space="preserve">Weight Input: </t>
    </r>
    <r>
      <rPr>
        <u/>
        <sz val="11"/>
        <rFont val="Arial"/>
        <family val="2"/>
      </rPr>
      <t>Immune Escape treatment likelihood (vs other disease stages)</t>
    </r>
  </si>
  <si>
    <r>
      <t xml:space="preserve">Weight Input: </t>
    </r>
    <r>
      <rPr>
        <u/>
        <sz val="11"/>
        <rFont val="Arial"/>
        <family val="2"/>
      </rPr>
      <t>Compensated Cirrhosis treatment likelihood (vs other disease stages)</t>
    </r>
  </si>
  <si>
    <r>
      <t xml:space="preserve">Weight Input: </t>
    </r>
    <r>
      <rPr>
        <u/>
        <sz val="11"/>
        <rFont val="Arial"/>
        <family val="2"/>
      </rPr>
      <t>Decompensated Cirhosis treatment likelihood (vs other disease stages)</t>
    </r>
  </si>
  <si>
    <r>
      <t xml:space="preserve">Weight Input: </t>
    </r>
    <r>
      <rPr>
        <u/>
        <sz val="11"/>
        <rFont val="Arial"/>
        <family val="2"/>
      </rPr>
      <t>Hepatocellular Carcinoma treatment likelihood (vs other disease stages)</t>
    </r>
  </si>
  <si>
    <r>
      <t xml:space="preserve">Denominator: </t>
    </r>
    <r>
      <rPr>
        <u/>
        <sz val="11"/>
        <color theme="1"/>
        <rFont val="Arial"/>
        <family val="2"/>
      </rPr>
      <t>Sumproduct of weight and population sizes</t>
    </r>
  </si>
  <si>
    <r>
      <t xml:space="preserve">Transition: </t>
    </r>
    <r>
      <rPr>
        <u/>
        <sz val="11"/>
        <rFont val="Arial"/>
        <family val="2"/>
      </rPr>
      <t>Number of HCC treatment initiations</t>
    </r>
  </si>
  <si>
    <r>
      <t xml:space="preserve">Probability: </t>
    </r>
    <r>
      <rPr>
        <u/>
        <sz val="11"/>
        <rFont val="Arial"/>
        <family val="2"/>
      </rPr>
      <t>HCC treatment initiation if diagnosed</t>
    </r>
    <r>
      <rPr>
        <b/>
        <u/>
        <sz val="11"/>
        <rFont val="Arial"/>
        <family val="2"/>
      </rPr>
      <t xml:space="preserve"> (used for qualitative assessment)</t>
    </r>
  </si>
  <si>
    <r>
      <t xml:space="preserve">Difference: </t>
    </r>
    <r>
      <rPr>
        <u/>
        <sz val="11"/>
        <rFont val="Arial"/>
        <family val="2"/>
      </rPr>
      <t>Expected vs actual HCC treatment initiations</t>
    </r>
  </si>
  <si>
    <r>
      <t xml:space="preserve">Transition: </t>
    </r>
    <r>
      <rPr>
        <u/>
        <sz val="11"/>
        <rFont val="Arial"/>
        <family val="2"/>
      </rPr>
      <t>Number of DC treatment initiations</t>
    </r>
  </si>
  <si>
    <r>
      <t xml:space="preserve">Probability: </t>
    </r>
    <r>
      <rPr>
        <u/>
        <sz val="11"/>
        <rFont val="Arial"/>
        <family val="2"/>
      </rPr>
      <t>DC treatment initiation if diagnosed</t>
    </r>
    <r>
      <rPr>
        <b/>
        <u/>
        <sz val="11"/>
        <rFont val="Arial"/>
        <family val="2"/>
      </rPr>
      <t xml:space="preserve"> (used for qualitative assessment)</t>
    </r>
  </si>
  <si>
    <r>
      <t xml:space="preserve">Difference: </t>
    </r>
    <r>
      <rPr>
        <u/>
        <sz val="11"/>
        <rFont val="Arial"/>
        <family val="2"/>
      </rPr>
      <t>Expected vs actual DC treatment initiations</t>
    </r>
  </si>
  <si>
    <r>
      <t xml:space="preserve">Transition: </t>
    </r>
    <r>
      <rPr>
        <u/>
        <sz val="11"/>
        <rFont val="Arial"/>
        <family val="2"/>
      </rPr>
      <t>Number of CC treatment initiations</t>
    </r>
  </si>
  <si>
    <r>
      <t xml:space="preserve">Probability: </t>
    </r>
    <r>
      <rPr>
        <u/>
        <sz val="11"/>
        <rFont val="Arial"/>
        <family val="2"/>
      </rPr>
      <t>CC treatment initiation if diagnosed</t>
    </r>
    <r>
      <rPr>
        <b/>
        <u/>
        <sz val="11"/>
        <rFont val="Arial"/>
        <family val="2"/>
      </rPr>
      <t xml:space="preserve"> (used for qualitative assessment)</t>
    </r>
  </si>
  <si>
    <r>
      <t xml:space="preserve">Difference: </t>
    </r>
    <r>
      <rPr>
        <u/>
        <sz val="11"/>
        <rFont val="Arial"/>
        <family val="2"/>
      </rPr>
      <t>Expected vs actual CC treatment initiations</t>
    </r>
  </si>
  <si>
    <r>
      <t xml:space="preserve">Transition: </t>
    </r>
    <r>
      <rPr>
        <u/>
        <sz val="11"/>
        <rFont val="Arial"/>
        <family val="2"/>
      </rPr>
      <t>Number of IE treatment initiations</t>
    </r>
  </si>
  <si>
    <r>
      <t>Probability: IE</t>
    </r>
    <r>
      <rPr>
        <u/>
        <sz val="11"/>
        <rFont val="Arial"/>
        <family val="2"/>
      </rPr>
      <t xml:space="preserve"> treatment initiation if diagnosed</t>
    </r>
    <r>
      <rPr>
        <b/>
        <u/>
        <sz val="11"/>
        <rFont val="Arial"/>
        <family val="2"/>
      </rPr>
      <t xml:space="preserve"> (used for qualitative assessment)</t>
    </r>
  </si>
  <si>
    <r>
      <t xml:space="preserve">Difference: </t>
    </r>
    <r>
      <rPr>
        <u/>
        <sz val="11"/>
        <rFont val="Arial"/>
        <family val="2"/>
      </rPr>
      <t>Expected vs actual IE treatment initiations</t>
    </r>
  </si>
  <si>
    <r>
      <t xml:space="preserve">Transition: </t>
    </r>
    <r>
      <rPr>
        <u/>
        <sz val="11"/>
        <rFont val="Arial"/>
        <family val="2"/>
      </rPr>
      <t>Number of  ICL treatment initiations</t>
    </r>
  </si>
  <si>
    <r>
      <t xml:space="preserve">Probability: </t>
    </r>
    <r>
      <rPr>
        <u/>
        <sz val="11"/>
        <rFont val="Arial"/>
        <family val="2"/>
      </rPr>
      <t>ICL treatment initiation if diagnosed</t>
    </r>
    <r>
      <rPr>
        <b/>
        <u/>
        <sz val="11"/>
        <rFont val="Arial"/>
        <family val="2"/>
      </rPr>
      <t xml:space="preserve"> (used for qualitative assessment)</t>
    </r>
  </si>
  <si>
    <r>
      <t xml:space="preserve">Difference: </t>
    </r>
    <r>
      <rPr>
        <u/>
        <sz val="11"/>
        <rFont val="Arial"/>
        <family val="2"/>
      </rPr>
      <t>Expected vs actual total treatments</t>
    </r>
  </si>
  <si>
    <r>
      <t xml:space="preserve">Input: </t>
    </r>
    <r>
      <rPr>
        <u/>
        <sz val="11"/>
        <rFont val="Arial"/>
        <family val="2"/>
      </rPr>
      <t>Total treatment coverage in a given year (as a proportion of total ineligible diagnosed)</t>
    </r>
  </si>
  <si>
    <r>
      <t>Function:</t>
    </r>
    <r>
      <rPr>
        <u/>
        <sz val="11"/>
        <rFont val="Arial"/>
        <family val="2"/>
      </rPr>
      <t xml:space="preserve"> Estimated annual treatment initiations needed to achieve tx_cov_inp_inelig coverage</t>
    </r>
  </si>
  <si>
    <r>
      <rPr>
        <b/>
        <u/>
        <sz val="11"/>
        <rFont val="Arial"/>
        <family val="2"/>
      </rPr>
      <t xml:space="preserve">Transition: </t>
    </r>
    <r>
      <rPr>
        <u/>
        <sz val="11"/>
        <rFont val="Arial"/>
        <family val="2"/>
      </rPr>
      <t>Number diagnosed with ICT in a given year</t>
    </r>
  </si>
  <si>
    <r>
      <t xml:space="preserve">Difference Sum: </t>
    </r>
    <r>
      <rPr>
        <u/>
        <sz val="11"/>
        <rFont val="Arial"/>
        <family val="2"/>
      </rPr>
      <t>Adjusted to ensure all ineligible treatments made in a given year</t>
    </r>
  </si>
  <si>
    <r>
      <rPr>
        <b/>
        <u/>
        <sz val="11"/>
        <rFont val="Arial"/>
        <family val="2"/>
      </rPr>
      <t xml:space="preserve">Transition: </t>
    </r>
    <r>
      <rPr>
        <u/>
        <sz val="11"/>
        <rFont val="Arial"/>
        <family val="2"/>
      </rPr>
      <t>Number diagnosed with IT in a given year</t>
    </r>
  </si>
  <si>
    <t>Initial proportion HBeAg+</t>
  </si>
  <si>
    <t>Number of annual HBsAg tests in pregnant women</t>
  </si>
  <si>
    <t>HBeAg positive, non-virally suppressed, prevalence</t>
  </si>
  <si>
    <t>Maternal Antiviral and HBIG coverage number</t>
  </si>
  <si>
    <r>
      <t xml:space="preserve">Transition: </t>
    </r>
    <r>
      <rPr>
        <u/>
        <sz val="11"/>
        <rFont val="Arial"/>
        <family val="2"/>
      </rPr>
      <t>Number with CC diagnosed in a given year</t>
    </r>
  </si>
  <si>
    <t>Treatment Effectiveness: Hepatocellular carcinoma prevention from tolerant state</t>
  </si>
  <si>
    <t>Cost: Human resources associated with vaccination</t>
  </si>
  <si>
    <t>Cost: Delivery costs associated with vaccination</t>
  </si>
  <si>
    <t>Cost: Cirrhosis/fibrosis asessment</t>
  </si>
  <si>
    <t>(b_rate-(mtct_inf+mtct_rec))*(hb3*hb3_ve)</t>
  </si>
  <si>
    <t>imig</t>
  </si>
  <si>
    <t>Source: Imigration into the model</t>
  </si>
  <si>
    <t>emig</t>
  </si>
  <si>
    <t>Sink: Emigration out of the model</t>
  </si>
  <si>
    <t>em_rate</t>
  </si>
  <si>
    <t>im_flow</t>
  </si>
  <si>
    <t>Annual emigration rate</t>
  </si>
  <si>
    <t>im_rate</t>
  </si>
  <si>
    <t>Annual immigration rate</t>
  </si>
  <si>
    <t>Annual immigrants (source flow)</t>
  </si>
  <si>
    <t>im_rate*alive</t>
  </si>
  <si>
    <t>dw_acu</t>
  </si>
  <si>
    <t>Disability Weight: Symptomatic Acute HBV (proportion * weight)</t>
  </si>
  <si>
    <t>((dw_acu*sus:j_acu)+(dw_chi*(it+it_dx+ict+ict_dx+ict_tx))+(dw_chb*(icl+icl_dx+ie+ie_dx))+(dw_chb_t*(icl_tx+ie_tx))+(dw_cc*(cc+cc_dx))+dw_cc_t*cc_tx+(dw_dc*(dc+dc_dx))+dw_dc_t*dc_tx+(dw_hcc*(hcc+hcc_dx))+dw_hcc_t*hcc_tx)</t>
  </si>
  <si>
    <t>yll</t>
  </si>
  <si>
    <t>Years Life Lost (HBV attributable mortality; instantaneous)</t>
  </si>
  <si>
    <t>life_exp*:dd_hbv</t>
  </si>
  <si>
    <t>dalys</t>
  </si>
  <si>
    <t>Annual DALYs (non-discounted)</t>
  </si>
  <si>
    <t>yld+yll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</si>
</sst>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b/>
      <sz val="11"/>
      <color theme="0"/>
      <name val="Calibri"/>
      <family val="2"/>
      <scheme val="minor"/>
    </font>
    <font>
      <sz val="11"/>
      <color theme="1"/>
      <name val="Arial"/>
      <family val="2"/>
    </font>
    <font>
      <sz val="11"/>
      <name val="Calibri"/>
      <family val="2"/>
      <scheme val="minor"/>
    </font>
    <font>
      <sz val="11"/>
      <name val="Arial"/>
      <family val="2"/>
    </font>
    <font>
      <b/>
      <sz val="9"/>
      <color indexed="81"/>
      <name val="Tahoma"/>
      <family val="2"/>
    </font>
    <font>
      <sz val="11"/>
      <color theme="0"/>
      <name val="Calibri"/>
      <family val="2"/>
      <scheme val="minor"/>
    </font>
    <font>
      <b/>
      <sz val="11"/>
      <name val="Calibri"/>
      <family val="2"/>
      <scheme val="minor"/>
    </font>
    <font>
      <b/>
      <u/>
      <sz val="11"/>
      <color theme="1"/>
      <name val="Calibri"/>
      <family val="2"/>
      <scheme val="minor"/>
    </font>
    <font>
      <b/>
      <u/>
      <sz val="11"/>
      <color theme="0"/>
      <name val="Calibri"/>
      <family val="2"/>
      <scheme val="minor"/>
    </font>
    <font>
      <u/>
      <sz val="11"/>
      <color theme="1"/>
      <name val="Calibri"/>
      <family val="2"/>
      <scheme val="minor"/>
    </font>
    <font>
      <u/>
      <sz val="11"/>
      <name val="Calibri"/>
      <family val="2"/>
      <scheme val="minor"/>
    </font>
    <font>
      <u/>
      <sz val="11"/>
      <color theme="1"/>
      <name val="Arial"/>
      <family val="2"/>
    </font>
    <font>
      <b/>
      <u/>
      <sz val="11"/>
      <name val="Arial"/>
      <family val="2"/>
    </font>
    <font>
      <u/>
      <sz val="11"/>
      <name val="Arial"/>
      <family val="2"/>
    </font>
    <font>
      <i/>
      <u/>
      <sz val="11"/>
      <name val="Arial"/>
      <family val="2"/>
    </font>
  </fonts>
  <fills count="14">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
      <patternFill patternType="solid">
        <fgColor theme="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0" fillId="2" borderId="0" xfId="0" applyFill="1"/>
    <xf numFmtId="0" fontId="0" fillId="4" borderId="0" xfId="0" applyFill="1"/>
    <xf numFmtId="0" fontId="0" fillId="5" borderId="0" xfId="0" applyFill="1"/>
    <xf numFmtId="0" fontId="1" fillId="0" borderId="1" xfId="0" applyFont="1" applyBorder="1"/>
    <xf numFmtId="0" fontId="1" fillId="4" borderId="1" xfId="0" applyFont="1" applyFill="1" applyBorder="1"/>
    <xf numFmtId="0" fontId="0" fillId="4" borderId="1" xfId="0" applyFill="1" applyBorder="1"/>
    <xf numFmtId="0" fontId="1" fillId="5" borderId="1" xfId="0" applyFont="1" applyFill="1" applyBorder="1"/>
    <xf numFmtId="0" fontId="0" fillId="5" borderId="1" xfId="0" applyFill="1" applyBorder="1"/>
    <xf numFmtId="0" fontId="0" fillId="6" borderId="0" xfId="0" applyFill="1"/>
    <xf numFmtId="0" fontId="0" fillId="7" borderId="1" xfId="0" applyFill="1" applyBorder="1"/>
    <xf numFmtId="0" fontId="0" fillId="7" borderId="0" xfId="0" applyFill="1"/>
    <xf numFmtId="0" fontId="0" fillId="8" borderId="1" xfId="0" applyFill="1" applyBorder="1"/>
    <xf numFmtId="0" fontId="0" fillId="8" borderId="0" xfId="0" applyFill="1"/>
    <xf numFmtId="0" fontId="0" fillId="9" borderId="1" xfId="0" applyFill="1" applyBorder="1"/>
    <xf numFmtId="0" fontId="0" fillId="9" borderId="0" xfId="0" applyFill="1"/>
    <xf numFmtId="0" fontId="0" fillId="10" borderId="1" xfId="0" applyFill="1" applyBorder="1"/>
    <xf numFmtId="0" fontId="0" fillId="10" borderId="0" xfId="0" applyFill="1"/>
    <xf numFmtId="0" fontId="0" fillId="11" borderId="0" xfId="0" applyFill="1"/>
    <xf numFmtId="0" fontId="1" fillId="12" borderId="1" xfId="0" applyFont="1" applyFill="1" applyBorder="1"/>
    <xf numFmtId="0" fontId="0" fillId="12" borderId="1" xfId="0" applyFill="1" applyBorder="1"/>
    <xf numFmtId="0" fontId="0" fillId="12" borderId="0" xfId="0" applyFill="1"/>
    <xf numFmtId="0" fontId="11" fillId="3" borderId="0" xfId="0" applyFont="1" applyFill="1" applyAlignment="1">
      <alignment horizontal="left"/>
    </xf>
    <xf numFmtId="0" fontId="11" fillId="3" borderId="0" xfId="0" applyFont="1" applyFill="1" applyAlignment="1">
      <alignment horizontal="center"/>
    </xf>
    <xf numFmtId="0" fontId="11" fillId="3" borderId="0" xfId="0" applyFont="1" applyFill="1"/>
    <xf numFmtId="0" fontId="12" fillId="0" borderId="0" xfId="0" applyFont="1" applyAlignment="1">
      <alignment horizontal="left"/>
    </xf>
    <xf numFmtId="0" fontId="12" fillId="0" borderId="0" xfId="0" applyFont="1"/>
    <xf numFmtId="0" fontId="12" fillId="0" borderId="0" xfId="0" applyFont="1" applyAlignment="1">
      <alignment horizontal="center"/>
    </xf>
    <xf numFmtId="0" fontId="12" fillId="0" borderId="0" xfId="0" quotePrefix="1" applyFont="1" applyAlignment="1">
      <alignment horizontal="center"/>
    </xf>
    <xf numFmtId="0" fontId="12" fillId="0" borderId="0" xfId="0" applyFont="1" applyAlignment="1">
      <alignment vertical="center" wrapText="1"/>
    </xf>
    <xf numFmtId="0" fontId="0" fillId="0" borderId="0" xfId="0" applyAlignment="1">
      <alignment wrapText="1"/>
    </xf>
    <xf numFmtId="0" fontId="12" fillId="0" borderId="0" xfId="0" quotePrefix="1" applyFont="1" applyAlignment="1">
      <alignment wrapText="1"/>
    </xf>
    <xf numFmtId="0" fontId="13" fillId="0" borderId="0" xfId="0" applyFont="1" applyAlignment="1">
      <alignment horizontal="center"/>
    </xf>
    <xf numFmtId="0" fontId="13" fillId="0" borderId="0" xfId="0" applyFont="1"/>
    <xf numFmtId="0" fontId="14" fillId="0" borderId="0" xfId="0" applyFont="1" applyAlignment="1">
      <alignment horizontal="left"/>
    </xf>
    <xf numFmtId="0" fontId="14" fillId="0" borderId="0" xfId="0" applyFont="1" applyAlignment="1">
      <alignment horizontal="center"/>
    </xf>
    <xf numFmtId="0" fontId="14" fillId="0" borderId="0" xfId="0" applyFont="1"/>
    <xf numFmtId="0" fontId="0" fillId="13" borderId="0" xfId="0" applyFill="1"/>
    <xf numFmtId="0" fontId="0" fillId="13" borderId="0" xfId="0" applyFill="1" applyAlignment="1">
      <alignment horizontal="left"/>
    </xf>
    <xf numFmtId="0" fontId="0" fillId="13" borderId="0" xfId="0" applyFill="1" applyAlignment="1">
      <alignment horizontal="center"/>
    </xf>
    <xf numFmtId="0" fontId="1" fillId="13" borderId="1" xfId="0" applyFont="1" applyFill="1" applyBorder="1"/>
    <xf numFmtId="0" fontId="16" fillId="3" borderId="0" xfId="0" applyFont="1" applyFill="1" applyAlignment="1">
      <alignment horizontal="center"/>
    </xf>
    <xf numFmtId="0" fontId="17" fillId="3" borderId="0" xfId="0" applyFont="1" applyFill="1" applyAlignment="1">
      <alignment horizontal="center"/>
    </xf>
    <xf numFmtId="0" fontId="13" fillId="0" borderId="0" xfId="0" applyFont="1" applyAlignment="1">
      <alignment horizontal="left"/>
    </xf>
    <xf numFmtId="0" fontId="18" fillId="0" borderId="0" xfId="0" applyFont="1" applyAlignment="1">
      <alignment horizontal="center"/>
    </xf>
    <xf numFmtId="0" fontId="19" fillId="3" borderId="0" xfId="0" applyFont="1" applyFill="1" applyAlignment="1">
      <alignment horizontal="center"/>
    </xf>
    <xf numFmtId="0" fontId="20" fillId="0" borderId="0" xfId="0" applyFont="1"/>
    <xf numFmtId="0" fontId="21" fillId="0" borderId="0" xfId="0" applyFont="1" applyAlignment="1">
      <alignment horizontal="left"/>
    </xf>
    <xf numFmtId="0" fontId="22" fillId="0" borderId="0" xfId="0" applyFont="1"/>
    <xf numFmtId="0" fontId="23" fillId="0" borderId="0" xfId="0" applyFont="1" applyAlignment="1">
      <alignment horizontal="left"/>
    </xf>
    <xf numFmtId="0" fontId="24" fillId="0" borderId="0" xfId="0" applyFont="1" applyAlignment="1">
      <alignment horizontal="left"/>
    </xf>
    <xf numFmtId="0" fontId="23" fillId="0" borderId="0" xfId="0" applyFont="1"/>
    <xf numFmtId="0" fontId="1" fillId="2" borderId="1" xfId="0" applyFont="1" applyFill="1" applyBorder="1"/>
    <xf numFmtId="0" fontId="0" fillId="2" borderId="1" xfId="0" applyFill="1" applyBorder="1"/>
    <xf numFmtId="0" fontId="1" fillId="6" borderId="1" xfId="0" applyFont="1" applyFill="1" applyBorder="1"/>
    <xf numFmtId="0" fontId="0" fillId="6" borderId="1" xfId="0" applyFill="1" applyBorder="1"/>
    <xf numFmtId="0" fontId="0" fillId="13" borderId="1" xfId="0" applyFill="1" applyBorder="1"/>
    <xf numFmtId="0" fontId="1" fillId="7" borderId="1" xfId="0" applyFont="1" applyFill="1" applyBorder="1"/>
    <xf numFmtId="0" fontId="13" fillId="0" borderId="1" xfId="0" applyFont="1" applyBorder="1" applyAlignment="1">
      <alignment horizontal="left"/>
    </xf>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0" fillId="11" borderId="1" xfId="0" applyFill="1" applyBorder="1"/>
  </cellXfs>
  <cellStyles count="1">
    <cellStyle name="Normal" xfId="0" builtinId="0"/>
  </cellStyles>
  <dxfs count="14">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2"/>
  <sheetViews>
    <sheetView workbookViewId="0"/>
  </sheetViews>
  <sheetFormatPr defaultColWidth="8.88671875" defaultRowHeight="14.4" x14ac:dyDescent="0.3"/>
  <cols>
    <col min="1" max="1" width="21.44140625" customWidth="1"/>
    <col min="2" max="2" width="74.88671875" customWidth="1"/>
  </cols>
  <sheetData>
    <row r="1" spans="1:2" x14ac:dyDescent="0.3">
      <c r="A1" s="3" t="s">
        <v>19</v>
      </c>
      <c r="B1" s="3" t="s">
        <v>20</v>
      </c>
    </row>
    <row r="2" spans="1:2" ht="234.75" customHeight="1" x14ac:dyDescent="0.3">
      <c r="A2" s="5" t="s">
        <v>21</v>
      </c>
      <c r="B2" s="5" t="s">
        <v>24</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B10"/>
  <sheetViews>
    <sheetView workbookViewId="0">
      <selection activeCell="E27" sqref="E27"/>
    </sheetView>
  </sheetViews>
  <sheetFormatPr defaultColWidth="8.88671875" defaultRowHeight="14.4" x14ac:dyDescent="0.3"/>
  <cols>
    <col min="1" max="1" width="26.5546875" customWidth="1"/>
    <col min="2" max="2" width="26.44140625" customWidth="1"/>
  </cols>
  <sheetData>
    <row r="1" spans="1:2" x14ac:dyDescent="0.3">
      <c r="A1" s="1" t="s">
        <v>0</v>
      </c>
      <c r="B1" s="1" t="s">
        <v>1</v>
      </c>
    </row>
    <row r="2" spans="1:2" x14ac:dyDescent="0.3">
      <c r="A2" t="s">
        <v>35</v>
      </c>
      <c r="B2" t="s">
        <v>36</v>
      </c>
    </row>
    <row r="3" spans="1:2" x14ac:dyDescent="0.3">
      <c r="A3" t="s">
        <v>37</v>
      </c>
      <c r="B3" t="s">
        <v>38</v>
      </c>
    </row>
    <row r="4" spans="1:2" x14ac:dyDescent="0.3">
      <c r="A4" t="s">
        <v>39</v>
      </c>
      <c r="B4" t="s">
        <v>40</v>
      </c>
    </row>
    <row r="5" spans="1:2" x14ac:dyDescent="0.3">
      <c r="A5" t="s">
        <v>41</v>
      </c>
      <c r="B5" t="s">
        <v>42</v>
      </c>
    </row>
    <row r="6" spans="1:2" x14ac:dyDescent="0.3">
      <c r="A6" t="s">
        <v>43</v>
      </c>
      <c r="B6" t="s">
        <v>44</v>
      </c>
    </row>
    <row r="7" spans="1:2" x14ac:dyDescent="0.3">
      <c r="A7" t="s">
        <v>45</v>
      </c>
      <c r="B7" t="s">
        <v>46</v>
      </c>
    </row>
    <row r="8" spans="1:2" x14ac:dyDescent="0.3">
      <c r="A8" t="s">
        <v>47</v>
      </c>
      <c r="B8" t="s">
        <v>48</v>
      </c>
    </row>
    <row r="9" spans="1:2" x14ac:dyDescent="0.3">
      <c r="A9" t="s">
        <v>49</v>
      </c>
      <c r="B9" t="s">
        <v>50</v>
      </c>
    </row>
    <row r="10" spans="1:2" x14ac:dyDescent="0.3">
      <c r="A10" t="s">
        <v>51</v>
      </c>
      <c r="B10" t="s">
        <v>52</v>
      </c>
    </row>
  </sheetData>
  <conditionalFormatting sqref="B1:B1048576">
    <cfRule type="expression" dxfId="13"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B2"/>
  <sheetViews>
    <sheetView workbookViewId="0"/>
  </sheetViews>
  <sheetFormatPr defaultRowHeight="14.4" x14ac:dyDescent="0.3"/>
  <cols>
    <col min="1" max="1" width="11" bestFit="1" customWidth="1"/>
    <col min="2" max="2" width="37" customWidth="1"/>
  </cols>
  <sheetData>
    <row r="1" spans="1:2" x14ac:dyDescent="0.3">
      <c r="A1" s="3" t="s">
        <v>27</v>
      </c>
      <c r="B1" s="3" t="s">
        <v>20</v>
      </c>
    </row>
    <row r="2" spans="1:2" x14ac:dyDescent="0.3">
      <c r="A2" t="s">
        <v>28</v>
      </c>
      <c r="B2" t="s">
        <v>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K33"/>
  <sheetViews>
    <sheetView workbookViewId="0">
      <selection activeCell="A32" sqref="A32:D33"/>
    </sheetView>
  </sheetViews>
  <sheetFormatPr defaultColWidth="8.88671875" defaultRowHeight="14.4" x14ac:dyDescent="0.3"/>
  <cols>
    <col min="1" max="1" width="10.6640625" style="4" customWidth="1"/>
    <col min="2" max="2" width="39.109375" customWidth="1"/>
    <col min="3" max="3" width="10.6640625" style="2" customWidth="1"/>
    <col min="4" max="4" width="8.6640625" style="2" customWidth="1"/>
    <col min="5" max="5" width="12.6640625" style="2" customWidth="1"/>
    <col min="6" max="6" width="14.6640625" customWidth="1"/>
    <col min="7" max="7" width="13.6640625" customWidth="1"/>
    <col min="8" max="8" width="14.6640625" customWidth="1"/>
    <col min="9" max="9" width="14.6640625" style="2" customWidth="1"/>
    <col min="10" max="10" width="15.6640625" customWidth="1"/>
    <col min="11" max="11" width="14.6640625" customWidth="1"/>
  </cols>
  <sheetData>
    <row r="1" spans="1:11" s="2" customFormat="1" x14ac:dyDescent="0.3">
      <c r="A1" s="1" t="s">
        <v>2</v>
      </c>
      <c r="B1" s="1" t="s">
        <v>3</v>
      </c>
      <c r="C1" s="1" t="s">
        <v>4</v>
      </c>
      <c r="D1" s="1" t="s">
        <v>5</v>
      </c>
      <c r="E1" s="1" t="s">
        <v>6</v>
      </c>
      <c r="F1" s="1" t="s">
        <v>8</v>
      </c>
      <c r="G1" s="1" t="s">
        <v>22</v>
      </c>
      <c r="H1" s="1" t="s">
        <v>9</v>
      </c>
      <c r="I1" s="1" t="s">
        <v>10</v>
      </c>
      <c r="J1" s="1" t="s">
        <v>25</v>
      </c>
      <c r="K1" s="1" t="s">
        <v>30</v>
      </c>
    </row>
    <row r="2" spans="1:11" x14ac:dyDescent="0.3">
      <c r="A2" s="4" t="s">
        <v>53</v>
      </c>
      <c r="B2" t="s">
        <v>80</v>
      </c>
      <c r="E2" s="2" t="s">
        <v>107</v>
      </c>
      <c r="F2" s="2">
        <v>1</v>
      </c>
      <c r="G2" s="2"/>
      <c r="H2" s="2" t="s">
        <v>35</v>
      </c>
      <c r="J2" s="2"/>
      <c r="K2" s="2"/>
    </row>
    <row r="3" spans="1:11" x14ac:dyDescent="0.3">
      <c r="A3" s="4" t="s">
        <v>54</v>
      </c>
      <c r="B3" t="s">
        <v>81</v>
      </c>
      <c r="C3" s="2" t="s">
        <v>107</v>
      </c>
      <c r="G3" s="2"/>
    </row>
    <row r="4" spans="1:11" x14ac:dyDescent="0.3">
      <c r="A4" s="4" t="s">
        <v>55</v>
      </c>
      <c r="B4" t="s">
        <v>82</v>
      </c>
    </row>
    <row r="5" spans="1:11" x14ac:dyDescent="0.3">
      <c r="A5" s="4" t="s">
        <v>56</v>
      </c>
      <c r="B5" t="s">
        <v>83</v>
      </c>
    </row>
    <row r="6" spans="1:11" x14ac:dyDescent="0.3">
      <c r="A6" s="4" t="s">
        <v>57</v>
      </c>
      <c r="B6" t="s">
        <v>84</v>
      </c>
      <c r="E6" s="2" t="s">
        <v>107</v>
      </c>
    </row>
    <row r="7" spans="1:11" x14ac:dyDescent="0.3">
      <c r="A7" s="4" t="s">
        <v>58</v>
      </c>
      <c r="B7" t="s">
        <v>85</v>
      </c>
    </row>
    <row r="8" spans="1:11" x14ac:dyDescent="0.3">
      <c r="A8" s="4" t="s">
        <v>59</v>
      </c>
      <c r="B8" t="s">
        <v>86</v>
      </c>
    </row>
    <row r="9" spans="1:11" s="42" customFormat="1" x14ac:dyDescent="0.3">
      <c r="A9" s="43" t="s">
        <v>566</v>
      </c>
      <c r="B9" s="42" t="s">
        <v>567</v>
      </c>
      <c r="C9" s="44"/>
      <c r="D9" s="44"/>
      <c r="E9" s="44"/>
      <c r="I9" s="44"/>
    </row>
    <row r="10" spans="1:11" x14ac:dyDescent="0.3">
      <c r="A10" s="4" t="s">
        <v>60</v>
      </c>
      <c r="B10" t="s">
        <v>87</v>
      </c>
    </row>
    <row r="11" spans="1:11" x14ac:dyDescent="0.3">
      <c r="A11" s="4" t="s">
        <v>61</v>
      </c>
      <c r="B11" t="s">
        <v>88</v>
      </c>
    </row>
    <row r="12" spans="1:11" x14ac:dyDescent="0.3">
      <c r="A12" s="4" t="s">
        <v>62</v>
      </c>
      <c r="B12" t="s">
        <v>89</v>
      </c>
    </row>
    <row r="13" spans="1:11" x14ac:dyDescent="0.3">
      <c r="A13" s="4" t="s">
        <v>63</v>
      </c>
      <c r="B13" t="s">
        <v>90</v>
      </c>
    </row>
    <row r="14" spans="1:11" x14ac:dyDescent="0.3">
      <c r="A14" s="4" t="s">
        <v>64</v>
      </c>
      <c r="B14" t="s">
        <v>91</v>
      </c>
    </row>
    <row r="15" spans="1:11" s="42" customFormat="1" x14ac:dyDescent="0.3">
      <c r="A15" s="43" t="s">
        <v>570</v>
      </c>
      <c r="B15" s="42" t="s">
        <v>568</v>
      </c>
      <c r="C15" s="44"/>
      <c r="D15" s="44"/>
      <c r="E15" s="44"/>
      <c r="I15" s="44"/>
    </row>
    <row r="16" spans="1:11" x14ac:dyDescent="0.3">
      <c r="A16" s="4" t="s">
        <v>66</v>
      </c>
      <c r="B16" t="s">
        <v>569</v>
      </c>
    </row>
    <row r="17" spans="1:4" x14ac:dyDescent="0.3">
      <c r="A17" s="4" t="s">
        <v>65</v>
      </c>
      <c r="B17" t="s">
        <v>92</v>
      </c>
    </row>
    <row r="18" spans="1:4" x14ac:dyDescent="0.3">
      <c r="A18" s="4" t="s">
        <v>67</v>
      </c>
      <c r="B18" t="s">
        <v>93</v>
      </c>
    </row>
    <row r="19" spans="1:4" x14ac:dyDescent="0.3">
      <c r="A19" s="4" t="s">
        <v>68</v>
      </c>
      <c r="B19" t="s">
        <v>94</v>
      </c>
    </row>
    <row r="20" spans="1:4" x14ac:dyDescent="0.3">
      <c r="A20" s="4" t="s">
        <v>69</v>
      </c>
      <c r="B20" t="s">
        <v>95</v>
      </c>
    </row>
    <row r="21" spans="1:4" x14ac:dyDescent="0.3">
      <c r="A21" s="4" t="s">
        <v>70</v>
      </c>
      <c r="B21" t="s">
        <v>97</v>
      </c>
    </row>
    <row r="22" spans="1:4" x14ac:dyDescent="0.3">
      <c r="A22" s="4" t="s">
        <v>71</v>
      </c>
      <c r="B22" t="s">
        <v>96</v>
      </c>
    </row>
    <row r="23" spans="1:4" x14ac:dyDescent="0.3">
      <c r="A23" s="4" t="s">
        <v>72</v>
      </c>
      <c r="B23" t="s">
        <v>98</v>
      </c>
    </row>
    <row r="24" spans="1:4" x14ac:dyDescent="0.3">
      <c r="A24" s="4" t="s">
        <v>73</v>
      </c>
      <c r="B24" t="s">
        <v>99</v>
      </c>
    </row>
    <row r="25" spans="1:4" x14ac:dyDescent="0.3">
      <c r="A25" s="4" t="s">
        <v>129</v>
      </c>
      <c r="B25" t="s">
        <v>100</v>
      </c>
    </row>
    <row r="26" spans="1:4" x14ac:dyDescent="0.3">
      <c r="A26" s="4" t="s">
        <v>74</v>
      </c>
      <c r="B26" t="s">
        <v>101</v>
      </c>
    </row>
    <row r="27" spans="1:4" x14ac:dyDescent="0.3">
      <c r="A27" s="4" t="s">
        <v>76</v>
      </c>
      <c r="B27" t="s">
        <v>102</v>
      </c>
    </row>
    <row r="28" spans="1:4" x14ac:dyDescent="0.3">
      <c r="A28" s="4" t="s">
        <v>75</v>
      </c>
      <c r="B28" t="s">
        <v>103</v>
      </c>
    </row>
    <row r="29" spans="1:4" x14ac:dyDescent="0.3">
      <c r="A29" s="4" t="s">
        <v>77</v>
      </c>
      <c r="B29" t="s">
        <v>104</v>
      </c>
    </row>
    <row r="30" spans="1:4" x14ac:dyDescent="0.3">
      <c r="A30" s="4" t="s">
        <v>78</v>
      </c>
      <c r="B30" t="s">
        <v>106</v>
      </c>
      <c r="D30" s="2" t="s">
        <v>107</v>
      </c>
    </row>
    <row r="31" spans="1:4" x14ac:dyDescent="0.3">
      <c r="A31" s="4" t="s">
        <v>79</v>
      </c>
      <c r="B31" t="s">
        <v>105</v>
      </c>
      <c r="D31" s="2" t="s">
        <v>107</v>
      </c>
    </row>
    <row r="32" spans="1:4" x14ac:dyDescent="0.3">
      <c r="A32" s="4" t="s">
        <v>853</v>
      </c>
      <c r="B32" t="s">
        <v>854</v>
      </c>
      <c r="C32" s="2" t="s">
        <v>107</v>
      </c>
    </row>
    <row r="33" spans="1:4" x14ac:dyDescent="0.3">
      <c r="A33" s="4" t="s">
        <v>855</v>
      </c>
      <c r="B33" t="s">
        <v>856</v>
      </c>
      <c r="D33" s="2" t="s">
        <v>107</v>
      </c>
    </row>
  </sheetData>
  <sheetProtection formatCells="0" formatColumns="0" formatRows="0" insertColumns="0" insertRows="0" insertHyperlinks="0" deleteColumns="0" deleteRows="0" sort="0" autoFilter="0" pivotTables="0"/>
  <conditionalFormatting sqref="B1:B1048576">
    <cfRule type="expression" dxfId="12" priority="4">
      <formula>AND(A1&lt;&gt;"",NOT(B1&lt;&gt;""))</formula>
    </cfRule>
  </conditionalFormatting>
  <conditionalFormatting sqref="H2:H1048576">
    <cfRule type="expression" dxfId="10" priority="2">
      <formula>AND(I2&lt;&gt;"",NOT(H2&lt;&gt;""))</formula>
    </cfRule>
  </conditionalFormatting>
  <dataValidations count="1">
    <dataValidation type="list" allowBlank="1" showInputMessage="1" showErrorMessage="1" sqref="C1:E1048576" xr:uid="{00000000-0002-0000-0300-000000000000}">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'Databook Pages'!$A$2:$A$9999</xm:f>
          </x14:formula1>
          <xm:sqref>H2:H1048576</xm:sqref>
        </x14:dataValidation>
        <x14:dataValidation type="list" allowBlank="1" showInputMessage="1" showErrorMessage="1" xr:uid="{00000000-0002-0000-0300-000002000000}">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OJ400"/>
  <sheetViews>
    <sheetView zoomScale="85" zoomScaleNormal="85" workbookViewId="0">
      <selection activeCell="G39" sqref="G39"/>
    </sheetView>
  </sheetViews>
  <sheetFormatPr defaultColWidth="8.88671875" defaultRowHeight="14.4" x14ac:dyDescent="0.3"/>
  <cols>
    <col min="1" max="1" width="16.33203125" style="3" bestFit="1" customWidth="1"/>
    <col min="6" max="6" width="11.88671875" customWidth="1"/>
    <col min="8" max="8" width="11.88671875" customWidth="1"/>
  </cols>
  <sheetData>
    <row r="1" spans="1:400" s="3" customFormat="1" x14ac:dyDescent="0.3">
      <c r="A1" s="9"/>
      <c r="B1" s="9" t="str">
        <f>IF(Compartments!$A2&lt;&gt;"",Compartments!$A2,"")</f>
        <v>j_init</v>
      </c>
      <c r="C1" s="9" t="str">
        <f>IF(Compartments!$A3&lt;&gt;"",Compartments!$A3,"")</f>
        <v>src_b</v>
      </c>
      <c r="D1" s="9" t="str">
        <f>IF(Compartments!$A4&lt;&gt;"",Compartments!$A4,"")</f>
        <v>sus</v>
      </c>
      <c r="E1" s="9" t="str">
        <f>IF(Compartments!$A5&lt;&gt;"",Compartments!$A5,"")</f>
        <v>vax</v>
      </c>
      <c r="F1" s="9" t="str">
        <f>IF(Compartments!$A6&lt;&gt;"",Compartments!$A6,"")</f>
        <v>j_acu</v>
      </c>
      <c r="G1" s="9" t="str">
        <f>IF(Compartments!$A7&lt;&gt;"",Compartments!$A7,"")</f>
        <v>it</v>
      </c>
      <c r="H1" s="9" t="str">
        <f>IF(Compartments!$A8&lt;&gt;"",Compartments!$A8,"")</f>
        <v>it_dx</v>
      </c>
      <c r="I1" s="45" t="str">
        <f>IF(Compartments!$A9&lt;&gt;"",Compartments!$A9,"")</f>
        <v>it_tx</v>
      </c>
      <c r="J1" s="9" t="str">
        <f>IF(Compartments!$A10&lt;&gt;"",Compartments!$A10,"")</f>
        <v>icl</v>
      </c>
      <c r="K1" s="9" t="str">
        <f>IF(Compartments!$A11&lt;&gt;"",Compartments!$A11,"")</f>
        <v>icl_dx</v>
      </c>
      <c r="L1" s="9" t="str">
        <f>IF(Compartments!$A12&lt;&gt;"",Compartments!$A12,"")</f>
        <v>icl_tx</v>
      </c>
      <c r="M1" s="9" t="str">
        <f>IF(Compartments!$A13&lt;&gt;"",Compartments!$A13,"")</f>
        <v>ict</v>
      </c>
      <c r="N1" s="9" t="str">
        <f>IF(Compartments!$A14&lt;&gt;"",Compartments!$A14,"")</f>
        <v>ict_dx</v>
      </c>
      <c r="O1" s="45" t="str">
        <f>IF(Compartments!$A15&lt;&gt;"",Compartments!$A15,"")</f>
        <v>ict_tx_i</v>
      </c>
      <c r="P1" s="9" t="str">
        <f>IF(Compartments!$A16&lt;&gt;"",Compartments!$A16,"")</f>
        <v>ict_tx</v>
      </c>
      <c r="Q1" s="9" t="str">
        <f>IF(Compartments!$A17&lt;&gt;"",Compartments!$A17,"")</f>
        <v>ie</v>
      </c>
      <c r="R1" s="9" t="str">
        <f>IF(Compartments!$A18&lt;&gt;"",Compartments!$A18,"")</f>
        <v>ie_dx</v>
      </c>
      <c r="S1" s="9" t="str">
        <f>IF(Compartments!$A19&lt;&gt;"",Compartments!$A19,"")</f>
        <v>ie_tx</v>
      </c>
      <c r="T1" s="9" t="str">
        <f>IF(Compartments!$A20&lt;&gt;"",Compartments!$A20,"")</f>
        <v>cc</v>
      </c>
      <c r="U1" s="9" t="str">
        <f>IF(Compartments!$A21&lt;&gt;"",Compartments!$A21,"")</f>
        <v>cc_dx</v>
      </c>
      <c r="V1" s="9" t="str">
        <f>IF(Compartments!$A22&lt;&gt;"",Compartments!$A22,"")</f>
        <v>cc_tx</v>
      </c>
      <c r="W1" s="9" t="str">
        <f>IF(Compartments!$A23&lt;&gt;"",Compartments!$A23,"")</f>
        <v>dc</v>
      </c>
      <c r="X1" s="9" t="str">
        <f>IF(Compartments!$A24&lt;&gt;"",Compartments!$A24,"")</f>
        <v>dc_dx</v>
      </c>
      <c r="Y1" s="9" t="str">
        <f>IF(Compartments!$A25&lt;&gt;"",Compartments!$A25,"")</f>
        <v>dc_tx</v>
      </c>
      <c r="Z1" s="9" t="str">
        <f>IF(Compartments!$A26&lt;&gt;"",Compartments!$A26,"")</f>
        <v>hcc</v>
      </c>
      <c r="AA1" s="9" t="str">
        <f>IF(Compartments!$A27&lt;&gt;"",Compartments!$A27,"")</f>
        <v>hcc_dx</v>
      </c>
      <c r="AB1" s="9" t="str">
        <f>IF(Compartments!$A28&lt;&gt;"",Compartments!$A28,"")</f>
        <v>hcc_tx</v>
      </c>
      <c r="AC1" s="9" t="str">
        <f>IF(Compartments!$A29&lt;&gt;"",Compartments!$A29,"")</f>
        <v>rec</v>
      </c>
      <c r="AD1" s="9" t="str">
        <f>IF(Compartments!$A30&lt;&gt;"",Compartments!$A30,"")</f>
        <v>dd_hbv</v>
      </c>
      <c r="AE1" s="9" t="str">
        <f>IF(Compartments!$A31&lt;&gt;"",Compartments!$A31,"")</f>
        <v>dd_oth</v>
      </c>
      <c r="AF1" s="9" t="str">
        <f>IF(Compartments!$A32&lt;&gt;"",Compartments!$A32,"")</f>
        <v>imig</v>
      </c>
      <c r="AG1" s="9" t="str">
        <f>IF(Compartments!$A33&lt;&gt;"",Compartments!$A33,"")</f>
        <v>emig</v>
      </c>
      <c r="AH1" s="3" t="str">
        <f>IF(Compartments!$A34&lt;&gt;"",Compartments!$A34,"")</f>
        <v/>
      </c>
      <c r="AI1" s="3" t="str">
        <f>IF(Compartments!$A35&lt;&gt;"",Compartments!$A35,"")</f>
        <v/>
      </c>
      <c r="AJ1" s="3" t="str">
        <f>IF(Compartments!$A36&lt;&gt;"",Compartments!$A36,"")</f>
        <v/>
      </c>
      <c r="AK1" s="3" t="str">
        <f>IF(Compartments!$A37&lt;&gt;"",Compartments!$A37,"")</f>
        <v/>
      </c>
      <c r="AL1" s="3" t="str">
        <f>IF(Compartments!$A38&lt;&gt;"",Compartments!$A38,"")</f>
        <v/>
      </c>
      <c r="AM1" s="3" t="str">
        <f>IF(Compartments!$A39&lt;&gt;"",Compartments!$A39,"")</f>
        <v/>
      </c>
      <c r="AN1" s="3" t="str">
        <f>IF(Compartments!$A40&lt;&gt;"",Compartments!$A40,"")</f>
        <v/>
      </c>
      <c r="AO1" s="3" t="str">
        <f>IF(Compartments!$A41&lt;&gt;"",Compartments!$A41,"")</f>
        <v/>
      </c>
      <c r="AP1" s="3" t="str">
        <f>IF(Compartments!$A42&lt;&gt;"",Compartments!$A42,"")</f>
        <v/>
      </c>
      <c r="AQ1" s="3" t="str">
        <f>IF(Compartments!$A43&lt;&gt;"",Compartments!$A43,"")</f>
        <v/>
      </c>
      <c r="AR1" s="3" t="str">
        <f>IF(Compartments!$A44&lt;&gt;"",Compartments!$A44,"")</f>
        <v/>
      </c>
      <c r="AS1" s="3" t="str">
        <f>IF(Compartments!$A45&lt;&gt;"",Compartments!$A45,"")</f>
        <v/>
      </c>
      <c r="AT1" s="3" t="str">
        <f>IF(Compartments!$A46&lt;&gt;"",Compartments!$A46,"")</f>
        <v/>
      </c>
      <c r="AU1" s="3" t="str">
        <f>IF(Compartments!$A47&lt;&gt;"",Compartments!$A47,"")</f>
        <v/>
      </c>
      <c r="AV1" s="3" t="str">
        <f>IF(Compartments!$A48&lt;&gt;"",Compartments!$A48,"")</f>
        <v/>
      </c>
      <c r="AW1" s="3" t="str">
        <f>IF(Compartments!$A49&lt;&gt;"",Compartments!$A49,"")</f>
        <v/>
      </c>
      <c r="AX1" s="3" t="str">
        <f>IF(Compartments!$A50&lt;&gt;"",Compartments!$A50,"")</f>
        <v/>
      </c>
      <c r="AY1" s="3" t="str">
        <f>IF(Compartments!$A51&lt;&gt;"",Compartments!$A51,"")</f>
        <v/>
      </c>
      <c r="AZ1" s="3" t="str">
        <f>IF(Compartments!$A52&lt;&gt;"",Compartments!$A52,"")</f>
        <v/>
      </c>
      <c r="BA1" s="3" t="str">
        <f>IF(Compartments!$A53&lt;&gt;"",Compartments!$A53,"")</f>
        <v/>
      </c>
      <c r="BB1" s="3" t="str">
        <f>IF(Compartments!$A54&lt;&gt;"",Compartments!$A54,"")</f>
        <v/>
      </c>
      <c r="BC1" s="3" t="str">
        <f>IF(Compartments!$A55&lt;&gt;"",Compartments!$A55,"")</f>
        <v/>
      </c>
      <c r="BD1" s="3" t="str">
        <f>IF(Compartments!$A56&lt;&gt;"",Compartments!$A56,"")</f>
        <v/>
      </c>
      <c r="BE1" s="3" t="str">
        <f>IF(Compartments!$A57&lt;&gt;"",Compartments!$A57,"")</f>
        <v/>
      </c>
      <c r="BF1" s="3" t="str">
        <f>IF(Compartments!$A58&lt;&gt;"",Compartments!$A58,"")</f>
        <v/>
      </c>
      <c r="BG1" s="3" t="str">
        <f>IF(Compartments!$A59&lt;&gt;"",Compartments!$A59,"")</f>
        <v/>
      </c>
      <c r="BH1" s="3" t="str">
        <f>IF(Compartments!$A60&lt;&gt;"",Compartments!$A60,"")</f>
        <v/>
      </c>
      <c r="BI1" s="3" t="str">
        <f>IF(Compartments!$A61&lt;&gt;"",Compartments!$A61,"")</f>
        <v/>
      </c>
      <c r="BJ1" s="3" t="str">
        <f>IF(Compartments!$A62&lt;&gt;"",Compartments!$A62,"")</f>
        <v/>
      </c>
      <c r="BK1" s="3" t="str">
        <f>IF(Compartments!$A63&lt;&gt;"",Compartments!$A63,"")</f>
        <v/>
      </c>
      <c r="BL1" s="3" t="str">
        <f>IF(Compartments!$A64&lt;&gt;"",Compartments!$A64,"")</f>
        <v/>
      </c>
      <c r="BM1" s="3" t="str">
        <f>IF(Compartments!$A65&lt;&gt;"",Compartments!$A65,"")</f>
        <v/>
      </c>
      <c r="BN1" s="3" t="str">
        <f>IF(Compartments!$A66&lt;&gt;"",Compartments!$A66,"")</f>
        <v/>
      </c>
      <c r="BO1" s="3" t="str">
        <f>IF(Compartments!$A67&lt;&gt;"",Compartments!$A67,"")</f>
        <v/>
      </c>
      <c r="BP1" s="3" t="str">
        <f>IF(Compartments!$A68&lt;&gt;"",Compartments!$A68,"")</f>
        <v/>
      </c>
      <c r="BQ1" s="3" t="str">
        <f>IF(Compartments!$A69&lt;&gt;"",Compartments!$A69,"")</f>
        <v/>
      </c>
      <c r="BR1" s="3" t="str">
        <f>IF(Compartments!$A70&lt;&gt;"",Compartments!$A70,"")</f>
        <v/>
      </c>
      <c r="BS1" s="3" t="str">
        <f>IF(Compartments!$A71&lt;&gt;"",Compartments!$A71,"")</f>
        <v/>
      </c>
      <c r="BT1" s="3" t="str">
        <f>IF(Compartments!$A72&lt;&gt;"",Compartments!$A72,"")</f>
        <v/>
      </c>
      <c r="BU1" s="3" t="str">
        <f>IF(Compartments!$A73&lt;&gt;"",Compartments!$A73,"")</f>
        <v/>
      </c>
      <c r="BV1" s="3" t="str">
        <f>IF(Compartments!$A74&lt;&gt;"",Compartments!$A74,"")</f>
        <v/>
      </c>
      <c r="BW1" s="3" t="str">
        <f>IF(Compartments!$A75&lt;&gt;"",Compartments!$A75,"")</f>
        <v/>
      </c>
      <c r="BX1" s="3" t="str">
        <f>IF(Compartments!$A76&lt;&gt;"",Compartments!$A76,"")</f>
        <v/>
      </c>
      <c r="BY1" s="3" t="str">
        <f>IF(Compartments!$A77&lt;&gt;"",Compartments!$A77,"")</f>
        <v/>
      </c>
      <c r="BZ1" s="3" t="str">
        <f>IF(Compartments!$A78&lt;&gt;"",Compartments!$A78,"")</f>
        <v/>
      </c>
      <c r="CA1" s="3" t="str">
        <f>IF(Compartments!$A79&lt;&gt;"",Compartments!$A79,"")</f>
        <v/>
      </c>
      <c r="CB1" s="3" t="str">
        <f>IF(Compartments!$A80&lt;&gt;"",Compartments!$A80,"")</f>
        <v/>
      </c>
      <c r="CC1" s="3" t="str">
        <f>IF(Compartments!$A81&lt;&gt;"",Compartments!$A81,"")</f>
        <v/>
      </c>
      <c r="CD1" s="3" t="str">
        <f>IF(Compartments!$A82&lt;&gt;"",Compartments!$A82,"")</f>
        <v/>
      </c>
      <c r="CE1" s="3" t="str">
        <f>IF(Compartments!$A83&lt;&gt;"",Compartments!$A83,"")</f>
        <v/>
      </c>
      <c r="CF1" s="3" t="str">
        <f>IF(Compartments!$A84&lt;&gt;"",Compartments!$A84,"")</f>
        <v/>
      </c>
      <c r="CG1" s="3" t="str">
        <f>IF(Compartments!$A85&lt;&gt;"",Compartments!$A85,"")</f>
        <v/>
      </c>
      <c r="CH1" s="3" t="str">
        <f>IF(Compartments!$A86&lt;&gt;"",Compartments!$A86,"")</f>
        <v/>
      </c>
      <c r="CI1" s="3" t="str">
        <f>IF(Compartments!$A87&lt;&gt;"",Compartments!$A87,"")</f>
        <v/>
      </c>
      <c r="CJ1" s="3" t="str">
        <f>IF(Compartments!$A88&lt;&gt;"",Compartments!$A88,"")</f>
        <v/>
      </c>
      <c r="CK1" s="3" t="str">
        <f>IF(Compartments!$A89&lt;&gt;"",Compartments!$A89,"")</f>
        <v/>
      </c>
      <c r="CL1" s="3" t="str">
        <f>IF(Compartments!$A90&lt;&gt;"",Compartments!$A90,"")</f>
        <v/>
      </c>
      <c r="CM1" s="3" t="str">
        <f>IF(Compartments!$A91&lt;&gt;"",Compartments!$A91,"")</f>
        <v/>
      </c>
      <c r="CN1" s="3" t="str">
        <f>IF(Compartments!$A92&lt;&gt;"",Compartments!$A92,"")</f>
        <v/>
      </c>
      <c r="CO1" s="3" t="str">
        <f>IF(Compartments!$A93&lt;&gt;"",Compartments!$A93,"")</f>
        <v/>
      </c>
      <c r="CP1" s="3" t="str">
        <f>IF(Compartments!$A94&lt;&gt;"",Compartments!$A94,"")</f>
        <v/>
      </c>
      <c r="CQ1" s="3" t="str">
        <f>IF(Compartments!$A95&lt;&gt;"",Compartments!$A95,"")</f>
        <v/>
      </c>
      <c r="CR1" s="3" t="str">
        <f>IF(Compartments!$A96&lt;&gt;"",Compartments!$A96,"")</f>
        <v/>
      </c>
      <c r="CS1" s="3" t="str">
        <f>IF(Compartments!$A97&lt;&gt;"",Compartments!$A97,"")</f>
        <v/>
      </c>
      <c r="CT1" s="3" t="str">
        <f>IF(Compartments!$A98&lt;&gt;"",Compartments!$A98,"")</f>
        <v/>
      </c>
      <c r="CU1" s="3" t="str">
        <f>IF(Compartments!$A99&lt;&gt;"",Compartments!$A99,"")</f>
        <v/>
      </c>
      <c r="CV1" s="3" t="str">
        <f>IF(Compartments!$A100&lt;&gt;"",Compartments!$A100,"")</f>
        <v/>
      </c>
      <c r="CW1" s="3" t="str">
        <f>IF(Compartments!$A101&lt;&gt;"",Compartments!$A101,"")</f>
        <v/>
      </c>
      <c r="CX1" s="3" t="str">
        <f>IF(Compartments!$A102&lt;&gt;"",Compartments!$A102,"")</f>
        <v/>
      </c>
      <c r="CY1" s="3" t="str">
        <f>IF(Compartments!$A103&lt;&gt;"",Compartments!$A103,"")</f>
        <v/>
      </c>
      <c r="CZ1" s="3" t="str">
        <f>IF(Compartments!$A104&lt;&gt;"",Compartments!$A104,"")</f>
        <v/>
      </c>
      <c r="DA1" s="3" t="str">
        <f>IF(Compartments!$A105&lt;&gt;"",Compartments!$A105,"")</f>
        <v/>
      </c>
      <c r="DB1" s="3" t="str">
        <f>IF(Compartments!$A106&lt;&gt;"",Compartments!$A106,"")</f>
        <v/>
      </c>
      <c r="DC1" s="3" t="str">
        <f>IF(Compartments!$A107&lt;&gt;"",Compartments!$A107,"")</f>
        <v/>
      </c>
      <c r="DD1" s="3" t="str">
        <f>IF(Compartments!$A108&lt;&gt;"",Compartments!$A108,"")</f>
        <v/>
      </c>
      <c r="DE1" s="3" t="str">
        <f>IF(Compartments!$A109&lt;&gt;"",Compartments!$A109,"")</f>
        <v/>
      </c>
      <c r="DF1" s="3" t="str">
        <f>IF(Compartments!$A110&lt;&gt;"",Compartments!$A110,"")</f>
        <v/>
      </c>
      <c r="DG1" s="3" t="str">
        <f>IF(Compartments!$A111&lt;&gt;"",Compartments!$A111,"")</f>
        <v/>
      </c>
      <c r="DH1" s="3" t="str">
        <f>IF(Compartments!$A112&lt;&gt;"",Compartments!$A112,"")</f>
        <v/>
      </c>
      <c r="DI1" s="3" t="str">
        <f>IF(Compartments!$A113&lt;&gt;"",Compartments!$A113,"")</f>
        <v/>
      </c>
      <c r="DJ1" s="3" t="str">
        <f>IF(Compartments!$A114&lt;&gt;"",Compartments!$A114,"")</f>
        <v/>
      </c>
      <c r="DK1" s="3" t="str">
        <f>IF(Compartments!$A115&lt;&gt;"",Compartments!$A115,"")</f>
        <v/>
      </c>
      <c r="DL1" s="3" t="str">
        <f>IF(Compartments!$A116&lt;&gt;"",Compartments!$A116,"")</f>
        <v/>
      </c>
      <c r="DM1" s="3" t="str">
        <f>IF(Compartments!$A117&lt;&gt;"",Compartments!$A117,"")</f>
        <v/>
      </c>
      <c r="DN1" s="3" t="str">
        <f>IF(Compartments!$A118&lt;&gt;"",Compartments!$A118,"")</f>
        <v/>
      </c>
      <c r="DO1" s="3" t="str">
        <f>IF(Compartments!$A119&lt;&gt;"",Compartments!$A119,"")</f>
        <v/>
      </c>
      <c r="DP1" s="3" t="str">
        <f>IF(Compartments!$A120&lt;&gt;"",Compartments!$A120,"")</f>
        <v/>
      </c>
      <c r="DQ1" s="3" t="str">
        <f>IF(Compartments!$A121&lt;&gt;"",Compartments!$A121,"")</f>
        <v/>
      </c>
      <c r="DR1" s="3" t="str">
        <f>IF(Compartments!$A122&lt;&gt;"",Compartments!$A122,"")</f>
        <v/>
      </c>
      <c r="DS1" s="3" t="str">
        <f>IF(Compartments!$A123&lt;&gt;"",Compartments!$A123,"")</f>
        <v/>
      </c>
      <c r="DT1" s="3" t="str">
        <f>IF(Compartments!$A124&lt;&gt;"",Compartments!$A124,"")</f>
        <v/>
      </c>
      <c r="DU1" s="3" t="str">
        <f>IF(Compartments!$A125&lt;&gt;"",Compartments!$A125,"")</f>
        <v/>
      </c>
      <c r="DV1" s="3" t="str">
        <f>IF(Compartments!$A126&lt;&gt;"",Compartments!$A126,"")</f>
        <v/>
      </c>
      <c r="DW1" s="3" t="str">
        <f>IF(Compartments!$A127&lt;&gt;"",Compartments!$A127,"")</f>
        <v/>
      </c>
      <c r="DX1" s="3" t="str">
        <f>IF(Compartments!$A128&lt;&gt;"",Compartments!$A128,"")</f>
        <v/>
      </c>
      <c r="DY1" s="3" t="str">
        <f>IF(Compartments!$A129&lt;&gt;"",Compartments!$A129,"")</f>
        <v/>
      </c>
      <c r="DZ1" s="3" t="str">
        <f>IF(Compartments!$A130&lt;&gt;"",Compartments!$A130,"")</f>
        <v/>
      </c>
      <c r="EA1" s="3" t="str">
        <f>IF(Compartments!$A131&lt;&gt;"",Compartments!$A131,"")</f>
        <v/>
      </c>
      <c r="EB1" s="3" t="str">
        <f>IF(Compartments!$A132&lt;&gt;"",Compartments!$A132,"")</f>
        <v/>
      </c>
      <c r="EC1" s="3" t="str">
        <f>IF(Compartments!$A133&lt;&gt;"",Compartments!$A133,"")</f>
        <v/>
      </c>
      <c r="ED1" s="3" t="str">
        <f>IF(Compartments!$A134&lt;&gt;"",Compartments!$A134,"")</f>
        <v/>
      </c>
      <c r="EE1" s="3" t="str">
        <f>IF(Compartments!$A135&lt;&gt;"",Compartments!$A135,"")</f>
        <v/>
      </c>
      <c r="EF1" s="3" t="str">
        <f>IF(Compartments!$A136&lt;&gt;"",Compartments!$A136,"")</f>
        <v/>
      </c>
      <c r="EG1" s="3" t="str">
        <f>IF(Compartments!$A137&lt;&gt;"",Compartments!$A137,"")</f>
        <v/>
      </c>
      <c r="EH1" s="3" t="str">
        <f>IF(Compartments!$A138&lt;&gt;"",Compartments!$A138,"")</f>
        <v/>
      </c>
      <c r="EI1" s="3" t="str">
        <f>IF(Compartments!$A139&lt;&gt;"",Compartments!$A139,"")</f>
        <v/>
      </c>
      <c r="EJ1" s="3" t="str">
        <f>IF(Compartments!$A140&lt;&gt;"",Compartments!$A140,"")</f>
        <v/>
      </c>
      <c r="EK1" s="3" t="str">
        <f>IF(Compartments!$A141&lt;&gt;"",Compartments!$A141,"")</f>
        <v/>
      </c>
      <c r="EL1" s="3" t="str">
        <f>IF(Compartments!$A142&lt;&gt;"",Compartments!$A142,"")</f>
        <v/>
      </c>
      <c r="EM1" s="3" t="str">
        <f>IF(Compartments!$A143&lt;&gt;"",Compartments!$A143,"")</f>
        <v/>
      </c>
      <c r="EN1" s="3" t="str">
        <f>IF(Compartments!$A144&lt;&gt;"",Compartments!$A144,"")</f>
        <v/>
      </c>
      <c r="EO1" s="3" t="str">
        <f>IF(Compartments!$A145&lt;&gt;"",Compartments!$A145,"")</f>
        <v/>
      </c>
      <c r="EP1" s="3" t="str">
        <f>IF(Compartments!$A146&lt;&gt;"",Compartments!$A146,"")</f>
        <v/>
      </c>
      <c r="EQ1" s="3" t="str">
        <f>IF(Compartments!$A147&lt;&gt;"",Compartments!$A147,"")</f>
        <v/>
      </c>
      <c r="ER1" s="3" t="str">
        <f>IF(Compartments!$A148&lt;&gt;"",Compartments!$A148,"")</f>
        <v/>
      </c>
      <c r="ES1" s="3" t="str">
        <f>IF(Compartments!$A149&lt;&gt;"",Compartments!$A149,"")</f>
        <v/>
      </c>
      <c r="ET1" s="3" t="str">
        <f>IF(Compartments!$A150&lt;&gt;"",Compartments!$A150,"")</f>
        <v/>
      </c>
      <c r="EU1" s="3" t="str">
        <f>IF(Compartments!$A151&lt;&gt;"",Compartments!$A151,"")</f>
        <v/>
      </c>
      <c r="EV1" s="3" t="str">
        <f>IF(Compartments!$A152&lt;&gt;"",Compartments!$A152,"")</f>
        <v/>
      </c>
      <c r="EW1" s="3" t="str">
        <f>IF(Compartments!$A153&lt;&gt;"",Compartments!$A153,"")</f>
        <v/>
      </c>
      <c r="EX1" s="3" t="str">
        <f>IF(Compartments!$A154&lt;&gt;"",Compartments!$A154,"")</f>
        <v/>
      </c>
      <c r="EY1" s="3" t="str">
        <f>IF(Compartments!$A155&lt;&gt;"",Compartments!$A155,"")</f>
        <v/>
      </c>
      <c r="EZ1" s="3" t="str">
        <f>IF(Compartments!$A156&lt;&gt;"",Compartments!$A156,"")</f>
        <v/>
      </c>
      <c r="FA1" s="3" t="str">
        <f>IF(Compartments!$A157&lt;&gt;"",Compartments!$A157,"")</f>
        <v/>
      </c>
      <c r="FB1" s="3" t="str">
        <f>IF(Compartments!$A158&lt;&gt;"",Compartments!$A158,"")</f>
        <v/>
      </c>
      <c r="FC1" s="3" t="str">
        <f>IF(Compartments!$A159&lt;&gt;"",Compartments!$A159,"")</f>
        <v/>
      </c>
      <c r="FD1" s="3" t="str">
        <f>IF(Compartments!$A160&lt;&gt;"",Compartments!$A160,"")</f>
        <v/>
      </c>
      <c r="FE1" s="3" t="str">
        <f>IF(Compartments!$A161&lt;&gt;"",Compartments!$A161,"")</f>
        <v/>
      </c>
      <c r="FF1" s="3" t="str">
        <f>IF(Compartments!$A162&lt;&gt;"",Compartments!$A162,"")</f>
        <v/>
      </c>
      <c r="FG1" s="3" t="str">
        <f>IF(Compartments!$A163&lt;&gt;"",Compartments!$A163,"")</f>
        <v/>
      </c>
      <c r="FH1" s="3" t="str">
        <f>IF(Compartments!$A164&lt;&gt;"",Compartments!$A164,"")</f>
        <v/>
      </c>
      <c r="FI1" s="3" t="str">
        <f>IF(Compartments!$A165&lt;&gt;"",Compartments!$A165,"")</f>
        <v/>
      </c>
      <c r="FJ1" s="3" t="str">
        <f>IF(Compartments!$A166&lt;&gt;"",Compartments!$A166,"")</f>
        <v/>
      </c>
      <c r="FK1" s="3" t="str">
        <f>IF(Compartments!$A167&lt;&gt;"",Compartments!$A167,"")</f>
        <v/>
      </c>
      <c r="FL1" s="3" t="str">
        <f>IF(Compartments!$A168&lt;&gt;"",Compartments!$A168,"")</f>
        <v/>
      </c>
      <c r="FM1" s="3" t="str">
        <f>IF(Compartments!$A169&lt;&gt;"",Compartments!$A169,"")</f>
        <v/>
      </c>
      <c r="FN1" s="3" t="str">
        <f>IF(Compartments!$A170&lt;&gt;"",Compartments!$A170,"")</f>
        <v/>
      </c>
      <c r="FO1" s="3" t="str">
        <f>IF(Compartments!$A171&lt;&gt;"",Compartments!$A171,"")</f>
        <v/>
      </c>
      <c r="FP1" s="3" t="str">
        <f>IF(Compartments!$A172&lt;&gt;"",Compartments!$A172,"")</f>
        <v/>
      </c>
      <c r="FQ1" s="3" t="str">
        <f>IF(Compartments!$A173&lt;&gt;"",Compartments!$A173,"")</f>
        <v/>
      </c>
      <c r="FR1" s="3" t="str">
        <f>IF(Compartments!$A174&lt;&gt;"",Compartments!$A174,"")</f>
        <v/>
      </c>
      <c r="FS1" s="3" t="str">
        <f>IF(Compartments!$A175&lt;&gt;"",Compartments!$A175,"")</f>
        <v/>
      </c>
      <c r="FT1" s="3" t="str">
        <f>IF(Compartments!$A176&lt;&gt;"",Compartments!$A176,"")</f>
        <v/>
      </c>
      <c r="FU1" s="3" t="str">
        <f>IF(Compartments!$A177&lt;&gt;"",Compartments!$A177,"")</f>
        <v/>
      </c>
      <c r="FV1" s="3" t="str">
        <f>IF(Compartments!$A178&lt;&gt;"",Compartments!$A178,"")</f>
        <v/>
      </c>
      <c r="FW1" s="3" t="str">
        <f>IF(Compartments!$A179&lt;&gt;"",Compartments!$A179,"")</f>
        <v/>
      </c>
      <c r="FX1" s="3" t="str">
        <f>IF(Compartments!$A180&lt;&gt;"",Compartments!$A180,"")</f>
        <v/>
      </c>
      <c r="FY1" s="3" t="str">
        <f>IF(Compartments!$A181&lt;&gt;"",Compartments!$A181,"")</f>
        <v/>
      </c>
      <c r="FZ1" s="3" t="str">
        <f>IF(Compartments!$A182&lt;&gt;"",Compartments!$A182,"")</f>
        <v/>
      </c>
      <c r="GA1" s="3" t="str">
        <f>IF(Compartments!$A183&lt;&gt;"",Compartments!$A183,"")</f>
        <v/>
      </c>
      <c r="GB1" s="3" t="str">
        <f>IF(Compartments!$A184&lt;&gt;"",Compartments!$A184,"")</f>
        <v/>
      </c>
      <c r="GC1" s="3" t="str">
        <f>IF(Compartments!$A185&lt;&gt;"",Compartments!$A185,"")</f>
        <v/>
      </c>
      <c r="GD1" s="3" t="str">
        <f>IF(Compartments!$A186&lt;&gt;"",Compartments!$A186,"")</f>
        <v/>
      </c>
      <c r="GE1" s="3" t="str">
        <f>IF(Compartments!$A187&lt;&gt;"",Compartments!$A187,"")</f>
        <v/>
      </c>
      <c r="GF1" s="3" t="str">
        <f>IF(Compartments!$A188&lt;&gt;"",Compartments!$A188,"")</f>
        <v/>
      </c>
      <c r="GG1" s="3" t="str">
        <f>IF(Compartments!$A189&lt;&gt;"",Compartments!$A189,"")</f>
        <v/>
      </c>
      <c r="GH1" s="3" t="str">
        <f>IF(Compartments!$A190&lt;&gt;"",Compartments!$A190,"")</f>
        <v/>
      </c>
      <c r="GI1" s="3" t="str">
        <f>IF(Compartments!$A191&lt;&gt;"",Compartments!$A191,"")</f>
        <v/>
      </c>
      <c r="GJ1" s="3" t="str">
        <f>IF(Compartments!$A192&lt;&gt;"",Compartments!$A192,"")</f>
        <v/>
      </c>
      <c r="GK1" s="3" t="str">
        <f>IF(Compartments!$A193&lt;&gt;"",Compartments!$A193,"")</f>
        <v/>
      </c>
      <c r="GL1" s="3" t="str">
        <f>IF(Compartments!$A194&lt;&gt;"",Compartments!$A194,"")</f>
        <v/>
      </c>
      <c r="GM1" s="3" t="str">
        <f>IF(Compartments!$A195&lt;&gt;"",Compartments!$A195,"")</f>
        <v/>
      </c>
      <c r="GN1" s="3" t="str">
        <f>IF(Compartments!$A196&lt;&gt;"",Compartments!$A196,"")</f>
        <v/>
      </c>
      <c r="GO1" s="3" t="str">
        <f>IF(Compartments!$A197&lt;&gt;"",Compartments!$A197,"")</f>
        <v/>
      </c>
      <c r="GP1" s="3" t="str">
        <f>IF(Compartments!$A198&lt;&gt;"",Compartments!$A198,"")</f>
        <v/>
      </c>
      <c r="GQ1" s="3" t="str">
        <f>IF(Compartments!$A199&lt;&gt;"",Compartments!$A199,"")</f>
        <v/>
      </c>
      <c r="GR1" s="3" t="str">
        <f>IF(Compartments!$A200&lt;&gt;"",Compartments!$A200,"")</f>
        <v/>
      </c>
      <c r="GS1" s="3" t="str">
        <f>IF(Compartments!$A201&lt;&gt;"",Compartments!$A201,"")</f>
        <v/>
      </c>
      <c r="GT1" s="3" t="str">
        <f>IF(Compartments!$A202&lt;&gt;"",Compartments!$A202,"")</f>
        <v/>
      </c>
      <c r="GU1" s="3" t="str">
        <f>IF(Compartments!$A203&lt;&gt;"",Compartments!$A203,"")</f>
        <v/>
      </c>
      <c r="GV1" s="3" t="str">
        <f>IF(Compartments!$A204&lt;&gt;"",Compartments!$A204,"")</f>
        <v/>
      </c>
      <c r="GW1" s="3" t="str">
        <f>IF(Compartments!$A205&lt;&gt;"",Compartments!$A205,"")</f>
        <v/>
      </c>
      <c r="GX1" s="3" t="str">
        <f>IF(Compartments!$A206&lt;&gt;"",Compartments!$A206,"")</f>
        <v/>
      </c>
      <c r="GY1" s="3" t="str">
        <f>IF(Compartments!$A207&lt;&gt;"",Compartments!$A207,"")</f>
        <v/>
      </c>
      <c r="GZ1" s="3" t="str">
        <f>IF(Compartments!$A208&lt;&gt;"",Compartments!$A208,"")</f>
        <v/>
      </c>
      <c r="HA1" s="3" t="str">
        <f>IF(Compartments!$A209&lt;&gt;"",Compartments!$A209,"")</f>
        <v/>
      </c>
      <c r="HB1" s="3" t="str">
        <f>IF(Compartments!$A210&lt;&gt;"",Compartments!$A210,"")</f>
        <v/>
      </c>
      <c r="HC1" s="3" t="str">
        <f>IF(Compartments!$A211&lt;&gt;"",Compartments!$A211,"")</f>
        <v/>
      </c>
      <c r="HD1" s="3" t="str">
        <f>IF(Compartments!$A212&lt;&gt;"",Compartments!$A212,"")</f>
        <v/>
      </c>
      <c r="HE1" s="3" t="str">
        <f>IF(Compartments!$A213&lt;&gt;"",Compartments!$A213,"")</f>
        <v/>
      </c>
      <c r="HF1" s="3" t="str">
        <f>IF(Compartments!$A214&lt;&gt;"",Compartments!$A214,"")</f>
        <v/>
      </c>
      <c r="HG1" s="3" t="str">
        <f>IF(Compartments!$A215&lt;&gt;"",Compartments!$A215,"")</f>
        <v/>
      </c>
      <c r="HH1" s="3" t="str">
        <f>IF(Compartments!$A216&lt;&gt;"",Compartments!$A216,"")</f>
        <v/>
      </c>
      <c r="HI1" s="3" t="str">
        <f>IF(Compartments!$A217&lt;&gt;"",Compartments!$A217,"")</f>
        <v/>
      </c>
      <c r="HJ1" s="3" t="str">
        <f>IF(Compartments!$A218&lt;&gt;"",Compartments!$A218,"")</f>
        <v/>
      </c>
      <c r="HK1" s="3" t="str">
        <f>IF(Compartments!$A219&lt;&gt;"",Compartments!$A219,"")</f>
        <v/>
      </c>
      <c r="HL1" s="3" t="str">
        <f>IF(Compartments!$A220&lt;&gt;"",Compartments!$A220,"")</f>
        <v/>
      </c>
      <c r="HM1" s="3" t="str">
        <f>IF(Compartments!$A221&lt;&gt;"",Compartments!$A221,"")</f>
        <v/>
      </c>
      <c r="HN1" s="3" t="str">
        <f>IF(Compartments!$A222&lt;&gt;"",Compartments!$A222,"")</f>
        <v/>
      </c>
      <c r="HO1" s="3" t="str">
        <f>IF(Compartments!$A223&lt;&gt;"",Compartments!$A223,"")</f>
        <v/>
      </c>
      <c r="HP1" s="3" t="str">
        <f>IF(Compartments!$A224&lt;&gt;"",Compartments!$A224,"")</f>
        <v/>
      </c>
      <c r="HQ1" s="3" t="str">
        <f>IF(Compartments!$A225&lt;&gt;"",Compartments!$A225,"")</f>
        <v/>
      </c>
      <c r="HR1" s="3" t="str">
        <f>IF(Compartments!$A226&lt;&gt;"",Compartments!$A226,"")</f>
        <v/>
      </c>
      <c r="HS1" s="3" t="str">
        <f>IF(Compartments!$A227&lt;&gt;"",Compartments!$A227,"")</f>
        <v/>
      </c>
      <c r="HT1" s="3" t="str">
        <f>IF(Compartments!$A228&lt;&gt;"",Compartments!$A228,"")</f>
        <v/>
      </c>
      <c r="HU1" s="3" t="str">
        <f>IF(Compartments!$A229&lt;&gt;"",Compartments!$A229,"")</f>
        <v/>
      </c>
      <c r="HV1" s="3" t="str">
        <f>IF(Compartments!$A230&lt;&gt;"",Compartments!$A230,"")</f>
        <v/>
      </c>
      <c r="HW1" s="3" t="str">
        <f>IF(Compartments!$A231&lt;&gt;"",Compartments!$A231,"")</f>
        <v/>
      </c>
      <c r="HX1" s="3" t="str">
        <f>IF(Compartments!$A232&lt;&gt;"",Compartments!$A232,"")</f>
        <v/>
      </c>
      <c r="HY1" s="3" t="str">
        <f>IF(Compartments!$A233&lt;&gt;"",Compartments!$A233,"")</f>
        <v/>
      </c>
      <c r="HZ1" s="3" t="str">
        <f>IF(Compartments!$A234&lt;&gt;"",Compartments!$A234,"")</f>
        <v/>
      </c>
      <c r="IA1" s="3" t="str">
        <f>IF(Compartments!$A235&lt;&gt;"",Compartments!$A235,"")</f>
        <v/>
      </c>
      <c r="IB1" s="3" t="str">
        <f>IF(Compartments!$A236&lt;&gt;"",Compartments!$A236,"")</f>
        <v/>
      </c>
      <c r="IC1" s="3" t="str">
        <f>IF(Compartments!$A237&lt;&gt;"",Compartments!$A237,"")</f>
        <v/>
      </c>
      <c r="ID1" s="3" t="str">
        <f>IF(Compartments!$A238&lt;&gt;"",Compartments!$A238,"")</f>
        <v/>
      </c>
      <c r="IE1" s="3" t="str">
        <f>IF(Compartments!$A239&lt;&gt;"",Compartments!$A239,"")</f>
        <v/>
      </c>
      <c r="IF1" s="3" t="str">
        <f>IF(Compartments!$A240&lt;&gt;"",Compartments!$A240,"")</f>
        <v/>
      </c>
      <c r="IG1" s="3" t="str">
        <f>IF(Compartments!$A241&lt;&gt;"",Compartments!$A241,"")</f>
        <v/>
      </c>
      <c r="IH1" s="3" t="str">
        <f>IF(Compartments!$A242&lt;&gt;"",Compartments!$A242,"")</f>
        <v/>
      </c>
      <c r="II1" s="3" t="str">
        <f>IF(Compartments!$A243&lt;&gt;"",Compartments!$A243,"")</f>
        <v/>
      </c>
      <c r="IJ1" s="3" t="str">
        <f>IF(Compartments!$A244&lt;&gt;"",Compartments!$A244,"")</f>
        <v/>
      </c>
      <c r="IK1" s="3" t="str">
        <f>IF(Compartments!$A245&lt;&gt;"",Compartments!$A245,"")</f>
        <v/>
      </c>
      <c r="IL1" s="3" t="str">
        <f>IF(Compartments!$A246&lt;&gt;"",Compartments!$A246,"")</f>
        <v/>
      </c>
      <c r="IM1" s="3" t="str">
        <f>IF(Compartments!$A247&lt;&gt;"",Compartments!$A247,"")</f>
        <v/>
      </c>
      <c r="IN1" s="3" t="str">
        <f>IF(Compartments!$A248&lt;&gt;"",Compartments!$A248,"")</f>
        <v/>
      </c>
      <c r="IO1" s="3" t="str">
        <f>IF(Compartments!$A249&lt;&gt;"",Compartments!$A249,"")</f>
        <v/>
      </c>
      <c r="IP1" s="3" t="str">
        <f>IF(Compartments!$A250&lt;&gt;"",Compartments!$A250,"")</f>
        <v/>
      </c>
      <c r="IQ1" s="3" t="str">
        <f>IF(Compartments!$A251&lt;&gt;"",Compartments!$A251,"")</f>
        <v/>
      </c>
      <c r="IR1" s="3" t="str">
        <f>IF(Compartments!$A252&lt;&gt;"",Compartments!$A252,"")</f>
        <v/>
      </c>
      <c r="IS1" s="3" t="str">
        <f>IF(Compartments!$A253&lt;&gt;"",Compartments!$A253,"")</f>
        <v/>
      </c>
      <c r="IT1" s="3" t="str">
        <f>IF(Compartments!$A254&lt;&gt;"",Compartments!$A254,"")</f>
        <v/>
      </c>
      <c r="IU1" s="3" t="str">
        <f>IF(Compartments!$A255&lt;&gt;"",Compartments!$A255,"")</f>
        <v/>
      </c>
      <c r="IV1" s="3" t="str">
        <f>IF(Compartments!$A256&lt;&gt;"",Compartments!$A256,"")</f>
        <v/>
      </c>
      <c r="IW1" s="3" t="str">
        <f>IF(Compartments!$A257&lt;&gt;"",Compartments!$A257,"")</f>
        <v/>
      </c>
      <c r="IX1" s="3" t="str">
        <f>IF(Compartments!$A258&lt;&gt;"",Compartments!$A258,"")</f>
        <v/>
      </c>
      <c r="IY1" s="3" t="str">
        <f>IF(Compartments!$A259&lt;&gt;"",Compartments!$A259,"")</f>
        <v/>
      </c>
      <c r="IZ1" s="3" t="str">
        <f>IF(Compartments!$A260&lt;&gt;"",Compartments!$A260,"")</f>
        <v/>
      </c>
      <c r="JA1" s="3" t="str">
        <f>IF(Compartments!$A261&lt;&gt;"",Compartments!$A261,"")</f>
        <v/>
      </c>
      <c r="JB1" s="3" t="str">
        <f>IF(Compartments!$A262&lt;&gt;"",Compartments!$A262,"")</f>
        <v/>
      </c>
      <c r="JC1" s="3" t="str">
        <f>IF(Compartments!$A263&lt;&gt;"",Compartments!$A263,"")</f>
        <v/>
      </c>
      <c r="JD1" s="3" t="str">
        <f>IF(Compartments!$A264&lt;&gt;"",Compartments!$A264,"")</f>
        <v/>
      </c>
      <c r="JE1" s="3" t="str">
        <f>IF(Compartments!$A265&lt;&gt;"",Compartments!$A265,"")</f>
        <v/>
      </c>
      <c r="JF1" s="3" t="str">
        <f>IF(Compartments!$A266&lt;&gt;"",Compartments!$A266,"")</f>
        <v/>
      </c>
      <c r="JG1" s="3" t="str">
        <f>IF(Compartments!$A267&lt;&gt;"",Compartments!$A267,"")</f>
        <v/>
      </c>
      <c r="JH1" s="3" t="str">
        <f>IF(Compartments!$A268&lt;&gt;"",Compartments!$A268,"")</f>
        <v/>
      </c>
      <c r="JI1" s="3" t="str">
        <f>IF(Compartments!$A269&lt;&gt;"",Compartments!$A269,"")</f>
        <v/>
      </c>
      <c r="JJ1" s="3" t="str">
        <f>IF(Compartments!$A270&lt;&gt;"",Compartments!$A270,"")</f>
        <v/>
      </c>
      <c r="JK1" s="3" t="str">
        <f>IF(Compartments!$A271&lt;&gt;"",Compartments!$A271,"")</f>
        <v/>
      </c>
      <c r="JL1" s="3" t="str">
        <f>IF(Compartments!$A272&lt;&gt;"",Compartments!$A272,"")</f>
        <v/>
      </c>
      <c r="JM1" s="3" t="str">
        <f>IF(Compartments!$A273&lt;&gt;"",Compartments!$A273,"")</f>
        <v/>
      </c>
      <c r="JN1" s="3" t="str">
        <f>IF(Compartments!$A274&lt;&gt;"",Compartments!$A274,"")</f>
        <v/>
      </c>
      <c r="JO1" s="3" t="str">
        <f>IF(Compartments!$A275&lt;&gt;"",Compartments!$A275,"")</f>
        <v/>
      </c>
      <c r="JP1" s="3" t="str">
        <f>IF(Compartments!$A276&lt;&gt;"",Compartments!$A276,"")</f>
        <v/>
      </c>
      <c r="JQ1" s="3" t="str">
        <f>IF(Compartments!$A277&lt;&gt;"",Compartments!$A277,"")</f>
        <v/>
      </c>
      <c r="JR1" s="3" t="str">
        <f>IF(Compartments!$A278&lt;&gt;"",Compartments!$A278,"")</f>
        <v/>
      </c>
      <c r="JS1" s="3" t="str">
        <f>IF(Compartments!$A279&lt;&gt;"",Compartments!$A279,"")</f>
        <v/>
      </c>
      <c r="JT1" s="3" t="str">
        <f>IF(Compartments!$A280&lt;&gt;"",Compartments!$A280,"")</f>
        <v/>
      </c>
      <c r="JU1" s="3" t="str">
        <f>IF(Compartments!$A281&lt;&gt;"",Compartments!$A281,"")</f>
        <v/>
      </c>
      <c r="JV1" s="3" t="str">
        <f>IF(Compartments!$A282&lt;&gt;"",Compartments!$A282,"")</f>
        <v/>
      </c>
      <c r="JW1" s="3" t="str">
        <f>IF(Compartments!$A283&lt;&gt;"",Compartments!$A283,"")</f>
        <v/>
      </c>
      <c r="JX1" s="3" t="str">
        <f>IF(Compartments!$A284&lt;&gt;"",Compartments!$A284,"")</f>
        <v/>
      </c>
      <c r="JY1" s="3" t="str">
        <f>IF(Compartments!$A285&lt;&gt;"",Compartments!$A285,"")</f>
        <v/>
      </c>
      <c r="JZ1" s="3" t="str">
        <f>IF(Compartments!$A286&lt;&gt;"",Compartments!$A286,"")</f>
        <v/>
      </c>
      <c r="KA1" s="3" t="str">
        <f>IF(Compartments!$A287&lt;&gt;"",Compartments!$A287,"")</f>
        <v/>
      </c>
      <c r="KB1" s="3" t="str">
        <f>IF(Compartments!$A288&lt;&gt;"",Compartments!$A288,"")</f>
        <v/>
      </c>
      <c r="KC1" s="3" t="str">
        <f>IF(Compartments!$A289&lt;&gt;"",Compartments!$A289,"")</f>
        <v/>
      </c>
      <c r="KD1" s="3" t="str">
        <f>IF(Compartments!$A290&lt;&gt;"",Compartments!$A290,"")</f>
        <v/>
      </c>
      <c r="KE1" s="3" t="str">
        <f>IF(Compartments!$A291&lt;&gt;"",Compartments!$A291,"")</f>
        <v/>
      </c>
      <c r="KF1" s="3" t="str">
        <f>IF(Compartments!$A292&lt;&gt;"",Compartments!$A292,"")</f>
        <v/>
      </c>
      <c r="KG1" s="3" t="str">
        <f>IF(Compartments!$A293&lt;&gt;"",Compartments!$A293,"")</f>
        <v/>
      </c>
      <c r="KH1" s="3" t="str">
        <f>IF(Compartments!$A294&lt;&gt;"",Compartments!$A294,"")</f>
        <v/>
      </c>
      <c r="KI1" s="3" t="str">
        <f>IF(Compartments!$A295&lt;&gt;"",Compartments!$A295,"")</f>
        <v/>
      </c>
      <c r="KJ1" s="3" t="str">
        <f>IF(Compartments!$A296&lt;&gt;"",Compartments!$A296,"")</f>
        <v/>
      </c>
      <c r="KK1" s="3" t="str">
        <f>IF(Compartments!$A297&lt;&gt;"",Compartments!$A297,"")</f>
        <v/>
      </c>
      <c r="KL1" s="3" t="str">
        <f>IF(Compartments!$A298&lt;&gt;"",Compartments!$A298,"")</f>
        <v/>
      </c>
      <c r="KM1" s="3" t="str">
        <f>IF(Compartments!$A299&lt;&gt;"",Compartments!$A299,"")</f>
        <v/>
      </c>
      <c r="KN1" s="3" t="str">
        <f>IF(Compartments!$A300&lt;&gt;"",Compartments!$A300,"")</f>
        <v/>
      </c>
      <c r="KO1" s="3" t="str">
        <f>IF(Compartments!$A301&lt;&gt;"",Compartments!$A301,"")</f>
        <v/>
      </c>
      <c r="KP1" s="3" t="str">
        <f>IF(Compartments!$A302&lt;&gt;"",Compartments!$A302,"")</f>
        <v/>
      </c>
      <c r="KQ1" s="3" t="str">
        <f>IF(Compartments!$A303&lt;&gt;"",Compartments!$A303,"")</f>
        <v/>
      </c>
      <c r="KR1" s="3" t="str">
        <f>IF(Compartments!$A304&lt;&gt;"",Compartments!$A304,"")</f>
        <v/>
      </c>
      <c r="KS1" s="3" t="str">
        <f>IF(Compartments!$A305&lt;&gt;"",Compartments!$A305,"")</f>
        <v/>
      </c>
      <c r="KT1" s="3" t="str">
        <f>IF(Compartments!$A306&lt;&gt;"",Compartments!$A306,"")</f>
        <v/>
      </c>
      <c r="KU1" s="3" t="str">
        <f>IF(Compartments!$A307&lt;&gt;"",Compartments!$A307,"")</f>
        <v/>
      </c>
      <c r="KV1" s="3" t="str">
        <f>IF(Compartments!$A308&lt;&gt;"",Compartments!$A308,"")</f>
        <v/>
      </c>
      <c r="KW1" s="3" t="str">
        <f>IF(Compartments!$A309&lt;&gt;"",Compartments!$A309,"")</f>
        <v/>
      </c>
      <c r="KX1" s="3" t="str">
        <f>IF(Compartments!$A310&lt;&gt;"",Compartments!$A310,"")</f>
        <v/>
      </c>
      <c r="KY1" s="3" t="str">
        <f>IF(Compartments!$A311&lt;&gt;"",Compartments!$A311,"")</f>
        <v/>
      </c>
      <c r="KZ1" s="3" t="str">
        <f>IF(Compartments!$A312&lt;&gt;"",Compartments!$A312,"")</f>
        <v/>
      </c>
      <c r="LA1" s="3" t="str">
        <f>IF(Compartments!$A313&lt;&gt;"",Compartments!$A313,"")</f>
        <v/>
      </c>
      <c r="LB1" s="3" t="str">
        <f>IF(Compartments!$A314&lt;&gt;"",Compartments!$A314,"")</f>
        <v/>
      </c>
      <c r="LC1" s="3" t="str">
        <f>IF(Compartments!$A315&lt;&gt;"",Compartments!$A315,"")</f>
        <v/>
      </c>
      <c r="LD1" s="3" t="str">
        <f>IF(Compartments!$A316&lt;&gt;"",Compartments!$A316,"")</f>
        <v/>
      </c>
      <c r="LE1" s="3" t="str">
        <f>IF(Compartments!$A317&lt;&gt;"",Compartments!$A317,"")</f>
        <v/>
      </c>
      <c r="LF1" s="3" t="str">
        <f>IF(Compartments!$A318&lt;&gt;"",Compartments!$A318,"")</f>
        <v/>
      </c>
      <c r="LG1" s="3" t="str">
        <f>IF(Compartments!$A319&lt;&gt;"",Compartments!$A319,"")</f>
        <v/>
      </c>
      <c r="LH1" s="3" t="str">
        <f>IF(Compartments!$A320&lt;&gt;"",Compartments!$A320,"")</f>
        <v/>
      </c>
      <c r="LI1" s="3" t="str">
        <f>IF(Compartments!$A321&lt;&gt;"",Compartments!$A321,"")</f>
        <v/>
      </c>
      <c r="LJ1" s="3" t="str">
        <f>IF(Compartments!$A322&lt;&gt;"",Compartments!$A322,"")</f>
        <v/>
      </c>
      <c r="LK1" s="3" t="str">
        <f>IF(Compartments!$A323&lt;&gt;"",Compartments!$A323,"")</f>
        <v/>
      </c>
      <c r="LL1" s="3" t="str">
        <f>IF(Compartments!$A324&lt;&gt;"",Compartments!$A324,"")</f>
        <v/>
      </c>
      <c r="LM1" s="3" t="str">
        <f>IF(Compartments!$A325&lt;&gt;"",Compartments!$A325,"")</f>
        <v/>
      </c>
      <c r="LN1" s="3" t="str">
        <f>IF(Compartments!$A326&lt;&gt;"",Compartments!$A326,"")</f>
        <v/>
      </c>
      <c r="LO1" s="3" t="str">
        <f>IF(Compartments!$A327&lt;&gt;"",Compartments!$A327,"")</f>
        <v/>
      </c>
      <c r="LP1" s="3" t="str">
        <f>IF(Compartments!$A328&lt;&gt;"",Compartments!$A328,"")</f>
        <v/>
      </c>
      <c r="LQ1" s="3" t="str">
        <f>IF(Compartments!$A329&lt;&gt;"",Compartments!$A329,"")</f>
        <v/>
      </c>
      <c r="LR1" s="3" t="str">
        <f>IF(Compartments!$A330&lt;&gt;"",Compartments!$A330,"")</f>
        <v/>
      </c>
      <c r="LS1" s="3" t="str">
        <f>IF(Compartments!$A331&lt;&gt;"",Compartments!$A331,"")</f>
        <v/>
      </c>
      <c r="LT1" s="3" t="str">
        <f>IF(Compartments!$A332&lt;&gt;"",Compartments!$A332,"")</f>
        <v/>
      </c>
      <c r="LU1" s="3" t="str">
        <f>IF(Compartments!$A333&lt;&gt;"",Compartments!$A333,"")</f>
        <v/>
      </c>
      <c r="LV1" s="3" t="str">
        <f>IF(Compartments!$A334&lt;&gt;"",Compartments!$A334,"")</f>
        <v/>
      </c>
      <c r="LW1" s="3" t="str">
        <f>IF(Compartments!$A335&lt;&gt;"",Compartments!$A335,"")</f>
        <v/>
      </c>
      <c r="LX1" s="3" t="str">
        <f>IF(Compartments!$A336&lt;&gt;"",Compartments!$A336,"")</f>
        <v/>
      </c>
      <c r="LY1" s="3" t="str">
        <f>IF(Compartments!$A337&lt;&gt;"",Compartments!$A337,"")</f>
        <v/>
      </c>
      <c r="LZ1" s="3" t="str">
        <f>IF(Compartments!$A338&lt;&gt;"",Compartments!$A338,"")</f>
        <v/>
      </c>
      <c r="MA1" s="3" t="str">
        <f>IF(Compartments!$A339&lt;&gt;"",Compartments!$A339,"")</f>
        <v/>
      </c>
      <c r="MB1" s="3" t="str">
        <f>IF(Compartments!$A340&lt;&gt;"",Compartments!$A340,"")</f>
        <v/>
      </c>
      <c r="MC1" s="3" t="str">
        <f>IF(Compartments!$A341&lt;&gt;"",Compartments!$A341,"")</f>
        <v/>
      </c>
      <c r="MD1" s="3" t="str">
        <f>IF(Compartments!$A342&lt;&gt;"",Compartments!$A342,"")</f>
        <v/>
      </c>
      <c r="ME1" s="3" t="str">
        <f>IF(Compartments!$A343&lt;&gt;"",Compartments!$A343,"")</f>
        <v/>
      </c>
      <c r="MF1" s="3" t="str">
        <f>IF(Compartments!$A344&lt;&gt;"",Compartments!$A344,"")</f>
        <v/>
      </c>
      <c r="MG1" s="3" t="str">
        <f>IF(Compartments!$A345&lt;&gt;"",Compartments!$A345,"")</f>
        <v/>
      </c>
      <c r="MH1" s="3" t="str">
        <f>IF(Compartments!$A346&lt;&gt;"",Compartments!$A346,"")</f>
        <v/>
      </c>
      <c r="MI1" s="3" t="str">
        <f>IF(Compartments!$A347&lt;&gt;"",Compartments!$A347,"")</f>
        <v/>
      </c>
      <c r="MJ1" s="3" t="str">
        <f>IF(Compartments!$A348&lt;&gt;"",Compartments!$A348,"")</f>
        <v/>
      </c>
      <c r="MK1" s="3" t="str">
        <f>IF(Compartments!$A349&lt;&gt;"",Compartments!$A349,"")</f>
        <v/>
      </c>
      <c r="ML1" s="3" t="str">
        <f>IF(Compartments!$A350&lt;&gt;"",Compartments!$A350,"")</f>
        <v/>
      </c>
      <c r="MM1" s="3" t="str">
        <f>IF(Compartments!$A351&lt;&gt;"",Compartments!$A351,"")</f>
        <v/>
      </c>
      <c r="MN1" s="3" t="str">
        <f>IF(Compartments!$A352&lt;&gt;"",Compartments!$A352,"")</f>
        <v/>
      </c>
      <c r="MO1" s="3" t="str">
        <f>IF(Compartments!$A353&lt;&gt;"",Compartments!$A353,"")</f>
        <v/>
      </c>
      <c r="MP1" s="3" t="str">
        <f>IF(Compartments!$A354&lt;&gt;"",Compartments!$A354,"")</f>
        <v/>
      </c>
      <c r="MQ1" s="3" t="str">
        <f>IF(Compartments!$A355&lt;&gt;"",Compartments!$A355,"")</f>
        <v/>
      </c>
      <c r="MR1" s="3" t="str">
        <f>IF(Compartments!$A356&lt;&gt;"",Compartments!$A356,"")</f>
        <v/>
      </c>
      <c r="MS1" s="3" t="str">
        <f>IF(Compartments!$A357&lt;&gt;"",Compartments!$A357,"")</f>
        <v/>
      </c>
      <c r="MT1" s="3" t="str">
        <f>IF(Compartments!$A358&lt;&gt;"",Compartments!$A358,"")</f>
        <v/>
      </c>
      <c r="MU1" s="3" t="str">
        <f>IF(Compartments!$A359&lt;&gt;"",Compartments!$A359,"")</f>
        <v/>
      </c>
      <c r="MV1" s="3" t="str">
        <f>IF(Compartments!$A360&lt;&gt;"",Compartments!$A360,"")</f>
        <v/>
      </c>
      <c r="MW1" s="3" t="str">
        <f>IF(Compartments!$A361&lt;&gt;"",Compartments!$A361,"")</f>
        <v/>
      </c>
      <c r="MX1" s="3" t="str">
        <f>IF(Compartments!$A362&lt;&gt;"",Compartments!$A362,"")</f>
        <v/>
      </c>
      <c r="MY1" s="3" t="str">
        <f>IF(Compartments!$A363&lt;&gt;"",Compartments!$A363,"")</f>
        <v/>
      </c>
      <c r="MZ1" s="3" t="str">
        <f>IF(Compartments!$A364&lt;&gt;"",Compartments!$A364,"")</f>
        <v/>
      </c>
      <c r="NA1" s="3" t="str">
        <f>IF(Compartments!$A365&lt;&gt;"",Compartments!$A365,"")</f>
        <v/>
      </c>
      <c r="NB1" s="3" t="str">
        <f>IF(Compartments!$A366&lt;&gt;"",Compartments!$A366,"")</f>
        <v/>
      </c>
      <c r="NC1" s="3" t="str">
        <f>IF(Compartments!$A367&lt;&gt;"",Compartments!$A367,"")</f>
        <v/>
      </c>
      <c r="ND1" s="3" t="str">
        <f>IF(Compartments!$A368&lt;&gt;"",Compartments!$A368,"")</f>
        <v/>
      </c>
      <c r="NE1" s="3" t="str">
        <f>IF(Compartments!$A369&lt;&gt;"",Compartments!$A369,"")</f>
        <v/>
      </c>
      <c r="NF1" s="3" t="str">
        <f>IF(Compartments!$A370&lt;&gt;"",Compartments!$A370,"")</f>
        <v/>
      </c>
      <c r="NG1" s="3" t="str">
        <f>IF(Compartments!$A371&lt;&gt;"",Compartments!$A371,"")</f>
        <v/>
      </c>
      <c r="NH1" s="3" t="str">
        <f>IF(Compartments!$A372&lt;&gt;"",Compartments!$A372,"")</f>
        <v/>
      </c>
      <c r="NI1" s="3" t="str">
        <f>IF(Compartments!$A373&lt;&gt;"",Compartments!$A373,"")</f>
        <v/>
      </c>
      <c r="NJ1" s="3" t="str">
        <f>IF(Compartments!$A374&lt;&gt;"",Compartments!$A374,"")</f>
        <v/>
      </c>
      <c r="NK1" s="3" t="str">
        <f>IF(Compartments!$A375&lt;&gt;"",Compartments!$A375,"")</f>
        <v/>
      </c>
      <c r="NL1" s="3" t="str">
        <f>IF(Compartments!$A376&lt;&gt;"",Compartments!$A376,"")</f>
        <v/>
      </c>
      <c r="NM1" s="3" t="str">
        <f>IF(Compartments!$A377&lt;&gt;"",Compartments!$A377,"")</f>
        <v/>
      </c>
      <c r="NN1" s="3" t="str">
        <f>IF(Compartments!$A378&lt;&gt;"",Compartments!$A378,"")</f>
        <v/>
      </c>
      <c r="NO1" s="3" t="str">
        <f>IF(Compartments!$A379&lt;&gt;"",Compartments!$A379,"")</f>
        <v/>
      </c>
      <c r="NP1" s="3" t="str">
        <f>IF(Compartments!$A380&lt;&gt;"",Compartments!$A380,"")</f>
        <v/>
      </c>
      <c r="NQ1" s="3" t="str">
        <f>IF(Compartments!$A381&lt;&gt;"",Compartments!$A381,"")</f>
        <v/>
      </c>
      <c r="NR1" s="3" t="str">
        <f>IF(Compartments!$A382&lt;&gt;"",Compartments!$A382,"")</f>
        <v/>
      </c>
      <c r="NS1" s="3" t="str">
        <f>IF(Compartments!$A383&lt;&gt;"",Compartments!$A383,"")</f>
        <v/>
      </c>
      <c r="NT1" s="3" t="str">
        <f>IF(Compartments!$A384&lt;&gt;"",Compartments!$A384,"")</f>
        <v/>
      </c>
      <c r="NU1" s="3" t="str">
        <f>IF(Compartments!$A385&lt;&gt;"",Compartments!$A385,"")</f>
        <v/>
      </c>
      <c r="NV1" s="3" t="str">
        <f>IF(Compartments!$A386&lt;&gt;"",Compartments!$A386,"")</f>
        <v/>
      </c>
      <c r="NW1" s="3" t="str">
        <f>IF(Compartments!$A387&lt;&gt;"",Compartments!$A387,"")</f>
        <v/>
      </c>
      <c r="NX1" s="3" t="str">
        <f>IF(Compartments!$A388&lt;&gt;"",Compartments!$A388,"")</f>
        <v/>
      </c>
      <c r="NY1" s="3" t="str">
        <f>IF(Compartments!$A389&lt;&gt;"",Compartments!$A389,"")</f>
        <v/>
      </c>
      <c r="NZ1" s="3" t="str">
        <f>IF(Compartments!$A390&lt;&gt;"",Compartments!$A390,"")</f>
        <v/>
      </c>
      <c r="OA1" s="3" t="str">
        <f>IF(Compartments!$A391&lt;&gt;"",Compartments!$A391,"")</f>
        <v/>
      </c>
      <c r="OB1" s="3" t="str">
        <f>IF(Compartments!$A392&lt;&gt;"",Compartments!$A392,"")</f>
        <v/>
      </c>
      <c r="OC1" s="3" t="str">
        <f>IF(Compartments!$A393&lt;&gt;"",Compartments!$A393,"")</f>
        <v/>
      </c>
      <c r="OD1" s="3" t="str">
        <f>IF(Compartments!$A394&lt;&gt;"",Compartments!$A394,"")</f>
        <v/>
      </c>
      <c r="OE1" s="3" t="str">
        <f>IF(Compartments!$A395&lt;&gt;"",Compartments!$A395,"")</f>
        <v/>
      </c>
      <c r="OF1" s="3" t="str">
        <f>IF(Compartments!$A396&lt;&gt;"",Compartments!$A396,"")</f>
        <v/>
      </c>
      <c r="OG1" s="3" t="str">
        <f>IF(Compartments!$A397&lt;&gt;"",Compartments!$A397,"")</f>
        <v/>
      </c>
      <c r="OH1" s="3" t="str">
        <f>IF(Compartments!$A398&lt;&gt;"",Compartments!$A398,"")</f>
        <v/>
      </c>
      <c r="OI1" s="3" t="str">
        <f>IF(Compartments!$A399&lt;&gt;"",Compartments!$A399,"")</f>
        <v/>
      </c>
      <c r="OJ1" s="3" t="str">
        <f>IF(Compartments!$A400&lt;&gt;"",Compartments!$A400,"")</f>
        <v/>
      </c>
    </row>
    <row r="2" spans="1:400" s="7" customFormat="1" x14ac:dyDescent="0.3">
      <c r="A2" s="10" t="str">
        <f>IF(Compartments!$A2&lt;&gt;"",Compartments!$A2,"")</f>
        <v>j_init</v>
      </c>
      <c r="B2" s="11"/>
      <c r="C2" s="11"/>
      <c r="D2" s="11" t="s">
        <v>108</v>
      </c>
      <c r="E2" s="11" t="s">
        <v>110</v>
      </c>
      <c r="F2" s="11"/>
      <c r="G2" s="11" t="s">
        <v>112</v>
      </c>
      <c r="H2" s="11" t="s">
        <v>113</v>
      </c>
      <c r="I2" s="11"/>
      <c r="J2" s="11" t="s">
        <v>117</v>
      </c>
      <c r="K2" s="11" t="s">
        <v>118</v>
      </c>
      <c r="L2" s="11" t="s">
        <v>119</v>
      </c>
      <c r="M2" s="11" t="s">
        <v>114</v>
      </c>
      <c r="N2" s="11" t="s">
        <v>115</v>
      </c>
      <c r="O2" s="11"/>
      <c r="P2" s="11" t="s">
        <v>116</v>
      </c>
      <c r="Q2" s="11" t="s">
        <v>120</v>
      </c>
      <c r="R2" s="11" t="s">
        <v>121</v>
      </c>
      <c r="S2" s="11" t="s">
        <v>122</v>
      </c>
      <c r="T2" s="11" t="s">
        <v>123</v>
      </c>
      <c r="U2" s="11" t="s">
        <v>124</v>
      </c>
      <c r="V2" s="11" t="s">
        <v>125</v>
      </c>
      <c r="W2" s="11" t="s">
        <v>126</v>
      </c>
      <c r="X2" s="11" t="s">
        <v>127</v>
      </c>
      <c r="Y2" s="11" t="s">
        <v>128</v>
      </c>
      <c r="Z2" s="11" t="s">
        <v>130</v>
      </c>
      <c r="AA2" s="11" t="s">
        <v>131</v>
      </c>
      <c r="AB2" s="11" t="s">
        <v>132</v>
      </c>
      <c r="AC2" s="11" t="s">
        <v>133</v>
      </c>
      <c r="AD2" s="11"/>
      <c r="AE2" s="11"/>
      <c r="AF2" s="11"/>
      <c r="AG2" s="11"/>
    </row>
    <row r="3" spans="1:400" s="8" customFormat="1" x14ac:dyDescent="0.3">
      <c r="A3" s="12" t="str">
        <f>IF(Compartments!$A3&lt;&gt;"",Compartments!$A3,"")</f>
        <v>src_b</v>
      </c>
      <c r="B3" s="13"/>
      <c r="C3" s="13"/>
      <c r="D3" s="13" t="s">
        <v>109</v>
      </c>
      <c r="E3" s="13" t="s">
        <v>111</v>
      </c>
      <c r="F3" s="13"/>
      <c r="G3" s="13" t="s">
        <v>134</v>
      </c>
      <c r="H3" s="13"/>
      <c r="I3" s="13"/>
      <c r="J3" s="13"/>
      <c r="K3" s="13"/>
      <c r="L3" s="13"/>
      <c r="M3" s="13"/>
      <c r="N3" s="13"/>
      <c r="O3" s="13"/>
      <c r="P3" s="13"/>
      <c r="Q3" s="13"/>
      <c r="R3" s="13"/>
      <c r="S3" s="13"/>
      <c r="T3" s="13"/>
      <c r="U3" s="13"/>
      <c r="V3" s="13"/>
      <c r="W3" s="13"/>
      <c r="X3" s="13"/>
      <c r="Y3" s="13"/>
      <c r="Z3" s="13"/>
      <c r="AA3" s="13"/>
      <c r="AB3" s="13"/>
      <c r="AC3" s="13" t="s">
        <v>135</v>
      </c>
      <c r="AD3" s="13"/>
      <c r="AE3" s="13"/>
      <c r="AF3" s="13"/>
      <c r="AG3" s="13"/>
    </row>
    <row r="4" spans="1:400" s="8" customFormat="1" x14ac:dyDescent="0.3">
      <c r="A4" s="12" t="str">
        <f>IF(Compartments!$A4&lt;&gt;"",Compartments!$A4,"")</f>
        <v>sus</v>
      </c>
      <c r="B4" s="13"/>
      <c r="C4" s="13"/>
      <c r="D4" s="13"/>
      <c r="E4" s="13" t="s">
        <v>530</v>
      </c>
      <c r="F4" s="13" t="s">
        <v>139</v>
      </c>
      <c r="G4" s="13"/>
      <c r="H4" s="13"/>
      <c r="I4" s="13"/>
      <c r="J4" s="13"/>
      <c r="K4" s="13"/>
      <c r="L4" s="13"/>
      <c r="M4" s="13"/>
      <c r="N4" s="13"/>
      <c r="O4" s="13"/>
      <c r="P4" s="13"/>
      <c r="Q4" s="13"/>
      <c r="R4" s="13"/>
      <c r="S4" s="13"/>
      <c r="T4" s="13"/>
      <c r="U4" s="13"/>
      <c r="V4" s="13"/>
      <c r="W4" s="13"/>
      <c r="X4" s="13"/>
      <c r="Y4" s="13"/>
      <c r="Z4" s="13"/>
      <c r="AA4" s="13"/>
      <c r="AB4" s="13"/>
      <c r="AC4" s="13"/>
      <c r="AD4" s="13"/>
      <c r="AE4" s="13" t="s">
        <v>138</v>
      </c>
      <c r="AF4" s="13"/>
      <c r="AG4" s="13" t="s">
        <v>857</v>
      </c>
    </row>
    <row r="5" spans="1:400" s="8" customFormat="1" x14ac:dyDescent="0.3">
      <c r="A5" s="12" t="str">
        <f>IF(Compartments!$A5&lt;&gt;"",Compartments!$A5,"")</f>
        <v>vax</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t="s">
        <v>138</v>
      </c>
      <c r="AF5" s="13"/>
      <c r="AG5" s="13" t="s">
        <v>857</v>
      </c>
    </row>
    <row r="6" spans="1:400" s="6" customFormat="1" x14ac:dyDescent="0.3">
      <c r="A6" s="57" t="str">
        <f>IF(Compartments!$A6&lt;&gt;"",Compartments!$A6,"")</f>
        <v>j_acu</v>
      </c>
      <c r="B6" s="58"/>
      <c r="C6" s="58"/>
      <c r="D6" s="58"/>
      <c r="E6" s="58"/>
      <c r="F6" s="58"/>
      <c r="G6" s="58" t="s">
        <v>140</v>
      </c>
      <c r="H6" s="58"/>
      <c r="I6" s="58"/>
      <c r="J6" s="58" t="s">
        <v>141</v>
      </c>
      <c r="K6" s="58"/>
      <c r="L6" s="58"/>
      <c r="M6" s="58"/>
      <c r="N6" s="58"/>
      <c r="O6" s="58"/>
      <c r="P6" s="58"/>
      <c r="Q6" s="58"/>
      <c r="R6" s="58"/>
      <c r="S6" s="58"/>
      <c r="T6" s="58"/>
      <c r="U6" s="58"/>
      <c r="V6" s="58"/>
      <c r="W6" s="58"/>
      <c r="X6" s="58"/>
      <c r="Y6" s="58"/>
      <c r="Z6" s="58"/>
      <c r="AA6" s="58"/>
      <c r="AB6" s="58"/>
      <c r="AC6" s="58" t="s">
        <v>142</v>
      </c>
      <c r="AD6" s="58" t="s">
        <v>143</v>
      </c>
      <c r="AE6" s="58"/>
      <c r="AF6" s="58"/>
      <c r="AG6" s="58"/>
    </row>
    <row r="7" spans="1:400" s="14" customFormat="1" x14ac:dyDescent="0.3">
      <c r="A7" s="59" t="str">
        <f>IF(Compartments!$A7&lt;&gt;"",Compartments!$A7,"")</f>
        <v>it</v>
      </c>
      <c r="B7" s="60"/>
      <c r="C7" s="60"/>
      <c r="D7" s="60"/>
      <c r="E7" s="60"/>
      <c r="F7" s="60"/>
      <c r="G7" s="60"/>
      <c r="H7" s="60" t="s">
        <v>694</v>
      </c>
      <c r="I7" s="60"/>
      <c r="J7" s="60" t="s">
        <v>146</v>
      </c>
      <c r="K7" s="60"/>
      <c r="L7" s="60"/>
      <c r="M7" s="60"/>
      <c r="N7" s="60"/>
      <c r="O7" s="60"/>
      <c r="P7" s="60"/>
      <c r="Q7" s="60"/>
      <c r="R7" s="60"/>
      <c r="S7" s="60"/>
      <c r="T7" s="60"/>
      <c r="U7" s="60"/>
      <c r="V7" s="60"/>
      <c r="W7" s="60"/>
      <c r="X7" s="60"/>
      <c r="Y7" s="60"/>
      <c r="Z7" s="60" t="s">
        <v>147</v>
      </c>
      <c r="AA7" s="60"/>
      <c r="AB7" s="60"/>
      <c r="AC7" s="60"/>
      <c r="AD7" s="60"/>
      <c r="AE7" s="60" t="s">
        <v>138</v>
      </c>
      <c r="AF7" s="60"/>
      <c r="AG7" s="60" t="s">
        <v>857</v>
      </c>
    </row>
    <row r="8" spans="1:400" s="14" customFormat="1" x14ac:dyDescent="0.3">
      <c r="A8" s="59" t="str">
        <f>IF(Compartments!$A8&lt;&gt;"",Compartments!$A8,"")</f>
        <v>it_dx</v>
      </c>
      <c r="B8" s="60"/>
      <c r="C8" s="60"/>
      <c r="D8" s="60"/>
      <c r="E8" s="60"/>
      <c r="F8" s="60"/>
      <c r="G8" s="60"/>
      <c r="H8" s="60"/>
      <c r="I8" s="61" t="s">
        <v>730</v>
      </c>
      <c r="J8" s="60"/>
      <c r="K8" s="60" t="s">
        <v>146</v>
      </c>
      <c r="L8" s="60"/>
      <c r="M8" s="60"/>
      <c r="N8" s="60"/>
      <c r="O8" s="60"/>
      <c r="P8" s="60"/>
      <c r="Q8" s="60"/>
      <c r="R8" s="60"/>
      <c r="S8" s="60"/>
      <c r="T8" s="60"/>
      <c r="U8" s="60"/>
      <c r="V8" s="60"/>
      <c r="W8" s="60"/>
      <c r="X8" s="60"/>
      <c r="Y8" s="60"/>
      <c r="Z8" s="60"/>
      <c r="AA8" s="60" t="s">
        <v>147</v>
      </c>
      <c r="AB8" s="60"/>
      <c r="AC8" s="60"/>
      <c r="AD8" s="60"/>
      <c r="AE8" s="60" t="s">
        <v>138</v>
      </c>
      <c r="AF8" s="60"/>
      <c r="AG8" s="60" t="s">
        <v>857</v>
      </c>
    </row>
    <row r="9" spans="1:400" s="14" customFormat="1" x14ac:dyDescent="0.3">
      <c r="A9" s="45" t="str">
        <f>IF(Compartments!$A9&lt;&gt;"",Compartments!$A9,"")</f>
        <v>it_tx</v>
      </c>
      <c r="B9" s="60"/>
      <c r="C9" s="60"/>
      <c r="D9" s="60"/>
      <c r="E9" s="60"/>
      <c r="F9" s="60"/>
      <c r="G9" s="60"/>
      <c r="H9" s="60"/>
      <c r="I9" s="60"/>
      <c r="J9" s="60"/>
      <c r="K9" s="60"/>
      <c r="L9" s="61" t="s">
        <v>577</v>
      </c>
      <c r="M9" s="60"/>
      <c r="N9" s="60"/>
      <c r="O9" s="60"/>
      <c r="P9" s="60"/>
      <c r="Q9" s="60"/>
      <c r="R9" s="60"/>
      <c r="S9" s="60"/>
      <c r="T9" s="60"/>
      <c r="U9" s="60"/>
      <c r="V9" s="60"/>
      <c r="W9" s="60"/>
      <c r="X9" s="60"/>
      <c r="Y9" s="60"/>
      <c r="Z9" s="60"/>
      <c r="AA9" s="60"/>
      <c r="AB9" s="61" t="s">
        <v>576</v>
      </c>
      <c r="AC9" s="60"/>
      <c r="AD9" s="60"/>
      <c r="AE9" s="61" t="s">
        <v>138</v>
      </c>
      <c r="AF9" s="60"/>
      <c r="AG9" s="60" t="s">
        <v>857</v>
      </c>
    </row>
    <row r="10" spans="1:400" s="16" customFormat="1" x14ac:dyDescent="0.3">
      <c r="A10" s="62" t="str">
        <f>IF(Compartments!$A10&lt;&gt;"",Compartments!$A10,"")</f>
        <v>icl</v>
      </c>
      <c r="B10" s="15"/>
      <c r="C10" s="15"/>
      <c r="D10" s="15"/>
      <c r="E10" s="15"/>
      <c r="F10" s="15"/>
      <c r="G10" s="15"/>
      <c r="H10" s="15"/>
      <c r="I10" s="15"/>
      <c r="J10" s="15"/>
      <c r="K10" s="60" t="s">
        <v>694</v>
      </c>
      <c r="L10" s="15"/>
      <c r="M10" s="15" t="s">
        <v>148</v>
      </c>
      <c r="N10" s="15"/>
      <c r="O10" s="15"/>
      <c r="P10" s="15"/>
      <c r="Q10" s="15"/>
      <c r="R10" s="15"/>
      <c r="S10" s="15"/>
      <c r="T10" s="15" t="s">
        <v>150</v>
      </c>
      <c r="U10" s="15"/>
      <c r="V10" s="15"/>
      <c r="W10" s="15"/>
      <c r="X10" s="15"/>
      <c r="Y10" s="15"/>
      <c r="Z10" s="15" t="s">
        <v>152</v>
      </c>
      <c r="AA10" s="15"/>
      <c r="AB10" s="15"/>
      <c r="AC10" s="15" t="s">
        <v>154</v>
      </c>
      <c r="AD10" s="15"/>
      <c r="AE10" s="60" t="s">
        <v>138</v>
      </c>
      <c r="AF10" s="15"/>
      <c r="AG10" s="60" t="s">
        <v>857</v>
      </c>
    </row>
    <row r="11" spans="1:400" s="16" customFormat="1" x14ac:dyDescent="0.3">
      <c r="A11" s="62" t="str">
        <f>IF(Compartments!$A11&lt;&gt;"",Compartments!$A11,"")</f>
        <v>icl_dx</v>
      </c>
      <c r="B11" s="15"/>
      <c r="C11" s="15"/>
      <c r="D11" s="15"/>
      <c r="E11" s="15"/>
      <c r="F11" s="15"/>
      <c r="G11" s="15"/>
      <c r="H11" s="15"/>
      <c r="I11" s="15"/>
      <c r="J11" s="15"/>
      <c r="K11" s="15"/>
      <c r="L11" s="63" t="s">
        <v>772</v>
      </c>
      <c r="M11" s="15"/>
      <c r="N11" s="15" t="s">
        <v>148</v>
      </c>
      <c r="O11" s="15"/>
      <c r="P11" s="15"/>
      <c r="Q11" s="15"/>
      <c r="R11" s="15"/>
      <c r="S11" s="15"/>
      <c r="T11" s="15"/>
      <c r="U11" s="15" t="s">
        <v>150</v>
      </c>
      <c r="V11" s="15"/>
      <c r="W11" s="15"/>
      <c r="X11" s="15"/>
      <c r="Y11" s="15"/>
      <c r="Z11" s="15"/>
      <c r="AA11" s="15" t="s">
        <v>152</v>
      </c>
      <c r="AB11" s="15"/>
      <c r="AC11" s="15" t="s">
        <v>154</v>
      </c>
      <c r="AD11" s="15"/>
      <c r="AE11" s="60" t="s">
        <v>138</v>
      </c>
      <c r="AF11" s="15"/>
      <c r="AG11" s="60" t="s">
        <v>857</v>
      </c>
    </row>
    <row r="12" spans="1:400" s="16" customFormat="1" x14ac:dyDescent="0.3">
      <c r="A12" s="62" t="str">
        <f>IF(Compartments!$A12&lt;&gt;"",Compartments!$A12,"")</f>
        <v>icl_tx</v>
      </c>
      <c r="B12" s="15"/>
      <c r="C12" s="15"/>
      <c r="D12" s="15"/>
      <c r="E12" s="15"/>
      <c r="F12" s="15"/>
      <c r="G12" s="15"/>
      <c r="H12" s="15"/>
      <c r="I12" s="15"/>
      <c r="J12" s="15"/>
      <c r="K12" s="15"/>
      <c r="L12" s="15"/>
      <c r="M12" s="15"/>
      <c r="N12" s="15"/>
      <c r="O12" s="15"/>
      <c r="P12" s="15" t="s">
        <v>149</v>
      </c>
      <c r="Q12" s="15"/>
      <c r="R12" s="15"/>
      <c r="S12" s="15"/>
      <c r="T12" s="15"/>
      <c r="U12" s="15"/>
      <c r="V12" s="15" t="s">
        <v>151</v>
      </c>
      <c r="W12" s="15"/>
      <c r="X12" s="15"/>
      <c r="Y12" s="15"/>
      <c r="Z12" s="15"/>
      <c r="AA12" s="15"/>
      <c r="AB12" s="15" t="s">
        <v>153</v>
      </c>
      <c r="AC12" s="15" t="s">
        <v>157</v>
      </c>
      <c r="AD12" s="15"/>
      <c r="AE12" s="60" t="s">
        <v>138</v>
      </c>
      <c r="AF12" s="15"/>
      <c r="AG12" s="60" t="s">
        <v>857</v>
      </c>
    </row>
    <row r="13" spans="1:400" s="18" customFormat="1" x14ac:dyDescent="0.3">
      <c r="A13" s="64" t="str">
        <f>IF(Compartments!$A13&lt;&gt;"",Compartments!$A13,"")</f>
        <v>ict</v>
      </c>
      <c r="B13" s="17"/>
      <c r="C13" s="17"/>
      <c r="D13" s="17"/>
      <c r="E13" s="17"/>
      <c r="F13" s="17"/>
      <c r="G13" s="17"/>
      <c r="H13" s="17"/>
      <c r="I13" s="17"/>
      <c r="J13" s="17" t="s">
        <v>158</v>
      </c>
      <c r="K13" s="17"/>
      <c r="L13" s="17"/>
      <c r="M13" s="17"/>
      <c r="N13" s="60" t="s">
        <v>694</v>
      </c>
      <c r="O13" s="17"/>
      <c r="P13" s="17"/>
      <c r="Q13" s="17" t="s">
        <v>160</v>
      </c>
      <c r="R13" s="17"/>
      <c r="S13" s="17"/>
      <c r="T13" s="17"/>
      <c r="U13" s="17"/>
      <c r="V13" s="17"/>
      <c r="W13" s="17"/>
      <c r="X13" s="17"/>
      <c r="Y13" s="17"/>
      <c r="Z13" s="17" t="s">
        <v>162</v>
      </c>
      <c r="AA13" s="17"/>
      <c r="AB13" s="17"/>
      <c r="AC13" s="17" t="s">
        <v>155</v>
      </c>
      <c r="AD13" s="17"/>
      <c r="AE13" s="60" t="s">
        <v>138</v>
      </c>
      <c r="AF13" s="17"/>
      <c r="AG13" s="60" t="s">
        <v>857</v>
      </c>
    </row>
    <row r="14" spans="1:400" s="18" customFormat="1" x14ac:dyDescent="0.3">
      <c r="A14" s="64" t="str">
        <f>IF(Compartments!$A14&lt;&gt;"",Compartments!$A14,"")</f>
        <v>ict_dx</v>
      </c>
      <c r="B14" s="17"/>
      <c r="C14" s="17"/>
      <c r="D14" s="17"/>
      <c r="E14" s="17"/>
      <c r="F14" s="17"/>
      <c r="G14" s="17"/>
      <c r="H14" s="17"/>
      <c r="I14" s="17"/>
      <c r="J14" s="17"/>
      <c r="K14" s="17" t="s">
        <v>158</v>
      </c>
      <c r="L14" s="17"/>
      <c r="M14" s="17"/>
      <c r="N14" s="17"/>
      <c r="O14" s="45" t="s">
        <v>729</v>
      </c>
      <c r="P14" s="17"/>
      <c r="Q14" s="17"/>
      <c r="R14" s="17" t="s">
        <v>160</v>
      </c>
      <c r="S14" s="17"/>
      <c r="T14" s="17"/>
      <c r="U14" s="17"/>
      <c r="V14" s="17"/>
      <c r="W14" s="17"/>
      <c r="X14" s="17"/>
      <c r="Y14" s="17"/>
      <c r="Z14" s="17"/>
      <c r="AA14" s="17" t="s">
        <v>162</v>
      </c>
      <c r="AB14" s="17"/>
      <c r="AC14" s="17" t="s">
        <v>155</v>
      </c>
      <c r="AD14" s="17"/>
      <c r="AE14" s="60" t="s">
        <v>138</v>
      </c>
      <c r="AF14" s="17"/>
      <c r="AG14" s="60" t="s">
        <v>857</v>
      </c>
    </row>
    <row r="15" spans="1:400" s="18" customFormat="1" x14ac:dyDescent="0.3">
      <c r="A15" s="45" t="str">
        <f>IF(Compartments!$A15&lt;&gt;"",Compartments!$A15,"")</f>
        <v>ict_tx_i</v>
      </c>
      <c r="B15" s="17"/>
      <c r="C15" s="17"/>
      <c r="D15" s="17"/>
      <c r="E15" s="17"/>
      <c r="F15" s="17"/>
      <c r="G15" s="17"/>
      <c r="H15" s="17"/>
      <c r="I15" s="17"/>
      <c r="J15" s="17"/>
      <c r="K15" s="17"/>
      <c r="L15" s="61" t="str">
        <f>L16</f>
        <v>ict_icl_t</v>
      </c>
      <c r="M15" s="17"/>
      <c r="N15" s="17"/>
      <c r="O15" s="17"/>
      <c r="P15" s="17"/>
      <c r="Q15" s="17"/>
      <c r="R15" s="17"/>
      <c r="S15" s="61" t="str">
        <f>S16</f>
        <v>ict_ie_t</v>
      </c>
      <c r="T15" s="17"/>
      <c r="U15" s="17"/>
      <c r="V15" s="17"/>
      <c r="W15" s="17"/>
      <c r="X15" s="17"/>
      <c r="Y15" s="17"/>
      <c r="Z15" s="17"/>
      <c r="AA15" s="17"/>
      <c r="AB15" s="61" t="str">
        <f>AB16</f>
        <v>ict_hcc_t</v>
      </c>
      <c r="AC15" s="61" t="str">
        <f>AC16</f>
        <v>ict_clr_t</v>
      </c>
      <c r="AD15" s="17"/>
      <c r="AE15" s="61" t="s">
        <v>138</v>
      </c>
      <c r="AF15" s="17"/>
      <c r="AG15" s="60" t="s">
        <v>857</v>
      </c>
    </row>
    <row r="16" spans="1:400" s="18" customFormat="1" x14ac:dyDescent="0.3">
      <c r="A16" s="64" t="str">
        <f>IF(Compartments!$A16&lt;&gt;"",Compartments!$A16,"")</f>
        <v>ict_tx</v>
      </c>
      <c r="B16" s="17"/>
      <c r="C16" s="17"/>
      <c r="D16" s="17"/>
      <c r="E16" s="17"/>
      <c r="F16" s="17"/>
      <c r="G16" s="17"/>
      <c r="H16" s="17"/>
      <c r="I16" s="17"/>
      <c r="J16" s="17"/>
      <c r="K16" s="17"/>
      <c r="L16" s="17" t="s">
        <v>159</v>
      </c>
      <c r="M16" s="17"/>
      <c r="N16" s="17"/>
      <c r="O16" s="17"/>
      <c r="P16" s="17"/>
      <c r="Q16" s="17"/>
      <c r="R16" s="17"/>
      <c r="S16" s="17" t="s">
        <v>161</v>
      </c>
      <c r="T16" s="17"/>
      <c r="U16" s="17"/>
      <c r="V16" s="17"/>
      <c r="W16" s="17"/>
      <c r="X16" s="17"/>
      <c r="Y16" s="17"/>
      <c r="Z16" s="17"/>
      <c r="AA16" s="17"/>
      <c r="AB16" s="17" t="s">
        <v>166</v>
      </c>
      <c r="AC16" s="17" t="s">
        <v>170</v>
      </c>
      <c r="AD16" s="17"/>
      <c r="AE16" s="60" t="s">
        <v>138</v>
      </c>
      <c r="AF16" s="17"/>
      <c r="AG16" s="60" t="s">
        <v>857</v>
      </c>
    </row>
    <row r="17" spans="1:33" s="20" customFormat="1" x14ac:dyDescent="0.3">
      <c r="A17" s="65" t="str">
        <f>IF(Compartments!$A17&lt;&gt;"",Compartments!$A17,"")</f>
        <v>ie</v>
      </c>
      <c r="B17" s="19"/>
      <c r="C17" s="19"/>
      <c r="D17" s="19"/>
      <c r="E17" s="19"/>
      <c r="F17" s="19"/>
      <c r="G17" s="19"/>
      <c r="H17" s="19"/>
      <c r="I17" s="19"/>
      <c r="J17" s="19"/>
      <c r="K17" s="19"/>
      <c r="L17" s="19"/>
      <c r="M17" s="19"/>
      <c r="N17" s="19"/>
      <c r="O17" s="19"/>
      <c r="P17" s="19"/>
      <c r="Q17" s="19"/>
      <c r="R17" s="60" t="s">
        <v>694</v>
      </c>
      <c r="S17" s="19"/>
      <c r="T17" s="19" t="s">
        <v>176</v>
      </c>
      <c r="U17" s="19"/>
      <c r="V17" s="19"/>
      <c r="W17" s="19"/>
      <c r="X17" s="19"/>
      <c r="Y17" s="19"/>
      <c r="Z17" s="19" t="s">
        <v>163</v>
      </c>
      <c r="AA17" s="19"/>
      <c r="AB17" s="19"/>
      <c r="AC17" s="19" t="s">
        <v>156</v>
      </c>
      <c r="AD17" s="19"/>
      <c r="AE17" s="60" t="s">
        <v>138</v>
      </c>
      <c r="AF17" s="19"/>
      <c r="AG17" s="60" t="s">
        <v>857</v>
      </c>
    </row>
    <row r="18" spans="1:33" s="20" customFormat="1" x14ac:dyDescent="0.3">
      <c r="A18" s="65" t="str">
        <f>IF(Compartments!$A18&lt;&gt;"",Compartments!$A18,"")</f>
        <v>ie_dx</v>
      </c>
      <c r="B18" s="19"/>
      <c r="C18" s="19"/>
      <c r="D18" s="19"/>
      <c r="E18" s="19"/>
      <c r="F18" s="19"/>
      <c r="G18" s="19"/>
      <c r="H18" s="19"/>
      <c r="I18" s="19"/>
      <c r="J18" s="19"/>
      <c r="K18" s="19"/>
      <c r="L18" s="19"/>
      <c r="M18" s="19"/>
      <c r="N18" s="19"/>
      <c r="O18" s="19"/>
      <c r="P18" s="19"/>
      <c r="Q18" s="19"/>
      <c r="R18" s="19"/>
      <c r="S18" s="63" t="s">
        <v>769</v>
      </c>
      <c r="T18" s="19"/>
      <c r="U18" s="19" t="s">
        <v>176</v>
      </c>
      <c r="V18" s="19"/>
      <c r="W18" s="19"/>
      <c r="X18" s="19"/>
      <c r="Y18" s="19"/>
      <c r="Z18" s="19"/>
      <c r="AA18" s="19" t="s">
        <v>163</v>
      </c>
      <c r="AB18" s="19"/>
      <c r="AC18" s="19" t="s">
        <v>156</v>
      </c>
      <c r="AD18" s="19"/>
      <c r="AE18" s="60" t="s">
        <v>138</v>
      </c>
      <c r="AF18" s="19"/>
      <c r="AG18" s="60" t="s">
        <v>857</v>
      </c>
    </row>
    <row r="19" spans="1:33" s="20" customFormat="1" x14ac:dyDescent="0.3">
      <c r="A19" s="65" t="str">
        <f>IF(Compartments!$A19&lt;&gt;"",Compartments!$A19,"")</f>
        <v>ie_tx</v>
      </c>
      <c r="B19" s="19"/>
      <c r="C19" s="19"/>
      <c r="D19" s="19"/>
      <c r="E19" s="19"/>
      <c r="F19" s="19"/>
      <c r="G19" s="19"/>
      <c r="H19" s="19"/>
      <c r="I19" s="19"/>
      <c r="J19" s="19"/>
      <c r="K19" s="19"/>
      <c r="L19" s="19"/>
      <c r="M19" s="19"/>
      <c r="N19" s="19"/>
      <c r="O19" s="19"/>
      <c r="P19" s="19"/>
      <c r="Q19" s="19"/>
      <c r="R19" s="19"/>
      <c r="S19" s="19"/>
      <c r="T19" s="19"/>
      <c r="U19" s="19"/>
      <c r="V19" s="19" t="s">
        <v>177</v>
      </c>
      <c r="W19" s="19"/>
      <c r="X19" s="19"/>
      <c r="Y19" s="19"/>
      <c r="Z19" s="19"/>
      <c r="AA19" s="19"/>
      <c r="AB19" s="19" t="s">
        <v>167</v>
      </c>
      <c r="AC19" s="19" t="s">
        <v>171</v>
      </c>
      <c r="AD19" s="19"/>
      <c r="AE19" s="60" t="s">
        <v>138</v>
      </c>
      <c r="AF19" s="19"/>
      <c r="AG19" s="60" t="s">
        <v>857</v>
      </c>
    </row>
    <row r="20" spans="1:33" s="22" customFormat="1" x14ac:dyDescent="0.3">
      <c r="A20" s="66" t="str">
        <f>IF(Compartments!$A20&lt;&gt;"",Compartments!$A20,"")</f>
        <v>cc</v>
      </c>
      <c r="B20" s="21"/>
      <c r="C20" s="21"/>
      <c r="D20" s="21"/>
      <c r="E20" s="21"/>
      <c r="F20" s="21"/>
      <c r="G20" s="21"/>
      <c r="H20" s="21"/>
      <c r="I20" s="21"/>
      <c r="J20" s="21"/>
      <c r="K20" s="21"/>
      <c r="L20" s="21"/>
      <c r="M20" s="21"/>
      <c r="N20" s="21"/>
      <c r="O20" s="21"/>
      <c r="P20" s="21"/>
      <c r="Q20" s="21"/>
      <c r="R20" s="21"/>
      <c r="S20" s="21"/>
      <c r="T20" s="21"/>
      <c r="U20" s="60" t="s">
        <v>694</v>
      </c>
      <c r="V20" s="21"/>
      <c r="W20" s="21" t="s">
        <v>172</v>
      </c>
      <c r="X20" s="21"/>
      <c r="Y20" s="21"/>
      <c r="Z20" s="21" t="s">
        <v>164</v>
      </c>
      <c r="AA20" s="21"/>
      <c r="AB20" s="21"/>
      <c r="AC20" s="21"/>
      <c r="AD20" s="21"/>
      <c r="AE20" s="60" t="s">
        <v>138</v>
      </c>
      <c r="AF20" s="21"/>
      <c r="AG20" s="60" t="s">
        <v>857</v>
      </c>
    </row>
    <row r="21" spans="1:33" s="22" customFormat="1" x14ac:dyDescent="0.3">
      <c r="A21" s="66" t="str">
        <f>IF(Compartments!$A21&lt;&gt;"",Compartments!$A21,"")</f>
        <v>cc_dx</v>
      </c>
      <c r="B21" s="21"/>
      <c r="C21" s="21"/>
      <c r="D21" s="21"/>
      <c r="E21" s="21"/>
      <c r="F21" s="21"/>
      <c r="G21" s="21"/>
      <c r="H21" s="21"/>
      <c r="I21" s="21"/>
      <c r="J21" s="21"/>
      <c r="K21" s="21"/>
      <c r="L21" s="21"/>
      <c r="M21" s="21"/>
      <c r="N21" s="21"/>
      <c r="O21" s="21"/>
      <c r="P21" s="21"/>
      <c r="Q21" s="21"/>
      <c r="R21" s="21"/>
      <c r="S21" s="21"/>
      <c r="T21" s="21"/>
      <c r="U21" s="21"/>
      <c r="V21" s="63" t="s">
        <v>766</v>
      </c>
      <c r="W21" s="21"/>
      <c r="X21" s="21" t="s">
        <v>172</v>
      </c>
      <c r="Y21" s="21"/>
      <c r="Z21" s="21"/>
      <c r="AA21" s="21" t="s">
        <v>164</v>
      </c>
      <c r="AB21" s="21"/>
      <c r="AC21" s="21"/>
      <c r="AD21" s="21"/>
      <c r="AE21" s="60" t="s">
        <v>138</v>
      </c>
      <c r="AF21" s="21"/>
      <c r="AG21" s="60" t="s">
        <v>857</v>
      </c>
    </row>
    <row r="22" spans="1:33" s="22" customFormat="1" x14ac:dyDescent="0.3">
      <c r="A22" s="66" t="str">
        <f>IF(Compartments!$A22&lt;&gt;"",Compartments!$A22,"")</f>
        <v>cc_tx</v>
      </c>
      <c r="B22" s="21"/>
      <c r="C22" s="21"/>
      <c r="D22" s="21"/>
      <c r="E22" s="21"/>
      <c r="F22" s="21"/>
      <c r="G22" s="21"/>
      <c r="H22" s="21"/>
      <c r="I22" s="21"/>
      <c r="J22" s="21"/>
      <c r="K22" s="21"/>
      <c r="L22" s="21"/>
      <c r="M22" s="21"/>
      <c r="N22" s="21"/>
      <c r="O22" s="21"/>
      <c r="P22" s="21"/>
      <c r="Q22" s="21"/>
      <c r="R22" s="21"/>
      <c r="S22" s="21"/>
      <c r="T22" s="21"/>
      <c r="U22" s="21"/>
      <c r="V22" s="21"/>
      <c r="W22" s="21"/>
      <c r="X22" s="21"/>
      <c r="Y22" s="21" t="s">
        <v>173</v>
      </c>
      <c r="Z22" s="21"/>
      <c r="AA22" s="21"/>
      <c r="AB22" s="21" t="s">
        <v>168</v>
      </c>
      <c r="AC22" s="21"/>
      <c r="AD22" s="21"/>
      <c r="AE22" s="60" t="s">
        <v>138</v>
      </c>
      <c r="AF22" s="21"/>
      <c r="AG22" s="60" t="s">
        <v>857</v>
      </c>
    </row>
    <row r="23" spans="1:33" s="8" customFormat="1" x14ac:dyDescent="0.3">
      <c r="A23" s="12" t="str">
        <f>IF(Compartments!$A23&lt;&gt;"",Compartments!$A23,"")</f>
        <v>dc</v>
      </c>
      <c r="B23" s="13"/>
      <c r="C23" s="13"/>
      <c r="D23" s="13"/>
      <c r="E23" s="13"/>
      <c r="F23" s="13"/>
      <c r="G23" s="13"/>
      <c r="H23" s="13"/>
      <c r="I23" s="13"/>
      <c r="J23" s="13"/>
      <c r="K23" s="13"/>
      <c r="L23" s="13"/>
      <c r="M23" s="13"/>
      <c r="N23" s="13"/>
      <c r="O23" s="13"/>
      <c r="P23" s="13"/>
      <c r="Q23" s="13"/>
      <c r="R23" s="13"/>
      <c r="S23" s="13"/>
      <c r="T23" s="13"/>
      <c r="U23" s="13"/>
      <c r="V23" s="13"/>
      <c r="W23" s="13"/>
      <c r="X23" s="60" t="s">
        <v>694</v>
      </c>
      <c r="Y23" s="13"/>
      <c r="Z23" s="13" t="s">
        <v>165</v>
      </c>
      <c r="AA23" s="13"/>
      <c r="AB23" s="13"/>
      <c r="AC23" s="13"/>
      <c r="AD23" s="13" t="s">
        <v>144</v>
      </c>
      <c r="AE23" s="60" t="s">
        <v>138</v>
      </c>
      <c r="AF23" s="13"/>
      <c r="AG23" s="60" t="s">
        <v>857</v>
      </c>
    </row>
    <row r="24" spans="1:33" s="8" customFormat="1" x14ac:dyDescent="0.3">
      <c r="A24" s="12" t="str">
        <f>IF(Compartments!$A24&lt;&gt;"",Compartments!$A24,"")</f>
        <v>dc_dx</v>
      </c>
      <c r="B24" s="13"/>
      <c r="C24" s="13"/>
      <c r="D24" s="13"/>
      <c r="E24" s="13"/>
      <c r="F24" s="13"/>
      <c r="G24" s="13"/>
      <c r="H24" s="13"/>
      <c r="I24" s="13"/>
      <c r="J24" s="13"/>
      <c r="K24" s="13"/>
      <c r="L24" s="13"/>
      <c r="M24" s="13"/>
      <c r="N24" s="13"/>
      <c r="O24" s="13"/>
      <c r="P24" s="13"/>
      <c r="Q24" s="13"/>
      <c r="R24" s="13"/>
      <c r="S24" s="13"/>
      <c r="T24" s="13"/>
      <c r="U24" s="13"/>
      <c r="V24" s="13"/>
      <c r="W24" s="13"/>
      <c r="X24" s="13"/>
      <c r="Y24" s="63" t="s">
        <v>763</v>
      </c>
      <c r="Z24" s="13"/>
      <c r="AA24" s="13" t="s">
        <v>165</v>
      </c>
      <c r="AB24" s="13"/>
      <c r="AC24" s="13"/>
      <c r="AD24" s="13" t="s">
        <v>144</v>
      </c>
      <c r="AE24" s="60" t="s">
        <v>138</v>
      </c>
      <c r="AF24" s="13"/>
      <c r="AG24" s="60" t="s">
        <v>857</v>
      </c>
    </row>
    <row r="25" spans="1:33" s="8" customFormat="1" x14ac:dyDescent="0.3">
      <c r="A25" s="12" t="str">
        <f>IF(Compartments!$A25&lt;&gt;"",Compartments!$A25,"")</f>
        <v>dc_tx</v>
      </c>
      <c r="B25" s="13"/>
      <c r="C25" s="13"/>
      <c r="D25" s="13"/>
      <c r="E25" s="13"/>
      <c r="F25" s="13"/>
      <c r="G25" s="13"/>
      <c r="H25" s="13"/>
      <c r="I25" s="13"/>
      <c r="J25" s="13"/>
      <c r="K25" s="13"/>
      <c r="L25" s="13"/>
      <c r="M25" s="13"/>
      <c r="N25" s="13"/>
      <c r="O25" s="13"/>
      <c r="P25" s="13"/>
      <c r="Q25" s="13"/>
      <c r="R25" s="13"/>
      <c r="S25" s="13"/>
      <c r="T25" s="13"/>
      <c r="U25" s="13"/>
      <c r="V25" s="13" t="s">
        <v>349</v>
      </c>
      <c r="W25" s="13"/>
      <c r="X25" s="13"/>
      <c r="Y25" s="13"/>
      <c r="Z25" s="13"/>
      <c r="AA25" s="13"/>
      <c r="AB25" s="13" t="s">
        <v>169</v>
      </c>
      <c r="AC25" s="13"/>
      <c r="AD25" s="13" t="s">
        <v>174</v>
      </c>
      <c r="AE25" s="60" t="s">
        <v>138</v>
      </c>
      <c r="AF25" s="13"/>
      <c r="AG25" s="60" t="s">
        <v>857</v>
      </c>
    </row>
    <row r="26" spans="1:33" s="7" customFormat="1" x14ac:dyDescent="0.3">
      <c r="A26" s="10" t="str">
        <f>IF(Compartments!$A26&lt;&gt;"",Compartments!$A26,"")</f>
        <v>hcc</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60" t="s">
        <v>694</v>
      </c>
      <c r="AB26" s="11"/>
      <c r="AC26" s="11"/>
      <c r="AD26" s="11" t="s">
        <v>145</v>
      </c>
      <c r="AE26" s="60" t="s">
        <v>138</v>
      </c>
      <c r="AF26" s="11"/>
      <c r="AG26" s="60" t="s">
        <v>857</v>
      </c>
    </row>
    <row r="27" spans="1:33" s="7" customFormat="1" x14ac:dyDescent="0.3">
      <c r="A27" s="10" t="str">
        <f>IF(Compartments!$A27&lt;&gt;"",Compartments!$A27,"")</f>
        <v>hcc_dx</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63" t="s">
        <v>757</v>
      </c>
      <c r="AC27" s="11"/>
      <c r="AD27" s="11" t="s">
        <v>145</v>
      </c>
      <c r="AE27" s="60" t="s">
        <v>138</v>
      </c>
      <c r="AF27" s="11"/>
      <c r="AG27" s="60" t="s">
        <v>857</v>
      </c>
    </row>
    <row r="28" spans="1:33" s="7" customFormat="1" x14ac:dyDescent="0.3">
      <c r="A28" s="10" t="str">
        <f>IF(Compartments!$A28&lt;&gt;"",Compartments!$A28,"")</f>
        <v>hcc_tx</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t="s">
        <v>175</v>
      </c>
      <c r="AE28" s="60" t="s">
        <v>138</v>
      </c>
      <c r="AF28" s="11"/>
      <c r="AG28" s="60" t="s">
        <v>857</v>
      </c>
    </row>
    <row r="29" spans="1:33" s="23" customFormat="1" x14ac:dyDescent="0.3">
      <c r="A29" s="67" t="str">
        <f>IF(Compartments!$A29&lt;&gt;"",Compartments!$A29,"")</f>
        <v>rec</v>
      </c>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0" t="s">
        <v>138</v>
      </c>
      <c r="AF29" s="68"/>
      <c r="AG29" s="60" t="s">
        <v>857</v>
      </c>
    </row>
    <row r="30" spans="1:33" s="26" customFormat="1" x14ac:dyDescent="0.3">
      <c r="A30" s="24" t="str">
        <f>IF(Compartments!$A30&lt;&gt;"",Compartments!$A30,"")</f>
        <v>dd_hbv</v>
      </c>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spans="1:33" s="26" customFormat="1" x14ac:dyDescent="0.3">
      <c r="A31" s="24" t="str">
        <f>IF(Compartments!$A31&lt;&gt;"",Compartments!$A31,"")</f>
        <v>dd_oth</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spans="1:33" s="7" customFormat="1" x14ac:dyDescent="0.3">
      <c r="A32" s="10" t="str">
        <f>IF(Compartments!$A32&lt;&gt;"",Compartments!$A32,"")</f>
        <v>imig</v>
      </c>
      <c r="B32" s="11"/>
      <c r="C32" s="11"/>
      <c r="D32" s="11" t="s">
        <v>858</v>
      </c>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s="26" customFormat="1" x14ac:dyDescent="0.3">
      <c r="A33" s="24" t="str">
        <f>IF(Compartments!$A33&lt;&gt;"",Compartments!$A33,"")</f>
        <v>emig</v>
      </c>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spans="1:33" x14ac:dyDescent="0.3">
      <c r="A34" s="3" t="str">
        <f>IF(Compartments!$A34&lt;&gt;"",Compartments!$A34,"")</f>
        <v/>
      </c>
    </row>
    <row r="35" spans="1:33" x14ac:dyDescent="0.3">
      <c r="A35" s="3" t="str">
        <f>IF(Compartments!$A35&lt;&gt;"",Compartments!$A35,"")</f>
        <v/>
      </c>
    </row>
    <row r="36" spans="1:33" x14ac:dyDescent="0.3">
      <c r="A36" s="3" t="str">
        <f>IF(Compartments!$A36&lt;&gt;"",Compartments!$A36,"")</f>
        <v/>
      </c>
    </row>
    <row r="37" spans="1:33" x14ac:dyDescent="0.3">
      <c r="A37" s="3" t="str">
        <f>IF(Compartments!$A37&lt;&gt;"",Compartments!$A37,"")</f>
        <v/>
      </c>
    </row>
    <row r="38" spans="1:33" x14ac:dyDescent="0.3">
      <c r="A38" s="3" t="str">
        <f>IF(Compartments!$A38&lt;&gt;"",Compartments!$A38,"")</f>
        <v/>
      </c>
    </row>
    <row r="39" spans="1:33" x14ac:dyDescent="0.3">
      <c r="A39" s="3" t="str">
        <f>IF(Compartments!$A39&lt;&gt;"",Compartments!$A39,"")</f>
        <v/>
      </c>
    </row>
    <row r="40" spans="1:33" x14ac:dyDescent="0.3">
      <c r="A40" s="3" t="str">
        <f>IF(Compartments!$A40&lt;&gt;"",Compartments!$A40,"")</f>
        <v/>
      </c>
    </row>
    <row r="41" spans="1:33" x14ac:dyDescent="0.3">
      <c r="A41" s="3" t="str">
        <f>IF(Compartments!$A41&lt;&gt;"",Compartments!$A41,"")</f>
        <v/>
      </c>
    </row>
    <row r="42" spans="1:33" x14ac:dyDescent="0.3">
      <c r="A42" s="3" t="str">
        <f>IF(Compartments!$A42&lt;&gt;"",Compartments!$A42,"")</f>
        <v/>
      </c>
    </row>
    <row r="43" spans="1:33" x14ac:dyDescent="0.3">
      <c r="A43" s="3" t="str">
        <f>IF(Compartments!$A43&lt;&gt;"",Compartments!$A43,"")</f>
        <v/>
      </c>
    </row>
    <row r="44" spans="1:33" x14ac:dyDescent="0.3">
      <c r="A44" s="3" t="str">
        <f>IF(Compartments!$A44&lt;&gt;"",Compartments!$A44,"")</f>
        <v/>
      </c>
    </row>
    <row r="45" spans="1:33" x14ac:dyDescent="0.3">
      <c r="A45" s="3" t="str">
        <f>IF(Compartments!$A45&lt;&gt;"",Compartments!$A45,"")</f>
        <v/>
      </c>
    </row>
    <row r="46" spans="1:33" x14ac:dyDescent="0.3">
      <c r="A46" s="3" t="str">
        <f>IF(Compartments!$A46&lt;&gt;"",Compartments!$A46,"")</f>
        <v/>
      </c>
    </row>
    <row r="47" spans="1:33" x14ac:dyDescent="0.3">
      <c r="A47" s="3" t="str">
        <f>IF(Compartments!$A47&lt;&gt;"",Compartments!$A47,"")</f>
        <v/>
      </c>
    </row>
    <row r="48" spans="1:33" x14ac:dyDescent="0.3">
      <c r="A48" s="3" t="str">
        <f>IF(Compartments!$A48&lt;&gt;"",Compartments!$A48,"")</f>
        <v/>
      </c>
    </row>
    <row r="49" spans="1:1" x14ac:dyDescent="0.3">
      <c r="A49" s="3" t="str">
        <f>IF(Compartments!$A49&lt;&gt;"",Compartments!$A49,"")</f>
        <v/>
      </c>
    </row>
    <row r="50" spans="1:1" x14ac:dyDescent="0.3">
      <c r="A50" s="3" t="str">
        <f>IF(Compartments!$A50&lt;&gt;"",Compartments!$A50,"")</f>
        <v/>
      </c>
    </row>
    <row r="51" spans="1:1" x14ac:dyDescent="0.3">
      <c r="A51" s="3" t="str">
        <f>IF(Compartments!$A51&lt;&gt;"",Compartments!$A51,"")</f>
        <v/>
      </c>
    </row>
    <row r="52" spans="1:1" x14ac:dyDescent="0.3">
      <c r="A52" s="3" t="str">
        <f>IF(Compartments!$A52&lt;&gt;"",Compartments!$A52,"")</f>
        <v/>
      </c>
    </row>
    <row r="53" spans="1:1" x14ac:dyDescent="0.3">
      <c r="A53" s="3" t="str">
        <f>IF(Compartments!$A53&lt;&gt;"",Compartments!$A53,"")</f>
        <v/>
      </c>
    </row>
    <row r="54" spans="1:1" x14ac:dyDescent="0.3">
      <c r="A54" s="3" t="str">
        <f>IF(Compartments!$A54&lt;&gt;"",Compartments!$A54,"")</f>
        <v/>
      </c>
    </row>
    <row r="55" spans="1:1" x14ac:dyDescent="0.3">
      <c r="A55" s="3" t="str">
        <f>IF(Compartments!$A55&lt;&gt;"",Compartments!$A55,"")</f>
        <v/>
      </c>
    </row>
    <row r="56" spans="1:1" x14ac:dyDescent="0.3">
      <c r="A56" s="3" t="str">
        <f>IF(Compartments!$A56&lt;&gt;"",Compartments!$A56,"")</f>
        <v/>
      </c>
    </row>
    <row r="57" spans="1:1" x14ac:dyDescent="0.3">
      <c r="A57" s="3" t="str">
        <f>IF(Compartments!$A57&lt;&gt;"",Compartments!$A57,"")</f>
        <v/>
      </c>
    </row>
    <row r="58" spans="1:1" x14ac:dyDescent="0.3">
      <c r="A58" s="3" t="str">
        <f>IF(Compartments!$A58&lt;&gt;"",Compartments!$A58,"")</f>
        <v/>
      </c>
    </row>
    <row r="59" spans="1:1" x14ac:dyDescent="0.3">
      <c r="A59" s="3" t="str">
        <f>IF(Compartments!$A59&lt;&gt;"",Compartments!$A59,"")</f>
        <v/>
      </c>
    </row>
    <row r="60" spans="1:1" x14ac:dyDescent="0.3">
      <c r="A60" s="3" t="str">
        <f>IF(Compartments!$A60&lt;&gt;"",Compartments!$A60,"")</f>
        <v/>
      </c>
    </row>
    <row r="61" spans="1:1" x14ac:dyDescent="0.3">
      <c r="A61" s="3" t="str">
        <f>IF(Compartments!$A61&lt;&gt;"",Compartments!$A61,"")</f>
        <v/>
      </c>
    </row>
    <row r="62" spans="1:1" x14ac:dyDescent="0.3">
      <c r="A62" s="3" t="str">
        <f>IF(Compartments!$A62&lt;&gt;"",Compartments!$A62,"")</f>
        <v/>
      </c>
    </row>
    <row r="63" spans="1:1" x14ac:dyDescent="0.3">
      <c r="A63" s="3" t="str">
        <f>IF(Compartments!$A63&lt;&gt;"",Compartments!$A63,"")</f>
        <v/>
      </c>
    </row>
    <row r="64" spans="1:1" x14ac:dyDescent="0.3">
      <c r="A64" s="3" t="str">
        <f>IF(Compartments!$A64&lt;&gt;"",Compartments!$A64,"")</f>
        <v/>
      </c>
    </row>
    <row r="65" spans="1:1" x14ac:dyDescent="0.3">
      <c r="A65" s="3" t="str">
        <f>IF(Compartments!$A65&lt;&gt;"",Compartments!$A65,"")</f>
        <v/>
      </c>
    </row>
    <row r="66" spans="1:1" x14ac:dyDescent="0.3">
      <c r="A66" s="3" t="str">
        <f>IF(Compartments!$A66&lt;&gt;"",Compartments!$A66,"")</f>
        <v/>
      </c>
    </row>
    <row r="67" spans="1:1" x14ac:dyDescent="0.3">
      <c r="A67" s="3" t="str">
        <f>IF(Compartments!$A67&lt;&gt;"",Compartments!$A67,"")</f>
        <v/>
      </c>
    </row>
    <row r="68" spans="1:1" x14ac:dyDescent="0.3">
      <c r="A68" s="3" t="str">
        <f>IF(Compartments!$A68&lt;&gt;"",Compartments!$A68,"")</f>
        <v/>
      </c>
    </row>
    <row r="69" spans="1:1" x14ac:dyDescent="0.3">
      <c r="A69" s="3" t="str">
        <f>IF(Compartments!$A69&lt;&gt;"",Compartments!$A69,"")</f>
        <v/>
      </c>
    </row>
    <row r="70" spans="1:1" x14ac:dyDescent="0.3">
      <c r="A70" s="3" t="str">
        <f>IF(Compartments!$A70&lt;&gt;"",Compartments!$A70,"")</f>
        <v/>
      </c>
    </row>
    <row r="71" spans="1:1" x14ac:dyDescent="0.3">
      <c r="A71" s="3" t="str">
        <f>IF(Compartments!$A71&lt;&gt;"",Compartments!$A71,"")</f>
        <v/>
      </c>
    </row>
    <row r="72" spans="1:1" x14ac:dyDescent="0.3">
      <c r="A72" s="3" t="str">
        <f>IF(Compartments!$A72&lt;&gt;"",Compartments!$A72,"")</f>
        <v/>
      </c>
    </row>
    <row r="73" spans="1:1" x14ac:dyDescent="0.3">
      <c r="A73" s="3" t="str">
        <f>IF(Compartments!$A73&lt;&gt;"",Compartments!$A73,"")</f>
        <v/>
      </c>
    </row>
    <row r="74" spans="1:1" x14ac:dyDescent="0.3">
      <c r="A74" s="3" t="str">
        <f>IF(Compartments!$A74&lt;&gt;"",Compartments!$A74,"")</f>
        <v/>
      </c>
    </row>
    <row r="75" spans="1:1" x14ac:dyDescent="0.3">
      <c r="A75" s="3" t="str">
        <f>IF(Compartments!$A75&lt;&gt;"",Compartments!$A75,"")</f>
        <v/>
      </c>
    </row>
    <row r="76" spans="1:1" x14ac:dyDescent="0.3">
      <c r="A76" s="3" t="str">
        <f>IF(Compartments!$A76&lt;&gt;"",Compartments!$A76,"")</f>
        <v/>
      </c>
    </row>
    <row r="77" spans="1:1" x14ac:dyDescent="0.3">
      <c r="A77" s="3" t="str">
        <f>IF(Compartments!$A77&lt;&gt;"",Compartments!$A77,"")</f>
        <v/>
      </c>
    </row>
    <row r="78" spans="1:1" x14ac:dyDescent="0.3">
      <c r="A78" s="3" t="str">
        <f>IF(Compartments!$A78&lt;&gt;"",Compartments!$A78,"")</f>
        <v/>
      </c>
    </row>
    <row r="79" spans="1:1" x14ac:dyDescent="0.3">
      <c r="A79" s="3" t="str">
        <f>IF(Compartments!$A79&lt;&gt;"",Compartments!$A79,"")</f>
        <v/>
      </c>
    </row>
    <row r="80" spans="1:1" x14ac:dyDescent="0.3">
      <c r="A80" s="3" t="str">
        <f>IF(Compartments!$A80&lt;&gt;"",Compartments!$A80,"")</f>
        <v/>
      </c>
    </row>
    <row r="81" spans="1:1" x14ac:dyDescent="0.3">
      <c r="A81" s="3" t="str">
        <f>IF(Compartments!$A81&lt;&gt;"",Compartments!$A81,"")</f>
        <v/>
      </c>
    </row>
    <row r="82" spans="1:1" x14ac:dyDescent="0.3">
      <c r="A82" s="3" t="str">
        <f>IF(Compartments!$A82&lt;&gt;"",Compartments!$A82,"")</f>
        <v/>
      </c>
    </row>
    <row r="83" spans="1:1" x14ac:dyDescent="0.3">
      <c r="A83" s="3" t="str">
        <f>IF(Compartments!$A83&lt;&gt;"",Compartments!$A83,"")</f>
        <v/>
      </c>
    </row>
    <row r="84" spans="1:1" x14ac:dyDescent="0.3">
      <c r="A84" s="3" t="str">
        <f>IF(Compartments!$A84&lt;&gt;"",Compartments!$A84,"")</f>
        <v/>
      </c>
    </row>
    <row r="85" spans="1:1" x14ac:dyDescent="0.3">
      <c r="A85" s="3" t="str">
        <f>IF(Compartments!$A85&lt;&gt;"",Compartments!$A85,"")</f>
        <v/>
      </c>
    </row>
    <row r="86" spans="1:1" x14ac:dyDescent="0.3">
      <c r="A86" s="3" t="str">
        <f>IF(Compartments!$A86&lt;&gt;"",Compartments!$A86,"")</f>
        <v/>
      </c>
    </row>
    <row r="87" spans="1:1" x14ac:dyDescent="0.3">
      <c r="A87" s="3" t="str">
        <f>IF(Compartments!$A87&lt;&gt;"",Compartments!$A87,"")</f>
        <v/>
      </c>
    </row>
    <row r="88" spans="1:1" x14ac:dyDescent="0.3">
      <c r="A88" s="3" t="str">
        <f>IF(Compartments!$A88&lt;&gt;"",Compartments!$A88,"")</f>
        <v/>
      </c>
    </row>
    <row r="89" spans="1:1" x14ac:dyDescent="0.3">
      <c r="A89" s="3" t="str">
        <f>IF(Compartments!$A89&lt;&gt;"",Compartments!$A89,"")</f>
        <v/>
      </c>
    </row>
    <row r="90" spans="1:1" x14ac:dyDescent="0.3">
      <c r="A90" s="3" t="str">
        <f>IF(Compartments!$A90&lt;&gt;"",Compartments!$A90,"")</f>
        <v/>
      </c>
    </row>
    <row r="91" spans="1:1" x14ac:dyDescent="0.3">
      <c r="A91" s="3" t="str">
        <f>IF(Compartments!$A91&lt;&gt;"",Compartments!$A91,"")</f>
        <v/>
      </c>
    </row>
    <row r="92" spans="1:1" x14ac:dyDescent="0.3">
      <c r="A92" s="3" t="str">
        <f>IF(Compartments!$A92&lt;&gt;"",Compartments!$A92,"")</f>
        <v/>
      </c>
    </row>
    <row r="93" spans="1:1" x14ac:dyDescent="0.3">
      <c r="A93" s="3" t="str">
        <f>IF(Compartments!$A93&lt;&gt;"",Compartments!$A93,"")</f>
        <v/>
      </c>
    </row>
    <row r="94" spans="1:1" x14ac:dyDescent="0.3">
      <c r="A94" s="3" t="str">
        <f>IF(Compartments!$A94&lt;&gt;"",Compartments!$A94,"")</f>
        <v/>
      </c>
    </row>
    <row r="95" spans="1:1" x14ac:dyDescent="0.3">
      <c r="A95" s="3" t="str">
        <f>IF(Compartments!$A95&lt;&gt;"",Compartments!$A95,"")</f>
        <v/>
      </c>
    </row>
    <row r="96" spans="1:1" x14ac:dyDescent="0.3">
      <c r="A96" s="3" t="str">
        <f>IF(Compartments!$A96&lt;&gt;"",Compartments!$A96,"")</f>
        <v/>
      </c>
    </row>
    <row r="97" spans="1:1" x14ac:dyDescent="0.3">
      <c r="A97" s="3" t="str">
        <f>IF(Compartments!$A97&lt;&gt;"",Compartments!$A97,"")</f>
        <v/>
      </c>
    </row>
    <row r="98" spans="1:1" x14ac:dyDescent="0.3">
      <c r="A98" s="3" t="str">
        <f>IF(Compartments!$A98&lt;&gt;"",Compartments!$A98,"")</f>
        <v/>
      </c>
    </row>
    <row r="99" spans="1:1" x14ac:dyDescent="0.3">
      <c r="A99" s="3" t="str">
        <f>IF(Compartments!$A99&lt;&gt;"",Compartments!$A99,"")</f>
        <v/>
      </c>
    </row>
    <row r="100" spans="1:1" x14ac:dyDescent="0.3">
      <c r="A100" s="3" t="str">
        <f>IF(Compartments!$A100&lt;&gt;"",Compartments!$A100,"")</f>
        <v/>
      </c>
    </row>
    <row r="101" spans="1:1" x14ac:dyDescent="0.3">
      <c r="A101" s="3" t="str">
        <f>IF(Compartments!$A101&lt;&gt;"",Compartments!$A101,"")</f>
        <v/>
      </c>
    </row>
    <row r="102" spans="1:1" x14ac:dyDescent="0.3">
      <c r="A102" s="3" t="str">
        <f>IF(Compartments!$A102&lt;&gt;"",Compartments!$A102,"")</f>
        <v/>
      </c>
    </row>
    <row r="103" spans="1:1" x14ac:dyDescent="0.3">
      <c r="A103" s="3" t="str">
        <f>IF(Compartments!$A103&lt;&gt;"",Compartments!$A103,"")</f>
        <v/>
      </c>
    </row>
    <row r="104" spans="1:1" x14ac:dyDescent="0.3">
      <c r="A104" s="3" t="str">
        <f>IF(Compartments!$A104&lt;&gt;"",Compartments!$A104,"")</f>
        <v/>
      </c>
    </row>
    <row r="105" spans="1:1" x14ac:dyDescent="0.3">
      <c r="A105" s="3" t="str">
        <f>IF(Compartments!$A105&lt;&gt;"",Compartments!$A105,"")</f>
        <v/>
      </c>
    </row>
    <row r="106" spans="1:1" x14ac:dyDescent="0.3">
      <c r="A106" s="3" t="str">
        <f>IF(Compartments!$A106&lt;&gt;"",Compartments!$A106,"")</f>
        <v/>
      </c>
    </row>
    <row r="107" spans="1:1" x14ac:dyDescent="0.3">
      <c r="A107" s="3" t="str">
        <f>IF(Compartments!$A107&lt;&gt;"",Compartments!$A107,"")</f>
        <v/>
      </c>
    </row>
    <row r="108" spans="1:1" x14ac:dyDescent="0.3">
      <c r="A108" s="3" t="str">
        <f>IF(Compartments!$A108&lt;&gt;"",Compartments!$A108,"")</f>
        <v/>
      </c>
    </row>
    <row r="109" spans="1:1" x14ac:dyDescent="0.3">
      <c r="A109" s="3" t="str">
        <f>IF(Compartments!$A109&lt;&gt;"",Compartments!$A109,"")</f>
        <v/>
      </c>
    </row>
    <row r="110" spans="1:1" x14ac:dyDescent="0.3">
      <c r="A110" s="3" t="str">
        <f>IF(Compartments!$A110&lt;&gt;"",Compartments!$A110,"")</f>
        <v/>
      </c>
    </row>
    <row r="111" spans="1:1" x14ac:dyDescent="0.3">
      <c r="A111" s="3" t="str">
        <f>IF(Compartments!$A111&lt;&gt;"",Compartments!$A111,"")</f>
        <v/>
      </c>
    </row>
    <row r="112" spans="1:1" x14ac:dyDescent="0.3">
      <c r="A112" s="3" t="str">
        <f>IF(Compartments!$A112&lt;&gt;"",Compartments!$A112,"")</f>
        <v/>
      </c>
    </row>
    <row r="113" spans="1:1" x14ac:dyDescent="0.3">
      <c r="A113" s="3" t="str">
        <f>IF(Compartments!$A113&lt;&gt;"",Compartments!$A113,"")</f>
        <v/>
      </c>
    </row>
    <row r="114" spans="1:1" x14ac:dyDescent="0.3">
      <c r="A114" s="3" t="str">
        <f>IF(Compartments!$A114&lt;&gt;"",Compartments!$A114,"")</f>
        <v/>
      </c>
    </row>
    <row r="115" spans="1:1" x14ac:dyDescent="0.3">
      <c r="A115" s="3" t="str">
        <f>IF(Compartments!$A115&lt;&gt;"",Compartments!$A115,"")</f>
        <v/>
      </c>
    </row>
    <row r="116" spans="1:1" x14ac:dyDescent="0.3">
      <c r="A116" s="3" t="str">
        <f>IF(Compartments!$A116&lt;&gt;"",Compartments!$A116,"")</f>
        <v/>
      </c>
    </row>
    <row r="117" spans="1:1" x14ac:dyDescent="0.3">
      <c r="A117" s="3" t="str">
        <f>IF(Compartments!$A117&lt;&gt;"",Compartments!$A117,"")</f>
        <v/>
      </c>
    </row>
    <row r="118" spans="1:1" x14ac:dyDescent="0.3">
      <c r="A118" s="3" t="str">
        <f>IF(Compartments!$A118&lt;&gt;"",Compartments!$A118,"")</f>
        <v/>
      </c>
    </row>
    <row r="119" spans="1:1" x14ac:dyDescent="0.3">
      <c r="A119" s="3" t="str">
        <f>IF(Compartments!$A119&lt;&gt;"",Compartments!$A119,"")</f>
        <v/>
      </c>
    </row>
    <row r="120" spans="1:1" x14ac:dyDescent="0.3">
      <c r="A120" s="3" t="str">
        <f>IF(Compartments!$A120&lt;&gt;"",Compartments!$A120,"")</f>
        <v/>
      </c>
    </row>
    <row r="121" spans="1:1" x14ac:dyDescent="0.3">
      <c r="A121" s="3" t="str">
        <f>IF(Compartments!$A121&lt;&gt;"",Compartments!$A121,"")</f>
        <v/>
      </c>
    </row>
    <row r="122" spans="1:1" x14ac:dyDescent="0.3">
      <c r="A122" s="3" t="str">
        <f>IF(Compartments!$A122&lt;&gt;"",Compartments!$A122,"")</f>
        <v/>
      </c>
    </row>
    <row r="123" spans="1:1" x14ac:dyDescent="0.3">
      <c r="A123" s="3" t="str">
        <f>IF(Compartments!$A123&lt;&gt;"",Compartments!$A123,"")</f>
        <v/>
      </c>
    </row>
    <row r="124" spans="1:1" x14ac:dyDescent="0.3">
      <c r="A124" s="3" t="str">
        <f>IF(Compartments!$A124&lt;&gt;"",Compartments!$A124,"")</f>
        <v/>
      </c>
    </row>
    <row r="125" spans="1:1" x14ac:dyDescent="0.3">
      <c r="A125" s="3" t="str">
        <f>IF(Compartments!$A125&lt;&gt;"",Compartments!$A125,"")</f>
        <v/>
      </c>
    </row>
    <row r="126" spans="1:1" x14ac:dyDescent="0.3">
      <c r="A126" s="3" t="str">
        <f>IF(Compartments!$A126&lt;&gt;"",Compartments!$A126,"")</f>
        <v/>
      </c>
    </row>
    <row r="127" spans="1:1" x14ac:dyDescent="0.3">
      <c r="A127" s="3" t="str">
        <f>IF(Compartments!$A127&lt;&gt;"",Compartments!$A127,"")</f>
        <v/>
      </c>
    </row>
    <row r="128" spans="1:1" x14ac:dyDescent="0.3">
      <c r="A128" s="3" t="str">
        <f>IF(Compartments!$A128&lt;&gt;"",Compartments!$A128,"")</f>
        <v/>
      </c>
    </row>
    <row r="129" spans="1:1" x14ac:dyDescent="0.3">
      <c r="A129" s="3" t="str">
        <f>IF(Compartments!$A129&lt;&gt;"",Compartments!$A129,"")</f>
        <v/>
      </c>
    </row>
    <row r="130" spans="1:1" x14ac:dyDescent="0.3">
      <c r="A130" s="3" t="str">
        <f>IF(Compartments!$A130&lt;&gt;"",Compartments!$A130,"")</f>
        <v/>
      </c>
    </row>
    <row r="131" spans="1:1" x14ac:dyDescent="0.3">
      <c r="A131" s="3" t="str">
        <f>IF(Compartments!$A131&lt;&gt;"",Compartments!$A131,"")</f>
        <v/>
      </c>
    </row>
    <row r="132" spans="1:1" x14ac:dyDescent="0.3">
      <c r="A132" s="3" t="str">
        <f>IF(Compartments!$A132&lt;&gt;"",Compartments!$A132,"")</f>
        <v/>
      </c>
    </row>
    <row r="133" spans="1:1" x14ac:dyDescent="0.3">
      <c r="A133" s="3" t="str">
        <f>IF(Compartments!$A133&lt;&gt;"",Compartments!$A133,"")</f>
        <v/>
      </c>
    </row>
    <row r="134" spans="1:1" x14ac:dyDescent="0.3">
      <c r="A134" s="3" t="str">
        <f>IF(Compartments!$A134&lt;&gt;"",Compartments!$A134,"")</f>
        <v/>
      </c>
    </row>
    <row r="135" spans="1:1" x14ac:dyDescent="0.3">
      <c r="A135" s="3" t="str">
        <f>IF(Compartments!$A135&lt;&gt;"",Compartments!$A135,"")</f>
        <v/>
      </c>
    </row>
    <row r="136" spans="1:1" x14ac:dyDescent="0.3">
      <c r="A136" s="3" t="str">
        <f>IF(Compartments!$A136&lt;&gt;"",Compartments!$A136,"")</f>
        <v/>
      </c>
    </row>
    <row r="137" spans="1:1" x14ac:dyDescent="0.3">
      <c r="A137" s="3" t="str">
        <f>IF(Compartments!$A137&lt;&gt;"",Compartments!$A137,"")</f>
        <v/>
      </c>
    </row>
    <row r="138" spans="1:1" x14ac:dyDescent="0.3">
      <c r="A138" s="3" t="str">
        <f>IF(Compartments!$A138&lt;&gt;"",Compartments!$A138,"")</f>
        <v/>
      </c>
    </row>
    <row r="139" spans="1:1" x14ac:dyDescent="0.3">
      <c r="A139" s="3" t="str">
        <f>IF(Compartments!$A139&lt;&gt;"",Compartments!$A139,"")</f>
        <v/>
      </c>
    </row>
    <row r="140" spans="1:1" x14ac:dyDescent="0.3">
      <c r="A140" s="3" t="str">
        <f>IF(Compartments!$A140&lt;&gt;"",Compartments!$A140,"")</f>
        <v/>
      </c>
    </row>
    <row r="141" spans="1:1" x14ac:dyDescent="0.3">
      <c r="A141" s="3" t="str">
        <f>IF(Compartments!$A141&lt;&gt;"",Compartments!$A141,"")</f>
        <v/>
      </c>
    </row>
    <row r="142" spans="1:1" x14ac:dyDescent="0.3">
      <c r="A142" s="3" t="str">
        <f>IF(Compartments!$A142&lt;&gt;"",Compartments!$A142,"")</f>
        <v/>
      </c>
    </row>
    <row r="143" spans="1:1" x14ac:dyDescent="0.3">
      <c r="A143" s="3" t="str">
        <f>IF(Compartments!$A143&lt;&gt;"",Compartments!$A143,"")</f>
        <v/>
      </c>
    </row>
    <row r="144" spans="1:1" x14ac:dyDescent="0.3">
      <c r="A144" s="3" t="str">
        <f>IF(Compartments!$A144&lt;&gt;"",Compartments!$A144,"")</f>
        <v/>
      </c>
    </row>
    <row r="145" spans="1:1" x14ac:dyDescent="0.3">
      <c r="A145" s="3" t="str">
        <f>IF(Compartments!$A145&lt;&gt;"",Compartments!$A145,"")</f>
        <v/>
      </c>
    </row>
    <row r="146" spans="1:1" x14ac:dyDescent="0.3">
      <c r="A146" s="3" t="str">
        <f>IF(Compartments!$A146&lt;&gt;"",Compartments!$A146,"")</f>
        <v/>
      </c>
    </row>
    <row r="147" spans="1:1" x14ac:dyDescent="0.3">
      <c r="A147" s="3" t="str">
        <f>IF(Compartments!$A147&lt;&gt;"",Compartments!$A147,"")</f>
        <v/>
      </c>
    </row>
    <row r="148" spans="1:1" x14ac:dyDescent="0.3">
      <c r="A148" s="3" t="str">
        <f>IF(Compartments!$A148&lt;&gt;"",Compartments!$A148,"")</f>
        <v/>
      </c>
    </row>
    <row r="149" spans="1:1" x14ac:dyDescent="0.3">
      <c r="A149" s="3" t="str">
        <f>IF(Compartments!$A149&lt;&gt;"",Compartments!$A149,"")</f>
        <v/>
      </c>
    </row>
    <row r="150" spans="1:1" x14ac:dyDescent="0.3">
      <c r="A150" s="3" t="str">
        <f>IF(Compartments!$A150&lt;&gt;"",Compartments!$A150,"")</f>
        <v/>
      </c>
    </row>
    <row r="151" spans="1:1" x14ac:dyDescent="0.3">
      <c r="A151" s="3" t="str">
        <f>IF(Compartments!$A151&lt;&gt;"",Compartments!$A151,"")</f>
        <v/>
      </c>
    </row>
    <row r="152" spans="1:1" x14ac:dyDescent="0.3">
      <c r="A152" s="3" t="str">
        <f>IF(Compartments!$A152&lt;&gt;"",Compartments!$A152,"")</f>
        <v/>
      </c>
    </row>
    <row r="153" spans="1:1" x14ac:dyDescent="0.3">
      <c r="A153" s="3" t="str">
        <f>IF(Compartments!$A153&lt;&gt;"",Compartments!$A153,"")</f>
        <v/>
      </c>
    </row>
    <row r="154" spans="1:1" x14ac:dyDescent="0.3">
      <c r="A154" s="3" t="str">
        <f>IF(Compartments!$A154&lt;&gt;"",Compartments!$A154,"")</f>
        <v/>
      </c>
    </row>
    <row r="155" spans="1:1" x14ac:dyDescent="0.3">
      <c r="A155" s="3" t="str">
        <f>IF(Compartments!$A155&lt;&gt;"",Compartments!$A155,"")</f>
        <v/>
      </c>
    </row>
    <row r="156" spans="1:1" x14ac:dyDescent="0.3">
      <c r="A156" s="3" t="str">
        <f>IF(Compartments!$A156&lt;&gt;"",Compartments!$A156,"")</f>
        <v/>
      </c>
    </row>
    <row r="157" spans="1:1" x14ac:dyDescent="0.3">
      <c r="A157" s="3" t="str">
        <f>IF(Compartments!$A157&lt;&gt;"",Compartments!$A157,"")</f>
        <v/>
      </c>
    </row>
    <row r="158" spans="1:1" x14ac:dyDescent="0.3">
      <c r="A158" s="3" t="str">
        <f>IF(Compartments!$A158&lt;&gt;"",Compartments!$A158,"")</f>
        <v/>
      </c>
    </row>
    <row r="159" spans="1:1" x14ac:dyDescent="0.3">
      <c r="A159" s="3" t="str">
        <f>IF(Compartments!$A159&lt;&gt;"",Compartments!$A159,"")</f>
        <v/>
      </c>
    </row>
    <row r="160" spans="1:1" x14ac:dyDescent="0.3">
      <c r="A160" s="3" t="str">
        <f>IF(Compartments!$A160&lt;&gt;"",Compartments!$A160,"")</f>
        <v/>
      </c>
    </row>
    <row r="161" spans="1:1" x14ac:dyDescent="0.3">
      <c r="A161" s="3" t="str">
        <f>IF(Compartments!$A161&lt;&gt;"",Compartments!$A161,"")</f>
        <v/>
      </c>
    </row>
    <row r="162" spans="1:1" x14ac:dyDescent="0.3">
      <c r="A162" s="3" t="str">
        <f>IF(Compartments!$A162&lt;&gt;"",Compartments!$A162,"")</f>
        <v/>
      </c>
    </row>
    <row r="163" spans="1:1" x14ac:dyDescent="0.3">
      <c r="A163" s="3" t="str">
        <f>IF(Compartments!$A163&lt;&gt;"",Compartments!$A163,"")</f>
        <v/>
      </c>
    </row>
    <row r="164" spans="1:1" x14ac:dyDescent="0.3">
      <c r="A164" s="3" t="str">
        <f>IF(Compartments!$A164&lt;&gt;"",Compartments!$A164,"")</f>
        <v/>
      </c>
    </row>
    <row r="165" spans="1:1" x14ac:dyDescent="0.3">
      <c r="A165" s="3" t="str">
        <f>IF(Compartments!$A165&lt;&gt;"",Compartments!$A165,"")</f>
        <v/>
      </c>
    </row>
    <row r="166" spans="1:1" x14ac:dyDescent="0.3">
      <c r="A166" s="3" t="str">
        <f>IF(Compartments!$A166&lt;&gt;"",Compartments!$A166,"")</f>
        <v/>
      </c>
    </row>
    <row r="167" spans="1:1" x14ac:dyDescent="0.3">
      <c r="A167" s="3" t="str">
        <f>IF(Compartments!$A167&lt;&gt;"",Compartments!$A167,"")</f>
        <v/>
      </c>
    </row>
    <row r="168" spans="1:1" x14ac:dyDescent="0.3">
      <c r="A168" s="3" t="str">
        <f>IF(Compartments!$A168&lt;&gt;"",Compartments!$A168,"")</f>
        <v/>
      </c>
    </row>
    <row r="169" spans="1:1" x14ac:dyDescent="0.3">
      <c r="A169" s="3" t="str">
        <f>IF(Compartments!$A169&lt;&gt;"",Compartments!$A169,"")</f>
        <v/>
      </c>
    </row>
    <row r="170" spans="1:1" x14ac:dyDescent="0.3">
      <c r="A170" s="3" t="str">
        <f>IF(Compartments!$A170&lt;&gt;"",Compartments!$A170,"")</f>
        <v/>
      </c>
    </row>
    <row r="171" spans="1:1" x14ac:dyDescent="0.3">
      <c r="A171" s="3" t="str">
        <f>IF(Compartments!$A171&lt;&gt;"",Compartments!$A171,"")</f>
        <v/>
      </c>
    </row>
    <row r="172" spans="1:1" x14ac:dyDescent="0.3">
      <c r="A172" s="3" t="str">
        <f>IF(Compartments!$A172&lt;&gt;"",Compartments!$A172,"")</f>
        <v/>
      </c>
    </row>
    <row r="173" spans="1:1" x14ac:dyDescent="0.3">
      <c r="A173" s="3" t="str">
        <f>IF(Compartments!$A173&lt;&gt;"",Compartments!$A173,"")</f>
        <v/>
      </c>
    </row>
    <row r="174" spans="1:1" x14ac:dyDescent="0.3">
      <c r="A174" s="3" t="str">
        <f>IF(Compartments!$A174&lt;&gt;"",Compartments!$A174,"")</f>
        <v/>
      </c>
    </row>
    <row r="175" spans="1:1" x14ac:dyDescent="0.3">
      <c r="A175" s="3" t="str">
        <f>IF(Compartments!$A175&lt;&gt;"",Compartments!$A175,"")</f>
        <v/>
      </c>
    </row>
    <row r="176" spans="1:1" x14ac:dyDescent="0.3">
      <c r="A176" s="3" t="str">
        <f>IF(Compartments!$A176&lt;&gt;"",Compartments!$A176,"")</f>
        <v/>
      </c>
    </row>
    <row r="177" spans="1:1" x14ac:dyDescent="0.3">
      <c r="A177" s="3" t="str">
        <f>IF(Compartments!$A177&lt;&gt;"",Compartments!$A177,"")</f>
        <v/>
      </c>
    </row>
    <row r="178" spans="1:1" x14ac:dyDescent="0.3">
      <c r="A178" s="3" t="str">
        <f>IF(Compartments!$A178&lt;&gt;"",Compartments!$A178,"")</f>
        <v/>
      </c>
    </row>
    <row r="179" spans="1:1" x14ac:dyDescent="0.3">
      <c r="A179" s="3" t="str">
        <f>IF(Compartments!$A179&lt;&gt;"",Compartments!$A179,"")</f>
        <v/>
      </c>
    </row>
    <row r="180" spans="1:1" x14ac:dyDescent="0.3">
      <c r="A180" s="3" t="str">
        <f>IF(Compartments!$A180&lt;&gt;"",Compartments!$A180,"")</f>
        <v/>
      </c>
    </row>
    <row r="181" spans="1:1" x14ac:dyDescent="0.3">
      <c r="A181" s="3" t="str">
        <f>IF(Compartments!$A181&lt;&gt;"",Compartments!$A181,"")</f>
        <v/>
      </c>
    </row>
    <row r="182" spans="1:1" x14ac:dyDescent="0.3">
      <c r="A182" s="3" t="str">
        <f>IF(Compartments!$A182&lt;&gt;"",Compartments!$A182,"")</f>
        <v/>
      </c>
    </row>
    <row r="183" spans="1:1" x14ac:dyDescent="0.3">
      <c r="A183" s="3" t="str">
        <f>IF(Compartments!$A183&lt;&gt;"",Compartments!$A183,"")</f>
        <v/>
      </c>
    </row>
    <row r="184" spans="1:1" x14ac:dyDescent="0.3">
      <c r="A184" s="3" t="str">
        <f>IF(Compartments!$A184&lt;&gt;"",Compartments!$A184,"")</f>
        <v/>
      </c>
    </row>
    <row r="185" spans="1:1" x14ac:dyDescent="0.3">
      <c r="A185" s="3" t="str">
        <f>IF(Compartments!$A185&lt;&gt;"",Compartments!$A185,"")</f>
        <v/>
      </c>
    </row>
    <row r="186" spans="1:1" x14ac:dyDescent="0.3">
      <c r="A186" s="3" t="str">
        <f>IF(Compartments!$A186&lt;&gt;"",Compartments!$A186,"")</f>
        <v/>
      </c>
    </row>
    <row r="187" spans="1:1" x14ac:dyDescent="0.3">
      <c r="A187" s="3" t="str">
        <f>IF(Compartments!$A187&lt;&gt;"",Compartments!$A187,"")</f>
        <v/>
      </c>
    </row>
    <row r="188" spans="1:1" x14ac:dyDescent="0.3">
      <c r="A188" s="3" t="str">
        <f>IF(Compartments!$A188&lt;&gt;"",Compartments!$A188,"")</f>
        <v/>
      </c>
    </row>
    <row r="189" spans="1:1" x14ac:dyDescent="0.3">
      <c r="A189" s="3" t="str">
        <f>IF(Compartments!$A189&lt;&gt;"",Compartments!$A189,"")</f>
        <v/>
      </c>
    </row>
    <row r="190" spans="1:1" x14ac:dyDescent="0.3">
      <c r="A190" s="3" t="str">
        <f>IF(Compartments!$A190&lt;&gt;"",Compartments!$A190,"")</f>
        <v/>
      </c>
    </row>
    <row r="191" spans="1:1" x14ac:dyDescent="0.3">
      <c r="A191" s="3" t="str">
        <f>IF(Compartments!$A191&lt;&gt;"",Compartments!$A191,"")</f>
        <v/>
      </c>
    </row>
    <row r="192" spans="1:1" x14ac:dyDescent="0.3">
      <c r="A192" s="3" t="str">
        <f>IF(Compartments!$A192&lt;&gt;"",Compartments!$A192,"")</f>
        <v/>
      </c>
    </row>
    <row r="193" spans="1:1" x14ac:dyDescent="0.3">
      <c r="A193" s="3" t="str">
        <f>IF(Compartments!$A193&lt;&gt;"",Compartments!$A193,"")</f>
        <v/>
      </c>
    </row>
    <row r="194" spans="1:1" x14ac:dyDescent="0.3">
      <c r="A194" s="3" t="str">
        <f>IF(Compartments!$A194&lt;&gt;"",Compartments!$A194,"")</f>
        <v/>
      </c>
    </row>
    <row r="195" spans="1:1" x14ac:dyDescent="0.3">
      <c r="A195" s="3" t="str">
        <f>IF(Compartments!$A195&lt;&gt;"",Compartments!$A195,"")</f>
        <v/>
      </c>
    </row>
    <row r="196" spans="1:1" x14ac:dyDescent="0.3">
      <c r="A196" s="3" t="str">
        <f>IF(Compartments!$A196&lt;&gt;"",Compartments!$A196,"")</f>
        <v/>
      </c>
    </row>
    <row r="197" spans="1:1" x14ac:dyDescent="0.3">
      <c r="A197" s="3" t="str">
        <f>IF(Compartments!$A197&lt;&gt;"",Compartments!$A197,"")</f>
        <v/>
      </c>
    </row>
    <row r="198" spans="1:1" x14ac:dyDescent="0.3">
      <c r="A198" s="3" t="str">
        <f>IF(Compartments!$A198&lt;&gt;"",Compartments!$A198,"")</f>
        <v/>
      </c>
    </row>
    <row r="199" spans="1:1" x14ac:dyDescent="0.3">
      <c r="A199" s="3" t="str">
        <f>IF(Compartments!$A199&lt;&gt;"",Compartments!$A199,"")</f>
        <v/>
      </c>
    </row>
    <row r="200" spans="1:1" x14ac:dyDescent="0.3">
      <c r="A200" s="3" t="str">
        <f>IF(Compartments!$A200&lt;&gt;"",Compartments!$A200,"")</f>
        <v/>
      </c>
    </row>
    <row r="201" spans="1:1" x14ac:dyDescent="0.3">
      <c r="A201" s="3" t="str">
        <f>IF(Compartments!$A201&lt;&gt;"",Compartments!$A201,"")</f>
        <v/>
      </c>
    </row>
    <row r="202" spans="1:1" x14ac:dyDescent="0.3">
      <c r="A202" s="3" t="str">
        <f>IF(Compartments!$A202&lt;&gt;"",Compartments!$A202,"")</f>
        <v/>
      </c>
    </row>
    <row r="203" spans="1:1" x14ac:dyDescent="0.3">
      <c r="A203" s="3" t="str">
        <f>IF(Compartments!$A203&lt;&gt;"",Compartments!$A203,"")</f>
        <v/>
      </c>
    </row>
    <row r="204" spans="1:1" x14ac:dyDescent="0.3">
      <c r="A204" s="3" t="str">
        <f>IF(Compartments!$A204&lt;&gt;"",Compartments!$A204,"")</f>
        <v/>
      </c>
    </row>
    <row r="205" spans="1:1" x14ac:dyDescent="0.3">
      <c r="A205" s="3" t="str">
        <f>IF(Compartments!$A205&lt;&gt;"",Compartments!$A205,"")</f>
        <v/>
      </c>
    </row>
    <row r="206" spans="1:1" x14ac:dyDescent="0.3">
      <c r="A206" s="3" t="str">
        <f>IF(Compartments!$A206&lt;&gt;"",Compartments!$A206,"")</f>
        <v/>
      </c>
    </row>
    <row r="207" spans="1:1" x14ac:dyDescent="0.3">
      <c r="A207" s="3" t="str">
        <f>IF(Compartments!$A207&lt;&gt;"",Compartments!$A207,"")</f>
        <v/>
      </c>
    </row>
    <row r="208" spans="1:1" x14ac:dyDescent="0.3">
      <c r="A208" s="3" t="str">
        <f>IF(Compartments!$A208&lt;&gt;"",Compartments!$A208,"")</f>
        <v/>
      </c>
    </row>
    <row r="209" spans="1:1" x14ac:dyDescent="0.3">
      <c r="A209" s="3" t="str">
        <f>IF(Compartments!$A209&lt;&gt;"",Compartments!$A209,"")</f>
        <v/>
      </c>
    </row>
    <row r="210" spans="1:1" x14ac:dyDescent="0.3">
      <c r="A210" s="3" t="str">
        <f>IF(Compartments!$A210&lt;&gt;"",Compartments!$A210,"")</f>
        <v/>
      </c>
    </row>
    <row r="211" spans="1:1" x14ac:dyDescent="0.3">
      <c r="A211" s="3" t="str">
        <f>IF(Compartments!$A211&lt;&gt;"",Compartments!$A211,"")</f>
        <v/>
      </c>
    </row>
    <row r="212" spans="1:1" x14ac:dyDescent="0.3">
      <c r="A212" s="3" t="str">
        <f>IF(Compartments!$A212&lt;&gt;"",Compartments!$A212,"")</f>
        <v/>
      </c>
    </row>
    <row r="213" spans="1:1" x14ac:dyDescent="0.3">
      <c r="A213" s="3" t="str">
        <f>IF(Compartments!$A213&lt;&gt;"",Compartments!$A213,"")</f>
        <v/>
      </c>
    </row>
    <row r="214" spans="1:1" x14ac:dyDescent="0.3">
      <c r="A214" s="3" t="str">
        <f>IF(Compartments!$A214&lt;&gt;"",Compartments!$A214,"")</f>
        <v/>
      </c>
    </row>
    <row r="215" spans="1:1" x14ac:dyDescent="0.3">
      <c r="A215" s="3" t="str">
        <f>IF(Compartments!$A215&lt;&gt;"",Compartments!$A215,"")</f>
        <v/>
      </c>
    </row>
    <row r="216" spans="1:1" x14ac:dyDescent="0.3">
      <c r="A216" s="3" t="str">
        <f>IF(Compartments!$A216&lt;&gt;"",Compartments!$A216,"")</f>
        <v/>
      </c>
    </row>
    <row r="217" spans="1:1" x14ac:dyDescent="0.3">
      <c r="A217" s="3" t="str">
        <f>IF(Compartments!$A217&lt;&gt;"",Compartments!$A217,"")</f>
        <v/>
      </c>
    </row>
    <row r="218" spans="1:1" x14ac:dyDescent="0.3">
      <c r="A218" s="3" t="str">
        <f>IF(Compartments!$A218&lt;&gt;"",Compartments!$A218,"")</f>
        <v/>
      </c>
    </row>
    <row r="219" spans="1:1" x14ac:dyDescent="0.3">
      <c r="A219" s="3" t="str">
        <f>IF(Compartments!$A219&lt;&gt;"",Compartments!$A219,"")</f>
        <v/>
      </c>
    </row>
    <row r="220" spans="1:1" x14ac:dyDescent="0.3">
      <c r="A220" s="3" t="str">
        <f>IF(Compartments!$A220&lt;&gt;"",Compartments!$A220,"")</f>
        <v/>
      </c>
    </row>
    <row r="221" spans="1:1" x14ac:dyDescent="0.3">
      <c r="A221" s="3" t="str">
        <f>IF(Compartments!$A221&lt;&gt;"",Compartments!$A221,"")</f>
        <v/>
      </c>
    </row>
    <row r="222" spans="1:1" x14ac:dyDescent="0.3">
      <c r="A222" s="3" t="str">
        <f>IF(Compartments!$A222&lt;&gt;"",Compartments!$A222,"")</f>
        <v/>
      </c>
    </row>
    <row r="223" spans="1:1" x14ac:dyDescent="0.3">
      <c r="A223" s="3" t="str">
        <f>IF(Compartments!$A223&lt;&gt;"",Compartments!$A223,"")</f>
        <v/>
      </c>
    </row>
    <row r="224" spans="1:1" x14ac:dyDescent="0.3">
      <c r="A224" s="3" t="str">
        <f>IF(Compartments!$A224&lt;&gt;"",Compartments!$A224,"")</f>
        <v/>
      </c>
    </row>
    <row r="225" spans="1:1" x14ac:dyDescent="0.3">
      <c r="A225" s="3" t="str">
        <f>IF(Compartments!$A225&lt;&gt;"",Compartments!$A225,"")</f>
        <v/>
      </c>
    </row>
    <row r="226" spans="1:1" x14ac:dyDescent="0.3">
      <c r="A226" s="3" t="str">
        <f>IF(Compartments!$A226&lt;&gt;"",Compartments!$A226,"")</f>
        <v/>
      </c>
    </row>
    <row r="227" spans="1:1" x14ac:dyDescent="0.3">
      <c r="A227" s="3" t="str">
        <f>IF(Compartments!$A227&lt;&gt;"",Compartments!$A227,"")</f>
        <v/>
      </c>
    </row>
    <row r="228" spans="1:1" x14ac:dyDescent="0.3">
      <c r="A228" s="3" t="str">
        <f>IF(Compartments!$A228&lt;&gt;"",Compartments!$A228,"")</f>
        <v/>
      </c>
    </row>
    <row r="229" spans="1:1" x14ac:dyDescent="0.3">
      <c r="A229" s="3" t="str">
        <f>IF(Compartments!$A229&lt;&gt;"",Compartments!$A229,"")</f>
        <v/>
      </c>
    </row>
    <row r="230" spans="1:1" x14ac:dyDescent="0.3">
      <c r="A230" s="3" t="str">
        <f>IF(Compartments!$A230&lt;&gt;"",Compartments!$A230,"")</f>
        <v/>
      </c>
    </row>
    <row r="231" spans="1:1" x14ac:dyDescent="0.3">
      <c r="A231" s="3" t="str">
        <f>IF(Compartments!$A231&lt;&gt;"",Compartments!$A231,"")</f>
        <v/>
      </c>
    </row>
    <row r="232" spans="1:1" x14ac:dyDescent="0.3">
      <c r="A232" s="3" t="str">
        <f>IF(Compartments!$A232&lt;&gt;"",Compartments!$A232,"")</f>
        <v/>
      </c>
    </row>
    <row r="233" spans="1:1" x14ac:dyDescent="0.3">
      <c r="A233" s="3" t="str">
        <f>IF(Compartments!$A233&lt;&gt;"",Compartments!$A233,"")</f>
        <v/>
      </c>
    </row>
    <row r="234" spans="1:1" x14ac:dyDescent="0.3">
      <c r="A234" s="3" t="str">
        <f>IF(Compartments!$A234&lt;&gt;"",Compartments!$A234,"")</f>
        <v/>
      </c>
    </row>
    <row r="235" spans="1:1" x14ac:dyDescent="0.3">
      <c r="A235" s="3" t="str">
        <f>IF(Compartments!$A235&lt;&gt;"",Compartments!$A235,"")</f>
        <v/>
      </c>
    </row>
    <row r="236" spans="1:1" x14ac:dyDescent="0.3">
      <c r="A236" s="3" t="str">
        <f>IF(Compartments!$A236&lt;&gt;"",Compartments!$A236,"")</f>
        <v/>
      </c>
    </row>
    <row r="237" spans="1:1" x14ac:dyDescent="0.3">
      <c r="A237" s="3" t="str">
        <f>IF(Compartments!$A237&lt;&gt;"",Compartments!$A237,"")</f>
        <v/>
      </c>
    </row>
    <row r="238" spans="1:1" x14ac:dyDescent="0.3">
      <c r="A238" s="3" t="str">
        <f>IF(Compartments!$A238&lt;&gt;"",Compartments!$A238,"")</f>
        <v/>
      </c>
    </row>
    <row r="239" spans="1:1" x14ac:dyDescent="0.3">
      <c r="A239" s="3" t="str">
        <f>IF(Compartments!$A239&lt;&gt;"",Compartments!$A239,"")</f>
        <v/>
      </c>
    </row>
    <row r="240" spans="1:1" x14ac:dyDescent="0.3">
      <c r="A240" s="3" t="str">
        <f>IF(Compartments!$A240&lt;&gt;"",Compartments!$A240,"")</f>
        <v/>
      </c>
    </row>
    <row r="241" spans="1:1" x14ac:dyDescent="0.3">
      <c r="A241" s="3" t="str">
        <f>IF(Compartments!$A241&lt;&gt;"",Compartments!$A241,"")</f>
        <v/>
      </c>
    </row>
    <row r="242" spans="1:1" x14ac:dyDescent="0.3">
      <c r="A242" s="3" t="str">
        <f>IF(Compartments!$A242&lt;&gt;"",Compartments!$A242,"")</f>
        <v/>
      </c>
    </row>
    <row r="243" spans="1:1" x14ac:dyDescent="0.3">
      <c r="A243" s="3" t="str">
        <f>IF(Compartments!$A243&lt;&gt;"",Compartments!$A243,"")</f>
        <v/>
      </c>
    </row>
    <row r="244" spans="1:1" x14ac:dyDescent="0.3">
      <c r="A244" s="3" t="str">
        <f>IF(Compartments!$A244&lt;&gt;"",Compartments!$A244,"")</f>
        <v/>
      </c>
    </row>
    <row r="245" spans="1:1" x14ac:dyDescent="0.3">
      <c r="A245" s="3" t="str">
        <f>IF(Compartments!$A245&lt;&gt;"",Compartments!$A245,"")</f>
        <v/>
      </c>
    </row>
    <row r="246" spans="1:1" x14ac:dyDescent="0.3">
      <c r="A246" s="3" t="str">
        <f>IF(Compartments!$A246&lt;&gt;"",Compartments!$A246,"")</f>
        <v/>
      </c>
    </row>
    <row r="247" spans="1:1" x14ac:dyDescent="0.3">
      <c r="A247" s="3" t="str">
        <f>IF(Compartments!$A247&lt;&gt;"",Compartments!$A247,"")</f>
        <v/>
      </c>
    </row>
    <row r="248" spans="1:1" x14ac:dyDescent="0.3">
      <c r="A248" s="3" t="str">
        <f>IF(Compartments!$A248&lt;&gt;"",Compartments!$A248,"")</f>
        <v/>
      </c>
    </row>
    <row r="249" spans="1:1" x14ac:dyDescent="0.3">
      <c r="A249" s="3" t="str">
        <f>IF(Compartments!$A249&lt;&gt;"",Compartments!$A249,"")</f>
        <v/>
      </c>
    </row>
    <row r="250" spans="1:1" x14ac:dyDescent="0.3">
      <c r="A250" s="3" t="str">
        <f>IF(Compartments!$A250&lt;&gt;"",Compartments!$A250,"")</f>
        <v/>
      </c>
    </row>
    <row r="251" spans="1:1" x14ac:dyDescent="0.3">
      <c r="A251" s="3" t="str">
        <f>IF(Compartments!$A251&lt;&gt;"",Compartments!$A251,"")</f>
        <v/>
      </c>
    </row>
    <row r="252" spans="1:1" x14ac:dyDescent="0.3">
      <c r="A252" s="3" t="str">
        <f>IF(Compartments!$A252&lt;&gt;"",Compartments!$A252,"")</f>
        <v/>
      </c>
    </row>
    <row r="253" spans="1:1" x14ac:dyDescent="0.3">
      <c r="A253" s="3" t="str">
        <f>IF(Compartments!$A253&lt;&gt;"",Compartments!$A253,"")</f>
        <v/>
      </c>
    </row>
    <row r="254" spans="1:1" x14ac:dyDescent="0.3">
      <c r="A254" s="3" t="str">
        <f>IF(Compartments!$A254&lt;&gt;"",Compartments!$A254,"")</f>
        <v/>
      </c>
    </row>
    <row r="255" spans="1:1" x14ac:dyDescent="0.3">
      <c r="A255" s="3" t="str">
        <f>IF(Compartments!$A255&lt;&gt;"",Compartments!$A255,"")</f>
        <v/>
      </c>
    </row>
    <row r="256" spans="1:1" x14ac:dyDescent="0.3">
      <c r="A256" s="3" t="str">
        <f>IF(Compartments!$A256&lt;&gt;"",Compartments!$A256,"")</f>
        <v/>
      </c>
    </row>
    <row r="257" spans="1:1" x14ac:dyDescent="0.3">
      <c r="A257" s="3" t="str">
        <f>IF(Compartments!$A257&lt;&gt;"",Compartments!$A257,"")</f>
        <v/>
      </c>
    </row>
    <row r="258" spans="1:1" x14ac:dyDescent="0.3">
      <c r="A258" s="3" t="str">
        <f>IF(Compartments!$A258&lt;&gt;"",Compartments!$A258,"")</f>
        <v/>
      </c>
    </row>
    <row r="259" spans="1:1" x14ac:dyDescent="0.3">
      <c r="A259" s="3" t="str">
        <f>IF(Compartments!$A259&lt;&gt;"",Compartments!$A259,"")</f>
        <v/>
      </c>
    </row>
    <row r="260" spans="1:1" x14ac:dyDescent="0.3">
      <c r="A260" s="3" t="str">
        <f>IF(Compartments!$A260&lt;&gt;"",Compartments!$A260,"")</f>
        <v/>
      </c>
    </row>
    <row r="261" spans="1:1" x14ac:dyDescent="0.3">
      <c r="A261" s="3" t="str">
        <f>IF(Compartments!$A261&lt;&gt;"",Compartments!$A261,"")</f>
        <v/>
      </c>
    </row>
    <row r="262" spans="1:1" x14ac:dyDescent="0.3">
      <c r="A262" s="3" t="str">
        <f>IF(Compartments!$A262&lt;&gt;"",Compartments!$A262,"")</f>
        <v/>
      </c>
    </row>
    <row r="263" spans="1:1" x14ac:dyDescent="0.3">
      <c r="A263" s="3" t="str">
        <f>IF(Compartments!$A263&lt;&gt;"",Compartments!$A263,"")</f>
        <v/>
      </c>
    </row>
    <row r="264" spans="1:1" x14ac:dyDescent="0.3">
      <c r="A264" s="3" t="str">
        <f>IF(Compartments!$A264&lt;&gt;"",Compartments!$A264,"")</f>
        <v/>
      </c>
    </row>
    <row r="265" spans="1:1" x14ac:dyDescent="0.3">
      <c r="A265" s="3" t="str">
        <f>IF(Compartments!$A265&lt;&gt;"",Compartments!$A265,"")</f>
        <v/>
      </c>
    </row>
    <row r="266" spans="1:1" x14ac:dyDescent="0.3">
      <c r="A266" s="3" t="str">
        <f>IF(Compartments!$A266&lt;&gt;"",Compartments!$A266,"")</f>
        <v/>
      </c>
    </row>
    <row r="267" spans="1:1" x14ac:dyDescent="0.3">
      <c r="A267" s="3" t="str">
        <f>IF(Compartments!$A267&lt;&gt;"",Compartments!$A267,"")</f>
        <v/>
      </c>
    </row>
    <row r="268" spans="1:1" x14ac:dyDescent="0.3">
      <c r="A268" s="3" t="str">
        <f>IF(Compartments!$A268&lt;&gt;"",Compartments!$A268,"")</f>
        <v/>
      </c>
    </row>
    <row r="269" spans="1:1" x14ac:dyDescent="0.3">
      <c r="A269" s="3" t="str">
        <f>IF(Compartments!$A269&lt;&gt;"",Compartments!$A269,"")</f>
        <v/>
      </c>
    </row>
    <row r="270" spans="1:1" x14ac:dyDescent="0.3">
      <c r="A270" s="3" t="str">
        <f>IF(Compartments!$A270&lt;&gt;"",Compartments!$A270,"")</f>
        <v/>
      </c>
    </row>
    <row r="271" spans="1:1" x14ac:dyDescent="0.3">
      <c r="A271" s="3" t="str">
        <f>IF(Compartments!$A271&lt;&gt;"",Compartments!$A271,"")</f>
        <v/>
      </c>
    </row>
    <row r="272" spans="1:1" x14ac:dyDescent="0.3">
      <c r="A272" s="3" t="str">
        <f>IF(Compartments!$A272&lt;&gt;"",Compartments!$A272,"")</f>
        <v/>
      </c>
    </row>
    <row r="273" spans="1:1" x14ac:dyDescent="0.3">
      <c r="A273" s="3" t="str">
        <f>IF(Compartments!$A273&lt;&gt;"",Compartments!$A273,"")</f>
        <v/>
      </c>
    </row>
    <row r="274" spans="1:1" x14ac:dyDescent="0.3">
      <c r="A274" s="3" t="str">
        <f>IF(Compartments!$A274&lt;&gt;"",Compartments!$A274,"")</f>
        <v/>
      </c>
    </row>
    <row r="275" spans="1:1" x14ac:dyDescent="0.3">
      <c r="A275" s="3" t="str">
        <f>IF(Compartments!$A275&lt;&gt;"",Compartments!$A275,"")</f>
        <v/>
      </c>
    </row>
    <row r="276" spans="1:1" x14ac:dyDescent="0.3">
      <c r="A276" s="3" t="str">
        <f>IF(Compartments!$A276&lt;&gt;"",Compartments!$A276,"")</f>
        <v/>
      </c>
    </row>
    <row r="277" spans="1:1" x14ac:dyDescent="0.3">
      <c r="A277" s="3" t="str">
        <f>IF(Compartments!$A277&lt;&gt;"",Compartments!$A277,"")</f>
        <v/>
      </c>
    </row>
    <row r="278" spans="1:1" x14ac:dyDescent="0.3">
      <c r="A278" s="3" t="str">
        <f>IF(Compartments!$A278&lt;&gt;"",Compartments!$A278,"")</f>
        <v/>
      </c>
    </row>
    <row r="279" spans="1:1" x14ac:dyDescent="0.3">
      <c r="A279" s="3" t="str">
        <f>IF(Compartments!$A279&lt;&gt;"",Compartments!$A279,"")</f>
        <v/>
      </c>
    </row>
    <row r="280" spans="1:1" x14ac:dyDescent="0.3">
      <c r="A280" s="3" t="str">
        <f>IF(Compartments!$A280&lt;&gt;"",Compartments!$A280,"")</f>
        <v/>
      </c>
    </row>
    <row r="281" spans="1:1" x14ac:dyDescent="0.3">
      <c r="A281" s="3" t="str">
        <f>IF(Compartments!$A281&lt;&gt;"",Compartments!$A281,"")</f>
        <v/>
      </c>
    </row>
    <row r="282" spans="1:1" x14ac:dyDescent="0.3">
      <c r="A282" s="3" t="str">
        <f>IF(Compartments!$A282&lt;&gt;"",Compartments!$A282,"")</f>
        <v/>
      </c>
    </row>
    <row r="283" spans="1:1" x14ac:dyDescent="0.3">
      <c r="A283" s="3" t="str">
        <f>IF(Compartments!$A283&lt;&gt;"",Compartments!$A283,"")</f>
        <v/>
      </c>
    </row>
    <row r="284" spans="1:1" x14ac:dyDescent="0.3">
      <c r="A284" s="3" t="str">
        <f>IF(Compartments!$A284&lt;&gt;"",Compartments!$A284,"")</f>
        <v/>
      </c>
    </row>
    <row r="285" spans="1:1" x14ac:dyDescent="0.3">
      <c r="A285" s="3" t="str">
        <f>IF(Compartments!$A285&lt;&gt;"",Compartments!$A285,"")</f>
        <v/>
      </c>
    </row>
    <row r="286" spans="1:1" x14ac:dyDescent="0.3">
      <c r="A286" s="3" t="str">
        <f>IF(Compartments!$A286&lt;&gt;"",Compartments!$A286,"")</f>
        <v/>
      </c>
    </row>
    <row r="287" spans="1:1" x14ac:dyDescent="0.3">
      <c r="A287" s="3" t="str">
        <f>IF(Compartments!$A287&lt;&gt;"",Compartments!$A287,"")</f>
        <v/>
      </c>
    </row>
    <row r="288" spans="1:1" x14ac:dyDescent="0.3">
      <c r="A288" s="3" t="str">
        <f>IF(Compartments!$A288&lt;&gt;"",Compartments!$A288,"")</f>
        <v/>
      </c>
    </row>
    <row r="289" spans="1:1" x14ac:dyDescent="0.3">
      <c r="A289" s="3" t="str">
        <f>IF(Compartments!$A289&lt;&gt;"",Compartments!$A289,"")</f>
        <v/>
      </c>
    </row>
    <row r="290" spans="1:1" x14ac:dyDescent="0.3">
      <c r="A290" s="3" t="str">
        <f>IF(Compartments!$A290&lt;&gt;"",Compartments!$A290,"")</f>
        <v/>
      </c>
    </row>
    <row r="291" spans="1:1" x14ac:dyDescent="0.3">
      <c r="A291" s="3" t="str">
        <f>IF(Compartments!$A291&lt;&gt;"",Compartments!$A291,"")</f>
        <v/>
      </c>
    </row>
    <row r="292" spans="1:1" x14ac:dyDescent="0.3">
      <c r="A292" s="3" t="str">
        <f>IF(Compartments!$A292&lt;&gt;"",Compartments!$A292,"")</f>
        <v/>
      </c>
    </row>
    <row r="293" spans="1:1" x14ac:dyDescent="0.3">
      <c r="A293" s="3" t="str">
        <f>IF(Compartments!$A293&lt;&gt;"",Compartments!$A293,"")</f>
        <v/>
      </c>
    </row>
    <row r="294" spans="1:1" x14ac:dyDescent="0.3">
      <c r="A294" s="3" t="str">
        <f>IF(Compartments!$A294&lt;&gt;"",Compartments!$A294,"")</f>
        <v/>
      </c>
    </row>
    <row r="295" spans="1:1" x14ac:dyDescent="0.3">
      <c r="A295" s="3" t="str">
        <f>IF(Compartments!$A295&lt;&gt;"",Compartments!$A295,"")</f>
        <v/>
      </c>
    </row>
    <row r="296" spans="1:1" x14ac:dyDescent="0.3">
      <c r="A296" s="3" t="str">
        <f>IF(Compartments!$A296&lt;&gt;"",Compartments!$A296,"")</f>
        <v/>
      </c>
    </row>
    <row r="297" spans="1:1" x14ac:dyDescent="0.3">
      <c r="A297" s="3" t="str">
        <f>IF(Compartments!$A297&lt;&gt;"",Compartments!$A297,"")</f>
        <v/>
      </c>
    </row>
    <row r="298" spans="1:1" x14ac:dyDescent="0.3">
      <c r="A298" s="3" t="str">
        <f>IF(Compartments!$A298&lt;&gt;"",Compartments!$A298,"")</f>
        <v/>
      </c>
    </row>
    <row r="299" spans="1:1" x14ac:dyDescent="0.3">
      <c r="A299" s="3" t="str">
        <f>IF(Compartments!$A299&lt;&gt;"",Compartments!$A299,"")</f>
        <v/>
      </c>
    </row>
    <row r="300" spans="1:1" x14ac:dyDescent="0.3">
      <c r="A300" s="3" t="str">
        <f>IF(Compartments!$A300&lt;&gt;"",Compartments!$A300,"")</f>
        <v/>
      </c>
    </row>
    <row r="301" spans="1:1" x14ac:dyDescent="0.3">
      <c r="A301" s="3" t="str">
        <f>IF(Compartments!$A301&lt;&gt;"",Compartments!$A301,"")</f>
        <v/>
      </c>
    </row>
    <row r="302" spans="1:1" x14ac:dyDescent="0.3">
      <c r="A302" s="3" t="str">
        <f>IF(Compartments!$A302&lt;&gt;"",Compartments!$A302,"")</f>
        <v/>
      </c>
    </row>
    <row r="303" spans="1:1" x14ac:dyDescent="0.3">
      <c r="A303" s="3" t="str">
        <f>IF(Compartments!$A303&lt;&gt;"",Compartments!$A303,"")</f>
        <v/>
      </c>
    </row>
    <row r="304" spans="1:1" x14ac:dyDescent="0.3">
      <c r="A304" s="3" t="str">
        <f>IF(Compartments!$A304&lt;&gt;"",Compartments!$A304,"")</f>
        <v/>
      </c>
    </row>
    <row r="305" spans="1:1" x14ac:dyDescent="0.3">
      <c r="A305" s="3" t="str">
        <f>IF(Compartments!$A305&lt;&gt;"",Compartments!$A305,"")</f>
        <v/>
      </c>
    </row>
    <row r="306" spans="1:1" x14ac:dyDescent="0.3">
      <c r="A306" s="3" t="str">
        <f>IF(Compartments!$A306&lt;&gt;"",Compartments!$A306,"")</f>
        <v/>
      </c>
    </row>
    <row r="307" spans="1:1" x14ac:dyDescent="0.3">
      <c r="A307" s="3" t="str">
        <f>IF(Compartments!$A307&lt;&gt;"",Compartments!$A307,"")</f>
        <v/>
      </c>
    </row>
    <row r="308" spans="1:1" x14ac:dyDescent="0.3">
      <c r="A308" s="3" t="str">
        <f>IF(Compartments!$A308&lt;&gt;"",Compartments!$A308,"")</f>
        <v/>
      </c>
    </row>
    <row r="309" spans="1:1" x14ac:dyDescent="0.3">
      <c r="A309" s="3" t="str">
        <f>IF(Compartments!$A309&lt;&gt;"",Compartments!$A309,"")</f>
        <v/>
      </c>
    </row>
    <row r="310" spans="1:1" x14ac:dyDescent="0.3">
      <c r="A310" s="3" t="str">
        <f>IF(Compartments!$A310&lt;&gt;"",Compartments!$A310,"")</f>
        <v/>
      </c>
    </row>
    <row r="311" spans="1:1" x14ac:dyDescent="0.3">
      <c r="A311" s="3" t="str">
        <f>IF(Compartments!$A311&lt;&gt;"",Compartments!$A311,"")</f>
        <v/>
      </c>
    </row>
    <row r="312" spans="1:1" x14ac:dyDescent="0.3">
      <c r="A312" s="3" t="str">
        <f>IF(Compartments!$A312&lt;&gt;"",Compartments!$A312,"")</f>
        <v/>
      </c>
    </row>
    <row r="313" spans="1:1" x14ac:dyDescent="0.3">
      <c r="A313" s="3" t="str">
        <f>IF(Compartments!$A313&lt;&gt;"",Compartments!$A313,"")</f>
        <v/>
      </c>
    </row>
    <row r="314" spans="1:1" x14ac:dyDescent="0.3">
      <c r="A314" s="3" t="str">
        <f>IF(Compartments!$A314&lt;&gt;"",Compartments!$A314,"")</f>
        <v/>
      </c>
    </row>
    <row r="315" spans="1:1" x14ac:dyDescent="0.3">
      <c r="A315" s="3" t="str">
        <f>IF(Compartments!$A315&lt;&gt;"",Compartments!$A315,"")</f>
        <v/>
      </c>
    </row>
    <row r="316" spans="1:1" x14ac:dyDescent="0.3">
      <c r="A316" s="3" t="str">
        <f>IF(Compartments!$A316&lt;&gt;"",Compartments!$A316,"")</f>
        <v/>
      </c>
    </row>
    <row r="317" spans="1:1" x14ac:dyDescent="0.3">
      <c r="A317" s="3" t="str">
        <f>IF(Compartments!$A317&lt;&gt;"",Compartments!$A317,"")</f>
        <v/>
      </c>
    </row>
    <row r="318" spans="1:1" x14ac:dyDescent="0.3">
      <c r="A318" s="3" t="str">
        <f>IF(Compartments!$A318&lt;&gt;"",Compartments!$A318,"")</f>
        <v/>
      </c>
    </row>
    <row r="319" spans="1:1" x14ac:dyDescent="0.3">
      <c r="A319" s="3" t="str">
        <f>IF(Compartments!$A319&lt;&gt;"",Compartments!$A319,"")</f>
        <v/>
      </c>
    </row>
    <row r="320" spans="1:1" x14ac:dyDescent="0.3">
      <c r="A320" s="3" t="str">
        <f>IF(Compartments!$A320&lt;&gt;"",Compartments!$A320,"")</f>
        <v/>
      </c>
    </row>
    <row r="321" spans="1:1" x14ac:dyDescent="0.3">
      <c r="A321" s="3" t="str">
        <f>IF(Compartments!$A321&lt;&gt;"",Compartments!$A321,"")</f>
        <v/>
      </c>
    </row>
    <row r="322" spans="1:1" x14ac:dyDescent="0.3">
      <c r="A322" s="3" t="str">
        <f>IF(Compartments!$A322&lt;&gt;"",Compartments!$A322,"")</f>
        <v/>
      </c>
    </row>
    <row r="323" spans="1:1" x14ac:dyDescent="0.3">
      <c r="A323" s="3" t="str">
        <f>IF(Compartments!$A323&lt;&gt;"",Compartments!$A323,"")</f>
        <v/>
      </c>
    </row>
    <row r="324" spans="1:1" x14ac:dyDescent="0.3">
      <c r="A324" s="3" t="str">
        <f>IF(Compartments!$A324&lt;&gt;"",Compartments!$A324,"")</f>
        <v/>
      </c>
    </row>
    <row r="325" spans="1:1" x14ac:dyDescent="0.3">
      <c r="A325" s="3" t="str">
        <f>IF(Compartments!$A325&lt;&gt;"",Compartments!$A325,"")</f>
        <v/>
      </c>
    </row>
    <row r="326" spans="1:1" x14ac:dyDescent="0.3">
      <c r="A326" s="3" t="str">
        <f>IF(Compartments!$A326&lt;&gt;"",Compartments!$A326,"")</f>
        <v/>
      </c>
    </row>
    <row r="327" spans="1:1" x14ac:dyDescent="0.3">
      <c r="A327" s="3" t="str">
        <f>IF(Compartments!$A327&lt;&gt;"",Compartments!$A327,"")</f>
        <v/>
      </c>
    </row>
    <row r="328" spans="1:1" x14ac:dyDescent="0.3">
      <c r="A328" s="3" t="str">
        <f>IF(Compartments!$A328&lt;&gt;"",Compartments!$A328,"")</f>
        <v/>
      </c>
    </row>
    <row r="329" spans="1:1" x14ac:dyDescent="0.3">
      <c r="A329" s="3" t="str">
        <f>IF(Compartments!$A329&lt;&gt;"",Compartments!$A329,"")</f>
        <v/>
      </c>
    </row>
    <row r="330" spans="1:1" x14ac:dyDescent="0.3">
      <c r="A330" s="3" t="str">
        <f>IF(Compartments!$A330&lt;&gt;"",Compartments!$A330,"")</f>
        <v/>
      </c>
    </row>
    <row r="331" spans="1:1" x14ac:dyDescent="0.3">
      <c r="A331" s="3" t="str">
        <f>IF(Compartments!$A331&lt;&gt;"",Compartments!$A331,"")</f>
        <v/>
      </c>
    </row>
    <row r="332" spans="1:1" x14ac:dyDescent="0.3">
      <c r="A332" s="3" t="str">
        <f>IF(Compartments!$A332&lt;&gt;"",Compartments!$A332,"")</f>
        <v/>
      </c>
    </row>
    <row r="333" spans="1:1" x14ac:dyDescent="0.3">
      <c r="A333" s="3" t="str">
        <f>IF(Compartments!$A333&lt;&gt;"",Compartments!$A333,"")</f>
        <v/>
      </c>
    </row>
    <row r="334" spans="1:1" x14ac:dyDescent="0.3">
      <c r="A334" s="3" t="str">
        <f>IF(Compartments!$A334&lt;&gt;"",Compartments!$A334,"")</f>
        <v/>
      </c>
    </row>
    <row r="335" spans="1:1" x14ac:dyDescent="0.3">
      <c r="A335" s="3" t="str">
        <f>IF(Compartments!$A335&lt;&gt;"",Compartments!$A335,"")</f>
        <v/>
      </c>
    </row>
    <row r="336" spans="1:1" x14ac:dyDescent="0.3">
      <c r="A336" s="3" t="str">
        <f>IF(Compartments!$A336&lt;&gt;"",Compartments!$A336,"")</f>
        <v/>
      </c>
    </row>
    <row r="337" spans="1:1" x14ac:dyDescent="0.3">
      <c r="A337" s="3" t="str">
        <f>IF(Compartments!$A337&lt;&gt;"",Compartments!$A337,"")</f>
        <v/>
      </c>
    </row>
    <row r="338" spans="1:1" x14ac:dyDescent="0.3">
      <c r="A338" s="3" t="str">
        <f>IF(Compartments!$A338&lt;&gt;"",Compartments!$A338,"")</f>
        <v/>
      </c>
    </row>
    <row r="339" spans="1:1" x14ac:dyDescent="0.3">
      <c r="A339" s="3" t="str">
        <f>IF(Compartments!$A339&lt;&gt;"",Compartments!$A339,"")</f>
        <v/>
      </c>
    </row>
    <row r="340" spans="1:1" x14ac:dyDescent="0.3">
      <c r="A340" s="3" t="str">
        <f>IF(Compartments!$A340&lt;&gt;"",Compartments!$A340,"")</f>
        <v/>
      </c>
    </row>
    <row r="341" spans="1:1" x14ac:dyDescent="0.3">
      <c r="A341" s="3" t="str">
        <f>IF(Compartments!$A341&lt;&gt;"",Compartments!$A341,"")</f>
        <v/>
      </c>
    </row>
    <row r="342" spans="1:1" x14ac:dyDescent="0.3">
      <c r="A342" s="3" t="str">
        <f>IF(Compartments!$A342&lt;&gt;"",Compartments!$A342,"")</f>
        <v/>
      </c>
    </row>
    <row r="343" spans="1:1" x14ac:dyDescent="0.3">
      <c r="A343" s="3" t="str">
        <f>IF(Compartments!$A343&lt;&gt;"",Compartments!$A343,"")</f>
        <v/>
      </c>
    </row>
    <row r="344" spans="1:1" x14ac:dyDescent="0.3">
      <c r="A344" s="3" t="str">
        <f>IF(Compartments!$A344&lt;&gt;"",Compartments!$A344,"")</f>
        <v/>
      </c>
    </row>
    <row r="345" spans="1:1" x14ac:dyDescent="0.3">
      <c r="A345" s="3" t="str">
        <f>IF(Compartments!$A345&lt;&gt;"",Compartments!$A345,"")</f>
        <v/>
      </c>
    </row>
    <row r="346" spans="1:1" x14ac:dyDescent="0.3">
      <c r="A346" s="3" t="str">
        <f>IF(Compartments!$A346&lt;&gt;"",Compartments!$A346,"")</f>
        <v/>
      </c>
    </row>
    <row r="347" spans="1:1" x14ac:dyDescent="0.3">
      <c r="A347" s="3" t="str">
        <f>IF(Compartments!$A347&lt;&gt;"",Compartments!$A347,"")</f>
        <v/>
      </c>
    </row>
    <row r="348" spans="1:1" x14ac:dyDescent="0.3">
      <c r="A348" s="3" t="str">
        <f>IF(Compartments!$A348&lt;&gt;"",Compartments!$A348,"")</f>
        <v/>
      </c>
    </row>
    <row r="349" spans="1:1" x14ac:dyDescent="0.3">
      <c r="A349" s="3" t="str">
        <f>IF(Compartments!$A349&lt;&gt;"",Compartments!$A349,"")</f>
        <v/>
      </c>
    </row>
    <row r="350" spans="1:1" x14ac:dyDescent="0.3">
      <c r="A350" s="3" t="str">
        <f>IF(Compartments!$A350&lt;&gt;"",Compartments!$A350,"")</f>
        <v/>
      </c>
    </row>
    <row r="351" spans="1:1" x14ac:dyDescent="0.3">
      <c r="A351" s="3" t="str">
        <f>IF(Compartments!$A351&lt;&gt;"",Compartments!$A351,"")</f>
        <v/>
      </c>
    </row>
    <row r="352" spans="1:1" x14ac:dyDescent="0.3">
      <c r="A352" s="3" t="str">
        <f>IF(Compartments!$A352&lt;&gt;"",Compartments!$A352,"")</f>
        <v/>
      </c>
    </row>
    <row r="353" spans="1:1" x14ac:dyDescent="0.3">
      <c r="A353" s="3" t="str">
        <f>IF(Compartments!$A353&lt;&gt;"",Compartments!$A353,"")</f>
        <v/>
      </c>
    </row>
    <row r="354" spans="1:1" x14ac:dyDescent="0.3">
      <c r="A354" s="3" t="str">
        <f>IF(Compartments!$A354&lt;&gt;"",Compartments!$A354,"")</f>
        <v/>
      </c>
    </row>
    <row r="355" spans="1:1" x14ac:dyDescent="0.3">
      <c r="A355" s="3" t="str">
        <f>IF(Compartments!$A355&lt;&gt;"",Compartments!$A355,"")</f>
        <v/>
      </c>
    </row>
    <row r="356" spans="1:1" x14ac:dyDescent="0.3">
      <c r="A356" s="3" t="str">
        <f>IF(Compartments!$A356&lt;&gt;"",Compartments!$A356,"")</f>
        <v/>
      </c>
    </row>
    <row r="357" spans="1:1" x14ac:dyDescent="0.3">
      <c r="A357" s="3" t="str">
        <f>IF(Compartments!$A357&lt;&gt;"",Compartments!$A357,"")</f>
        <v/>
      </c>
    </row>
    <row r="358" spans="1:1" x14ac:dyDescent="0.3">
      <c r="A358" s="3" t="str">
        <f>IF(Compartments!$A358&lt;&gt;"",Compartments!$A358,"")</f>
        <v/>
      </c>
    </row>
    <row r="359" spans="1:1" x14ac:dyDescent="0.3">
      <c r="A359" s="3" t="str">
        <f>IF(Compartments!$A359&lt;&gt;"",Compartments!$A359,"")</f>
        <v/>
      </c>
    </row>
    <row r="360" spans="1:1" x14ac:dyDescent="0.3">
      <c r="A360" s="3" t="str">
        <f>IF(Compartments!$A360&lt;&gt;"",Compartments!$A360,"")</f>
        <v/>
      </c>
    </row>
    <row r="361" spans="1:1" x14ac:dyDescent="0.3">
      <c r="A361" s="3" t="str">
        <f>IF(Compartments!$A361&lt;&gt;"",Compartments!$A361,"")</f>
        <v/>
      </c>
    </row>
    <row r="362" spans="1:1" x14ac:dyDescent="0.3">
      <c r="A362" s="3" t="str">
        <f>IF(Compartments!$A362&lt;&gt;"",Compartments!$A362,"")</f>
        <v/>
      </c>
    </row>
    <row r="363" spans="1:1" x14ac:dyDescent="0.3">
      <c r="A363" s="3" t="str">
        <f>IF(Compartments!$A363&lt;&gt;"",Compartments!$A363,"")</f>
        <v/>
      </c>
    </row>
    <row r="364" spans="1:1" x14ac:dyDescent="0.3">
      <c r="A364" s="3" t="str">
        <f>IF(Compartments!$A364&lt;&gt;"",Compartments!$A364,"")</f>
        <v/>
      </c>
    </row>
    <row r="365" spans="1:1" x14ac:dyDescent="0.3">
      <c r="A365" s="3" t="str">
        <f>IF(Compartments!$A365&lt;&gt;"",Compartments!$A365,"")</f>
        <v/>
      </c>
    </row>
    <row r="366" spans="1:1" x14ac:dyDescent="0.3">
      <c r="A366" s="3" t="str">
        <f>IF(Compartments!$A366&lt;&gt;"",Compartments!$A366,"")</f>
        <v/>
      </c>
    </row>
    <row r="367" spans="1:1" x14ac:dyDescent="0.3">
      <c r="A367" s="3" t="str">
        <f>IF(Compartments!$A367&lt;&gt;"",Compartments!$A367,"")</f>
        <v/>
      </c>
    </row>
    <row r="368" spans="1:1" x14ac:dyDescent="0.3">
      <c r="A368" s="3" t="str">
        <f>IF(Compartments!$A368&lt;&gt;"",Compartments!$A368,"")</f>
        <v/>
      </c>
    </row>
    <row r="369" spans="1:1" x14ac:dyDescent="0.3">
      <c r="A369" s="3" t="str">
        <f>IF(Compartments!$A369&lt;&gt;"",Compartments!$A369,"")</f>
        <v/>
      </c>
    </row>
    <row r="370" spans="1:1" x14ac:dyDescent="0.3">
      <c r="A370" s="3" t="str">
        <f>IF(Compartments!$A370&lt;&gt;"",Compartments!$A370,"")</f>
        <v/>
      </c>
    </row>
    <row r="371" spans="1:1" x14ac:dyDescent="0.3">
      <c r="A371" s="3" t="str">
        <f>IF(Compartments!$A371&lt;&gt;"",Compartments!$A371,"")</f>
        <v/>
      </c>
    </row>
    <row r="372" spans="1:1" x14ac:dyDescent="0.3">
      <c r="A372" s="3" t="str">
        <f>IF(Compartments!$A372&lt;&gt;"",Compartments!$A372,"")</f>
        <v/>
      </c>
    </row>
    <row r="373" spans="1:1" x14ac:dyDescent="0.3">
      <c r="A373" s="3" t="str">
        <f>IF(Compartments!$A373&lt;&gt;"",Compartments!$A373,"")</f>
        <v/>
      </c>
    </row>
    <row r="374" spans="1:1" x14ac:dyDescent="0.3">
      <c r="A374" s="3" t="str">
        <f>IF(Compartments!$A374&lt;&gt;"",Compartments!$A374,"")</f>
        <v/>
      </c>
    </row>
    <row r="375" spans="1:1" x14ac:dyDescent="0.3">
      <c r="A375" s="3" t="str">
        <f>IF(Compartments!$A375&lt;&gt;"",Compartments!$A375,"")</f>
        <v/>
      </c>
    </row>
    <row r="376" spans="1:1" x14ac:dyDescent="0.3">
      <c r="A376" s="3" t="str">
        <f>IF(Compartments!$A376&lt;&gt;"",Compartments!$A376,"")</f>
        <v/>
      </c>
    </row>
    <row r="377" spans="1:1" x14ac:dyDescent="0.3">
      <c r="A377" s="3" t="str">
        <f>IF(Compartments!$A377&lt;&gt;"",Compartments!$A377,"")</f>
        <v/>
      </c>
    </row>
    <row r="378" spans="1:1" x14ac:dyDescent="0.3">
      <c r="A378" s="3" t="str">
        <f>IF(Compartments!$A378&lt;&gt;"",Compartments!$A378,"")</f>
        <v/>
      </c>
    </row>
    <row r="379" spans="1:1" x14ac:dyDescent="0.3">
      <c r="A379" s="3" t="str">
        <f>IF(Compartments!$A379&lt;&gt;"",Compartments!$A379,"")</f>
        <v/>
      </c>
    </row>
    <row r="380" spans="1:1" x14ac:dyDescent="0.3">
      <c r="A380" s="3" t="str">
        <f>IF(Compartments!$A380&lt;&gt;"",Compartments!$A380,"")</f>
        <v/>
      </c>
    </row>
    <row r="381" spans="1:1" x14ac:dyDescent="0.3">
      <c r="A381" s="3" t="str">
        <f>IF(Compartments!$A381&lt;&gt;"",Compartments!$A381,"")</f>
        <v/>
      </c>
    </row>
    <row r="382" spans="1:1" x14ac:dyDescent="0.3">
      <c r="A382" s="3" t="str">
        <f>IF(Compartments!$A382&lt;&gt;"",Compartments!$A382,"")</f>
        <v/>
      </c>
    </row>
    <row r="383" spans="1:1" x14ac:dyDescent="0.3">
      <c r="A383" s="3" t="str">
        <f>IF(Compartments!$A383&lt;&gt;"",Compartments!$A383,"")</f>
        <v/>
      </c>
    </row>
    <row r="384" spans="1:1" x14ac:dyDescent="0.3">
      <c r="A384" s="3" t="str">
        <f>IF(Compartments!$A384&lt;&gt;"",Compartments!$A384,"")</f>
        <v/>
      </c>
    </row>
    <row r="385" spans="1:1" x14ac:dyDescent="0.3">
      <c r="A385" s="3" t="str">
        <f>IF(Compartments!$A385&lt;&gt;"",Compartments!$A385,"")</f>
        <v/>
      </c>
    </row>
    <row r="386" spans="1:1" x14ac:dyDescent="0.3">
      <c r="A386" s="3" t="str">
        <f>IF(Compartments!$A386&lt;&gt;"",Compartments!$A386,"")</f>
        <v/>
      </c>
    </row>
    <row r="387" spans="1:1" x14ac:dyDescent="0.3">
      <c r="A387" s="3" t="str">
        <f>IF(Compartments!$A387&lt;&gt;"",Compartments!$A387,"")</f>
        <v/>
      </c>
    </row>
    <row r="388" spans="1:1" x14ac:dyDescent="0.3">
      <c r="A388" s="3" t="str">
        <f>IF(Compartments!$A388&lt;&gt;"",Compartments!$A388,"")</f>
        <v/>
      </c>
    </row>
    <row r="389" spans="1:1" x14ac:dyDescent="0.3">
      <c r="A389" s="3" t="str">
        <f>IF(Compartments!$A389&lt;&gt;"",Compartments!$A389,"")</f>
        <v/>
      </c>
    </row>
    <row r="390" spans="1:1" x14ac:dyDescent="0.3">
      <c r="A390" s="3" t="str">
        <f>IF(Compartments!$A390&lt;&gt;"",Compartments!$A390,"")</f>
        <v/>
      </c>
    </row>
    <row r="391" spans="1:1" x14ac:dyDescent="0.3">
      <c r="A391" s="3" t="str">
        <f>IF(Compartments!$A391&lt;&gt;"",Compartments!$A391,"")</f>
        <v/>
      </c>
    </row>
    <row r="392" spans="1:1" x14ac:dyDescent="0.3">
      <c r="A392" s="3" t="str">
        <f>IF(Compartments!$A392&lt;&gt;"",Compartments!$A392,"")</f>
        <v/>
      </c>
    </row>
    <row r="393" spans="1:1" x14ac:dyDescent="0.3">
      <c r="A393" s="3" t="str">
        <f>IF(Compartments!$A393&lt;&gt;"",Compartments!$A393,"")</f>
        <v/>
      </c>
    </row>
    <row r="394" spans="1:1" x14ac:dyDescent="0.3">
      <c r="A394" s="3" t="str">
        <f>IF(Compartments!$A394&lt;&gt;"",Compartments!$A394,"")</f>
        <v/>
      </c>
    </row>
    <row r="395" spans="1:1" x14ac:dyDescent="0.3">
      <c r="A395" s="3" t="str">
        <f>IF(Compartments!$A395&lt;&gt;"",Compartments!$A395,"")</f>
        <v/>
      </c>
    </row>
    <row r="396" spans="1:1" x14ac:dyDescent="0.3">
      <c r="A396" s="3" t="str">
        <f>IF(Compartments!$A396&lt;&gt;"",Compartments!$A396,"")</f>
        <v/>
      </c>
    </row>
    <row r="397" spans="1:1" x14ac:dyDescent="0.3">
      <c r="A397" s="3" t="str">
        <f>IF(Compartments!$A397&lt;&gt;"",Compartments!$A397,"")</f>
        <v/>
      </c>
    </row>
    <row r="398" spans="1:1" x14ac:dyDescent="0.3">
      <c r="A398" s="3" t="str">
        <f>IF(Compartments!$A398&lt;&gt;"",Compartments!$A398,"")</f>
        <v/>
      </c>
    </row>
    <row r="399" spans="1:1" x14ac:dyDescent="0.3">
      <c r="A399" s="3" t="str">
        <f>IF(Compartments!$A399&lt;&gt;"",Compartments!$A399,"")</f>
        <v/>
      </c>
    </row>
    <row r="400" spans="1:1" x14ac:dyDescent="0.3">
      <c r="A400" s="3" t="str">
        <f>IF(Compartments!$A400&lt;&gt;"",Compartments!$A400,"")</f>
        <v/>
      </c>
    </row>
  </sheetData>
  <dataValidations count="1">
    <dataValidation type="custom" allowBlank="1" showInputMessage="1" showErrorMessage="1" errorTitle="Code names must be unique" error="Parameter code names must be unique" sqref="L11 S18 V21 Y24 AB27" xr:uid="{00000000-0002-0000-0400-000000000000}">
      <formula1>COUNTIF(L:L,L11)&lt;2</formula1>
    </dataValidation>
  </dataValidations>
  <pageMargins left="0.7" right="0.7" top="0.75" bottom="0.75" header="0.3" footer="0.3"/>
  <pageSetup paperSize="9"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B2:XFD7 B11:K11 M11:O11 Q11:AF11 B12:AF17 B18:R18 T18:AF18 B19:AF20 B21:U21 W21:AF21 B22:AF23 B24:X24 Z24:AF24 B25:AF26 B27:AA27 AC27:AF27 B30:XFD1048576 B28:AF29 B8:AF10 AG8:XFD29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K48"/>
  <sheetViews>
    <sheetView zoomScale="175" zoomScaleNormal="175" workbookViewId="0">
      <selection activeCell="B17" sqref="B17"/>
    </sheetView>
  </sheetViews>
  <sheetFormatPr defaultColWidth="8.88671875" defaultRowHeight="14.4" x14ac:dyDescent="0.3"/>
  <cols>
    <col min="1" max="1" width="21.6640625" customWidth="1"/>
    <col min="2" max="2" width="71.44140625" style="51" customWidth="1"/>
    <col min="3" max="3" width="134.109375" customWidth="1"/>
    <col min="4" max="4" width="12.6640625" customWidth="1"/>
    <col min="5" max="5" width="14.6640625" customWidth="1"/>
    <col min="6" max="6" width="13.6640625" customWidth="1"/>
    <col min="7" max="7" width="14.6640625" style="2" customWidth="1"/>
    <col min="8" max="8" width="14.6640625" customWidth="1"/>
    <col min="9" max="9" width="15.6640625" customWidth="1"/>
    <col min="10" max="11" width="14.6640625" customWidth="1"/>
  </cols>
  <sheetData>
    <row r="1" spans="1:11" s="2" customFormat="1" x14ac:dyDescent="0.3">
      <c r="A1" s="1" t="s">
        <v>2</v>
      </c>
      <c r="B1" s="49" t="s">
        <v>3</v>
      </c>
      <c r="C1" s="1" t="s">
        <v>11</v>
      </c>
      <c r="D1" s="1" t="s">
        <v>12</v>
      </c>
      <c r="E1" s="1" t="s">
        <v>7</v>
      </c>
      <c r="F1" s="1" t="s">
        <v>8</v>
      </c>
      <c r="G1" s="1" t="s">
        <v>22</v>
      </c>
      <c r="H1" s="1" t="s">
        <v>9</v>
      </c>
      <c r="I1" s="1" t="s">
        <v>10</v>
      </c>
      <c r="J1" s="1" t="s">
        <v>25</v>
      </c>
      <c r="K1" s="1" t="s">
        <v>30</v>
      </c>
    </row>
    <row r="2" spans="1:11" s="46" customFormat="1" x14ac:dyDescent="0.3">
      <c r="A2" s="28" t="s">
        <v>206</v>
      </c>
      <c r="B2" s="50" t="s">
        <v>578</v>
      </c>
      <c r="C2" s="28"/>
      <c r="D2" s="28"/>
      <c r="E2" s="28"/>
      <c r="F2" s="28"/>
      <c r="G2" s="28"/>
      <c r="H2" s="28"/>
      <c r="I2" s="28"/>
      <c r="J2" s="28"/>
      <c r="K2" s="28"/>
    </row>
    <row r="3" spans="1:11" x14ac:dyDescent="0.3">
      <c r="A3" s="4" t="s">
        <v>18</v>
      </c>
      <c r="B3" s="51" t="s">
        <v>178</v>
      </c>
      <c r="C3" s="37" t="s">
        <v>606</v>
      </c>
      <c r="D3" s="2"/>
      <c r="E3" s="2"/>
      <c r="F3" s="2">
        <v>0</v>
      </c>
      <c r="H3" s="2" t="s">
        <v>37</v>
      </c>
      <c r="I3" s="2"/>
      <c r="J3" s="2"/>
      <c r="K3" s="2"/>
    </row>
    <row r="4" spans="1:11" s="46" customFormat="1" x14ac:dyDescent="0.3">
      <c r="A4" s="28" t="s">
        <v>206</v>
      </c>
      <c r="B4" s="50" t="s">
        <v>579</v>
      </c>
      <c r="C4" s="47"/>
      <c r="D4" s="28"/>
      <c r="E4" s="28"/>
      <c r="F4" s="28"/>
      <c r="G4" s="28"/>
      <c r="H4" s="28"/>
      <c r="I4" s="28"/>
      <c r="J4" s="28"/>
      <c r="K4" s="28"/>
    </row>
    <row r="5" spans="1:11" x14ac:dyDescent="0.3">
      <c r="A5" t="s">
        <v>179</v>
      </c>
      <c r="B5" s="51" t="s">
        <v>180</v>
      </c>
      <c r="C5" s="37" t="s">
        <v>607</v>
      </c>
      <c r="F5" s="2">
        <v>0</v>
      </c>
      <c r="H5" s="2" t="s">
        <v>39</v>
      </c>
    </row>
    <row r="6" spans="1:11" x14ac:dyDescent="0.3">
      <c r="A6" t="s">
        <v>181</v>
      </c>
      <c r="B6" s="51" t="s">
        <v>182</v>
      </c>
      <c r="C6" s="37" t="s">
        <v>179</v>
      </c>
      <c r="D6" s="2" t="s">
        <v>18</v>
      </c>
      <c r="F6" s="2">
        <v>0</v>
      </c>
      <c r="H6" s="2" t="s">
        <v>39</v>
      </c>
    </row>
    <row r="7" spans="1:11" x14ac:dyDescent="0.3">
      <c r="A7" s="4" t="s">
        <v>571</v>
      </c>
      <c r="B7" s="51" t="s">
        <v>580</v>
      </c>
      <c r="C7" s="37" t="s">
        <v>572</v>
      </c>
      <c r="D7" s="2"/>
      <c r="E7" s="2"/>
      <c r="F7" s="2"/>
      <c r="H7" s="2"/>
      <c r="I7" s="2"/>
      <c r="J7" s="2"/>
      <c r="K7" s="2"/>
    </row>
    <row r="8" spans="1:11" x14ac:dyDescent="0.3">
      <c r="A8" t="s">
        <v>191</v>
      </c>
      <c r="B8" s="51" t="s">
        <v>199</v>
      </c>
      <c r="C8" s="37" t="s">
        <v>202</v>
      </c>
      <c r="F8" s="2">
        <v>0</v>
      </c>
      <c r="H8" s="2"/>
    </row>
    <row r="9" spans="1:11" x14ac:dyDescent="0.3">
      <c r="A9" t="s">
        <v>192</v>
      </c>
      <c r="B9" s="51" t="s">
        <v>200</v>
      </c>
      <c r="C9" s="37" t="s">
        <v>203</v>
      </c>
      <c r="F9" s="2">
        <v>0</v>
      </c>
      <c r="H9" s="2"/>
    </row>
    <row r="10" spans="1:11" x14ac:dyDescent="0.3">
      <c r="A10" t="s">
        <v>193</v>
      </c>
      <c r="B10" s="51" t="s">
        <v>201</v>
      </c>
      <c r="C10" s="37" t="s">
        <v>204</v>
      </c>
      <c r="F10" s="2">
        <v>0</v>
      </c>
    </row>
    <row r="11" spans="1:11" x14ac:dyDescent="0.3">
      <c r="A11" t="s">
        <v>183</v>
      </c>
      <c r="B11" s="51" t="s">
        <v>184</v>
      </c>
      <c r="C11" s="37" t="s">
        <v>608</v>
      </c>
      <c r="D11" s="2" t="s">
        <v>179</v>
      </c>
      <c r="F11" s="2">
        <v>0</v>
      </c>
      <c r="H11" s="2" t="s">
        <v>39</v>
      </c>
    </row>
    <row r="12" spans="1:11" x14ac:dyDescent="0.3">
      <c r="A12" t="s">
        <v>185</v>
      </c>
      <c r="B12" s="51" t="s">
        <v>186</v>
      </c>
      <c r="C12" s="37" t="s">
        <v>608</v>
      </c>
      <c r="D12" s="2" t="s">
        <v>18</v>
      </c>
      <c r="F12" s="2">
        <v>0</v>
      </c>
    </row>
    <row r="13" spans="1:11" x14ac:dyDescent="0.3">
      <c r="A13" t="s">
        <v>190</v>
      </c>
      <c r="B13" s="51" t="s">
        <v>197</v>
      </c>
      <c r="C13" s="37" t="s">
        <v>721</v>
      </c>
      <c r="D13" s="2" t="s">
        <v>18</v>
      </c>
      <c r="F13" s="2">
        <v>0</v>
      </c>
    </row>
    <row r="14" spans="1:11" s="46" customFormat="1" x14ac:dyDescent="0.3">
      <c r="A14" s="28" t="s">
        <v>206</v>
      </c>
      <c r="B14" s="50" t="s">
        <v>581</v>
      </c>
      <c r="C14" s="47"/>
      <c r="D14" s="28"/>
      <c r="E14" s="28"/>
      <c r="F14" s="28"/>
      <c r="G14" s="28"/>
      <c r="H14" s="28"/>
      <c r="I14" s="28"/>
      <c r="J14" s="28"/>
      <c r="K14" s="28"/>
    </row>
    <row r="15" spans="1:11" x14ac:dyDescent="0.3">
      <c r="A15" t="s">
        <v>194</v>
      </c>
      <c r="B15" s="51" t="s">
        <v>791</v>
      </c>
      <c r="C15" s="37" t="s">
        <v>205</v>
      </c>
      <c r="F15" s="2">
        <v>0</v>
      </c>
    </row>
    <row r="16" spans="1:11" x14ac:dyDescent="0.3">
      <c r="A16" t="s">
        <v>195</v>
      </c>
      <c r="B16" s="51" t="s">
        <v>792</v>
      </c>
      <c r="C16" s="37" t="s">
        <v>609</v>
      </c>
      <c r="F16" s="2">
        <v>0</v>
      </c>
      <c r="H16" s="2"/>
    </row>
    <row r="17" spans="1:11" x14ac:dyDescent="0.3">
      <c r="A17" t="s">
        <v>582</v>
      </c>
      <c r="B17" s="51" t="s">
        <v>583</v>
      </c>
      <c r="C17" s="37" t="s">
        <v>573</v>
      </c>
      <c r="F17" s="2">
        <v>0</v>
      </c>
      <c r="H17" s="2"/>
    </row>
    <row r="18" spans="1:11" x14ac:dyDescent="0.3">
      <c r="A18" t="s">
        <v>196</v>
      </c>
      <c r="B18" s="51" t="s">
        <v>790</v>
      </c>
      <c r="C18" s="37" t="s">
        <v>610</v>
      </c>
      <c r="F18" s="2">
        <v>0</v>
      </c>
      <c r="H18" s="2"/>
    </row>
    <row r="19" spans="1:11" s="46" customFormat="1" x14ac:dyDescent="0.3">
      <c r="A19" s="28" t="s">
        <v>206</v>
      </c>
      <c r="B19" s="50" t="s">
        <v>584</v>
      </c>
      <c r="C19" s="47"/>
      <c r="D19" s="28"/>
      <c r="E19" s="28"/>
      <c r="F19" s="28"/>
      <c r="G19" s="28"/>
      <c r="H19" s="28"/>
      <c r="I19" s="28"/>
      <c r="J19" s="28"/>
      <c r="K19" s="28"/>
    </row>
    <row r="20" spans="1:11" s="48" customFormat="1" x14ac:dyDescent="0.3">
      <c r="A20" s="48" t="s">
        <v>601</v>
      </c>
      <c r="B20" s="52" t="s">
        <v>611</v>
      </c>
      <c r="C20" s="37" t="s">
        <v>748</v>
      </c>
      <c r="F20" s="37">
        <v>0</v>
      </c>
    </row>
    <row r="21" spans="1:11" s="48" customFormat="1" x14ac:dyDescent="0.3">
      <c r="A21" s="48" t="s">
        <v>625</v>
      </c>
      <c r="B21" s="52" t="s">
        <v>628</v>
      </c>
      <c r="C21" s="37" t="s">
        <v>601</v>
      </c>
      <c r="D21" s="37" t="s">
        <v>179</v>
      </c>
      <c r="F21" s="37">
        <v>0</v>
      </c>
    </row>
    <row r="22" spans="1:11" s="37" customFormat="1" x14ac:dyDescent="0.3">
      <c r="A22" s="48" t="s">
        <v>586</v>
      </c>
      <c r="B22" s="52" t="s">
        <v>594</v>
      </c>
      <c r="C22" s="37" t="s">
        <v>603</v>
      </c>
      <c r="F22" s="37">
        <v>0</v>
      </c>
    </row>
    <row r="23" spans="1:11" s="37" customFormat="1" x14ac:dyDescent="0.3">
      <c r="A23" s="48" t="s">
        <v>585</v>
      </c>
      <c r="B23" s="52" t="s">
        <v>595</v>
      </c>
      <c r="C23" s="37" t="s">
        <v>788</v>
      </c>
      <c r="F23" s="37">
        <v>0</v>
      </c>
    </row>
    <row r="24" spans="1:11" s="37" customFormat="1" x14ac:dyDescent="0.3">
      <c r="A24" s="48" t="s">
        <v>587</v>
      </c>
      <c r="B24" s="52" t="s">
        <v>598</v>
      </c>
      <c r="C24" s="37" t="s">
        <v>574</v>
      </c>
      <c r="F24" s="37">
        <v>0</v>
      </c>
    </row>
    <row r="25" spans="1:11" s="37" customFormat="1" x14ac:dyDescent="0.3">
      <c r="A25" s="48" t="s">
        <v>588</v>
      </c>
      <c r="B25" s="52" t="s">
        <v>600</v>
      </c>
      <c r="C25" s="37" t="s">
        <v>789</v>
      </c>
      <c r="F25" s="37">
        <v>0</v>
      </c>
    </row>
    <row r="26" spans="1:11" s="37" customFormat="1" x14ac:dyDescent="0.3">
      <c r="A26" s="48" t="s">
        <v>602</v>
      </c>
      <c r="B26" s="52" t="s">
        <v>612</v>
      </c>
      <c r="C26" s="37" t="s">
        <v>741</v>
      </c>
      <c r="F26" s="37">
        <v>0</v>
      </c>
    </row>
    <row r="27" spans="1:11" s="37" customFormat="1" x14ac:dyDescent="0.3">
      <c r="A27" s="48" t="s">
        <v>626</v>
      </c>
      <c r="B27" s="52" t="s">
        <v>629</v>
      </c>
      <c r="C27" s="37" t="s">
        <v>602</v>
      </c>
      <c r="D27" s="37" t="s">
        <v>179</v>
      </c>
      <c r="F27" s="37">
        <v>0</v>
      </c>
    </row>
    <row r="28" spans="1:11" s="37" customFormat="1" x14ac:dyDescent="0.3">
      <c r="A28" s="48" t="s">
        <v>589</v>
      </c>
      <c r="B28" s="52" t="s">
        <v>596</v>
      </c>
      <c r="C28" s="37" t="s">
        <v>604</v>
      </c>
      <c r="F28" s="37">
        <v>0</v>
      </c>
    </row>
    <row r="29" spans="1:11" s="37" customFormat="1" x14ac:dyDescent="0.3">
      <c r="A29" s="48" t="s">
        <v>590</v>
      </c>
      <c r="B29" s="52" t="s">
        <v>597</v>
      </c>
      <c r="C29" s="37" t="s">
        <v>740</v>
      </c>
      <c r="F29" s="37">
        <v>0</v>
      </c>
    </row>
    <row r="30" spans="1:11" s="37" customFormat="1" x14ac:dyDescent="0.3">
      <c r="A30" s="48" t="s">
        <v>591</v>
      </c>
      <c r="B30" s="52" t="s">
        <v>599</v>
      </c>
      <c r="C30" s="37" t="s">
        <v>575</v>
      </c>
      <c r="F30" s="37">
        <v>0</v>
      </c>
    </row>
    <row r="31" spans="1:11" s="37" customFormat="1" x14ac:dyDescent="0.3">
      <c r="A31" s="48" t="s">
        <v>592</v>
      </c>
      <c r="B31" s="52" t="s">
        <v>605</v>
      </c>
      <c r="C31" s="37" t="s">
        <v>742</v>
      </c>
      <c r="F31" s="37">
        <v>0</v>
      </c>
    </row>
    <row r="32" spans="1:11" s="46" customFormat="1" x14ac:dyDescent="0.3">
      <c r="A32" s="28" t="s">
        <v>206</v>
      </c>
      <c r="B32" s="50" t="s">
        <v>593</v>
      </c>
      <c r="C32" s="28"/>
      <c r="D32" s="28"/>
      <c r="E32" s="28"/>
      <c r="F32" s="28"/>
      <c r="G32" s="28"/>
      <c r="H32" s="28"/>
      <c r="I32" s="28"/>
      <c r="J32" s="28"/>
      <c r="K32" s="28"/>
    </row>
    <row r="33" spans="1:11" s="37" customFormat="1" x14ac:dyDescent="0.3">
      <c r="A33" s="48" t="s">
        <v>525</v>
      </c>
      <c r="B33" s="52" t="s">
        <v>618</v>
      </c>
      <c r="C33" s="37" t="s">
        <v>195</v>
      </c>
      <c r="D33" s="37" t="s">
        <v>179</v>
      </c>
      <c r="F33" s="37">
        <v>0</v>
      </c>
    </row>
    <row r="34" spans="1:11" s="37" customFormat="1" x14ac:dyDescent="0.3">
      <c r="A34" s="48" t="s">
        <v>613</v>
      </c>
      <c r="B34" s="52" t="s">
        <v>619</v>
      </c>
      <c r="C34" s="37" t="s">
        <v>585</v>
      </c>
      <c r="D34" s="37" t="s">
        <v>601</v>
      </c>
      <c r="F34" s="37">
        <v>0</v>
      </c>
    </row>
    <row r="35" spans="1:11" s="37" customFormat="1" x14ac:dyDescent="0.3">
      <c r="A35" s="48" t="s">
        <v>614</v>
      </c>
      <c r="B35" s="52" t="s">
        <v>620</v>
      </c>
      <c r="C35" s="37" t="s">
        <v>590</v>
      </c>
      <c r="D35" s="37" t="s">
        <v>602</v>
      </c>
      <c r="F35" s="37">
        <v>0</v>
      </c>
    </row>
    <row r="36" spans="1:11" s="37" customFormat="1" x14ac:dyDescent="0.3">
      <c r="A36" s="48" t="s">
        <v>615</v>
      </c>
      <c r="B36" s="52" t="s">
        <v>621</v>
      </c>
      <c r="C36" s="37" t="s">
        <v>196</v>
      </c>
      <c r="D36" s="37" t="s">
        <v>179</v>
      </c>
      <c r="F36" s="37">
        <v>0</v>
      </c>
    </row>
    <row r="37" spans="1:11" s="37" customFormat="1" x14ac:dyDescent="0.3">
      <c r="A37" s="48" t="s">
        <v>616</v>
      </c>
      <c r="B37" s="52" t="s">
        <v>622</v>
      </c>
      <c r="C37" s="37" t="s">
        <v>588</v>
      </c>
      <c r="D37" s="37" t="s">
        <v>601</v>
      </c>
      <c r="F37" s="37">
        <v>0</v>
      </c>
    </row>
    <row r="38" spans="1:11" s="37" customFormat="1" x14ac:dyDescent="0.3">
      <c r="A38" s="48" t="s">
        <v>617</v>
      </c>
      <c r="B38" s="52" t="s">
        <v>623</v>
      </c>
      <c r="C38" s="37" t="s">
        <v>592</v>
      </c>
      <c r="D38" s="37" t="s">
        <v>602</v>
      </c>
      <c r="F38" s="37">
        <v>0</v>
      </c>
    </row>
    <row r="39" spans="1:11" s="37" customFormat="1" x14ac:dyDescent="0.3">
      <c r="A39" s="48" t="s">
        <v>691</v>
      </c>
      <c r="B39" s="52" t="s">
        <v>692</v>
      </c>
      <c r="C39" s="37" t="s">
        <v>196</v>
      </c>
      <c r="D39" s="37" t="s">
        <v>195</v>
      </c>
      <c r="F39" s="37">
        <v>0</v>
      </c>
    </row>
    <row r="40" spans="1:11" s="37" customFormat="1" x14ac:dyDescent="0.3">
      <c r="A40" s="48" t="s">
        <v>743</v>
      </c>
      <c r="B40" s="52" t="s">
        <v>745</v>
      </c>
      <c r="C40" s="37" t="s">
        <v>588</v>
      </c>
      <c r="D40" s="37" t="s">
        <v>585</v>
      </c>
      <c r="F40" s="37">
        <v>0</v>
      </c>
    </row>
    <row r="41" spans="1:11" s="37" customFormat="1" x14ac:dyDescent="0.3">
      <c r="A41" s="48" t="s">
        <v>744</v>
      </c>
      <c r="B41" s="52" t="s">
        <v>746</v>
      </c>
      <c r="C41" s="37" t="s">
        <v>592</v>
      </c>
      <c r="D41" s="37" t="s">
        <v>590</v>
      </c>
      <c r="F41" s="37">
        <v>0</v>
      </c>
    </row>
    <row r="42" spans="1:11" s="46" customFormat="1" x14ac:dyDescent="0.3">
      <c r="A42" s="28" t="s">
        <v>206</v>
      </c>
      <c r="B42" s="50" t="s">
        <v>624</v>
      </c>
      <c r="C42" s="28"/>
      <c r="D42" s="28"/>
      <c r="E42" s="28"/>
      <c r="F42" s="28"/>
      <c r="G42" s="28"/>
      <c r="H42" s="28"/>
      <c r="I42" s="28"/>
      <c r="J42" s="28"/>
      <c r="K42" s="28"/>
    </row>
    <row r="43" spans="1:11" x14ac:dyDescent="0.3">
      <c r="A43" t="s">
        <v>543</v>
      </c>
      <c r="B43" s="51" t="s">
        <v>538</v>
      </c>
      <c r="C43" s="2" t="s">
        <v>559</v>
      </c>
      <c r="D43" s="2"/>
      <c r="F43" s="2">
        <v>0</v>
      </c>
    </row>
    <row r="44" spans="1:11" x14ac:dyDescent="0.3">
      <c r="A44" t="s">
        <v>537</v>
      </c>
      <c r="B44" s="51" t="s">
        <v>544</v>
      </c>
      <c r="C44" s="2" t="s">
        <v>543</v>
      </c>
      <c r="D44" s="2" t="s">
        <v>18</v>
      </c>
      <c r="F44" s="2">
        <v>0</v>
      </c>
    </row>
    <row r="45" spans="1:11" x14ac:dyDescent="0.3">
      <c r="A45" t="s">
        <v>542</v>
      </c>
      <c r="B45" s="51" t="s">
        <v>546</v>
      </c>
      <c r="C45" s="2" t="s">
        <v>545</v>
      </c>
      <c r="D45" t="s">
        <v>543</v>
      </c>
      <c r="F45" s="2">
        <v>0</v>
      </c>
    </row>
    <row r="46" spans="1:11" s="46" customFormat="1" x14ac:dyDescent="0.3">
      <c r="A46" s="28" t="s">
        <v>206</v>
      </c>
      <c r="B46" s="50" t="s">
        <v>627</v>
      </c>
      <c r="C46" s="28"/>
      <c r="D46" s="28"/>
      <c r="E46" s="28"/>
      <c r="F46" s="28"/>
      <c r="G46" s="28"/>
      <c r="H46" s="28"/>
      <c r="I46" s="28"/>
      <c r="J46" s="28"/>
      <c r="K46" s="28"/>
    </row>
    <row r="47" spans="1:11" ht="14.25" customHeight="1" x14ac:dyDescent="0.3">
      <c r="A47" t="s">
        <v>187</v>
      </c>
      <c r="B47" s="51" t="s">
        <v>188</v>
      </c>
      <c r="C47" s="37" t="s">
        <v>688</v>
      </c>
      <c r="D47" s="2" t="s">
        <v>18</v>
      </c>
      <c r="F47" s="2">
        <v>0</v>
      </c>
    </row>
    <row r="48" spans="1:11" x14ac:dyDescent="0.3">
      <c r="A48" t="s">
        <v>189</v>
      </c>
      <c r="B48" s="51" t="s">
        <v>198</v>
      </c>
      <c r="C48" s="37" t="s">
        <v>689</v>
      </c>
      <c r="D48" s="2" t="s">
        <v>18</v>
      </c>
      <c r="F48" s="2">
        <v>0</v>
      </c>
    </row>
  </sheetData>
  <conditionalFormatting sqref="B3 B5:B13 B15:B18 B43:B45 B47:B48 B51:B1048576">
    <cfRule type="expression" dxfId="8" priority="6">
      <formula>AND(A3&lt;&gt;"",NOT(B3&lt;&gt;""))</formula>
    </cfRule>
  </conditionalFormatting>
  <conditionalFormatting sqref="H3 H5:H13 H15:H18 H43:H45 H47:H48 H51:H1048576">
    <cfRule type="expression" dxfId="6" priority="5">
      <formula>AND(I3&lt;&gt;"",NOT(H3&lt;&gt;""))</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AND(H3&lt;&gt;"",ISERROR(MATCH(H3,'Databook Pages'!$A:$A,0)))</xm:f>
            <x14:dxf>
              <fill>
                <patternFill>
                  <bgColor rgb="FFFF0000"/>
                </patternFill>
              </fill>
            </x14:dxf>
          </x14:cfRule>
          <xm:sqref>H3 H5:H13 H15:H18 H43:H45 H47:H48 H51:H1048576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'Databook Pages'!$A$2:$A$9999</xm:f>
          </x14:formula1>
          <xm:sqref>H51:H1048576 H1:H48</xm:sqref>
        </x14:dataValidation>
        <x14:dataValidation type="list" allowBlank="1" showInputMessage="1" showErrorMessage="1" xr:uid="{00000000-0002-0000-0500-000001000000}">
          <x14:formula1>
            <xm:f>'Population types'!$A$2:$A$9999</xm:f>
          </x14:formula1>
          <xm:sqref>K51:K1048576 K1:K48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P264"/>
  <sheetViews>
    <sheetView tabSelected="1" zoomScale="85" zoomScaleNormal="85" workbookViewId="0">
      <pane ySplit="1" topLeftCell="A11" activePane="bottomLeft" state="frozen"/>
      <selection pane="bottomLeft" activeCell="B257" sqref="B257"/>
    </sheetView>
  </sheetViews>
  <sheetFormatPr defaultColWidth="8.88671875" defaultRowHeight="14.4" x14ac:dyDescent="0.3"/>
  <cols>
    <col min="1" max="1" width="17.5546875" style="4" customWidth="1"/>
    <col min="2" max="2" width="97.88671875" style="51" customWidth="1"/>
    <col min="3" max="3" width="23.88671875" customWidth="1"/>
    <col min="4" max="4" width="9.88671875" bestFit="1" customWidth="1"/>
    <col min="5" max="7" width="14.6640625" customWidth="1"/>
    <col min="8" max="8" width="155.88671875" customWidth="1"/>
    <col min="9" max="9" width="10.6640625" style="2" customWidth="1"/>
    <col min="10" max="10" width="14.6640625" style="2" customWidth="1"/>
    <col min="11" max="11" width="14.6640625" customWidth="1"/>
    <col min="12" max="12" width="15.6640625" customWidth="1"/>
    <col min="14" max="14" width="14.6640625" customWidth="1"/>
    <col min="15" max="15" width="10.6640625" style="2" customWidth="1"/>
    <col min="16" max="16" width="11.88671875" style="2" bestFit="1" customWidth="1"/>
  </cols>
  <sheetData>
    <row r="1" spans="1:16" s="2" customFormat="1" x14ac:dyDescent="0.3">
      <c r="A1" s="1" t="s">
        <v>2</v>
      </c>
      <c r="B1" s="49" t="s">
        <v>3</v>
      </c>
      <c r="C1" s="1" t="s">
        <v>13</v>
      </c>
      <c r="D1" s="1" t="s">
        <v>26</v>
      </c>
      <c r="E1" s="1" t="s">
        <v>7</v>
      </c>
      <c r="F1" s="1" t="s">
        <v>14</v>
      </c>
      <c r="G1" s="1" t="s">
        <v>15</v>
      </c>
      <c r="H1" s="1" t="s">
        <v>16</v>
      </c>
      <c r="I1" s="1" t="s">
        <v>23</v>
      </c>
      <c r="J1" s="1" t="s">
        <v>22</v>
      </c>
      <c r="K1" s="1" t="s">
        <v>9</v>
      </c>
      <c r="L1" s="1" t="s">
        <v>10</v>
      </c>
      <c r="M1" s="1" t="s">
        <v>25</v>
      </c>
      <c r="N1" s="1" t="s">
        <v>30</v>
      </c>
      <c r="O1" s="1" t="s">
        <v>33</v>
      </c>
      <c r="P1" s="1" t="s">
        <v>34</v>
      </c>
    </row>
    <row r="2" spans="1:16" s="29" customFormat="1" x14ac:dyDescent="0.3">
      <c r="A2" s="27" t="s">
        <v>206</v>
      </c>
      <c r="B2" s="50" t="s">
        <v>207</v>
      </c>
      <c r="C2" s="28"/>
      <c r="D2" s="28"/>
      <c r="E2" s="28"/>
      <c r="F2" s="28"/>
      <c r="G2" s="28"/>
      <c r="I2" s="28"/>
      <c r="J2" s="28"/>
      <c r="K2" s="28"/>
      <c r="L2" s="28"/>
      <c r="N2" s="28"/>
      <c r="O2" s="28"/>
      <c r="P2" s="28"/>
    </row>
    <row r="3" spans="1:16" s="31" customFormat="1" ht="13.8" x14ac:dyDescent="0.25">
      <c r="A3" s="30" t="s">
        <v>208</v>
      </c>
      <c r="B3" s="53" t="s">
        <v>209</v>
      </c>
      <c r="C3" s="32" t="s">
        <v>216</v>
      </c>
      <c r="I3" s="32"/>
      <c r="J3" s="32"/>
      <c r="K3" s="32" t="s">
        <v>37</v>
      </c>
      <c r="O3" s="32"/>
      <c r="P3" s="32"/>
    </row>
    <row r="4" spans="1:16" s="31" customFormat="1" ht="13.8" x14ac:dyDescent="0.25">
      <c r="A4" s="30" t="s">
        <v>138</v>
      </c>
      <c r="B4" s="53" t="s">
        <v>210</v>
      </c>
      <c r="C4" s="32" t="s">
        <v>217</v>
      </c>
      <c r="I4" s="32"/>
      <c r="J4" s="32"/>
      <c r="K4" s="32" t="s">
        <v>37</v>
      </c>
      <c r="O4" s="32"/>
      <c r="P4" s="32"/>
    </row>
    <row r="5" spans="1:16" s="31" customFormat="1" ht="13.8" x14ac:dyDescent="0.25">
      <c r="A5" s="30" t="s">
        <v>211</v>
      </c>
      <c r="B5" s="53" t="s">
        <v>212</v>
      </c>
      <c r="C5" s="32" t="s">
        <v>216</v>
      </c>
      <c r="I5" s="32"/>
      <c r="J5" s="32"/>
      <c r="K5" s="32" t="s">
        <v>37</v>
      </c>
      <c r="O5" s="32"/>
      <c r="P5" s="32"/>
    </row>
    <row r="6" spans="1:16" s="31" customFormat="1" ht="13.8" x14ac:dyDescent="0.25">
      <c r="A6" s="30" t="s">
        <v>857</v>
      </c>
      <c r="B6" s="53" t="s">
        <v>859</v>
      </c>
      <c r="C6" s="32" t="s">
        <v>217</v>
      </c>
      <c r="I6" s="32"/>
      <c r="J6" s="32"/>
      <c r="K6" s="32" t="s">
        <v>37</v>
      </c>
      <c r="O6" s="32"/>
      <c r="P6" s="32"/>
    </row>
    <row r="7" spans="1:16" s="31" customFormat="1" ht="13.8" x14ac:dyDescent="0.25">
      <c r="A7" s="30" t="s">
        <v>860</v>
      </c>
      <c r="B7" s="53" t="s">
        <v>861</v>
      </c>
      <c r="C7" s="32"/>
      <c r="I7" s="32"/>
      <c r="J7" s="32"/>
      <c r="K7" s="32" t="s">
        <v>37</v>
      </c>
      <c r="O7" s="32"/>
      <c r="P7" s="32"/>
    </row>
    <row r="8" spans="1:16" s="31" customFormat="1" ht="13.8" x14ac:dyDescent="0.25">
      <c r="A8" s="30" t="s">
        <v>858</v>
      </c>
      <c r="B8" s="53" t="s">
        <v>862</v>
      </c>
      <c r="C8" s="32" t="s">
        <v>216</v>
      </c>
      <c r="H8" s="31" t="s">
        <v>863</v>
      </c>
      <c r="I8" s="32"/>
      <c r="J8" s="32"/>
      <c r="K8" s="32"/>
      <c r="O8" s="32"/>
      <c r="P8" s="32"/>
    </row>
    <row r="9" spans="1:16" s="29" customFormat="1" x14ac:dyDescent="0.3">
      <c r="A9" s="27" t="s">
        <v>206</v>
      </c>
      <c r="B9" s="50" t="s">
        <v>213</v>
      </c>
      <c r="C9" s="28"/>
      <c r="D9" s="28"/>
      <c r="E9" s="28"/>
      <c r="F9" s="28"/>
      <c r="G9" s="28"/>
      <c r="I9" s="28"/>
      <c r="J9" s="28"/>
      <c r="K9" s="28"/>
      <c r="L9" s="28"/>
      <c r="N9" s="28"/>
      <c r="O9" s="28"/>
      <c r="P9" s="28"/>
    </row>
    <row r="10" spans="1:16" s="31" customFormat="1" ht="13.8" x14ac:dyDescent="0.25">
      <c r="A10" s="30" t="s">
        <v>214</v>
      </c>
      <c r="B10" s="53" t="s">
        <v>215</v>
      </c>
      <c r="I10" s="32"/>
      <c r="J10" s="32"/>
      <c r="K10" s="32" t="s">
        <v>51</v>
      </c>
      <c r="O10" s="32"/>
      <c r="P10" s="32"/>
    </row>
    <row r="11" spans="1:16" s="29" customFormat="1" x14ac:dyDescent="0.3">
      <c r="A11" s="27" t="s">
        <v>206</v>
      </c>
      <c r="B11" s="50" t="s">
        <v>218</v>
      </c>
      <c r="C11" s="28"/>
      <c r="D11" s="28"/>
      <c r="E11" s="28"/>
      <c r="F11" s="28"/>
      <c r="G11" s="28"/>
      <c r="I11" s="28"/>
      <c r="J11" s="28"/>
      <c r="K11" s="28"/>
      <c r="L11" s="28"/>
      <c r="N11" s="28"/>
      <c r="O11" s="28"/>
      <c r="P11" s="28"/>
    </row>
    <row r="12" spans="1:16" s="31" customFormat="1" ht="13.8" x14ac:dyDescent="0.25">
      <c r="A12" s="30" t="s">
        <v>110</v>
      </c>
      <c r="B12" s="53" t="s">
        <v>219</v>
      </c>
      <c r="C12" s="32" t="s">
        <v>220</v>
      </c>
      <c r="H12" s="33" t="s">
        <v>231</v>
      </c>
      <c r="I12" s="32"/>
      <c r="J12" s="32"/>
      <c r="O12" s="32"/>
      <c r="P12" s="32"/>
    </row>
    <row r="13" spans="1:16" s="31" customFormat="1" ht="13.8" x14ac:dyDescent="0.25">
      <c r="A13" s="30" t="s">
        <v>133</v>
      </c>
      <c r="B13" s="53" t="s">
        <v>232</v>
      </c>
      <c r="C13" s="32" t="s">
        <v>220</v>
      </c>
      <c r="H13" s="32"/>
      <c r="I13" s="32"/>
      <c r="J13" s="32"/>
      <c r="K13" s="32" t="s">
        <v>35</v>
      </c>
      <c r="O13" s="32"/>
      <c r="P13" s="32"/>
    </row>
    <row r="14" spans="1:16" s="31" customFormat="1" ht="13.8" x14ac:dyDescent="0.25">
      <c r="A14" s="30" t="s">
        <v>221</v>
      </c>
      <c r="B14" s="53" t="s">
        <v>233</v>
      </c>
      <c r="C14" s="32" t="s">
        <v>220</v>
      </c>
      <c r="H14" s="32"/>
      <c r="I14" s="32"/>
      <c r="J14" s="32"/>
      <c r="K14" s="32" t="s">
        <v>35</v>
      </c>
      <c r="O14" s="32"/>
      <c r="P14" s="32"/>
    </row>
    <row r="15" spans="1:16" s="31" customFormat="1" ht="13.8" x14ac:dyDescent="0.25">
      <c r="A15" s="30" t="s">
        <v>222</v>
      </c>
      <c r="B15" s="53" t="s">
        <v>234</v>
      </c>
      <c r="C15" s="32" t="s">
        <v>220</v>
      </c>
      <c r="H15" s="32"/>
      <c r="I15" s="32"/>
      <c r="J15" s="32"/>
      <c r="K15" s="32" t="s">
        <v>35</v>
      </c>
      <c r="O15" s="32"/>
      <c r="P15" s="32"/>
    </row>
    <row r="16" spans="1:16" s="31" customFormat="1" ht="13.8" x14ac:dyDescent="0.25">
      <c r="A16" s="30" t="s">
        <v>223</v>
      </c>
      <c r="B16" s="53" t="s">
        <v>235</v>
      </c>
      <c r="C16" s="32" t="s">
        <v>220</v>
      </c>
      <c r="H16" s="32"/>
      <c r="I16" s="32"/>
      <c r="J16" s="32"/>
      <c r="K16" s="32" t="s">
        <v>35</v>
      </c>
      <c r="O16" s="32"/>
      <c r="P16" s="32"/>
    </row>
    <row r="17" spans="1:16" s="31" customFormat="1" ht="13.8" x14ac:dyDescent="0.25">
      <c r="A17" s="30" t="s">
        <v>224</v>
      </c>
      <c r="B17" s="53" t="s">
        <v>236</v>
      </c>
      <c r="C17" s="32" t="s">
        <v>220</v>
      </c>
      <c r="H17" s="32"/>
      <c r="I17" s="32"/>
      <c r="J17" s="32"/>
      <c r="K17" s="32" t="s">
        <v>35</v>
      </c>
      <c r="O17" s="32"/>
      <c r="P17" s="32"/>
    </row>
    <row r="18" spans="1:16" s="31" customFormat="1" ht="13.8" x14ac:dyDescent="0.25">
      <c r="A18" s="30" t="s">
        <v>225</v>
      </c>
      <c r="B18" s="53" t="s">
        <v>237</v>
      </c>
      <c r="C18" s="32" t="s">
        <v>220</v>
      </c>
      <c r="H18" s="32"/>
      <c r="I18" s="32"/>
      <c r="J18" s="32"/>
      <c r="K18" s="32" t="s">
        <v>35</v>
      </c>
      <c r="O18" s="32"/>
      <c r="P18" s="32"/>
    </row>
    <row r="19" spans="1:16" s="31" customFormat="1" ht="13.8" x14ac:dyDescent="0.25">
      <c r="A19" s="30" t="s">
        <v>226</v>
      </c>
      <c r="B19" s="53" t="s">
        <v>238</v>
      </c>
      <c r="C19" s="32" t="s">
        <v>220</v>
      </c>
      <c r="H19" s="32"/>
      <c r="I19" s="32"/>
      <c r="J19" s="32"/>
      <c r="K19" s="32" t="s">
        <v>35</v>
      </c>
      <c r="O19" s="32"/>
      <c r="P19" s="32"/>
    </row>
    <row r="20" spans="1:16" s="31" customFormat="1" ht="13.8" x14ac:dyDescent="0.25">
      <c r="A20" s="30" t="s">
        <v>227</v>
      </c>
      <c r="B20" s="53" t="s">
        <v>843</v>
      </c>
      <c r="C20" s="32" t="s">
        <v>220</v>
      </c>
      <c r="H20" s="32"/>
      <c r="I20" s="32"/>
      <c r="J20" s="32"/>
      <c r="K20" s="32" t="s">
        <v>35</v>
      </c>
      <c r="O20" s="32"/>
      <c r="P20" s="32"/>
    </row>
    <row r="21" spans="1:16" s="31" customFormat="1" ht="13.8" x14ac:dyDescent="0.25">
      <c r="A21" s="30" t="s">
        <v>228</v>
      </c>
      <c r="B21" s="53" t="s">
        <v>239</v>
      </c>
      <c r="C21" s="32" t="s">
        <v>220</v>
      </c>
      <c r="H21" s="32"/>
      <c r="I21" s="32"/>
      <c r="J21" s="32"/>
      <c r="K21" s="32" t="s">
        <v>35</v>
      </c>
      <c r="O21" s="32"/>
      <c r="P21" s="32"/>
    </row>
    <row r="22" spans="1:16" s="31" customFormat="1" ht="13.8" x14ac:dyDescent="0.25">
      <c r="A22" s="30" t="s">
        <v>229</v>
      </c>
      <c r="B22" s="53" t="s">
        <v>240</v>
      </c>
      <c r="C22" s="32" t="s">
        <v>220</v>
      </c>
      <c r="H22" s="32"/>
      <c r="I22" s="32"/>
      <c r="J22" s="32"/>
      <c r="K22" s="32" t="s">
        <v>35</v>
      </c>
      <c r="O22" s="32"/>
      <c r="P22" s="32"/>
    </row>
    <row r="23" spans="1:16" s="31" customFormat="1" ht="13.8" x14ac:dyDescent="0.25">
      <c r="A23" s="30" t="s">
        <v>230</v>
      </c>
      <c r="B23" s="53" t="s">
        <v>241</v>
      </c>
      <c r="C23" s="32" t="s">
        <v>220</v>
      </c>
      <c r="H23" s="30" t="s">
        <v>242</v>
      </c>
      <c r="I23" s="32"/>
      <c r="J23" s="32"/>
      <c r="O23" s="32"/>
      <c r="P23" s="32"/>
    </row>
    <row r="24" spans="1:16" s="31" customFormat="1" ht="13.8" x14ac:dyDescent="0.25">
      <c r="A24" s="30" t="s">
        <v>112</v>
      </c>
      <c r="B24" s="53" t="s">
        <v>264</v>
      </c>
      <c r="C24" s="32" t="s">
        <v>220</v>
      </c>
      <c r="H24" s="30" t="s">
        <v>243</v>
      </c>
      <c r="I24" s="32"/>
      <c r="J24" s="32"/>
      <c r="O24" s="32"/>
      <c r="P24" s="32"/>
    </row>
    <row r="25" spans="1:16" s="31" customFormat="1" ht="13.8" x14ac:dyDescent="0.25">
      <c r="A25" s="30" t="s">
        <v>113</v>
      </c>
      <c r="B25" s="53" t="s">
        <v>265</v>
      </c>
      <c r="C25" s="32" t="s">
        <v>220</v>
      </c>
      <c r="H25" s="30" t="s">
        <v>244</v>
      </c>
      <c r="I25" s="32"/>
      <c r="J25" s="32"/>
      <c r="O25" s="32"/>
      <c r="P25" s="32"/>
    </row>
    <row r="26" spans="1:16" s="31" customFormat="1" ht="13.8" x14ac:dyDescent="0.25">
      <c r="A26" s="30" t="s">
        <v>117</v>
      </c>
      <c r="B26" s="53" t="s">
        <v>266</v>
      </c>
      <c r="C26" s="32" t="s">
        <v>220</v>
      </c>
      <c r="H26" s="30" t="s">
        <v>245</v>
      </c>
      <c r="I26" s="32"/>
      <c r="J26" s="32"/>
      <c r="O26" s="32"/>
      <c r="P26" s="32"/>
    </row>
    <row r="27" spans="1:16" s="31" customFormat="1" ht="13.8" x14ac:dyDescent="0.25">
      <c r="A27" s="30" t="s">
        <v>118</v>
      </c>
      <c r="B27" s="53" t="s">
        <v>267</v>
      </c>
      <c r="C27" s="32" t="s">
        <v>220</v>
      </c>
      <c r="H27" s="30" t="s">
        <v>246</v>
      </c>
      <c r="I27" s="32"/>
      <c r="J27" s="32"/>
      <c r="O27" s="32"/>
      <c r="P27" s="32"/>
    </row>
    <row r="28" spans="1:16" s="31" customFormat="1" ht="13.8" x14ac:dyDescent="0.25">
      <c r="A28" s="30" t="s">
        <v>119</v>
      </c>
      <c r="B28" s="53" t="s">
        <v>268</v>
      </c>
      <c r="C28" s="32" t="s">
        <v>220</v>
      </c>
      <c r="H28" s="30" t="s">
        <v>247</v>
      </c>
      <c r="I28" s="32"/>
      <c r="J28" s="32"/>
      <c r="O28" s="32"/>
      <c r="P28" s="32"/>
    </row>
    <row r="29" spans="1:16" s="31" customFormat="1" ht="13.8" x14ac:dyDescent="0.25">
      <c r="A29" s="30" t="s">
        <v>114</v>
      </c>
      <c r="B29" s="53" t="s">
        <v>270</v>
      </c>
      <c r="C29" s="32" t="s">
        <v>220</v>
      </c>
      <c r="H29" s="30" t="s">
        <v>248</v>
      </c>
      <c r="I29" s="32"/>
      <c r="J29" s="32"/>
      <c r="O29" s="32"/>
      <c r="P29" s="32"/>
    </row>
    <row r="30" spans="1:16" s="31" customFormat="1" ht="13.8" x14ac:dyDescent="0.25">
      <c r="A30" s="30" t="s">
        <v>115</v>
      </c>
      <c r="B30" s="53" t="s">
        <v>269</v>
      </c>
      <c r="C30" s="32" t="s">
        <v>220</v>
      </c>
      <c r="H30" s="30" t="s">
        <v>249</v>
      </c>
      <c r="I30" s="32"/>
      <c r="J30" s="32"/>
      <c r="O30" s="32"/>
      <c r="P30" s="32"/>
    </row>
    <row r="31" spans="1:16" s="31" customFormat="1" ht="13.8" x14ac:dyDescent="0.25">
      <c r="A31" s="30" t="s">
        <v>116</v>
      </c>
      <c r="B31" s="53" t="s">
        <v>271</v>
      </c>
      <c r="C31" s="32" t="s">
        <v>220</v>
      </c>
      <c r="H31" s="30" t="s">
        <v>250</v>
      </c>
      <c r="I31" s="32"/>
      <c r="J31" s="32"/>
      <c r="O31" s="32"/>
      <c r="P31" s="32"/>
    </row>
    <row r="32" spans="1:16" s="31" customFormat="1" ht="13.8" x14ac:dyDescent="0.25">
      <c r="A32" s="30" t="s">
        <v>120</v>
      </c>
      <c r="B32" s="53" t="s">
        <v>272</v>
      </c>
      <c r="C32" s="32" t="s">
        <v>220</v>
      </c>
      <c r="H32" s="30" t="s">
        <v>251</v>
      </c>
      <c r="I32" s="32"/>
      <c r="J32" s="32"/>
      <c r="O32" s="32"/>
      <c r="P32" s="32"/>
    </row>
    <row r="33" spans="1:16" s="31" customFormat="1" ht="13.8" x14ac:dyDescent="0.25">
      <c r="A33" s="30" t="s">
        <v>121</v>
      </c>
      <c r="B33" s="53" t="s">
        <v>273</v>
      </c>
      <c r="C33" s="32" t="s">
        <v>220</v>
      </c>
      <c r="H33" s="30" t="s">
        <v>252</v>
      </c>
      <c r="I33" s="32"/>
      <c r="J33" s="32"/>
      <c r="O33" s="32"/>
      <c r="P33" s="32"/>
    </row>
    <row r="34" spans="1:16" s="31" customFormat="1" ht="13.8" x14ac:dyDescent="0.25">
      <c r="A34" s="30" t="s">
        <v>122</v>
      </c>
      <c r="B34" s="53" t="s">
        <v>274</v>
      </c>
      <c r="C34" s="32" t="s">
        <v>220</v>
      </c>
      <c r="H34" s="30" t="s">
        <v>253</v>
      </c>
      <c r="I34" s="32"/>
      <c r="J34" s="32"/>
      <c r="O34" s="32"/>
      <c r="P34" s="32"/>
    </row>
    <row r="35" spans="1:16" s="31" customFormat="1" ht="13.8" x14ac:dyDescent="0.25">
      <c r="A35" s="30" t="s">
        <v>123</v>
      </c>
      <c r="B35" s="53" t="s">
        <v>276</v>
      </c>
      <c r="C35" s="32" t="s">
        <v>220</v>
      </c>
      <c r="H35" s="30" t="s">
        <v>254</v>
      </c>
      <c r="I35" s="32"/>
      <c r="J35" s="32"/>
      <c r="O35" s="32"/>
      <c r="P35" s="32"/>
    </row>
    <row r="36" spans="1:16" s="31" customFormat="1" ht="13.8" x14ac:dyDescent="0.25">
      <c r="A36" s="30" t="s">
        <v>124</v>
      </c>
      <c r="B36" s="53" t="s">
        <v>277</v>
      </c>
      <c r="C36" s="32" t="s">
        <v>220</v>
      </c>
      <c r="H36" s="30" t="s">
        <v>255</v>
      </c>
      <c r="I36" s="32"/>
      <c r="J36" s="32"/>
      <c r="O36" s="32"/>
      <c r="P36" s="32"/>
    </row>
    <row r="37" spans="1:16" s="31" customFormat="1" ht="13.8" x14ac:dyDescent="0.25">
      <c r="A37" s="30" t="s">
        <v>125</v>
      </c>
      <c r="B37" s="53" t="s">
        <v>278</v>
      </c>
      <c r="C37" s="32" t="s">
        <v>220</v>
      </c>
      <c r="H37" s="30" t="s">
        <v>256</v>
      </c>
      <c r="I37" s="32"/>
      <c r="J37" s="32"/>
      <c r="O37" s="32"/>
      <c r="P37" s="32"/>
    </row>
    <row r="38" spans="1:16" s="31" customFormat="1" ht="13.8" x14ac:dyDescent="0.25">
      <c r="A38" s="30" t="s">
        <v>126</v>
      </c>
      <c r="B38" s="53" t="s">
        <v>279</v>
      </c>
      <c r="C38" s="32" t="s">
        <v>220</v>
      </c>
      <c r="H38" s="30" t="s">
        <v>257</v>
      </c>
      <c r="I38" s="32"/>
      <c r="J38" s="32"/>
      <c r="O38" s="32"/>
      <c r="P38" s="32"/>
    </row>
    <row r="39" spans="1:16" s="31" customFormat="1" ht="13.8" x14ac:dyDescent="0.25">
      <c r="A39" s="30" t="s">
        <v>127</v>
      </c>
      <c r="B39" s="53" t="s">
        <v>280</v>
      </c>
      <c r="C39" s="32" t="s">
        <v>220</v>
      </c>
      <c r="H39" s="30" t="s">
        <v>258</v>
      </c>
      <c r="I39" s="32"/>
      <c r="J39" s="32"/>
      <c r="O39" s="32"/>
      <c r="P39" s="32"/>
    </row>
    <row r="40" spans="1:16" s="31" customFormat="1" ht="13.8" x14ac:dyDescent="0.25">
      <c r="A40" s="30" t="s">
        <v>128</v>
      </c>
      <c r="B40" s="53" t="s">
        <v>281</v>
      </c>
      <c r="C40" s="32" t="s">
        <v>220</v>
      </c>
      <c r="H40" s="30" t="s">
        <v>259</v>
      </c>
      <c r="I40" s="32"/>
      <c r="J40" s="32"/>
      <c r="O40" s="32"/>
      <c r="P40" s="32"/>
    </row>
    <row r="41" spans="1:16" s="31" customFormat="1" ht="13.8" x14ac:dyDescent="0.25">
      <c r="A41" s="30" t="s">
        <v>130</v>
      </c>
      <c r="B41" s="53" t="s">
        <v>282</v>
      </c>
      <c r="C41" s="32" t="s">
        <v>220</v>
      </c>
      <c r="H41" s="30" t="s">
        <v>260</v>
      </c>
      <c r="I41" s="32"/>
      <c r="J41" s="32"/>
      <c r="O41" s="32"/>
      <c r="P41" s="32"/>
    </row>
    <row r="42" spans="1:16" s="31" customFormat="1" ht="13.8" x14ac:dyDescent="0.25">
      <c r="A42" s="30" t="s">
        <v>131</v>
      </c>
      <c r="B42" s="53" t="s">
        <v>283</v>
      </c>
      <c r="C42" s="32" t="s">
        <v>220</v>
      </c>
      <c r="H42" s="30" t="s">
        <v>261</v>
      </c>
      <c r="I42" s="32"/>
      <c r="J42" s="32"/>
      <c r="O42" s="32"/>
      <c r="P42" s="32"/>
    </row>
    <row r="43" spans="1:16" s="31" customFormat="1" ht="13.8" x14ac:dyDescent="0.25">
      <c r="A43" s="30" t="s">
        <v>132</v>
      </c>
      <c r="B43" s="53" t="s">
        <v>284</v>
      </c>
      <c r="C43" s="32" t="s">
        <v>220</v>
      </c>
      <c r="H43" s="30" t="s">
        <v>262</v>
      </c>
      <c r="I43" s="32"/>
      <c r="J43" s="32"/>
      <c r="O43" s="32"/>
      <c r="P43" s="32"/>
    </row>
    <row r="44" spans="1:16" s="31" customFormat="1" ht="13.8" x14ac:dyDescent="0.25">
      <c r="A44" s="30" t="s">
        <v>108</v>
      </c>
      <c r="B44" s="53" t="s">
        <v>285</v>
      </c>
      <c r="C44" s="32" t="s">
        <v>220</v>
      </c>
      <c r="H44" s="30" t="s">
        <v>263</v>
      </c>
      <c r="I44" s="32"/>
      <c r="J44" s="32"/>
      <c r="O44" s="32"/>
      <c r="P44" s="32"/>
    </row>
    <row r="45" spans="1:16" s="29" customFormat="1" x14ac:dyDescent="0.3">
      <c r="A45" s="27" t="s">
        <v>206</v>
      </c>
      <c r="B45" s="50" t="s">
        <v>275</v>
      </c>
      <c r="C45" s="28"/>
      <c r="D45" s="28"/>
      <c r="E45" s="28"/>
      <c r="F45" s="28"/>
      <c r="G45" s="28"/>
      <c r="I45" s="28"/>
      <c r="J45" s="28"/>
      <c r="K45" s="28"/>
      <c r="L45" s="28"/>
      <c r="N45" s="28"/>
      <c r="O45" s="28"/>
      <c r="P45" s="28"/>
    </row>
    <row r="46" spans="1:16" x14ac:dyDescent="0.3">
      <c r="A46" s="4" t="s">
        <v>286</v>
      </c>
      <c r="B46" s="53" t="s">
        <v>290</v>
      </c>
      <c r="F46">
        <v>0.65</v>
      </c>
      <c r="G46">
        <v>0.84</v>
      </c>
      <c r="K46" s="32" t="s">
        <v>47</v>
      </c>
    </row>
    <row r="47" spans="1:16" x14ac:dyDescent="0.3">
      <c r="A47" s="4" t="s">
        <v>287</v>
      </c>
      <c r="B47" s="53" t="s">
        <v>291</v>
      </c>
      <c r="F47">
        <v>0.86</v>
      </c>
      <c r="G47">
        <v>0.99</v>
      </c>
      <c r="K47" s="32" t="s">
        <v>47</v>
      </c>
    </row>
    <row r="48" spans="1:16" x14ac:dyDescent="0.3">
      <c r="A48" s="4" t="s">
        <v>288</v>
      </c>
      <c r="B48" s="53" t="s">
        <v>292</v>
      </c>
      <c r="K48" s="32" t="s">
        <v>47</v>
      </c>
    </row>
    <row r="49" spans="1:16" x14ac:dyDescent="0.3">
      <c r="A49" s="4" t="s">
        <v>289</v>
      </c>
      <c r="B49" s="53" t="s">
        <v>293</v>
      </c>
      <c r="F49">
        <v>0.97</v>
      </c>
      <c r="G49">
        <v>0.99</v>
      </c>
      <c r="K49" s="32" t="s">
        <v>47</v>
      </c>
    </row>
    <row r="50" spans="1:16" s="29" customFormat="1" x14ac:dyDescent="0.3">
      <c r="A50" s="27" t="s">
        <v>206</v>
      </c>
      <c r="B50" s="50" t="s">
        <v>300</v>
      </c>
      <c r="C50" s="28"/>
      <c r="D50" s="28"/>
      <c r="E50" s="28"/>
      <c r="F50" s="28"/>
      <c r="G50" s="28"/>
      <c r="I50" s="28"/>
      <c r="J50" s="28"/>
      <c r="K50" s="28"/>
      <c r="L50" s="28"/>
      <c r="N50" s="28"/>
      <c r="O50" s="28"/>
      <c r="P50" s="28"/>
    </row>
    <row r="51" spans="1:16" s="31" customFormat="1" ht="13.8" x14ac:dyDescent="0.25">
      <c r="A51" s="30" t="s">
        <v>294</v>
      </c>
      <c r="B51" s="53" t="s">
        <v>295</v>
      </c>
      <c r="I51" s="32"/>
      <c r="J51" s="32"/>
      <c r="K51" s="32" t="s">
        <v>45</v>
      </c>
      <c r="O51" s="32"/>
      <c r="P51" s="32"/>
    </row>
    <row r="52" spans="1:16" s="31" customFormat="1" ht="13.8" x14ac:dyDescent="0.25">
      <c r="A52" s="30" t="s">
        <v>296</v>
      </c>
      <c r="B52" s="53" t="s">
        <v>297</v>
      </c>
      <c r="I52" s="32"/>
      <c r="J52" s="32"/>
      <c r="K52" s="32" t="s">
        <v>45</v>
      </c>
      <c r="O52" s="32"/>
      <c r="P52" s="32"/>
    </row>
    <row r="53" spans="1:16" s="31" customFormat="1" ht="13.8" x14ac:dyDescent="0.25">
      <c r="A53" s="30" t="s">
        <v>298</v>
      </c>
      <c r="B53" s="53" t="s">
        <v>299</v>
      </c>
      <c r="I53" s="32"/>
      <c r="J53" s="32"/>
      <c r="K53" s="32" t="s">
        <v>45</v>
      </c>
      <c r="O53" s="32"/>
      <c r="P53" s="32"/>
    </row>
    <row r="54" spans="1:16" s="29" customFormat="1" x14ac:dyDescent="0.3">
      <c r="A54" s="27" t="s">
        <v>206</v>
      </c>
      <c r="B54" s="50" t="s">
        <v>301</v>
      </c>
      <c r="C54" s="28"/>
      <c r="D54" s="28"/>
      <c r="E54" s="28"/>
      <c r="F54" s="28"/>
      <c r="G54" s="28"/>
      <c r="I54" s="28"/>
      <c r="J54" s="28"/>
      <c r="K54" s="28"/>
      <c r="L54" s="28"/>
      <c r="N54" s="28"/>
      <c r="O54" s="28"/>
      <c r="P54" s="28"/>
    </row>
    <row r="55" spans="1:16" s="31" customFormat="1" ht="13.8" x14ac:dyDescent="0.25">
      <c r="A55" s="30" t="s">
        <v>302</v>
      </c>
      <c r="B55" s="53" t="s">
        <v>415</v>
      </c>
      <c r="I55" s="32"/>
      <c r="J55" s="32"/>
      <c r="K55" s="32" t="s">
        <v>43</v>
      </c>
      <c r="O55" s="32"/>
      <c r="P55" s="32"/>
    </row>
    <row r="56" spans="1:16" s="31" customFormat="1" ht="13.8" x14ac:dyDescent="0.25">
      <c r="A56" s="30" t="s">
        <v>303</v>
      </c>
      <c r="B56" s="53" t="s">
        <v>416</v>
      </c>
      <c r="I56" s="32"/>
      <c r="J56" s="32"/>
      <c r="K56" s="32" t="s">
        <v>43</v>
      </c>
      <c r="O56" s="32"/>
      <c r="P56" s="32"/>
    </row>
    <row r="57" spans="1:16" s="31" customFormat="1" ht="13.8" x14ac:dyDescent="0.25">
      <c r="A57" s="30" t="s">
        <v>304</v>
      </c>
      <c r="B57" s="53" t="s">
        <v>417</v>
      </c>
      <c r="I57" s="32"/>
      <c r="J57" s="32"/>
      <c r="K57" s="32" t="s">
        <v>43</v>
      </c>
      <c r="O57" s="32"/>
      <c r="P57" s="32"/>
    </row>
    <row r="58" spans="1:16" s="31" customFormat="1" ht="13.8" x14ac:dyDescent="0.25">
      <c r="A58" s="30" t="s">
        <v>305</v>
      </c>
      <c r="B58" s="53" t="s">
        <v>418</v>
      </c>
      <c r="I58" s="32"/>
      <c r="J58" s="32"/>
      <c r="K58" s="32" t="s">
        <v>43</v>
      </c>
      <c r="O58" s="32"/>
      <c r="P58" s="32"/>
    </row>
    <row r="59" spans="1:16" s="31" customFormat="1" ht="13.8" x14ac:dyDescent="0.25">
      <c r="A59" s="30" t="s">
        <v>306</v>
      </c>
      <c r="B59" s="53" t="s">
        <v>419</v>
      </c>
      <c r="I59" s="32"/>
      <c r="J59" s="32"/>
      <c r="K59" s="32" t="s">
        <v>43</v>
      </c>
      <c r="O59" s="32"/>
      <c r="P59" s="32"/>
    </row>
    <row r="60" spans="1:16" s="31" customFormat="1" ht="13.8" x14ac:dyDescent="0.25">
      <c r="A60" s="30" t="s">
        <v>436</v>
      </c>
      <c r="B60" s="53" t="s">
        <v>437</v>
      </c>
      <c r="I60" s="32"/>
      <c r="J60" s="32"/>
      <c r="K60" s="32" t="s">
        <v>47</v>
      </c>
      <c r="O60" s="32"/>
      <c r="P60" s="32"/>
    </row>
    <row r="61" spans="1:16" s="31" customFormat="1" ht="13.8" x14ac:dyDescent="0.25">
      <c r="A61" s="30" t="s">
        <v>536</v>
      </c>
      <c r="B61" s="53" t="s">
        <v>535</v>
      </c>
      <c r="I61" s="32"/>
      <c r="J61" s="32"/>
      <c r="K61" s="32" t="s">
        <v>45</v>
      </c>
      <c r="O61" s="32"/>
      <c r="P61" s="32"/>
    </row>
    <row r="62" spans="1:16" s="31" customFormat="1" ht="13.8" x14ac:dyDescent="0.25">
      <c r="A62" s="30" t="s">
        <v>533</v>
      </c>
      <c r="B62" s="53" t="s">
        <v>747</v>
      </c>
      <c r="I62" s="32"/>
      <c r="J62" s="32"/>
      <c r="K62" s="32" t="s">
        <v>45</v>
      </c>
      <c r="O62" s="32"/>
      <c r="P62" s="32"/>
    </row>
    <row r="63" spans="1:16" s="31" customFormat="1" ht="13.8" x14ac:dyDescent="0.25">
      <c r="A63" s="30" t="s">
        <v>630</v>
      </c>
      <c r="B63" s="53" t="s">
        <v>631</v>
      </c>
      <c r="H63" s="31" t="s">
        <v>632</v>
      </c>
      <c r="I63" s="32"/>
      <c r="J63" s="32"/>
      <c r="K63" s="32"/>
      <c r="O63" s="32"/>
      <c r="P63" s="32"/>
    </row>
    <row r="64" spans="1:16" s="31" customFormat="1" ht="13.8" x14ac:dyDescent="0.25">
      <c r="A64" s="30" t="s">
        <v>547</v>
      </c>
      <c r="B64" s="53" t="s">
        <v>548</v>
      </c>
      <c r="C64" s="32"/>
      <c r="H64" s="31" t="s">
        <v>633</v>
      </c>
      <c r="I64" s="32"/>
      <c r="J64" s="32"/>
      <c r="K64" s="32"/>
      <c r="O64" s="32"/>
      <c r="P64" s="32"/>
    </row>
    <row r="65" spans="1:16" s="31" customFormat="1" ht="13.8" x14ac:dyDescent="0.25">
      <c r="A65" s="30" t="s">
        <v>534</v>
      </c>
      <c r="B65" s="53" t="s">
        <v>844</v>
      </c>
      <c r="H65" s="31" t="s">
        <v>539</v>
      </c>
      <c r="I65" s="32"/>
      <c r="J65" s="32"/>
      <c r="K65" s="32"/>
      <c r="O65" s="32"/>
      <c r="P65" s="32"/>
    </row>
    <row r="66" spans="1:16" s="31" customFormat="1" ht="13.8" x14ac:dyDescent="0.25">
      <c r="A66" s="30" t="s">
        <v>540</v>
      </c>
      <c r="B66" s="53" t="s">
        <v>541</v>
      </c>
      <c r="H66" s="31" t="s">
        <v>560</v>
      </c>
      <c r="I66" s="32"/>
      <c r="J66" s="32"/>
      <c r="K66" s="32"/>
      <c r="O66" s="32"/>
      <c r="P66" s="32"/>
    </row>
    <row r="67" spans="1:16" s="31" customFormat="1" ht="13.8" x14ac:dyDescent="0.25">
      <c r="A67" s="30" t="s">
        <v>561</v>
      </c>
      <c r="B67" s="53" t="s">
        <v>562</v>
      </c>
      <c r="H67" s="31" t="s">
        <v>690</v>
      </c>
      <c r="I67" s="32"/>
      <c r="J67" s="32"/>
      <c r="K67" s="32"/>
      <c r="O67" s="32"/>
      <c r="P67" s="32"/>
    </row>
    <row r="68" spans="1:16" s="31" customFormat="1" ht="13.8" x14ac:dyDescent="0.25">
      <c r="A68" s="30" t="s">
        <v>565</v>
      </c>
      <c r="B68" s="53" t="s">
        <v>563</v>
      </c>
      <c r="C68" s="32"/>
      <c r="H68" s="31" t="s">
        <v>564</v>
      </c>
      <c r="I68" s="32"/>
      <c r="J68" s="32"/>
      <c r="K68" s="32"/>
      <c r="O68" s="32"/>
      <c r="P68" s="32"/>
    </row>
    <row r="69" spans="1:16" s="31" customFormat="1" ht="13.8" x14ac:dyDescent="0.25">
      <c r="A69" s="30" t="s">
        <v>549</v>
      </c>
      <c r="B69" s="53" t="s">
        <v>551</v>
      </c>
      <c r="C69" s="32"/>
      <c r="H69" s="31" t="s">
        <v>558</v>
      </c>
      <c r="I69" s="32"/>
      <c r="J69" s="32"/>
      <c r="K69" s="32"/>
      <c r="O69" s="32"/>
      <c r="P69" s="32"/>
    </row>
    <row r="70" spans="1:16" s="31" customFormat="1" ht="13.8" x14ac:dyDescent="0.25">
      <c r="A70" s="30" t="s">
        <v>550</v>
      </c>
      <c r="B70" s="53" t="s">
        <v>552</v>
      </c>
      <c r="C70" s="32"/>
      <c r="H70" s="31" t="s">
        <v>553</v>
      </c>
      <c r="I70" s="32"/>
      <c r="J70" s="32"/>
      <c r="K70" s="32"/>
      <c r="O70" s="32"/>
      <c r="P70" s="32"/>
    </row>
    <row r="71" spans="1:16" s="29" customFormat="1" x14ac:dyDescent="0.3">
      <c r="A71" s="27" t="s">
        <v>206</v>
      </c>
      <c r="B71" s="50" t="s">
        <v>311</v>
      </c>
      <c r="C71" s="28"/>
      <c r="D71" s="28"/>
      <c r="E71" s="28"/>
      <c r="F71" s="28"/>
      <c r="G71" s="28"/>
      <c r="I71" s="28"/>
      <c r="J71" s="28"/>
      <c r="K71" s="28"/>
      <c r="L71" s="28"/>
      <c r="N71" s="28"/>
      <c r="O71" s="28"/>
      <c r="P71" s="28"/>
    </row>
    <row r="72" spans="1:16" s="31" customFormat="1" ht="13.8" x14ac:dyDescent="0.25">
      <c r="A72" s="30" t="s">
        <v>307</v>
      </c>
      <c r="B72" s="53" t="s">
        <v>845</v>
      </c>
      <c r="H72" s="31" t="s">
        <v>528</v>
      </c>
      <c r="I72" s="32"/>
      <c r="J72" s="32"/>
      <c r="O72" s="32"/>
      <c r="P72" s="32"/>
    </row>
    <row r="73" spans="1:16" s="31" customFormat="1" ht="13.8" x14ac:dyDescent="0.25">
      <c r="A73" s="30" t="s">
        <v>308</v>
      </c>
      <c r="B73" s="53" t="s">
        <v>421</v>
      </c>
      <c r="H73" s="31" t="s">
        <v>529</v>
      </c>
      <c r="I73" s="32"/>
      <c r="J73" s="32"/>
      <c r="O73" s="32"/>
      <c r="P73" s="32"/>
    </row>
    <row r="74" spans="1:16" s="31" customFormat="1" ht="13.8" x14ac:dyDescent="0.25">
      <c r="A74" s="30" t="s">
        <v>309</v>
      </c>
      <c r="B74" s="53" t="s">
        <v>420</v>
      </c>
      <c r="H74" s="31" t="s">
        <v>438</v>
      </c>
      <c r="I74" s="32"/>
      <c r="J74" s="32"/>
      <c r="O74" s="32"/>
      <c r="P74" s="32"/>
    </row>
    <row r="75" spans="1:16" s="31" customFormat="1" ht="13.8" x14ac:dyDescent="0.25">
      <c r="A75" s="30" t="s">
        <v>310</v>
      </c>
      <c r="B75" s="53" t="s">
        <v>422</v>
      </c>
      <c r="H75" s="31" t="s">
        <v>524</v>
      </c>
      <c r="I75" s="32"/>
      <c r="J75" s="32"/>
      <c r="O75" s="32"/>
      <c r="P75" s="32"/>
    </row>
    <row r="76" spans="1:16" s="31" customFormat="1" ht="41.4" x14ac:dyDescent="0.25">
      <c r="A76" s="30" t="s">
        <v>134</v>
      </c>
      <c r="B76" s="53" t="s">
        <v>423</v>
      </c>
      <c r="C76" s="32" t="s">
        <v>216</v>
      </c>
      <c r="H76" s="34" t="s">
        <v>554</v>
      </c>
      <c r="I76" s="32"/>
      <c r="J76" s="32"/>
      <c r="O76" s="32"/>
      <c r="P76" s="32"/>
    </row>
    <row r="77" spans="1:16" s="31" customFormat="1" ht="41.4" x14ac:dyDescent="0.25">
      <c r="A77" s="30" t="s">
        <v>135</v>
      </c>
      <c r="B77" s="53" t="s">
        <v>424</v>
      </c>
      <c r="C77" s="32" t="s">
        <v>216</v>
      </c>
      <c r="H77" s="34" t="s">
        <v>555</v>
      </c>
      <c r="I77" s="32"/>
      <c r="J77" s="32"/>
      <c r="O77" s="32"/>
      <c r="P77" s="32"/>
    </row>
    <row r="78" spans="1:16" s="31" customFormat="1" ht="13.8" x14ac:dyDescent="0.25">
      <c r="A78" s="30" t="s">
        <v>111</v>
      </c>
      <c r="B78" s="53" t="s">
        <v>425</v>
      </c>
      <c r="C78" s="32" t="s">
        <v>216</v>
      </c>
      <c r="H78" s="36" t="s">
        <v>852</v>
      </c>
      <c r="I78" s="32"/>
      <c r="J78" s="32"/>
      <c r="O78" s="32"/>
      <c r="P78" s="32"/>
    </row>
    <row r="79" spans="1:16" s="31" customFormat="1" ht="13.8" x14ac:dyDescent="0.25">
      <c r="A79" s="30" t="s">
        <v>109</v>
      </c>
      <c r="B79" s="53" t="s">
        <v>426</v>
      </c>
      <c r="C79" s="32" t="s">
        <v>216</v>
      </c>
      <c r="H79" s="31" t="s">
        <v>439</v>
      </c>
      <c r="I79" s="32"/>
      <c r="J79" s="32"/>
      <c r="O79" s="32"/>
      <c r="P79" s="32"/>
    </row>
    <row r="80" spans="1:16" s="29" customFormat="1" x14ac:dyDescent="0.3">
      <c r="A80" s="27" t="s">
        <v>206</v>
      </c>
      <c r="B80" s="50" t="s">
        <v>323</v>
      </c>
      <c r="C80" s="28"/>
      <c r="D80" s="28"/>
      <c r="E80" s="28"/>
      <c r="F80" s="28"/>
      <c r="G80" s="28"/>
      <c r="I80" s="28"/>
      <c r="J80" s="28"/>
      <c r="K80" s="28"/>
      <c r="L80" s="28"/>
      <c r="N80" s="28"/>
      <c r="O80" s="28"/>
      <c r="P80" s="28"/>
    </row>
    <row r="81" spans="1:16" s="31" customFormat="1" ht="13.8" x14ac:dyDescent="0.25">
      <c r="A81" s="30" t="s">
        <v>556</v>
      </c>
      <c r="B81" s="53" t="s">
        <v>846</v>
      </c>
      <c r="H81" s="31" t="s">
        <v>557</v>
      </c>
      <c r="I81" s="32"/>
      <c r="J81" s="32"/>
      <c r="O81" s="32"/>
      <c r="P81" s="32"/>
    </row>
    <row r="82" spans="1:16" s="29" customFormat="1" x14ac:dyDescent="0.3">
      <c r="A82" s="27" t="s">
        <v>206</v>
      </c>
      <c r="B82" s="50" t="s">
        <v>320</v>
      </c>
      <c r="C82" s="28"/>
      <c r="D82" s="28"/>
      <c r="E82" s="28"/>
      <c r="F82" s="28"/>
      <c r="G82" s="28"/>
      <c r="I82" s="28"/>
      <c r="J82" s="28"/>
      <c r="K82" s="28"/>
      <c r="L82" s="28"/>
      <c r="N82" s="28"/>
      <c r="O82" s="28"/>
      <c r="P82" s="28"/>
    </row>
    <row r="83" spans="1:16" s="31" customFormat="1" ht="13.8" x14ac:dyDescent="0.25">
      <c r="A83" s="30" t="s">
        <v>312</v>
      </c>
      <c r="B83" s="53" t="s">
        <v>427</v>
      </c>
      <c r="F83" s="32">
        <v>1</v>
      </c>
      <c r="I83" s="32"/>
      <c r="J83" s="32"/>
      <c r="K83" s="32" t="s">
        <v>41</v>
      </c>
      <c r="O83" s="32"/>
      <c r="P83" s="32"/>
    </row>
    <row r="84" spans="1:16" s="31" customFormat="1" ht="13.8" x14ac:dyDescent="0.25">
      <c r="A84" s="30" t="s">
        <v>313</v>
      </c>
      <c r="B84" s="53" t="s">
        <v>428</v>
      </c>
      <c r="I84" s="32"/>
      <c r="J84" s="32"/>
      <c r="K84" s="32" t="s">
        <v>41</v>
      </c>
      <c r="O84" s="32"/>
      <c r="P84" s="32"/>
    </row>
    <row r="85" spans="1:16" s="31" customFormat="1" ht="13.8" x14ac:dyDescent="0.25">
      <c r="A85" s="30" t="s">
        <v>316</v>
      </c>
      <c r="B85" s="53" t="s">
        <v>429</v>
      </c>
      <c r="H85" s="33" t="s">
        <v>444</v>
      </c>
      <c r="I85" s="32"/>
      <c r="J85" s="32"/>
      <c r="K85" s="32" t="s">
        <v>41</v>
      </c>
      <c r="O85" s="32"/>
      <c r="P85" s="32"/>
    </row>
    <row r="86" spans="1:16" s="31" customFormat="1" ht="13.8" x14ac:dyDescent="0.25">
      <c r="A86" s="30" t="s">
        <v>318</v>
      </c>
      <c r="B86" s="53" t="s">
        <v>430</v>
      </c>
      <c r="H86" s="33" t="s">
        <v>444</v>
      </c>
      <c r="I86" s="32"/>
      <c r="J86" s="32"/>
      <c r="K86" s="32" t="s">
        <v>41</v>
      </c>
      <c r="O86" s="32"/>
      <c r="P86" s="32"/>
    </row>
    <row r="87" spans="1:16" s="31" customFormat="1" ht="13.8" x14ac:dyDescent="0.25">
      <c r="A87" s="30" t="s">
        <v>530</v>
      </c>
      <c r="B87" s="53" t="s">
        <v>531</v>
      </c>
      <c r="C87" s="32" t="s">
        <v>216</v>
      </c>
      <c r="H87" s="33" t="s">
        <v>231</v>
      </c>
      <c r="I87" s="32"/>
      <c r="J87" s="32"/>
      <c r="K87" s="32"/>
      <c r="O87" s="32"/>
      <c r="P87" s="32"/>
    </row>
    <row r="88" spans="1:16" s="29" customFormat="1" x14ac:dyDescent="0.3">
      <c r="A88" s="27" t="s">
        <v>206</v>
      </c>
      <c r="B88" s="50" t="s">
        <v>319</v>
      </c>
      <c r="C88" s="28"/>
      <c r="D88" s="28"/>
      <c r="E88" s="28"/>
      <c r="F88" s="28"/>
      <c r="G88" s="28"/>
      <c r="I88" s="28"/>
      <c r="J88" s="28"/>
      <c r="K88" s="28"/>
      <c r="L88" s="28"/>
      <c r="N88" s="28"/>
      <c r="O88" s="28"/>
      <c r="P88" s="28"/>
    </row>
    <row r="89" spans="1:16" s="31" customFormat="1" ht="13.8" x14ac:dyDescent="0.25">
      <c r="A89" s="30" t="s">
        <v>314</v>
      </c>
      <c r="B89" s="53" t="s">
        <v>431</v>
      </c>
      <c r="H89" s="31" t="s">
        <v>532</v>
      </c>
      <c r="I89" s="32"/>
      <c r="J89" s="32"/>
      <c r="O89" s="32"/>
      <c r="P89" s="32"/>
    </row>
    <row r="90" spans="1:16" s="31" customFormat="1" ht="13.8" x14ac:dyDescent="0.25">
      <c r="A90" s="30" t="s">
        <v>315</v>
      </c>
      <c r="B90" s="53" t="s">
        <v>432</v>
      </c>
      <c r="H90" s="31" t="s">
        <v>440</v>
      </c>
      <c r="I90" s="32"/>
      <c r="J90" s="32"/>
      <c r="O90" s="32"/>
      <c r="P90" s="32"/>
    </row>
    <row r="91" spans="1:16" s="31" customFormat="1" ht="13.8" x14ac:dyDescent="0.25">
      <c r="A91" s="30" t="s">
        <v>137</v>
      </c>
      <c r="B91" s="53" t="s">
        <v>433</v>
      </c>
      <c r="C91" s="31" t="s">
        <v>217</v>
      </c>
      <c r="H91" s="31" t="s">
        <v>441</v>
      </c>
      <c r="I91" s="32"/>
      <c r="J91" s="32"/>
      <c r="O91" s="32"/>
      <c r="P91" s="32"/>
    </row>
    <row r="92" spans="1:16" s="31" customFormat="1" ht="13.8" x14ac:dyDescent="0.25">
      <c r="A92" s="30" t="s">
        <v>317</v>
      </c>
      <c r="B92" s="53" t="s">
        <v>434</v>
      </c>
      <c r="H92" s="31" t="s">
        <v>442</v>
      </c>
      <c r="I92" s="32"/>
      <c r="J92" s="32"/>
      <c r="O92" s="32"/>
      <c r="P92" s="32"/>
    </row>
    <row r="93" spans="1:16" s="31" customFormat="1" ht="13.8" x14ac:dyDescent="0.25">
      <c r="A93" s="30" t="s">
        <v>136</v>
      </c>
      <c r="B93" s="53" t="s">
        <v>435</v>
      </c>
      <c r="C93" s="31" t="s">
        <v>217</v>
      </c>
      <c r="H93" s="31" t="s">
        <v>443</v>
      </c>
      <c r="I93" s="32"/>
      <c r="J93" s="32"/>
      <c r="O93" s="32"/>
      <c r="P93" s="32"/>
    </row>
    <row r="94" spans="1:16" s="31" customFormat="1" ht="13.8" x14ac:dyDescent="0.25">
      <c r="A94" s="30" t="s">
        <v>521</v>
      </c>
      <c r="B94" s="53" t="s">
        <v>522</v>
      </c>
      <c r="C94" s="31" t="s">
        <v>216</v>
      </c>
      <c r="H94" s="31" t="s">
        <v>523</v>
      </c>
      <c r="I94" s="32"/>
      <c r="J94" s="32"/>
      <c r="O94" s="32"/>
      <c r="P94" s="32"/>
    </row>
    <row r="95" spans="1:16" s="29" customFormat="1" x14ac:dyDescent="0.3">
      <c r="A95" s="27" t="s">
        <v>206</v>
      </c>
      <c r="B95" s="50" t="s">
        <v>321</v>
      </c>
      <c r="C95" s="28"/>
      <c r="D95" s="28"/>
      <c r="E95" s="28"/>
      <c r="F95" s="28"/>
      <c r="G95" s="28"/>
      <c r="I95" s="28"/>
      <c r="J95" s="28"/>
      <c r="K95" s="28"/>
      <c r="L95" s="28"/>
      <c r="N95" s="28"/>
      <c r="O95" s="28"/>
      <c r="P95" s="28"/>
    </row>
    <row r="96" spans="1:16" s="31" customFormat="1" ht="13.8" x14ac:dyDescent="0.25">
      <c r="A96" s="30" t="s">
        <v>143</v>
      </c>
      <c r="B96" s="53" t="s">
        <v>445</v>
      </c>
      <c r="C96" s="31" t="s">
        <v>220</v>
      </c>
      <c r="F96" s="31">
        <v>0</v>
      </c>
      <c r="I96" s="32"/>
      <c r="J96" s="32"/>
      <c r="K96" s="32" t="s">
        <v>43</v>
      </c>
      <c r="O96" s="32"/>
      <c r="P96" s="32"/>
    </row>
    <row r="97" spans="1:16" s="31" customFormat="1" ht="13.8" x14ac:dyDescent="0.25">
      <c r="A97" s="30" t="s">
        <v>140</v>
      </c>
      <c r="B97" s="53" t="s">
        <v>446</v>
      </c>
      <c r="C97" s="31" t="s">
        <v>220</v>
      </c>
      <c r="I97" s="32"/>
      <c r="J97" s="32"/>
      <c r="K97" s="32" t="s">
        <v>43</v>
      </c>
      <c r="O97" s="32"/>
      <c r="P97" s="32"/>
    </row>
    <row r="98" spans="1:16" s="31" customFormat="1" ht="13.8" x14ac:dyDescent="0.25">
      <c r="A98" s="30" t="s">
        <v>141</v>
      </c>
      <c r="B98" s="53" t="s">
        <v>447</v>
      </c>
      <c r="C98" s="31" t="s">
        <v>220</v>
      </c>
      <c r="I98" s="32"/>
      <c r="J98" s="32"/>
      <c r="K98" s="32" t="s">
        <v>43</v>
      </c>
      <c r="O98" s="32"/>
      <c r="P98" s="32"/>
    </row>
    <row r="99" spans="1:16" s="31" customFormat="1" ht="13.8" x14ac:dyDescent="0.25">
      <c r="A99" s="30" t="s">
        <v>142</v>
      </c>
      <c r="B99" s="53" t="s">
        <v>448</v>
      </c>
      <c r="C99" s="31" t="s">
        <v>220</v>
      </c>
      <c r="H99" s="31" t="s">
        <v>324</v>
      </c>
      <c r="I99" s="32"/>
      <c r="J99" s="32"/>
      <c r="O99" s="32"/>
      <c r="P99" s="32"/>
    </row>
    <row r="100" spans="1:16" s="29" customFormat="1" x14ac:dyDescent="0.3">
      <c r="A100" s="27" t="s">
        <v>206</v>
      </c>
      <c r="B100" s="50" t="s">
        <v>722</v>
      </c>
      <c r="C100" s="28"/>
      <c r="D100" s="28"/>
      <c r="E100" s="28"/>
      <c r="F100" s="28"/>
      <c r="G100" s="28"/>
      <c r="I100" s="28"/>
      <c r="J100" s="28"/>
      <c r="K100" s="28"/>
      <c r="L100" s="28"/>
      <c r="N100" s="28"/>
      <c r="O100" s="28"/>
      <c r="P100" s="28"/>
    </row>
    <row r="101" spans="1:16" s="38" customFormat="1" x14ac:dyDescent="0.3">
      <c r="A101" s="39" t="s">
        <v>693</v>
      </c>
      <c r="B101" s="54" t="s">
        <v>793</v>
      </c>
      <c r="C101" s="39"/>
      <c r="D101" s="40"/>
      <c r="E101" s="40"/>
      <c r="F101" s="40">
        <v>0</v>
      </c>
      <c r="G101" s="40">
        <v>1</v>
      </c>
      <c r="H101" s="41"/>
      <c r="I101" s="37"/>
      <c r="J101" s="37"/>
      <c r="K101" s="37" t="s">
        <v>45</v>
      </c>
      <c r="L101" s="37"/>
      <c r="N101" s="37"/>
      <c r="O101" s="37"/>
      <c r="P101" s="37"/>
    </row>
    <row r="102" spans="1:16" s="38" customFormat="1" x14ac:dyDescent="0.3">
      <c r="A102" s="39" t="s">
        <v>694</v>
      </c>
      <c r="B102" s="54" t="s">
        <v>794</v>
      </c>
      <c r="C102" s="40" t="s">
        <v>749</v>
      </c>
      <c r="D102" s="40"/>
      <c r="E102" s="40"/>
      <c r="F102" s="40"/>
      <c r="G102" s="40"/>
      <c r="H102" s="41" t="s">
        <v>750</v>
      </c>
      <c r="I102" s="37"/>
      <c r="J102" s="37"/>
      <c r="K102" s="37"/>
      <c r="L102" s="37"/>
      <c r="N102" s="37"/>
      <c r="O102" s="37"/>
      <c r="P102" s="37"/>
    </row>
    <row r="103" spans="1:16" s="38" customFormat="1" x14ac:dyDescent="0.3">
      <c r="A103" s="39" t="s">
        <v>634</v>
      </c>
      <c r="B103" s="54" t="s">
        <v>795</v>
      </c>
      <c r="C103" s="40"/>
      <c r="D103" s="40"/>
      <c r="E103" s="40"/>
      <c r="F103" s="40"/>
      <c r="G103" s="40"/>
      <c r="H103" s="41"/>
      <c r="I103" s="37"/>
      <c r="J103" s="37"/>
      <c r="K103" s="37" t="s">
        <v>45</v>
      </c>
      <c r="L103" s="37"/>
      <c r="N103" s="37"/>
      <c r="O103" s="37"/>
      <c r="P103" s="37"/>
    </row>
    <row r="104" spans="1:16" s="38" customFormat="1" x14ac:dyDescent="0.3">
      <c r="A104" s="39" t="s">
        <v>635</v>
      </c>
      <c r="B104" s="54" t="s">
        <v>796</v>
      </c>
      <c r="C104" s="40"/>
      <c r="D104" s="40"/>
      <c r="E104" s="40"/>
      <c r="F104" s="40"/>
      <c r="G104" s="40"/>
      <c r="H104" s="41"/>
      <c r="I104" s="37"/>
      <c r="J104" s="37"/>
      <c r="K104" s="37" t="s">
        <v>45</v>
      </c>
      <c r="L104" s="37"/>
      <c r="N104" s="37"/>
      <c r="O104" s="37"/>
      <c r="P104" s="37"/>
    </row>
    <row r="105" spans="1:16" s="38" customFormat="1" x14ac:dyDescent="0.3">
      <c r="A105" s="39" t="s">
        <v>636</v>
      </c>
      <c r="B105" s="54" t="s">
        <v>797</v>
      </c>
      <c r="C105" s="40"/>
      <c r="D105" s="40"/>
      <c r="E105" s="40"/>
      <c r="F105" s="40"/>
      <c r="G105" s="40"/>
      <c r="H105" s="41"/>
      <c r="I105" s="37"/>
      <c r="J105" s="37"/>
      <c r="K105" s="37" t="s">
        <v>45</v>
      </c>
      <c r="L105" s="37"/>
      <c r="N105" s="37"/>
      <c r="O105" s="37"/>
      <c r="P105" s="37"/>
    </row>
    <row r="106" spans="1:16" s="38" customFormat="1" x14ac:dyDescent="0.3">
      <c r="A106" s="39" t="s">
        <v>637</v>
      </c>
      <c r="B106" s="54" t="s">
        <v>798</v>
      </c>
      <c r="C106" s="40"/>
      <c r="D106" s="40"/>
      <c r="E106" s="40"/>
      <c r="F106" s="40"/>
      <c r="G106" s="40"/>
      <c r="H106" s="41"/>
      <c r="I106" s="37"/>
      <c r="J106" s="37"/>
      <c r="K106" s="37" t="s">
        <v>45</v>
      </c>
      <c r="L106" s="37"/>
      <c r="N106" s="37"/>
      <c r="O106" s="37"/>
      <c r="P106" s="37"/>
    </row>
    <row r="107" spans="1:16" s="38" customFormat="1" ht="16.5" customHeight="1" x14ac:dyDescent="0.3">
      <c r="A107" s="39" t="s">
        <v>638</v>
      </c>
      <c r="B107" s="54" t="s">
        <v>799</v>
      </c>
      <c r="C107" s="40"/>
      <c r="D107" s="40"/>
      <c r="E107" s="40"/>
      <c r="F107" s="40"/>
      <c r="G107" s="40"/>
      <c r="H107" s="41"/>
      <c r="I107" s="37"/>
      <c r="J107" s="37"/>
      <c r="K107" s="37" t="s">
        <v>45</v>
      </c>
      <c r="L107" s="37"/>
      <c r="N107" s="37"/>
      <c r="O107" s="37"/>
      <c r="P107" s="37"/>
    </row>
    <row r="108" spans="1:16" s="31" customFormat="1" x14ac:dyDescent="0.3">
      <c r="A108" s="31" t="s">
        <v>639</v>
      </c>
      <c r="B108" s="54" t="s">
        <v>800</v>
      </c>
      <c r="C108" s="32"/>
      <c r="I108" s="32"/>
      <c r="J108" s="32"/>
      <c r="K108" s="37" t="s">
        <v>45</v>
      </c>
      <c r="O108" s="32"/>
      <c r="P108" s="32"/>
    </row>
    <row r="109" spans="1:16" s="31" customFormat="1" x14ac:dyDescent="0.3">
      <c r="A109" s="30" t="s">
        <v>640</v>
      </c>
      <c r="B109" s="54" t="s">
        <v>801</v>
      </c>
      <c r="C109" s="32"/>
      <c r="I109" s="32"/>
      <c r="J109" s="32"/>
      <c r="K109" s="37" t="s">
        <v>45</v>
      </c>
      <c r="O109" s="32"/>
      <c r="P109" s="32"/>
    </row>
    <row r="110" spans="1:16" s="31" customFormat="1" ht="13.8" x14ac:dyDescent="0.25">
      <c r="A110" s="30" t="s">
        <v>695</v>
      </c>
      <c r="B110" s="54" t="s">
        <v>802</v>
      </c>
      <c r="C110" s="32" t="s">
        <v>216</v>
      </c>
      <c r="H110" s="31" t="s">
        <v>702</v>
      </c>
      <c r="I110" s="32"/>
      <c r="J110" s="32"/>
      <c r="O110" s="32"/>
      <c r="P110" s="32"/>
    </row>
    <row r="111" spans="1:16" s="38" customFormat="1" x14ac:dyDescent="0.3">
      <c r="A111" s="39" t="s">
        <v>696</v>
      </c>
      <c r="B111" s="55" t="s">
        <v>803</v>
      </c>
      <c r="C111" s="32"/>
      <c r="D111" s="40"/>
      <c r="E111" s="40"/>
      <c r="F111" s="31"/>
      <c r="G111" s="31"/>
      <c r="H111" s="31" t="s">
        <v>697</v>
      </c>
      <c r="I111" s="37"/>
      <c r="J111" s="37"/>
      <c r="K111" s="37"/>
      <c r="L111" s="37"/>
      <c r="N111" s="37"/>
      <c r="O111" s="37"/>
      <c r="P111" s="37"/>
    </row>
    <row r="112" spans="1:16" x14ac:dyDescent="0.3">
      <c r="A112" s="30" t="s">
        <v>698</v>
      </c>
      <c r="B112" s="54" t="s">
        <v>804</v>
      </c>
      <c r="C112" s="32" t="s">
        <v>216</v>
      </c>
      <c r="F112" s="31"/>
      <c r="G112" s="31"/>
      <c r="H112" s="31" t="s">
        <v>704</v>
      </c>
      <c r="I112"/>
      <c r="J112"/>
      <c r="O112"/>
      <c r="P112"/>
    </row>
    <row r="113" spans="1:16" s="31" customFormat="1" ht="13.8" x14ac:dyDescent="0.25">
      <c r="A113" s="30" t="s">
        <v>699</v>
      </c>
      <c r="B113" s="55" t="s">
        <v>805</v>
      </c>
      <c r="C113" s="32"/>
      <c r="H113" s="31" t="s">
        <v>700</v>
      </c>
      <c r="I113" s="32"/>
      <c r="J113" s="32"/>
      <c r="O113" s="32"/>
      <c r="P113" s="32"/>
    </row>
    <row r="114" spans="1:16" s="31" customFormat="1" ht="13.8" x14ac:dyDescent="0.25">
      <c r="A114" s="30" t="s">
        <v>701</v>
      </c>
      <c r="B114" s="54" t="s">
        <v>847</v>
      </c>
      <c r="C114" s="32" t="s">
        <v>216</v>
      </c>
      <c r="H114" s="31" t="s">
        <v>703</v>
      </c>
      <c r="I114" s="32"/>
      <c r="J114" s="32"/>
      <c r="O114" s="32"/>
      <c r="P114" s="32"/>
    </row>
    <row r="115" spans="1:16" s="31" customFormat="1" ht="13.8" x14ac:dyDescent="0.25">
      <c r="A115" s="30" t="s">
        <v>705</v>
      </c>
      <c r="B115" s="55" t="s">
        <v>806</v>
      </c>
      <c r="C115" s="32"/>
      <c r="H115" s="31" t="s">
        <v>706</v>
      </c>
      <c r="I115" s="32"/>
      <c r="J115" s="32"/>
      <c r="K115" s="32"/>
      <c r="O115" s="32"/>
      <c r="P115" s="32"/>
    </row>
    <row r="116" spans="1:16" s="31" customFormat="1" ht="13.8" x14ac:dyDescent="0.25">
      <c r="A116" s="30" t="s">
        <v>707</v>
      </c>
      <c r="B116" s="54" t="s">
        <v>807</v>
      </c>
      <c r="C116" s="32" t="s">
        <v>216</v>
      </c>
      <c r="H116" s="31" t="s">
        <v>714</v>
      </c>
      <c r="I116" s="32"/>
      <c r="J116" s="32"/>
      <c r="K116" s="32"/>
      <c r="O116" s="32"/>
      <c r="P116" s="32"/>
    </row>
    <row r="117" spans="1:16" s="31" customFormat="1" ht="13.8" x14ac:dyDescent="0.25">
      <c r="A117" s="30" t="s">
        <v>708</v>
      </c>
      <c r="B117" s="55" t="s">
        <v>808</v>
      </c>
      <c r="C117" s="32"/>
      <c r="H117" s="31" t="s">
        <v>715</v>
      </c>
      <c r="I117" s="32"/>
      <c r="J117" s="32"/>
      <c r="K117" s="32"/>
      <c r="O117" s="32"/>
      <c r="P117" s="32"/>
    </row>
    <row r="118" spans="1:16" s="31" customFormat="1" ht="13.8" x14ac:dyDescent="0.25">
      <c r="A118" s="30" t="s">
        <v>709</v>
      </c>
      <c r="B118" s="54" t="s">
        <v>809</v>
      </c>
      <c r="C118" s="32" t="s">
        <v>216</v>
      </c>
      <c r="H118" s="31" t="s">
        <v>716</v>
      </c>
      <c r="I118" s="32"/>
      <c r="J118" s="32"/>
      <c r="K118" s="32"/>
      <c r="O118" s="32"/>
      <c r="P118" s="32"/>
    </row>
    <row r="119" spans="1:16" s="31" customFormat="1" ht="13.8" x14ac:dyDescent="0.25">
      <c r="A119" s="30" t="s">
        <v>710</v>
      </c>
      <c r="B119" s="55" t="s">
        <v>810</v>
      </c>
      <c r="C119" s="32"/>
      <c r="H119" s="31" t="s">
        <v>717</v>
      </c>
      <c r="I119" s="32"/>
      <c r="J119" s="32"/>
      <c r="K119" s="32"/>
      <c r="O119" s="32"/>
      <c r="P119" s="32"/>
    </row>
    <row r="120" spans="1:16" s="31" customFormat="1" ht="13.8" x14ac:dyDescent="0.25">
      <c r="A120" s="30" t="s">
        <v>711</v>
      </c>
      <c r="B120" s="54" t="s">
        <v>751</v>
      </c>
      <c r="C120" s="32" t="s">
        <v>216</v>
      </c>
      <c r="H120" s="31" t="s">
        <v>719</v>
      </c>
      <c r="I120" s="32"/>
      <c r="J120" s="32"/>
      <c r="K120" s="32"/>
      <c r="O120" s="32"/>
      <c r="P120" s="32"/>
    </row>
    <row r="121" spans="1:16" s="31" customFormat="1" ht="13.8" x14ac:dyDescent="0.25">
      <c r="A121" s="30" t="s">
        <v>712</v>
      </c>
      <c r="B121" s="55" t="s">
        <v>811</v>
      </c>
      <c r="C121" s="32"/>
      <c r="H121" s="31" t="s">
        <v>718</v>
      </c>
      <c r="I121" s="32"/>
      <c r="J121" s="32"/>
      <c r="K121" s="32"/>
      <c r="O121" s="32"/>
      <c r="P121" s="32"/>
    </row>
    <row r="122" spans="1:16" s="31" customFormat="1" ht="13.8" x14ac:dyDescent="0.25">
      <c r="A122" s="30" t="s">
        <v>713</v>
      </c>
      <c r="B122" s="54" t="s">
        <v>812</v>
      </c>
      <c r="C122" s="32" t="s">
        <v>216</v>
      </c>
      <c r="H122" s="31" t="s">
        <v>720</v>
      </c>
      <c r="I122" s="32"/>
      <c r="J122" s="32"/>
      <c r="K122" s="32"/>
      <c r="O122" s="32"/>
      <c r="P122" s="32"/>
    </row>
    <row r="123" spans="1:16" s="29" customFormat="1" x14ac:dyDescent="0.3">
      <c r="A123" s="27" t="s">
        <v>206</v>
      </c>
      <c r="B123" s="50" t="s">
        <v>723</v>
      </c>
      <c r="C123" s="28"/>
      <c r="D123" s="28"/>
      <c r="E123" s="28"/>
      <c r="F123" s="28"/>
      <c r="G123" s="28"/>
      <c r="I123" s="28"/>
      <c r="J123" s="28"/>
      <c r="K123" s="28"/>
      <c r="L123" s="28"/>
      <c r="N123" s="28"/>
      <c r="O123" s="28"/>
      <c r="P123" s="28"/>
    </row>
    <row r="124" spans="1:16" s="38" customFormat="1" x14ac:dyDescent="0.3">
      <c r="A124" s="39" t="s">
        <v>731</v>
      </c>
      <c r="B124" s="54" t="s">
        <v>813</v>
      </c>
      <c r="C124" s="40"/>
      <c r="D124" s="40"/>
      <c r="E124" s="40"/>
      <c r="F124" s="40">
        <v>0</v>
      </c>
      <c r="G124" s="40">
        <v>1</v>
      </c>
      <c r="H124" s="41"/>
      <c r="I124" s="37"/>
      <c r="J124" s="37"/>
      <c r="K124" s="37" t="s">
        <v>45</v>
      </c>
      <c r="L124" s="37"/>
      <c r="N124" s="37"/>
      <c r="O124" s="37"/>
      <c r="P124" s="37"/>
    </row>
    <row r="125" spans="1:16" s="38" customFormat="1" x14ac:dyDescent="0.3">
      <c r="A125" s="39" t="s">
        <v>752</v>
      </c>
      <c r="B125" s="55" t="s">
        <v>814</v>
      </c>
      <c r="C125" s="40"/>
      <c r="D125" s="40"/>
      <c r="E125" s="40"/>
      <c r="F125" s="40"/>
      <c r="G125" s="40"/>
      <c r="H125" s="41"/>
      <c r="I125" s="37"/>
      <c r="J125" s="37"/>
      <c r="K125" s="37" t="s">
        <v>45</v>
      </c>
      <c r="L125" s="37"/>
      <c r="N125" s="37"/>
      <c r="O125" s="37"/>
      <c r="P125" s="37"/>
    </row>
    <row r="126" spans="1:16" s="38" customFormat="1" x14ac:dyDescent="0.3">
      <c r="A126" s="39" t="s">
        <v>753</v>
      </c>
      <c r="B126" s="55" t="s">
        <v>815</v>
      </c>
      <c r="C126" s="40"/>
      <c r="D126" s="40"/>
      <c r="E126" s="40"/>
      <c r="F126" s="40"/>
      <c r="G126" s="40"/>
      <c r="H126" s="41" t="s">
        <v>787</v>
      </c>
      <c r="I126" s="37"/>
      <c r="J126" s="37"/>
      <c r="K126" s="37"/>
      <c r="L126" s="37"/>
      <c r="N126" s="37"/>
      <c r="O126" s="37"/>
      <c r="P126" s="37"/>
    </row>
    <row r="127" spans="1:16" s="38" customFormat="1" x14ac:dyDescent="0.3">
      <c r="A127" s="39" t="s">
        <v>733</v>
      </c>
      <c r="B127" s="55" t="s">
        <v>816</v>
      </c>
      <c r="C127" s="40"/>
      <c r="D127" s="40"/>
      <c r="E127" s="40"/>
      <c r="F127" s="40"/>
      <c r="G127" s="40"/>
      <c r="H127" s="41" t="s">
        <v>754</v>
      </c>
      <c r="I127" s="37"/>
      <c r="J127" s="37"/>
      <c r="K127" s="37"/>
      <c r="L127" s="37"/>
      <c r="N127" s="37"/>
      <c r="O127" s="37"/>
      <c r="P127" s="37"/>
    </row>
    <row r="128" spans="1:16" s="38" customFormat="1" x14ac:dyDescent="0.3">
      <c r="A128" s="39" t="s">
        <v>724</v>
      </c>
      <c r="B128" s="54" t="s">
        <v>817</v>
      </c>
      <c r="C128" s="40"/>
      <c r="D128" s="40"/>
      <c r="E128" s="40"/>
      <c r="F128" s="40"/>
      <c r="G128" s="40"/>
      <c r="H128" s="41"/>
      <c r="I128" s="40"/>
      <c r="J128" s="40"/>
      <c r="K128" s="40" t="s">
        <v>45</v>
      </c>
      <c r="L128" s="37"/>
      <c r="N128" s="37"/>
      <c r="O128" s="37"/>
      <c r="P128" s="37"/>
    </row>
    <row r="129" spans="1:16" s="38" customFormat="1" x14ac:dyDescent="0.3">
      <c r="A129" s="39" t="s">
        <v>725</v>
      </c>
      <c r="B129" s="54" t="s">
        <v>818</v>
      </c>
      <c r="C129" s="40"/>
      <c r="D129" s="40"/>
      <c r="E129" s="40"/>
      <c r="F129" s="40"/>
      <c r="G129" s="40"/>
      <c r="H129" s="41"/>
      <c r="I129" s="40"/>
      <c r="J129" s="40"/>
      <c r="K129" s="40" t="s">
        <v>45</v>
      </c>
      <c r="L129" s="37"/>
      <c r="N129" s="37"/>
      <c r="O129" s="37"/>
      <c r="P129" s="37"/>
    </row>
    <row r="130" spans="1:16" s="38" customFormat="1" x14ac:dyDescent="0.3">
      <c r="A130" s="39" t="s">
        <v>726</v>
      </c>
      <c r="B130" s="54" t="s">
        <v>819</v>
      </c>
      <c r="C130" s="40"/>
      <c r="D130" s="40"/>
      <c r="E130" s="40"/>
      <c r="F130" s="40"/>
      <c r="G130" s="40"/>
      <c r="H130" s="41"/>
      <c r="I130" s="40"/>
      <c r="J130" s="40"/>
      <c r="K130" s="40" t="s">
        <v>45</v>
      </c>
      <c r="L130" s="37"/>
      <c r="N130" s="37"/>
      <c r="O130" s="37"/>
      <c r="P130" s="37"/>
    </row>
    <row r="131" spans="1:16" s="38" customFormat="1" x14ac:dyDescent="0.3">
      <c r="A131" s="39" t="s">
        <v>727</v>
      </c>
      <c r="B131" s="54" t="s">
        <v>820</v>
      </c>
      <c r="C131" s="40"/>
      <c r="D131" s="40"/>
      <c r="E131" s="40"/>
      <c r="F131" s="40"/>
      <c r="G131" s="40"/>
      <c r="H131" s="41"/>
      <c r="I131" s="40"/>
      <c r="J131" s="40"/>
      <c r="K131" s="40" t="s">
        <v>45</v>
      </c>
      <c r="L131" s="37"/>
      <c r="N131" s="37"/>
      <c r="O131" s="37"/>
      <c r="P131" s="37"/>
    </row>
    <row r="132" spans="1:16" s="38" customFormat="1" x14ac:dyDescent="0.3">
      <c r="A132" s="39" t="s">
        <v>728</v>
      </c>
      <c r="B132" s="54" t="s">
        <v>821</v>
      </c>
      <c r="C132" s="40"/>
      <c r="D132" s="40"/>
      <c r="E132" s="40"/>
      <c r="F132" s="40"/>
      <c r="G132" s="40"/>
      <c r="H132" s="41"/>
      <c r="I132" s="40"/>
      <c r="J132" s="40"/>
      <c r="K132" s="40" t="s">
        <v>45</v>
      </c>
      <c r="L132" s="37"/>
      <c r="N132" s="37"/>
      <c r="O132" s="37"/>
      <c r="P132" s="37"/>
    </row>
    <row r="133" spans="1:16" ht="18.75" customHeight="1" x14ac:dyDescent="0.3">
      <c r="A133" s="39" t="s">
        <v>755</v>
      </c>
      <c r="B133" s="54" t="s">
        <v>822</v>
      </c>
      <c r="C133" s="31"/>
      <c r="D133" s="31"/>
      <c r="E133" s="31"/>
      <c r="F133" s="31"/>
      <c r="G133" s="31"/>
      <c r="H133" s="31" t="s">
        <v>756</v>
      </c>
      <c r="I133" s="32"/>
      <c r="J133" s="32"/>
      <c r="K133" s="31"/>
    </row>
    <row r="134" spans="1:16" s="38" customFormat="1" ht="15.75" customHeight="1" x14ac:dyDescent="0.3">
      <c r="A134" s="41" t="s">
        <v>757</v>
      </c>
      <c r="B134" s="56" t="s">
        <v>823</v>
      </c>
      <c r="C134" s="40" t="s">
        <v>216</v>
      </c>
      <c r="D134" s="41"/>
      <c r="E134" s="41"/>
      <c r="F134" s="41"/>
      <c r="G134" s="41"/>
      <c r="H134" s="41" t="s">
        <v>758</v>
      </c>
      <c r="I134" s="41"/>
      <c r="J134" s="41"/>
      <c r="K134" s="41"/>
      <c r="L134" s="37"/>
      <c r="N134" s="37"/>
      <c r="O134" s="37"/>
      <c r="P134" s="37"/>
    </row>
    <row r="135" spans="1:16" s="38" customFormat="1" x14ac:dyDescent="0.3">
      <c r="A135" s="41" t="s">
        <v>759</v>
      </c>
      <c r="B135" s="56" t="s">
        <v>824</v>
      </c>
      <c r="C135" s="41"/>
      <c r="D135" s="41"/>
      <c r="E135" s="41"/>
      <c r="F135" s="41"/>
      <c r="G135" s="41"/>
      <c r="H135" s="41" t="s">
        <v>760</v>
      </c>
      <c r="I135" s="41"/>
      <c r="J135" s="41"/>
      <c r="K135" s="41"/>
      <c r="L135" s="37"/>
      <c r="N135" s="37"/>
      <c r="O135" s="37"/>
      <c r="P135" s="37"/>
    </row>
    <row r="136" spans="1:16" s="38" customFormat="1" x14ac:dyDescent="0.3">
      <c r="A136" s="38" t="s">
        <v>761</v>
      </c>
      <c r="B136" s="56" t="s">
        <v>825</v>
      </c>
      <c r="C136" s="41"/>
      <c r="D136" s="41"/>
      <c r="E136" s="41"/>
      <c r="F136" s="41"/>
      <c r="G136" s="41"/>
      <c r="H136" s="41" t="s">
        <v>762</v>
      </c>
      <c r="I136" s="41"/>
      <c r="J136" s="41"/>
      <c r="K136" s="41"/>
      <c r="L136" s="37"/>
      <c r="N136" s="37"/>
      <c r="O136" s="37"/>
      <c r="P136" s="37"/>
    </row>
    <row r="137" spans="1:16" s="38" customFormat="1" x14ac:dyDescent="0.3">
      <c r="A137" s="41" t="s">
        <v>763</v>
      </c>
      <c r="B137" s="56" t="s">
        <v>826</v>
      </c>
      <c r="C137" s="40" t="s">
        <v>216</v>
      </c>
      <c r="D137" s="41"/>
      <c r="E137" s="41"/>
      <c r="F137" s="41"/>
      <c r="G137" s="41"/>
      <c r="H137" s="41" t="s">
        <v>775</v>
      </c>
      <c r="I137" s="41"/>
      <c r="J137" s="41"/>
      <c r="K137" s="41"/>
      <c r="L137" s="37"/>
      <c r="N137" s="37"/>
      <c r="O137" s="37"/>
      <c r="P137" s="37"/>
    </row>
    <row r="138" spans="1:16" s="38" customFormat="1" x14ac:dyDescent="0.3">
      <c r="A138" s="41" t="s">
        <v>764</v>
      </c>
      <c r="B138" s="56" t="s">
        <v>827</v>
      </c>
      <c r="C138" s="40"/>
      <c r="D138" s="41"/>
      <c r="E138" s="41"/>
      <c r="F138" s="41"/>
      <c r="G138" s="41"/>
      <c r="H138" s="41" t="s">
        <v>776</v>
      </c>
      <c r="I138" s="41"/>
      <c r="J138" s="41"/>
      <c r="K138" s="41"/>
      <c r="L138" s="37"/>
      <c r="N138" s="37"/>
      <c r="O138" s="37"/>
      <c r="P138" s="37"/>
    </row>
    <row r="139" spans="1:16" s="38" customFormat="1" x14ac:dyDescent="0.3">
      <c r="A139" s="41" t="s">
        <v>765</v>
      </c>
      <c r="B139" s="56" t="s">
        <v>828</v>
      </c>
      <c r="C139" s="40"/>
      <c r="D139" s="41"/>
      <c r="E139" s="41"/>
      <c r="F139" s="41"/>
      <c r="G139" s="41"/>
      <c r="H139" s="41" t="s">
        <v>777</v>
      </c>
      <c r="I139" s="41"/>
      <c r="J139" s="41"/>
      <c r="K139" s="41"/>
      <c r="L139" s="37"/>
      <c r="N139" s="37"/>
      <c r="O139" s="37"/>
      <c r="P139" s="37"/>
    </row>
    <row r="140" spans="1:16" s="38" customFormat="1" x14ac:dyDescent="0.3">
      <c r="A140" s="41" t="s">
        <v>766</v>
      </c>
      <c r="B140" s="56" t="s">
        <v>829</v>
      </c>
      <c r="C140" s="40" t="s">
        <v>216</v>
      </c>
      <c r="D140" s="41"/>
      <c r="E140" s="41"/>
      <c r="F140" s="41"/>
      <c r="G140" s="41"/>
      <c r="H140" s="41" t="s">
        <v>778</v>
      </c>
      <c r="I140" s="41"/>
      <c r="J140" s="41"/>
      <c r="K140" s="41"/>
      <c r="L140" s="37"/>
      <c r="N140" s="37"/>
      <c r="O140" s="37"/>
      <c r="P140" s="37"/>
    </row>
    <row r="141" spans="1:16" s="38" customFormat="1" x14ac:dyDescent="0.3">
      <c r="A141" s="41" t="s">
        <v>767</v>
      </c>
      <c r="B141" s="56" t="s">
        <v>830</v>
      </c>
      <c r="D141" s="41"/>
      <c r="E141" s="41"/>
      <c r="F141" s="41"/>
      <c r="G141" s="41"/>
      <c r="H141" s="41" t="s">
        <v>779</v>
      </c>
      <c r="I141" s="41"/>
      <c r="J141" s="41"/>
      <c r="K141" s="41"/>
      <c r="L141" s="37"/>
      <c r="N141" s="37"/>
      <c r="O141" s="37"/>
      <c r="P141" s="37"/>
    </row>
    <row r="142" spans="1:16" s="38" customFormat="1" x14ac:dyDescent="0.3">
      <c r="A142" s="41" t="s">
        <v>768</v>
      </c>
      <c r="B142" s="56" t="s">
        <v>831</v>
      </c>
      <c r="C142" s="40"/>
      <c r="D142" s="41"/>
      <c r="E142" s="41"/>
      <c r="F142" s="41"/>
      <c r="G142" s="41"/>
      <c r="H142" s="41" t="s">
        <v>780</v>
      </c>
      <c r="I142" s="41"/>
      <c r="J142" s="41"/>
      <c r="K142" s="41"/>
      <c r="L142" s="37"/>
      <c r="N142" s="37"/>
      <c r="O142" s="37"/>
      <c r="P142" s="37"/>
    </row>
    <row r="143" spans="1:16" s="38" customFormat="1" x14ac:dyDescent="0.3">
      <c r="A143" s="41" t="s">
        <v>769</v>
      </c>
      <c r="B143" s="56" t="s">
        <v>832</v>
      </c>
      <c r="C143" s="40" t="s">
        <v>216</v>
      </c>
      <c r="D143" s="41"/>
      <c r="E143" s="41"/>
      <c r="F143" s="41"/>
      <c r="G143" s="41"/>
      <c r="H143" s="41" t="s">
        <v>781</v>
      </c>
      <c r="I143" s="41"/>
      <c r="J143" s="41"/>
      <c r="K143" s="41"/>
      <c r="L143" s="37"/>
      <c r="N143" s="37"/>
      <c r="O143" s="37"/>
      <c r="P143" s="37"/>
    </row>
    <row r="144" spans="1:16" s="38" customFormat="1" x14ac:dyDescent="0.3">
      <c r="A144" s="41" t="s">
        <v>770</v>
      </c>
      <c r="B144" s="56" t="s">
        <v>833</v>
      </c>
      <c r="D144" s="41"/>
      <c r="E144" s="41"/>
      <c r="F144" s="41"/>
      <c r="G144" s="41"/>
      <c r="H144" s="41" t="s">
        <v>782</v>
      </c>
      <c r="I144" s="41"/>
      <c r="J144" s="41"/>
      <c r="K144" s="41"/>
      <c r="L144" s="37"/>
      <c r="N144" s="37"/>
      <c r="O144" s="37"/>
      <c r="P144" s="37"/>
    </row>
    <row r="145" spans="1:16" s="38" customFormat="1" x14ac:dyDescent="0.3">
      <c r="A145" s="41" t="s">
        <v>771</v>
      </c>
      <c r="B145" s="56" t="s">
        <v>834</v>
      </c>
      <c r="C145" s="40"/>
      <c r="D145" s="41"/>
      <c r="E145" s="41"/>
      <c r="F145" s="41"/>
      <c r="G145" s="41"/>
      <c r="H145" s="41" t="s">
        <v>783</v>
      </c>
      <c r="I145" s="41"/>
      <c r="J145" s="41"/>
      <c r="K145" s="41"/>
      <c r="L145" s="37"/>
      <c r="N145" s="37"/>
      <c r="O145" s="37"/>
      <c r="P145" s="37"/>
    </row>
    <row r="146" spans="1:16" s="38" customFormat="1" x14ac:dyDescent="0.3">
      <c r="A146" s="41" t="s">
        <v>772</v>
      </c>
      <c r="B146" s="56" t="s">
        <v>835</v>
      </c>
      <c r="C146" s="40" t="s">
        <v>216</v>
      </c>
      <c r="D146" s="41"/>
      <c r="E146" s="41"/>
      <c r="F146" s="41"/>
      <c r="G146" s="41"/>
      <c r="H146" s="41" t="s">
        <v>784</v>
      </c>
      <c r="I146" s="41"/>
      <c r="J146" s="41"/>
      <c r="K146" s="41"/>
      <c r="L146" s="37"/>
      <c r="N146" s="37"/>
      <c r="O146" s="37"/>
      <c r="P146" s="37"/>
    </row>
    <row r="147" spans="1:16" s="38" customFormat="1" x14ac:dyDescent="0.3">
      <c r="A147" s="41" t="s">
        <v>773</v>
      </c>
      <c r="B147" s="56" t="s">
        <v>836</v>
      </c>
      <c r="D147" s="41"/>
      <c r="E147" s="41"/>
      <c r="F147" s="41"/>
      <c r="G147" s="41"/>
      <c r="H147" s="41" t="s">
        <v>785</v>
      </c>
      <c r="I147" s="41"/>
      <c r="J147" s="41"/>
      <c r="K147" s="41"/>
      <c r="L147" s="37"/>
      <c r="N147" s="37"/>
      <c r="O147" s="37"/>
      <c r="P147" s="37"/>
    </row>
    <row r="148" spans="1:16" s="38" customFormat="1" x14ac:dyDescent="0.3">
      <c r="A148" s="41" t="s">
        <v>774</v>
      </c>
      <c r="B148" s="56" t="s">
        <v>837</v>
      </c>
      <c r="C148" s="41"/>
      <c r="D148" s="41"/>
      <c r="E148" s="41"/>
      <c r="F148" s="41"/>
      <c r="G148" s="41"/>
      <c r="H148" s="41" t="s">
        <v>786</v>
      </c>
      <c r="I148" s="41"/>
      <c r="J148" s="41"/>
      <c r="K148" s="41"/>
      <c r="L148" s="37"/>
      <c r="N148" s="37"/>
      <c r="O148" s="37"/>
      <c r="P148" s="37"/>
    </row>
    <row r="149" spans="1:16" s="38" customFormat="1" x14ac:dyDescent="0.3">
      <c r="A149" s="48" t="s">
        <v>732</v>
      </c>
      <c r="B149" s="54" t="s">
        <v>838</v>
      </c>
      <c r="C149" s="40"/>
      <c r="D149" s="40"/>
      <c r="E149" s="40"/>
      <c r="F149" s="40">
        <v>0</v>
      </c>
      <c r="G149" s="40">
        <v>1</v>
      </c>
      <c r="H149" s="41"/>
      <c r="I149" s="37"/>
      <c r="J149" s="37"/>
      <c r="K149" s="37" t="s">
        <v>45</v>
      </c>
      <c r="L149" s="37"/>
      <c r="N149" s="37"/>
      <c r="O149" s="37"/>
      <c r="P149" s="37"/>
    </row>
    <row r="150" spans="1:16" s="38" customFormat="1" x14ac:dyDescent="0.3">
      <c r="A150" s="48" t="s">
        <v>734</v>
      </c>
      <c r="B150" s="54" t="s">
        <v>839</v>
      </c>
      <c r="C150" s="40"/>
      <c r="D150" s="40"/>
      <c r="E150" s="40"/>
      <c r="F150" s="40"/>
      <c r="G150" s="40"/>
      <c r="H150" s="41" t="s">
        <v>735</v>
      </c>
      <c r="I150" s="37"/>
      <c r="J150" s="37"/>
      <c r="K150" s="37"/>
      <c r="L150" s="37"/>
      <c r="N150" s="37"/>
      <c r="O150" s="37"/>
      <c r="P150" s="37"/>
    </row>
    <row r="151" spans="1:16" s="38" customFormat="1" x14ac:dyDescent="0.3">
      <c r="A151" s="48" t="s">
        <v>729</v>
      </c>
      <c r="B151" s="55" t="s">
        <v>840</v>
      </c>
      <c r="C151" s="40" t="s">
        <v>216</v>
      </c>
      <c r="D151" s="40"/>
      <c r="E151" s="40"/>
      <c r="F151" s="40"/>
      <c r="G151" s="40"/>
      <c r="H151" s="41" t="s">
        <v>737</v>
      </c>
      <c r="I151" s="37"/>
      <c r="J151" s="37"/>
      <c r="K151" s="37"/>
      <c r="L151" s="37"/>
      <c r="N151" s="37"/>
      <c r="O151" s="37"/>
      <c r="P151" s="37"/>
    </row>
    <row r="152" spans="1:16" s="38" customFormat="1" x14ac:dyDescent="0.3">
      <c r="A152" s="38" t="s">
        <v>736</v>
      </c>
      <c r="B152" s="54" t="s">
        <v>841</v>
      </c>
      <c r="C152" s="40"/>
      <c r="D152" s="40"/>
      <c r="E152" s="40"/>
      <c r="F152" s="40"/>
      <c r="G152" s="40"/>
      <c r="H152" s="41" t="s">
        <v>739</v>
      </c>
      <c r="I152" s="37"/>
      <c r="J152" s="37"/>
      <c r="K152" s="37"/>
      <c r="L152" s="37"/>
      <c r="N152" s="37"/>
      <c r="O152" s="37"/>
      <c r="P152" s="37"/>
    </row>
    <row r="153" spans="1:16" s="38" customFormat="1" x14ac:dyDescent="0.3">
      <c r="A153" s="38" t="s">
        <v>730</v>
      </c>
      <c r="B153" s="55" t="s">
        <v>842</v>
      </c>
      <c r="C153" s="40" t="s">
        <v>216</v>
      </c>
      <c r="D153" s="40"/>
      <c r="E153" s="40"/>
      <c r="F153" s="40"/>
      <c r="G153" s="40"/>
      <c r="H153" s="41" t="s">
        <v>738</v>
      </c>
      <c r="I153" s="37"/>
      <c r="J153" s="37"/>
      <c r="K153" s="37"/>
      <c r="L153" s="37"/>
      <c r="N153" s="37"/>
      <c r="O153" s="37"/>
      <c r="P153" s="37"/>
    </row>
    <row r="154" spans="1:16" s="29" customFormat="1" x14ac:dyDescent="0.3">
      <c r="A154" s="27" t="s">
        <v>206</v>
      </c>
      <c r="B154" s="50" t="s">
        <v>325</v>
      </c>
      <c r="C154" s="28"/>
      <c r="D154" s="28"/>
      <c r="E154" s="28"/>
      <c r="F154" s="28"/>
      <c r="G154" s="28"/>
      <c r="I154" s="28"/>
      <c r="J154" s="28"/>
      <c r="K154" s="28"/>
      <c r="L154" s="28"/>
      <c r="N154" s="28"/>
      <c r="O154" s="28"/>
      <c r="P154" s="28"/>
    </row>
    <row r="155" spans="1:16" x14ac:dyDescent="0.3">
      <c r="A155" s="30" t="s">
        <v>326</v>
      </c>
      <c r="B155" s="53" t="s">
        <v>341</v>
      </c>
      <c r="F155">
        <v>1</v>
      </c>
      <c r="K155" s="2" t="s">
        <v>47</v>
      </c>
    </row>
    <row r="156" spans="1:16" x14ac:dyDescent="0.3">
      <c r="A156" s="30" t="s">
        <v>327</v>
      </c>
      <c r="B156" s="53" t="s">
        <v>342</v>
      </c>
      <c r="F156">
        <v>0.1</v>
      </c>
      <c r="G156">
        <v>0.4</v>
      </c>
      <c r="K156" s="2" t="s">
        <v>47</v>
      </c>
    </row>
    <row r="157" spans="1:16" x14ac:dyDescent="0.3">
      <c r="A157" s="30" t="s">
        <v>329</v>
      </c>
      <c r="B157" s="53" t="s">
        <v>343</v>
      </c>
      <c r="K157" s="2" t="s">
        <v>47</v>
      </c>
    </row>
    <row r="158" spans="1:16" x14ac:dyDescent="0.3">
      <c r="A158" s="30" t="s">
        <v>328</v>
      </c>
      <c r="B158" s="53" t="s">
        <v>350</v>
      </c>
      <c r="F158">
        <v>0.05</v>
      </c>
      <c r="G158">
        <v>0.5</v>
      </c>
      <c r="K158" s="2" t="s">
        <v>47</v>
      </c>
    </row>
    <row r="159" spans="1:16" x14ac:dyDescent="0.3">
      <c r="A159" s="30" t="s">
        <v>331</v>
      </c>
      <c r="B159" s="53" t="s">
        <v>346</v>
      </c>
      <c r="K159" s="2" t="s">
        <v>47</v>
      </c>
    </row>
    <row r="160" spans="1:16" ht="15.75" customHeight="1" x14ac:dyDescent="0.3">
      <c r="A160" s="30" t="s">
        <v>330</v>
      </c>
      <c r="B160" s="53" t="s">
        <v>345</v>
      </c>
      <c r="K160" s="2" t="s">
        <v>47</v>
      </c>
    </row>
    <row r="161" spans="1:16" x14ac:dyDescent="0.3">
      <c r="A161" s="30" t="s">
        <v>376</v>
      </c>
      <c r="B161" s="53" t="s">
        <v>377</v>
      </c>
      <c r="K161" s="2" t="s">
        <v>47</v>
      </c>
    </row>
    <row r="162" spans="1:16" x14ac:dyDescent="0.3">
      <c r="A162" s="30" t="s">
        <v>332</v>
      </c>
      <c r="B162" s="53" t="s">
        <v>351</v>
      </c>
      <c r="F162">
        <v>0.05</v>
      </c>
      <c r="G162">
        <v>0.5</v>
      </c>
      <c r="K162" s="2" t="s">
        <v>47</v>
      </c>
    </row>
    <row r="163" spans="1:16" x14ac:dyDescent="0.3">
      <c r="A163" s="30" t="s">
        <v>333</v>
      </c>
      <c r="B163" s="53" t="s">
        <v>347</v>
      </c>
      <c r="F163">
        <v>0.1</v>
      </c>
      <c r="G163">
        <v>0.4</v>
      </c>
      <c r="K163" s="2" t="s">
        <v>47</v>
      </c>
    </row>
    <row r="164" spans="1:16" x14ac:dyDescent="0.3">
      <c r="A164" s="30" t="s">
        <v>335</v>
      </c>
      <c r="B164" s="53" t="s">
        <v>344</v>
      </c>
      <c r="K164" s="2" t="s">
        <v>47</v>
      </c>
    </row>
    <row r="165" spans="1:16" x14ac:dyDescent="0.3">
      <c r="A165" s="30" t="s">
        <v>334</v>
      </c>
      <c r="B165" s="53" t="s">
        <v>352</v>
      </c>
      <c r="F165">
        <v>0.05</v>
      </c>
      <c r="G165">
        <v>0.5</v>
      </c>
      <c r="K165" s="2" t="s">
        <v>47</v>
      </c>
    </row>
    <row r="166" spans="1:16" x14ac:dyDescent="0.3">
      <c r="A166" s="30" t="s">
        <v>336</v>
      </c>
      <c r="B166" s="53" t="s">
        <v>348</v>
      </c>
      <c r="F166">
        <v>0.35</v>
      </c>
      <c r="G166">
        <v>0.75</v>
      </c>
      <c r="K166" s="2" t="s">
        <v>47</v>
      </c>
    </row>
    <row r="167" spans="1:16" x14ac:dyDescent="0.3">
      <c r="A167" s="30" t="s">
        <v>337</v>
      </c>
      <c r="B167" s="53" t="s">
        <v>353</v>
      </c>
      <c r="F167">
        <v>0.5</v>
      </c>
      <c r="G167">
        <v>0.85</v>
      </c>
      <c r="K167" s="2" t="s">
        <v>47</v>
      </c>
    </row>
    <row r="168" spans="1:16" x14ac:dyDescent="0.3">
      <c r="A168" s="30" t="s">
        <v>338</v>
      </c>
      <c r="B168" s="53" t="s">
        <v>354</v>
      </c>
      <c r="C168" s="2" t="s">
        <v>217</v>
      </c>
      <c r="K168" s="2" t="s">
        <v>47</v>
      </c>
    </row>
    <row r="169" spans="1:16" x14ac:dyDescent="0.3">
      <c r="A169" s="30" t="s">
        <v>339</v>
      </c>
      <c r="B169" s="53" t="s">
        <v>355</v>
      </c>
      <c r="F169">
        <v>0.25</v>
      </c>
      <c r="G169">
        <v>0.7</v>
      </c>
      <c r="K169" s="2" t="s">
        <v>47</v>
      </c>
    </row>
    <row r="170" spans="1:16" x14ac:dyDescent="0.3">
      <c r="A170" s="30" t="s">
        <v>340</v>
      </c>
      <c r="B170" s="53" t="s">
        <v>356</v>
      </c>
      <c r="F170">
        <v>0.5</v>
      </c>
      <c r="G170">
        <v>1</v>
      </c>
      <c r="K170" s="2" t="s">
        <v>47</v>
      </c>
    </row>
    <row r="171" spans="1:16" x14ac:dyDescent="0.3">
      <c r="A171" s="30" t="s">
        <v>682</v>
      </c>
      <c r="B171" s="53" t="s">
        <v>683</v>
      </c>
      <c r="K171" s="2" t="s">
        <v>47</v>
      </c>
    </row>
    <row r="172" spans="1:16" x14ac:dyDescent="0.3">
      <c r="A172" s="30" t="s">
        <v>681</v>
      </c>
      <c r="B172" s="53" t="s">
        <v>848</v>
      </c>
      <c r="K172" s="2" t="s">
        <v>47</v>
      </c>
    </row>
    <row r="173" spans="1:16" s="29" customFormat="1" x14ac:dyDescent="0.3">
      <c r="A173" s="27" t="s">
        <v>206</v>
      </c>
      <c r="B173" s="50" t="s">
        <v>371</v>
      </c>
      <c r="C173" s="28"/>
      <c r="D173" s="28"/>
      <c r="E173" s="28"/>
      <c r="F173" s="28"/>
      <c r="G173" s="28"/>
      <c r="I173" s="28"/>
      <c r="J173" s="28"/>
      <c r="K173" s="28"/>
      <c r="L173" s="28"/>
      <c r="N173" s="28"/>
      <c r="O173" s="28"/>
      <c r="P173" s="28"/>
    </row>
    <row r="174" spans="1:16" x14ac:dyDescent="0.3">
      <c r="A174" s="4" t="s">
        <v>357</v>
      </c>
      <c r="B174" s="53" t="s">
        <v>366</v>
      </c>
      <c r="K174" s="2" t="s">
        <v>43</v>
      </c>
    </row>
    <row r="175" spans="1:16" x14ac:dyDescent="0.3">
      <c r="A175" s="4" t="s">
        <v>362</v>
      </c>
      <c r="B175" s="53" t="s">
        <v>365</v>
      </c>
      <c r="K175" s="2" t="s">
        <v>43</v>
      </c>
    </row>
    <row r="176" spans="1:16" x14ac:dyDescent="0.3">
      <c r="A176" s="4" t="s">
        <v>358</v>
      </c>
      <c r="B176" s="53" t="s">
        <v>367</v>
      </c>
      <c r="K176" s="2" t="s">
        <v>43</v>
      </c>
    </row>
    <row r="177" spans="1:16" x14ac:dyDescent="0.3">
      <c r="A177" s="4" t="s">
        <v>363</v>
      </c>
      <c r="B177" s="53" t="s">
        <v>364</v>
      </c>
      <c r="K177" s="2" t="s">
        <v>43</v>
      </c>
    </row>
    <row r="178" spans="1:16" x14ac:dyDescent="0.3">
      <c r="A178" s="4" t="s">
        <v>374</v>
      </c>
      <c r="B178" s="53" t="s">
        <v>375</v>
      </c>
      <c r="K178" s="2" t="s">
        <v>43</v>
      </c>
    </row>
    <row r="179" spans="1:16" x14ac:dyDescent="0.3">
      <c r="A179" s="4" t="s">
        <v>359</v>
      </c>
      <c r="B179" s="53" t="s">
        <v>368</v>
      </c>
      <c r="K179" s="2" t="s">
        <v>43</v>
      </c>
    </row>
    <row r="180" spans="1:16" x14ac:dyDescent="0.3">
      <c r="A180" s="4" t="s">
        <v>372</v>
      </c>
      <c r="B180" s="53" t="s">
        <v>373</v>
      </c>
      <c r="K180" s="2" t="s">
        <v>43</v>
      </c>
    </row>
    <row r="181" spans="1:16" x14ac:dyDescent="0.3">
      <c r="A181" s="4" t="s">
        <v>360</v>
      </c>
      <c r="B181" s="53" t="s">
        <v>369</v>
      </c>
      <c r="K181" s="2" t="s">
        <v>43</v>
      </c>
    </row>
    <row r="182" spans="1:16" x14ac:dyDescent="0.3">
      <c r="A182" s="4" t="s">
        <v>361</v>
      </c>
      <c r="B182" s="53" t="s">
        <v>370</v>
      </c>
      <c r="K182" s="2" t="s">
        <v>43</v>
      </c>
    </row>
    <row r="183" spans="1:16" s="29" customFormat="1" x14ac:dyDescent="0.3">
      <c r="A183" s="27" t="s">
        <v>206</v>
      </c>
      <c r="B183" s="50" t="s">
        <v>490</v>
      </c>
      <c r="C183" s="28"/>
      <c r="D183" s="28"/>
      <c r="E183" s="28"/>
      <c r="F183" s="28"/>
      <c r="G183" s="28"/>
      <c r="I183" s="28"/>
      <c r="J183" s="28"/>
      <c r="K183" s="28"/>
      <c r="L183" s="28"/>
      <c r="N183" s="28"/>
      <c r="O183" s="28"/>
      <c r="P183" s="28"/>
    </row>
    <row r="184" spans="1:16" x14ac:dyDescent="0.3">
      <c r="A184" s="4" t="s">
        <v>146</v>
      </c>
      <c r="B184" s="53" t="s">
        <v>391</v>
      </c>
      <c r="C184" t="s">
        <v>217</v>
      </c>
      <c r="K184" s="2" t="s">
        <v>43</v>
      </c>
    </row>
    <row r="185" spans="1:16" x14ac:dyDescent="0.3">
      <c r="A185" s="4" t="s">
        <v>148</v>
      </c>
      <c r="B185" s="53" t="s">
        <v>392</v>
      </c>
      <c r="C185" t="s">
        <v>217</v>
      </c>
      <c r="K185" s="2" t="s">
        <v>43</v>
      </c>
    </row>
    <row r="186" spans="1:16" x14ac:dyDescent="0.3">
      <c r="A186" s="4" t="s">
        <v>154</v>
      </c>
      <c r="B186" s="53" t="s">
        <v>393</v>
      </c>
      <c r="C186" t="s">
        <v>217</v>
      </c>
      <c r="K186" s="2" t="s">
        <v>43</v>
      </c>
    </row>
    <row r="187" spans="1:16" x14ac:dyDescent="0.3">
      <c r="A187" s="4" t="s">
        <v>160</v>
      </c>
      <c r="B187" s="53" t="s">
        <v>394</v>
      </c>
      <c r="C187" t="s">
        <v>217</v>
      </c>
      <c r="K187" s="2" t="s">
        <v>43</v>
      </c>
    </row>
    <row r="188" spans="1:16" x14ac:dyDescent="0.3">
      <c r="A188" s="4" t="s">
        <v>176</v>
      </c>
      <c r="B188" s="53" t="s">
        <v>395</v>
      </c>
      <c r="C188" t="s">
        <v>217</v>
      </c>
      <c r="K188" s="2" t="s">
        <v>43</v>
      </c>
    </row>
    <row r="189" spans="1:16" x14ac:dyDescent="0.3">
      <c r="A189" s="4" t="s">
        <v>172</v>
      </c>
      <c r="B189" s="53" t="s">
        <v>396</v>
      </c>
      <c r="C189" t="s">
        <v>217</v>
      </c>
      <c r="K189" s="2" t="s">
        <v>43</v>
      </c>
    </row>
    <row r="190" spans="1:16" x14ac:dyDescent="0.3">
      <c r="A190" s="4" t="s">
        <v>165</v>
      </c>
      <c r="B190" s="53" t="s">
        <v>397</v>
      </c>
      <c r="C190" t="s">
        <v>217</v>
      </c>
      <c r="K190" s="2" t="s">
        <v>43</v>
      </c>
    </row>
    <row r="191" spans="1:16" x14ac:dyDescent="0.3">
      <c r="A191" s="4" t="s">
        <v>144</v>
      </c>
      <c r="B191" s="53" t="s">
        <v>398</v>
      </c>
      <c r="C191" t="s">
        <v>217</v>
      </c>
      <c r="F191">
        <v>0</v>
      </c>
      <c r="K191" s="2" t="s">
        <v>43</v>
      </c>
    </row>
    <row r="192" spans="1:16" x14ac:dyDescent="0.3">
      <c r="A192" s="4" t="s">
        <v>145</v>
      </c>
      <c r="B192" s="53" t="s">
        <v>399</v>
      </c>
      <c r="C192" t="s">
        <v>217</v>
      </c>
      <c r="F192">
        <v>0</v>
      </c>
      <c r="K192" s="2" t="s">
        <v>43</v>
      </c>
    </row>
    <row r="193" spans="1:16" s="29" customFormat="1" x14ac:dyDescent="0.3">
      <c r="A193" s="27" t="s">
        <v>206</v>
      </c>
      <c r="B193" s="50" t="s">
        <v>378</v>
      </c>
      <c r="C193" s="28"/>
      <c r="D193" s="28"/>
      <c r="E193" s="28"/>
      <c r="F193" s="28"/>
      <c r="G193" s="28"/>
      <c r="I193" s="28"/>
      <c r="J193" s="28"/>
      <c r="K193" s="28"/>
      <c r="L193" s="28"/>
      <c r="N193" s="28"/>
      <c r="O193" s="28"/>
      <c r="P193" s="28"/>
    </row>
    <row r="194" spans="1:16" x14ac:dyDescent="0.3">
      <c r="A194" s="4" t="s">
        <v>158</v>
      </c>
      <c r="B194" s="53" t="s">
        <v>449</v>
      </c>
      <c r="C194" t="s">
        <v>217</v>
      </c>
      <c r="H194" s="30" t="s">
        <v>491</v>
      </c>
    </row>
    <row r="195" spans="1:16" x14ac:dyDescent="0.3">
      <c r="A195" s="4" t="s">
        <v>155</v>
      </c>
      <c r="B195" s="53" t="s">
        <v>450</v>
      </c>
      <c r="C195" t="s">
        <v>217</v>
      </c>
      <c r="H195" s="31" t="s">
        <v>492</v>
      </c>
    </row>
    <row r="196" spans="1:16" x14ac:dyDescent="0.3">
      <c r="A196" s="4" t="s">
        <v>156</v>
      </c>
      <c r="B196" s="53" t="s">
        <v>451</v>
      </c>
      <c r="C196" t="s">
        <v>217</v>
      </c>
      <c r="H196" s="31" t="s">
        <v>493</v>
      </c>
    </row>
    <row r="197" spans="1:16" x14ac:dyDescent="0.3">
      <c r="A197" s="4" t="s">
        <v>150</v>
      </c>
      <c r="B197" s="53" t="s">
        <v>452</v>
      </c>
      <c r="C197" t="s">
        <v>217</v>
      </c>
      <c r="H197" s="31" t="s">
        <v>494</v>
      </c>
    </row>
    <row r="198" spans="1:16" x14ac:dyDescent="0.3">
      <c r="A198" s="4" t="s">
        <v>147</v>
      </c>
      <c r="B198" s="53" t="s">
        <v>453</v>
      </c>
      <c r="C198" t="s">
        <v>217</v>
      </c>
      <c r="H198" s="31" t="s">
        <v>495</v>
      </c>
    </row>
    <row r="199" spans="1:16" x14ac:dyDescent="0.3">
      <c r="A199" s="4" t="s">
        <v>152</v>
      </c>
      <c r="B199" s="53" t="s">
        <v>454</v>
      </c>
      <c r="C199" t="s">
        <v>217</v>
      </c>
      <c r="H199" s="31" t="s">
        <v>496</v>
      </c>
    </row>
    <row r="200" spans="1:16" x14ac:dyDescent="0.3">
      <c r="A200" s="4" t="s">
        <v>162</v>
      </c>
      <c r="B200" s="53" t="s">
        <v>455</v>
      </c>
      <c r="C200" t="s">
        <v>217</v>
      </c>
      <c r="H200" s="31" t="s">
        <v>497</v>
      </c>
    </row>
    <row r="201" spans="1:16" x14ac:dyDescent="0.3">
      <c r="A201" s="4" t="s">
        <v>163</v>
      </c>
      <c r="B201" s="53" t="s">
        <v>456</v>
      </c>
      <c r="C201" t="s">
        <v>217</v>
      </c>
      <c r="H201" s="31" t="s">
        <v>498</v>
      </c>
    </row>
    <row r="202" spans="1:16" x14ac:dyDescent="0.3">
      <c r="A202" s="4" t="s">
        <v>164</v>
      </c>
      <c r="B202" s="53" t="s">
        <v>457</v>
      </c>
      <c r="C202" t="s">
        <v>217</v>
      </c>
      <c r="H202" s="31" t="s">
        <v>499</v>
      </c>
    </row>
    <row r="203" spans="1:16" s="29" customFormat="1" x14ac:dyDescent="0.3">
      <c r="A203" s="27" t="s">
        <v>206</v>
      </c>
      <c r="B203" s="50" t="s">
        <v>379</v>
      </c>
      <c r="C203" s="28"/>
      <c r="D203" s="28"/>
      <c r="E203" s="28"/>
      <c r="F203" s="28"/>
      <c r="G203" s="28"/>
      <c r="I203" s="28"/>
      <c r="J203" s="28"/>
      <c r="K203" s="28"/>
      <c r="L203" s="28"/>
      <c r="N203" s="28"/>
      <c r="O203" s="28"/>
      <c r="P203" s="28"/>
    </row>
    <row r="204" spans="1:16" x14ac:dyDescent="0.3">
      <c r="A204" s="4" t="s">
        <v>149</v>
      </c>
      <c r="B204" s="53" t="s">
        <v>458</v>
      </c>
      <c r="C204" t="s">
        <v>217</v>
      </c>
      <c r="H204" s="31" t="s">
        <v>500</v>
      </c>
    </row>
    <row r="205" spans="1:16" x14ac:dyDescent="0.3">
      <c r="A205" s="4" t="s">
        <v>151</v>
      </c>
      <c r="B205" s="53" t="s">
        <v>459</v>
      </c>
      <c r="C205" t="s">
        <v>217</v>
      </c>
      <c r="H205" s="31" t="s">
        <v>501</v>
      </c>
    </row>
    <row r="206" spans="1:16" x14ac:dyDescent="0.3">
      <c r="A206" s="4" t="s">
        <v>153</v>
      </c>
      <c r="B206" s="53" t="s">
        <v>460</v>
      </c>
      <c r="C206" t="s">
        <v>217</v>
      </c>
      <c r="H206" s="31" t="s">
        <v>502</v>
      </c>
    </row>
    <row r="207" spans="1:16" x14ac:dyDescent="0.3">
      <c r="A207" s="4" t="s">
        <v>157</v>
      </c>
      <c r="B207" s="53" t="s">
        <v>461</v>
      </c>
      <c r="C207" t="s">
        <v>217</v>
      </c>
      <c r="H207" s="31" t="s">
        <v>503</v>
      </c>
    </row>
    <row r="208" spans="1:16" x14ac:dyDescent="0.3">
      <c r="A208" s="4" t="s">
        <v>159</v>
      </c>
      <c r="B208" s="53" t="s">
        <v>462</v>
      </c>
      <c r="C208" t="s">
        <v>217</v>
      </c>
      <c r="H208" s="31" t="s">
        <v>504</v>
      </c>
    </row>
    <row r="209" spans="1:16" x14ac:dyDescent="0.3">
      <c r="A209" s="4" t="s">
        <v>161</v>
      </c>
      <c r="B209" s="53" t="s">
        <v>463</v>
      </c>
      <c r="C209" t="s">
        <v>217</v>
      </c>
      <c r="H209" s="31" t="s">
        <v>505</v>
      </c>
    </row>
    <row r="210" spans="1:16" x14ac:dyDescent="0.3">
      <c r="A210" s="4" t="s">
        <v>166</v>
      </c>
      <c r="B210" s="53" t="s">
        <v>464</v>
      </c>
      <c r="C210" t="s">
        <v>217</v>
      </c>
      <c r="H210" s="31" t="s">
        <v>506</v>
      </c>
    </row>
    <row r="211" spans="1:16" x14ac:dyDescent="0.3">
      <c r="A211" s="4" t="s">
        <v>170</v>
      </c>
      <c r="B211" s="53" t="s">
        <v>465</v>
      </c>
      <c r="C211" t="s">
        <v>217</v>
      </c>
      <c r="H211" s="31" t="s">
        <v>507</v>
      </c>
    </row>
    <row r="212" spans="1:16" ht="14.25" customHeight="1" x14ac:dyDescent="0.3">
      <c r="A212" s="4" t="s">
        <v>177</v>
      </c>
      <c r="B212" s="53" t="s">
        <v>466</v>
      </c>
      <c r="C212" t="s">
        <v>217</v>
      </c>
      <c r="H212" s="31" t="s">
        <v>508</v>
      </c>
    </row>
    <row r="213" spans="1:16" ht="14.25" customHeight="1" x14ac:dyDescent="0.3">
      <c r="A213" s="4" t="s">
        <v>167</v>
      </c>
      <c r="B213" s="53" t="s">
        <v>467</v>
      </c>
      <c r="C213" t="s">
        <v>217</v>
      </c>
      <c r="H213" s="31" t="s">
        <v>509</v>
      </c>
    </row>
    <row r="214" spans="1:16" ht="14.25" customHeight="1" x14ac:dyDescent="0.3">
      <c r="A214" s="4" t="s">
        <v>171</v>
      </c>
      <c r="B214" s="53" t="s">
        <v>468</v>
      </c>
      <c r="C214" t="s">
        <v>217</v>
      </c>
      <c r="H214" s="31" t="s">
        <v>510</v>
      </c>
    </row>
    <row r="215" spans="1:16" ht="14.25" customHeight="1" x14ac:dyDescent="0.3">
      <c r="A215" s="4" t="s">
        <v>173</v>
      </c>
      <c r="B215" s="53" t="s">
        <v>469</v>
      </c>
      <c r="C215" t="s">
        <v>217</v>
      </c>
      <c r="H215" s="31" t="s">
        <v>511</v>
      </c>
    </row>
    <row r="216" spans="1:16" ht="14.25" customHeight="1" x14ac:dyDescent="0.3">
      <c r="A216" s="4" t="s">
        <v>168</v>
      </c>
      <c r="B216" s="53" t="s">
        <v>470</v>
      </c>
      <c r="C216" t="s">
        <v>217</v>
      </c>
      <c r="H216" s="31" t="s">
        <v>512</v>
      </c>
    </row>
    <row r="217" spans="1:16" ht="14.25" customHeight="1" x14ac:dyDescent="0.3">
      <c r="A217" s="4" t="s">
        <v>349</v>
      </c>
      <c r="B217" s="53" t="s">
        <v>471</v>
      </c>
      <c r="C217" t="s">
        <v>217</v>
      </c>
      <c r="H217" s="31"/>
      <c r="K217" s="2" t="s">
        <v>47</v>
      </c>
    </row>
    <row r="218" spans="1:16" ht="14.25" customHeight="1" x14ac:dyDescent="0.3">
      <c r="A218" s="4" t="s">
        <v>169</v>
      </c>
      <c r="B218" s="53" t="s">
        <v>472</v>
      </c>
      <c r="C218" t="s">
        <v>217</v>
      </c>
      <c r="H218" s="31" t="s">
        <v>513</v>
      </c>
    </row>
    <row r="219" spans="1:16" ht="14.25" customHeight="1" x14ac:dyDescent="0.3">
      <c r="A219" s="4" t="s">
        <v>174</v>
      </c>
      <c r="B219" s="53" t="s">
        <v>473</v>
      </c>
      <c r="C219" t="s">
        <v>217</v>
      </c>
      <c r="H219" s="31" t="s">
        <v>514</v>
      </c>
    </row>
    <row r="220" spans="1:16" x14ac:dyDescent="0.3">
      <c r="A220" s="4" t="s">
        <v>175</v>
      </c>
      <c r="B220" s="53" t="s">
        <v>474</v>
      </c>
      <c r="C220" t="s">
        <v>217</v>
      </c>
      <c r="H220" s="31" t="s">
        <v>515</v>
      </c>
    </row>
    <row r="221" spans="1:16" x14ac:dyDescent="0.3">
      <c r="A221" s="4" t="s">
        <v>577</v>
      </c>
      <c r="B221" s="53" t="s">
        <v>684</v>
      </c>
      <c r="C221" t="s">
        <v>217</v>
      </c>
      <c r="H221" s="31" t="s">
        <v>686</v>
      </c>
    </row>
    <row r="222" spans="1:16" x14ac:dyDescent="0.3">
      <c r="A222" s="4" t="s">
        <v>576</v>
      </c>
      <c r="B222" s="53" t="s">
        <v>685</v>
      </c>
      <c r="C222" t="s">
        <v>217</v>
      </c>
      <c r="H222" s="31" t="s">
        <v>687</v>
      </c>
    </row>
    <row r="223" spans="1:16" s="29" customFormat="1" x14ac:dyDescent="0.3">
      <c r="A223" s="27" t="s">
        <v>206</v>
      </c>
      <c r="B223" s="50" t="s">
        <v>410</v>
      </c>
      <c r="C223" s="28"/>
      <c r="D223" s="28"/>
      <c r="E223" s="28"/>
      <c r="F223" s="28"/>
      <c r="G223" s="28"/>
      <c r="I223" s="28"/>
      <c r="J223" s="28"/>
      <c r="K223" s="28"/>
      <c r="L223" s="28"/>
      <c r="N223" s="28"/>
      <c r="O223" s="28"/>
      <c r="P223" s="28"/>
    </row>
    <row r="224" spans="1:16" x14ac:dyDescent="0.3">
      <c r="A224" s="4" t="s">
        <v>400</v>
      </c>
      <c r="B224" s="53" t="s">
        <v>476</v>
      </c>
      <c r="K224" s="2" t="s">
        <v>49</v>
      </c>
    </row>
    <row r="225" spans="1:16" x14ac:dyDescent="0.3">
      <c r="A225" s="4" t="s">
        <v>401</v>
      </c>
      <c r="B225" s="53" t="s">
        <v>475</v>
      </c>
      <c r="K225" s="2" t="s">
        <v>49</v>
      </c>
    </row>
    <row r="226" spans="1:16" x14ac:dyDescent="0.3">
      <c r="A226" s="4" t="s">
        <v>402</v>
      </c>
      <c r="B226" s="53" t="s">
        <v>477</v>
      </c>
      <c r="K226" s="2" t="s">
        <v>49</v>
      </c>
    </row>
    <row r="227" spans="1:16" x14ac:dyDescent="0.3">
      <c r="A227" s="4" t="s">
        <v>403</v>
      </c>
      <c r="B227" s="53" t="s">
        <v>478</v>
      </c>
      <c r="K227" s="2" t="s">
        <v>49</v>
      </c>
    </row>
    <row r="228" spans="1:16" x14ac:dyDescent="0.3">
      <c r="A228" s="4" t="s">
        <v>404</v>
      </c>
      <c r="B228" s="53" t="s">
        <v>479</v>
      </c>
      <c r="K228" s="2" t="s">
        <v>49</v>
      </c>
    </row>
    <row r="229" spans="1:16" x14ac:dyDescent="0.3">
      <c r="A229" s="4" t="s">
        <v>405</v>
      </c>
      <c r="B229" s="53" t="s">
        <v>480</v>
      </c>
      <c r="K229" s="2" t="s">
        <v>49</v>
      </c>
    </row>
    <row r="230" spans="1:16" x14ac:dyDescent="0.3">
      <c r="A230" s="4" t="s">
        <v>406</v>
      </c>
      <c r="B230" s="53" t="s">
        <v>481</v>
      </c>
      <c r="K230" s="2" t="s">
        <v>49</v>
      </c>
    </row>
    <row r="231" spans="1:16" x14ac:dyDescent="0.3">
      <c r="A231" s="4" t="s">
        <v>407</v>
      </c>
      <c r="B231" s="53" t="s">
        <v>482</v>
      </c>
      <c r="K231" s="2" t="s">
        <v>49</v>
      </c>
    </row>
    <row r="232" spans="1:16" x14ac:dyDescent="0.3">
      <c r="A232" s="4" t="s">
        <v>408</v>
      </c>
      <c r="B232" s="53" t="s">
        <v>483</v>
      </c>
      <c r="K232" s="2" t="s">
        <v>49</v>
      </c>
    </row>
    <row r="233" spans="1:16" x14ac:dyDescent="0.3">
      <c r="A233" s="4" t="s">
        <v>864</v>
      </c>
      <c r="B233" s="53" t="s">
        <v>865</v>
      </c>
      <c r="K233" s="2" t="s">
        <v>49</v>
      </c>
    </row>
    <row r="234" spans="1:16" ht="28.8" x14ac:dyDescent="0.3">
      <c r="A234" s="4" t="s">
        <v>409</v>
      </c>
      <c r="B234" s="53" t="s">
        <v>484</v>
      </c>
      <c r="C234" t="s">
        <v>216</v>
      </c>
      <c r="H234" s="35" t="s">
        <v>866</v>
      </c>
    </row>
    <row r="235" spans="1:16" x14ac:dyDescent="0.3">
      <c r="A235" s="4" t="s">
        <v>867</v>
      </c>
      <c r="B235" s="53" t="s">
        <v>868</v>
      </c>
      <c r="C235" t="s">
        <v>216</v>
      </c>
      <c r="H235" s="35" t="s">
        <v>869</v>
      </c>
    </row>
    <row r="236" spans="1:16" x14ac:dyDescent="0.3">
      <c r="A236" s="4" t="s">
        <v>870</v>
      </c>
      <c r="B236" s="53" t="s">
        <v>871</v>
      </c>
      <c r="C236" t="s">
        <v>216</v>
      </c>
      <c r="H236" s="35" t="s">
        <v>872</v>
      </c>
    </row>
    <row r="237" spans="1:16" s="29" customFormat="1" x14ac:dyDescent="0.3">
      <c r="A237" s="27" t="s">
        <v>206</v>
      </c>
      <c r="B237" s="50" t="s">
        <v>380</v>
      </c>
      <c r="C237" s="28"/>
      <c r="D237" s="28"/>
      <c r="E237" s="28"/>
      <c r="F237" s="28"/>
      <c r="G237" s="28"/>
      <c r="I237" s="28"/>
      <c r="J237" s="28"/>
      <c r="K237" s="28"/>
      <c r="L237" s="28"/>
      <c r="N237" s="28"/>
      <c r="O237" s="28"/>
      <c r="P237" s="28"/>
    </row>
    <row r="238" spans="1:16" x14ac:dyDescent="0.3">
      <c r="A238" s="4" t="s">
        <v>411</v>
      </c>
      <c r="B238" s="53" t="s">
        <v>485</v>
      </c>
      <c r="C238" t="s">
        <v>216</v>
      </c>
      <c r="H238" t="s">
        <v>516</v>
      </c>
      <c r="K238" s="2" t="s">
        <v>39</v>
      </c>
    </row>
    <row r="239" spans="1:16" x14ac:dyDescent="0.3">
      <c r="A239" s="4" t="s">
        <v>384</v>
      </c>
      <c r="B239" s="53" t="s">
        <v>486</v>
      </c>
      <c r="C239" t="s">
        <v>216</v>
      </c>
      <c r="H239" t="s">
        <v>517</v>
      </c>
      <c r="K239" s="2" t="s">
        <v>39</v>
      </c>
    </row>
    <row r="240" spans="1:16" x14ac:dyDescent="0.3">
      <c r="A240" s="4" t="s">
        <v>412</v>
      </c>
      <c r="B240" s="53" t="s">
        <v>487</v>
      </c>
      <c r="C240" t="s">
        <v>216</v>
      </c>
      <c r="H240" t="s">
        <v>518</v>
      </c>
      <c r="K240" s="2" t="s">
        <v>39</v>
      </c>
    </row>
    <row r="241" spans="1:16" x14ac:dyDescent="0.3">
      <c r="A241" s="4" t="s">
        <v>413</v>
      </c>
      <c r="B241" s="53" t="s">
        <v>488</v>
      </c>
      <c r="C241" t="s">
        <v>216</v>
      </c>
      <c r="H241" t="s">
        <v>519</v>
      </c>
      <c r="K241" s="2" t="s">
        <v>39</v>
      </c>
    </row>
    <row r="242" spans="1:16" x14ac:dyDescent="0.3">
      <c r="A242" s="4" t="s">
        <v>414</v>
      </c>
      <c r="B242" s="53" t="s">
        <v>489</v>
      </c>
      <c r="C242" t="s">
        <v>216</v>
      </c>
      <c r="H242" t="s">
        <v>520</v>
      </c>
      <c r="K242" s="2" t="s">
        <v>39</v>
      </c>
    </row>
    <row r="243" spans="1:16" s="29" customFormat="1" x14ac:dyDescent="0.3">
      <c r="A243" s="27" t="s">
        <v>206</v>
      </c>
      <c r="B243" s="50" t="s">
        <v>680</v>
      </c>
      <c r="C243" s="28"/>
      <c r="D243" s="28"/>
      <c r="E243" s="28"/>
      <c r="F243" s="28"/>
      <c r="G243" s="28"/>
      <c r="I243" s="28"/>
      <c r="J243" s="28"/>
      <c r="K243" s="28"/>
      <c r="L243" s="28"/>
      <c r="N243" s="28"/>
      <c r="O243" s="28"/>
      <c r="P243" s="28"/>
    </row>
    <row r="244" spans="1:16" x14ac:dyDescent="0.3">
      <c r="A244" s="4" t="s">
        <v>641</v>
      </c>
      <c r="B244" s="51" t="s">
        <v>642</v>
      </c>
      <c r="K244" s="2" t="s">
        <v>51</v>
      </c>
    </row>
    <row r="245" spans="1:16" x14ac:dyDescent="0.3">
      <c r="A245" s="4" t="s">
        <v>643</v>
      </c>
      <c r="B245" s="51" t="s">
        <v>644</v>
      </c>
      <c r="K245" s="2" t="s">
        <v>51</v>
      </c>
    </row>
    <row r="246" spans="1:16" x14ac:dyDescent="0.3">
      <c r="A246" s="4" t="s">
        <v>645</v>
      </c>
      <c r="B246" s="51" t="s">
        <v>849</v>
      </c>
      <c r="K246" s="2" t="s">
        <v>51</v>
      </c>
    </row>
    <row r="247" spans="1:16" x14ac:dyDescent="0.3">
      <c r="A247" s="4" t="s">
        <v>646</v>
      </c>
      <c r="B247" s="51" t="s">
        <v>647</v>
      </c>
      <c r="K247" s="2" t="s">
        <v>51</v>
      </c>
    </row>
    <row r="248" spans="1:16" x14ac:dyDescent="0.3">
      <c r="A248" s="4" t="s">
        <v>648</v>
      </c>
      <c r="B248" s="51" t="s">
        <v>649</v>
      </c>
      <c r="K248" s="2" t="s">
        <v>51</v>
      </c>
    </row>
    <row r="249" spans="1:16" x14ac:dyDescent="0.3">
      <c r="A249" s="4" t="s">
        <v>650</v>
      </c>
      <c r="B249" s="51" t="s">
        <v>850</v>
      </c>
      <c r="K249" s="2" t="s">
        <v>51</v>
      </c>
    </row>
    <row r="250" spans="1:16" x14ac:dyDescent="0.3">
      <c r="A250" s="4" t="s">
        <v>651</v>
      </c>
      <c r="B250" s="51" t="s">
        <v>652</v>
      </c>
      <c r="K250" s="2" t="s">
        <v>51</v>
      </c>
    </row>
    <row r="251" spans="1:16" x14ac:dyDescent="0.3">
      <c r="A251" s="4" t="s">
        <v>653</v>
      </c>
      <c r="B251" s="51" t="s">
        <v>654</v>
      </c>
      <c r="K251" s="2" t="s">
        <v>51</v>
      </c>
    </row>
    <row r="252" spans="1:16" x14ac:dyDescent="0.3">
      <c r="A252" s="4" t="s">
        <v>655</v>
      </c>
      <c r="B252" s="51" t="s">
        <v>656</v>
      </c>
      <c r="K252" s="2" t="s">
        <v>51</v>
      </c>
    </row>
    <row r="253" spans="1:16" x14ac:dyDescent="0.3">
      <c r="A253" s="4" t="s">
        <v>657</v>
      </c>
      <c r="B253" s="51" t="s">
        <v>658</v>
      </c>
      <c r="K253" s="2" t="s">
        <v>51</v>
      </c>
    </row>
    <row r="254" spans="1:16" x14ac:dyDescent="0.3">
      <c r="A254" s="4" t="s">
        <v>659</v>
      </c>
      <c r="B254" s="51" t="s">
        <v>660</v>
      </c>
      <c r="K254" s="2" t="s">
        <v>51</v>
      </c>
    </row>
    <row r="255" spans="1:16" x14ac:dyDescent="0.3">
      <c r="A255" s="4" t="s">
        <v>661</v>
      </c>
      <c r="B255" s="51" t="s">
        <v>662</v>
      </c>
      <c r="K255" s="2" t="s">
        <v>51</v>
      </c>
    </row>
    <row r="256" spans="1:16" x14ac:dyDescent="0.3">
      <c r="A256" s="4" t="s">
        <v>663</v>
      </c>
      <c r="B256" s="51" t="s">
        <v>664</v>
      </c>
      <c r="K256" s="2" t="s">
        <v>51</v>
      </c>
    </row>
    <row r="257" spans="1:11" x14ac:dyDescent="0.3">
      <c r="A257" s="4" t="s">
        <v>665</v>
      </c>
      <c r="B257" s="51" t="s">
        <v>851</v>
      </c>
      <c r="K257" s="2" t="s">
        <v>51</v>
      </c>
    </row>
    <row r="258" spans="1:11" x14ac:dyDescent="0.3">
      <c r="A258" s="4" t="s">
        <v>666</v>
      </c>
      <c r="B258" s="51" t="s">
        <v>667</v>
      </c>
      <c r="K258" s="2" t="s">
        <v>51</v>
      </c>
    </row>
    <row r="259" spans="1:11" x14ac:dyDescent="0.3">
      <c r="A259" s="4" t="s">
        <v>668</v>
      </c>
      <c r="B259" s="51" t="s">
        <v>669</v>
      </c>
      <c r="K259" s="2" t="s">
        <v>51</v>
      </c>
    </row>
    <row r="260" spans="1:11" x14ac:dyDescent="0.3">
      <c r="A260" s="4" t="s">
        <v>670</v>
      </c>
      <c r="B260" s="51" t="s">
        <v>671</v>
      </c>
      <c r="K260" s="2" t="s">
        <v>51</v>
      </c>
    </row>
    <row r="261" spans="1:11" x14ac:dyDescent="0.3">
      <c r="A261" s="4" t="s">
        <v>672</v>
      </c>
      <c r="B261" s="51" t="s">
        <v>673</v>
      </c>
      <c r="K261" s="2" t="s">
        <v>51</v>
      </c>
    </row>
    <row r="262" spans="1:11" x14ac:dyDescent="0.3">
      <c r="A262" s="4" t="s">
        <v>674</v>
      </c>
      <c r="B262" s="51" t="s">
        <v>675</v>
      </c>
      <c r="K262" s="2" t="s">
        <v>51</v>
      </c>
    </row>
    <row r="263" spans="1:11" x14ac:dyDescent="0.3">
      <c r="A263" s="4" t="s">
        <v>676</v>
      </c>
      <c r="B263" s="51" t="s">
        <v>677</v>
      </c>
      <c r="K263" s="2" t="s">
        <v>51</v>
      </c>
    </row>
    <row r="264" spans="1:11" x14ac:dyDescent="0.3">
      <c r="A264" s="4" t="s">
        <v>678</v>
      </c>
      <c r="B264" s="51" t="s">
        <v>679</v>
      </c>
      <c r="K264" s="2" t="s">
        <v>51</v>
      </c>
    </row>
  </sheetData>
  <conditionalFormatting sqref="B1:B133 B149:B1048576">
    <cfRule type="expression" dxfId="5" priority="15">
      <formula>AND(A1&lt;&gt;"",NOT(B1&lt;&gt;""))</formula>
    </cfRule>
  </conditionalFormatting>
  <conditionalFormatting sqref="K2:K111 K113:K132 K149:K1048576">
    <cfRule type="expression" dxfId="4" priority="8">
      <formula>AND(L2&lt;&gt;"",NOT(K2&lt;&gt;""))</formula>
    </cfRule>
  </conditionalFormatting>
  <conditionalFormatting sqref="K128:K131">
    <cfRule type="expression" dxfId="2" priority="60">
      <formula>AND(L134&lt;&gt;"",NOT(K128&lt;&gt;""))</formula>
    </cfRule>
  </conditionalFormatting>
  <conditionalFormatting sqref="K132">
    <cfRule type="expression" dxfId="1" priority="81">
      <formula>AND(L142&lt;&gt;"",NOT(K132&lt;&gt;""))</formula>
    </cfRule>
  </conditionalFormatting>
  <dataValidations count="5">
    <dataValidation operator="greaterThanOrEqual" allowBlank="1" showInputMessage="1" showErrorMessage="1" sqref="D1:D2 D9 D11 D45 D50 D54 D71:D75 D80 D82 D88 D95 D183 D193 D203 D223 D237 D173:D180 D111 D243 D100:D107 D123:D132 D149:D154" xr:uid="{00000000-0002-0000-0600-000000000000}"/>
    <dataValidation type="decimal" operator="greaterThanOrEqual" allowBlank="1" showInputMessage="1" showErrorMessage="1" sqref="D109:D111 D2:D107 D113:D132 D149:D1048576" xr:uid="{00000000-0002-0000-0600-000001000000}">
      <formula1>0</formula1>
    </dataValidation>
    <dataValidation type="list" allowBlank="1" showInputMessage="1" showErrorMessage="1" sqref="I2:I111 O2:P111 O113:P132 I113:I132 O134:P1048576 I149:I1048576" xr:uid="{00000000-0002-0000-0600-000002000000}">
      <formula1>"n,y"</formula1>
    </dataValidation>
    <dataValidation type="list" allowBlank="1" showInputMessage="1" showErrorMessage="1" sqref="C2:C132 C149:C1048576" xr:uid="{00000000-0002-0000-0600-000003000000}">
      <formula1>"rate, probability, number, proportion, duration"</formula1>
    </dataValidation>
    <dataValidation type="custom" allowBlank="1" showInputMessage="1" showErrorMessage="1" errorTitle="Code names must be unique" error="Parameter code names must be unique" sqref="A109:A111 A113:A132 A149:A151 A154:A1048576 A1:A107" xr:uid="{00000000-0002-0000-0600-000004000000}">
      <formula1>COUNTIF(A:A,A1)&lt;2</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8" id="{BE3DBFB1-F6C9-4726-B787-A3DD602656FE}">
            <xm:f>AND(K3&lt;&gt;"",ISERROR(MATCH(K3,'Databook Pages'!$A:$A,0)))</xm:f>
            <x14:dxf>
              <fill>
                <patternFill>
                  <bgColor rgb="FFFF0000"/>
                </patternFill>
              </fill>
            </x14:dxf>
          </x14:cfRule>
          <xm:sqref>K3:K8 K10 K12:K44 K46:K49 K51:K53 K55:K70 K72:K79 K81 K83:K87 K89:K94 K96:K99 K107:K111 K113:K122 K155:K172 K174:K182 K184:K192 K194:K202 K204:K222 K224:K236 K238:K242 K244:K1048576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5000000}">
          <x14:formula1>
            <xm:f>'Databook Pages'!$A$2:$A$9999</xm:f>
          </x14:formula1>
          <xm:sqref>K1 K3:K8 K10 K12:K44 K89:K94 K96:K99 K83:K87 K46:K49 K72:K79 K224:K236 K174:K182 K184:K192 K155:K172 K204:K222 K194:K202 K244:K1048576 K51:K53 K55:K70 K81 K110:K111 K238:K242 K113:K122</xm:sqref>
        </x14:dataValidation>
        <x14:dataValidation type="list" allowBlank="1" showInputMessage="1" showErrorMessage="1" xr:uid="{00000000-0002-0000-0600-000006000000}">
          <x14:formula1>
            <xm:f>'Population types'!$A$2:$A$9999</xm:f>
          </x14:formula1>
          <xm:sqref>N1 N3:N8 N10 N12:N44 N46:N49 N83:N87 N89:N94 N96:N99 N224:N236 N72:N79 N174:N182 N184:N192 N155:N172 N204:N222 N194:N202 N51:N53 N55:N70 N81 N108:N111 N238:N242 N244:N1048576 N113:N122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E4"/>
  <sheetViews>
    <sheetView workbookViewId="0"/>
  </sheetViews>
  <sheetFormatPr defaultColWidth="8.88671875" defaultRowHeight="14.4" x14ac:dyDescent="0.3"/>
  <cols>
    <col min="1" max="1" width="12.6640625" bestFit="1" customWidth="1"/>
    <col min="2" max="2" width="50.5546875" customWidth="1"/>
    <col min="3" max="3" width="14.6640625" customWidth="1"/>
    <col min="4" max="4" width="20.44140625" bestFit="1" customWidth="1"/>
    <col min="5" max="5" width="18" bestFit="1" customWidth="1"/>
  </cols>
  <sheetData>
    <row r="1" spans="1:5" x14ac:dyDescent="0.3">
      <c r="A1" s="1" t="s">
        <v>2</v>
      </c>
      <c r="B1" s="1" t="s">
        <v>3</v>
      </c>
      <c r="C1" s="1" t="s">
        <v>7</v>
      </c>
      <c r="D1" s="1" t="s">
        <v>31</v>
      </c>
      <c r="E1" s="1" t="s">
        <v>32</v>
      </c>
    </row>
    <row r="2" spans="1:5" x14ac:dyDescent="0.3">
      <c r="A2" s="31" t="s">
        <v>385</v>
      </c>
      <c r="B2" s="31" t="s">
        <v>386</v>
      </c>
      <c r="C2" s="32">
        <v>0</v>
      </c>
      <c r="D2" s="32" t="s">
        <v>28</v>
      </c>
      <c r="E2" s="32" t="s">
        <v>28</v>
      </c>
    </row>
    <row r="3" spans="1:5" x14ac:dyDescent="0.3">
      <c r="A3" s="31" t="s">
        <v>387</v>
      </c>
      <c r="B3" s="31" t="s">
        <v>388</v>
      </c>
      <c r="C3" s="32">
        <v>0</v>
      </c>
      <c r="D3" s="32" t="s">
        <v>28</v>
      </c>
      <c r="E3" s="32" t="s">
        <v>28</v>
      </c>
    </row>
    <row r="4" spans="1:5" x14ac:dyDescent="0.3">
      <c r="A4" s="31" t="s">
        <v>389</v>
      </c>
      <c r="B4" s="31" t="s">
        <v>390</v>
      </c>
      <c r="C4" s="32">
        <v>0</v>
      </c>
      <c r="D4" s="32" t="s">
        <v>28</v>
      </c>
      <c r="E4" s="32" t="s">
        <v>28</v>
      </c>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'Population types'!$A$2:$A$9999</xm:f>
          </x14:formula1>
          <xm:sqref>D2:D1048576 E2:E1048576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defaultColWidth="8.88671875" defaultRowHeight="14.4" x14ac:dyDescent="0.3"/>
  <cols>
    <col min="1" max="1" width="55.88671875" bestFit="1" customWidth="1"/>
    <col min="2" max="2" width="23.44140625" customWidth="1"/>
  </cols>
  <sheetData>
    <row r="1" spans="1:2" x14ac:dyDescent="0.3">
      <c r="A1" s="1" t="s">
        <v>322</v>
      </c>
      <c r="B1" s="1" t="s">
        <v>17</v>
      </c>
    </row>
    <row r="2" spans="1:2" x14ac:dyDescent="0.3">
      <c r="A2" s="32" t="s">
        <v>381</v>
      </c>
      <c r="B2" s="32" t="s">
        <v>526</v>
      </c>
    </row>
    <row r="3" spans="1:2" x14ac:dyDescent="0.3">
      <c r="A3" s="32" t="s">
        <v>382</v>
      </c>
      <c r="B3" s="32" t="s">
        <v>527</v>
      </c>
    </row>
    <row r="4" spans="1:2" x14ac:dyDescent="0.3">
      <c r="A4" s="32" t="s">
        <v>383</v>
      </c>
      <c r="B4" s="32" t="s">
        <v>196</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workbookViewId="0">
      <selection sqref="A1:E10"/>
    </sheetView>
  </sheetViews>
  <sheetFormatPr defaultColWidth="8.88671875" defaultRowHeight="14.4" x14ac:dyDescent="0.3"/>
  <cols>
    <col min="1" max="2" width="39.109375" customWidth="1"/>
    <col min="3" max="3" width="50.33203125" customWidth="1"/>
    <col min="4" max="4" width="22.109375" bestFit="1" customWidth="1"/>
    <col min="5" max="5" width="18" customWidth="1"/>
    <col min="6" max="6" width="14" customWidth="1"/>
  </cols>
  <sheetData>
    <row r="1" spans="1:6" x14ac:dyDescent="0.3">
      <c r="A1" s="3"/>
      <c r="B1" s="3"/>
      <c r="C1" s="3"/>
      <c r="D1" s="3"/>
      <c r="E1" s="3"/>
      <c r="F1" s="3"/>
    </row>
    <row r="2" spans="1:6" x14ac:dyDescent="0.3">
      <c r="A2" s="31"/>
      <c r="B2" s="31"/>
      <c r="C2" s="32"/>
      <c r="D2" s="32"/>
      <c r="E2" s="32"/>
    </row>
    <row r="3" spans="1:6" x14ac:dyDescent="0.3">
      <c r="A3" s="31"/>
      <c r="B3" s="31"/>
      <c r="C3" s="32"/>
      <c r="D3" s="32"/>
      <c r="E3" s="32"/>
    </row>
    <row r="4" spans="1:6" x14ac:dyDescent="0.3">
      <c r="A4" s="31"/>
      <c r="B4" s="31"/>
      <c r="C4" s="32"/>
      <c r="D4" s="32"/>
      <c r="E4" s="32"/>
    </row>
    <row r="5" spans="1:6" x14ac:dyDescent="0.3">
      <c r="A5" s="31"/>
      <c r="B5" s="31"/>
      <c r="C5" s="32"/>
      <c r="D5" s="32"/>
      <c r="E5" s="32"/>
    </row>
    <row r="6" spans="1:6" x14ac:dyDescent="0.3">
      <c r="A6" s="31"/>
      <c r="B6" s="31"/>
      <c r="C6" s="32"/>
      <c r="D6" s="32"/>
      <c r="E6" s="32"/>
    </row>
    <row r="7" spans="1:6" x14ac:dyDescent="0.3">
      <c r="A7" s="31"/>
      <c r="B7" s="31"/>
      <c r="C7" s="32"/>
      <c r="D7" s="32"/>
      <c r="E7" s="32"/>
    </row>
    <row r="8" spans="1:6" x14ac:dyDescent="0.3">
      <c r="A8" s="31"/>
      <c r="B8" s="31"/>
      <c r="C8" s="32"/>
      <c r="D8" s="32"/>
      <c r="E8" s="32"/>
    </row>
    <row r="9" spans="1:6" x14ac:dyDescent="0.3">
      <c r="A9" s="31"/>
      <c r="B9" s="31"/>
      <c r="C9" s="32"/>
      <c r="D9" s="32"/>
      <c r="E9" s="32"/>
    </row>
    <row r="10" spans="1:6" x14ac:dyDescent="0.3">
      <c r="A10" s="31"/>
      <c r="B10" s="31"/>
      <c r="C10" s="32"/>
      <c r="D10" s="32"/>
      <c r="E10" s="32"/>
    </row>
  </sheetData>
  <dataValidations count="2">
    <dataValidation type="list" allowBlank="1" showInputMessage="1" showErrorMessage="1" sqref="E2:E1048576" xr:uid="{00000000-0002-0000-0900-000000000000}">
      <formula1>"n,y"</formula1>
    </dataValidation>
    <dataValidation type="custom" allowBlank="1" showInputMessage="1" showErrorMessage="1" errorTitle="Code names must be unique" error="Parameter code names must be unique" sqref="C9" xr:uid="{00000000-0002-0000-0900-000001000000}">
      <formula1>COUNTIF(C:C,C9)&lt;2</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Characteristics</vt:lpstr>
      <vt:lpstr>Parameters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seama</dc:creator>
  <cp:lastModifiedBy>Chris Seaman</cp:lastModifiedBy>
  <dcterms:created xsi:type="dcterms:W3CDTF">2018-07-24T07:13:41Z</dcterms:created>
  <dcterms:modified xsi:type="dcterms:W3CDTF">2023-10-12T23:52:32Z</dcterms:modified>
  <cp:category>atomica:framework</cp:category>
</cp:coreProperties>
</file>