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00EB52E5-EB6B-4CB5-A56D-5F5557195381}" xr6:coauthVersionLast="47" xr6:coauthVersionMax="47" xr10:uidLastSave="{00000000-0000-0000-0000-000000000000}"/>
  <bookViews>
    <workbookView xWindow="-110" yWindow="-110" windowWidth="25820" windowHeight="13900"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<sst xmlns="http://schemas.openxmlformats.org/spreadsheetml/2006/main" count="1159" uniqueCount="737">
  <si>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</si>
  <si>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</si>
  <si>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</si>
  <si>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</si>
  <si>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</si>
  <si>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</si>
  <si>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</si>
  <si>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</si>
  <si>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</si>
  <si>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</si>
  <si>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</si>
  <si>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</si>
  <si>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</si>
  <si>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</si>
  <si>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</si>
  <si>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</si>
  <si>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</si>
  <si>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</si>
  <si>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</si>
  <si>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</si>
  <si>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</si>
  <si>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</si>
  <si>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</si>
  <si>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</si>
  <si>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</si>
  <si>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</si>
  <si>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</si>
  <si>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</si>
  <si>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</si>
  <si>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</si>
  <si>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</si>
  <si>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</si>
  <si>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</si>
  <si>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</si>
  <si>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</si>
  <si>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</si>
  <si>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</si>
  <si>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</si>
  <si>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</si>
  <si>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</si>
  <si>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</si>
  <si>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</si>
  <si>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</si>
  <si>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</si>
  <si>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</si>
  <si>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</si>
  <si>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</si>
  <si>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</si>
  <si>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</si>
  <si>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</si>
  <si>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</si>
  <si>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</si>
  <si>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</si>
  <si>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</si>
  <si>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</si>
  <si>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</si>
  <si>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</si>
  <si>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</si>
  <si>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</si>
  <si>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</si>
  <si>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</si>
  <si>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</si>
  <si>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</si>
  <si>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</si>
  <si>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</si>
  <si>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</si>
  <si>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</si>
  <si>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</si>
  <si>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</si>
  <si>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</si>
  <si>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</si>
  <si>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</si>
  <si>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</si>
  <si>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</si>
  <si>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</si>
  <si>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</si>
  <si>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</si>
  <si>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</si>
  <si>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</si>
  <si>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</si>
  <si>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</si>
  <si>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</si>
  <si>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</si>
  <si>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</si>
  <si>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</si>
  <si>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</si>
  <si>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</si>
  <si>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</si>
  <si>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</si>
  <si>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</si>
  <si>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</si>
  <si>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</si>
  <si>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</si>
  <si>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</si>
  <si>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</si>
  <si>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</si>
  <si>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</si>
  <si>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</si>
  <si>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</si>
  <si>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</si>
  <si>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</si>
  <si>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</si>
  <si>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</si>
  <si>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</si>
  <si>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</si>
  <si>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</si>
  <si>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</si>
  <si>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</si>
  <si>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</si>
  <si>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</si>
  <si>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</si>
  <si>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</si>
  <si>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</si>
  <si>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</si>
  <si>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</si>
  <si>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</si>
  <si>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</si>
  <si>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</si>
  <si>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</si>
  <si>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</si>
  <si>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</si>
  <si>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</si>
  <si>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</si>
  <si>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</si>
  <si>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</si>
  <si>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</si>
  <si>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</si>
  <si>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</si>
  <si>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</si>
  <si>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</si>
  <si>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</si>
  <si>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</si>
  <si>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</si>
  <si>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</si>
  <si>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</si>
  <si>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</si>
  <si>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</si>
  <si>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</si>
  <si>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</si>
  <si>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</si>
  <si>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</si>
  <si>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</si>
  <si>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</si>
  <si>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</si>
  <si>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</si>
  <si>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</si>
  <si>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</si>
  <si>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</si>
  <si>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</si>
  <si>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</si>
  <si>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</si>
  <si>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</si>
  <si>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</si>
  <si>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</si>
  <si>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</si>
  <si>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</si>
  <si>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</si>
  <si>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</si>
  <si>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</si>
  <si>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</si>
  <si>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</si>
  <si>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</si>
  <si>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</si>
  <si>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</si>
  <si>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</si>
  <si>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</si>
  <si>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</si>
  <si>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</si>
  <si>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</si>
  <si>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</si>
  <si>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</si>
  <si>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</si>
  <si>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</si>
  <si>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</si>
  <si>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</si>
  <si>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</si>
  <si>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</si>
  <si>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</si>
  <si>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</si>
  <si>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</si>
  <si>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</si>
  <si>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</si>
  <si>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</si>
  <si>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</si>
  <si>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</si>
  <si>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</si>
  <si>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</si>
  <si>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</si>
  <si>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</si>
  <si>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</si>
  <si>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</si>
  <si>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</si>
  <si>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</si>
  <si>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</si>
  <si>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</si>
  <si>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</si>
  <si>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</si>
  <si>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</si>
  <si>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</si>
  <si>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</si>
  <si>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</si>
  <si>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</si>
  <si>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</si>
  <si>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</si>
  <si>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</si>
  <si>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</si>
  <si>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</si>
  <si>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</si>
  <si>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</si>
  <si>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</si>
  <si>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</si>
  <si>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</si>
  <si>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</si>
  <si>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</si>
  <si>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</si>
  <si>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</si>
  <si>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</si>
  <si>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</si>
  <si>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</si>
  <si>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</si>
  <si>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</si>
  <si>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</si>
  <si>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</si>
  <si>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</si>
  <si>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</si>
  <si>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</si>
  <si>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</si>
  <si>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</si>
  <si>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</si>
  <si>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</si>
  <si>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</si>
  <si>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</si>
  <si>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</si>
  <si>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</si>
  <si>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</si>
  <si>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</si>
  <si>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</si>
  <si>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</si>
  <si>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</si>
  <si>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</si>
  <si>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</si>
  <si>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</si>
  <si>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</si>
  <si>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</si>
  <si>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</si>
  <si>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</si>
  <si>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</si>
  <si>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</si>
  <si>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</si>
  <si>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</si>
  <si>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</si>
  <si>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</si>
  <si>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</si>
  <si>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</si>
  <si>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</si>
  <si>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</si>
  <si>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</si>
  <si>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</si>
  <si>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</si>
  <si>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</si>
  <si>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</si>
  <si>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</si>
  <si>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</si>
  <si>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</si>
  <si>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</si>
  <si>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</si>
  <si>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</si>
  <si>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</si>
  <si>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</si>
  <si>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</si>
  <si>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</si>
  <si>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</si>
  <si>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</si>
  <si>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</si>
  <si>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</si>
  <si>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</si>
  <si>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</si>
  <si>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</si>
  <si>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</si>
  <si>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</si>
  <si>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</si>
  <si>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</si>
  <si>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</si>
  <si>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</si>
  <si>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</si>
  <si>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</si>
  <si>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</si>
  <si>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</si>
  <si>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</si>
  <si>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</si>
  <si>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</si>
  <si>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</si>
  <si>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</si>
  <si>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</si>
  <si>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</si>
  <si>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</si>
  <si>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</si>
  <si>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</si>
  <si>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</si>
  <si>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</si>
  <si>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</si>
  <si>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</si>
  <si>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</si>
  <si>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</si>
  <si>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</si>
  <si>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</si>
  <si>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</si>
  <si>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</si>
  <si>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</si>
  <si>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</si>
  <si>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</si>
  <si>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</si>
  <si>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</si>
  <si>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</si>
  <si>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</si>
  <si>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</si>
  <si>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</si>
  <si>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</si>
  <si>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</si>
  <si>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</si>
  <si>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</si>
  <si>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</si>
  <si>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</si>
  <si>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</si>
  <si>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</si>
  <si>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</si>
  <si>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</si>
  <si>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</si>
  <si>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</si>
  <si>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</si>
  <si>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</si>
  <si>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</si>
  <si>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</si>
  <si>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</si>
  <si>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</si>
  <si>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</si>
  <si>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</si>
  <si>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</si>
  <si>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</si>
  <si>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</si>
  <si>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</si>
  <si>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</si>
  <si>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</si>
  <si>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</si>
  <si>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</si>
  <si>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</si>
  <si>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</si>
  <si>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</si>
  <si>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</si>
  <si>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</si>
  <si>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</si>
  <si>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</si>
  <si>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</si>
  <si>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</si>
  <si>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</si>
  <si>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</si>
  <si>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</si>
  <si>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</si>
  <si>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</si>
  <si>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</si>
  <si>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</si>
  <si>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</si>
  <si>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</si>
  <si>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</si>
  <si>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</si>
  <si>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</si>
  <si>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</si>
  <si>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</si>
  <si>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</si>
  <si>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</si>
  <si>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</si>
  <si>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</si>
  <si>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</si>
  <si>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</si>
  <si>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</si>
  <si>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</si>
  <si>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</si>
  <si>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</si>
  <si>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</si>
  <si>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</si>
  <si>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</si>
  <si>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</si>
  <si>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</si>
  <si>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</si>
  <si>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</si>
  <si>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</si>
  <si>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</si>
  <si>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</si>
  <si>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</si>
  <si>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</si>
  <si>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</si>
  <si>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</si>
  <si>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</si>
  <si>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</si>
  <si>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</si>
  <si>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</si>
  <si>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</si>
  <si>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</si>
  <si>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</si>
  <si>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</si>
  <si>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</si>
  <si>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</si>
  <si>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</si>
  <si>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</si>
  <si>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</si>
  <si>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</si>
  <si>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</si>
  <si>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</si>
  <si>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</si>
  <si>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</si>
  <si>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</si>
  <si>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</si>
  <si>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</si>
  <si>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</si>
  <si>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</si>
  <si>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</si>
  <si>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</si>
  <si>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</si>
  <si>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</si>
  <si>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</si>
  <si>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</si>
  <si>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</si>
  <si>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</si>
  <si>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</si>
  <si>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</si>
  <si>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</si>
  <si>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</si>
  <si>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</si>
  <si>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</si>
  <si>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</si>
  <si>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</si>
  <si>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</si>
  <si>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</si>
  <si>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</si>
  <si>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</si>
  <si>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</si>
  <si>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</si>
  <si>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</si>
  <si>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</si>
  <si>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</si>
  <si>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</si>
  <si>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</si>
  <si>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</si>
  <si>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</si>
  <si>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</si>
  <si>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</si>
  <si>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</si>
  <si>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</si>
  <si>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</si>
  <si>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</si>
  <si>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</si>
  <si>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</si>
  <si>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</si>
  <si>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</si>
  <si>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</si>
  <si>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</si>
  <si>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</si>
  <si>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</si>
  <si>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</si>
  <si>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</si>
  <si>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</si>
  <si>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</si>
  <si>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</si>
  <si>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</si>
  <si>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</si>
  <si>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</si>
  <si>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</si>
  <si>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</si>
  <si>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</si>
  <si>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</si>
  <si>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</si>
  <si>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</si>
  <si>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</si>
  <si>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</si>
  <si>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</si>
  <si>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</si>
  <si>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</si>
  <si>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</si>
  <si>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</si>
  <si>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</si>
  <si>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</si>
  <si>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</si>
  <si>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</si>
  <si>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</si>
  <si>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</si>
  <si>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</si>
  <si>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</si>
  <si>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</si>
  <si>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</si>
  <si>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</si>
  <si>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</si>
  <si>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</si>
  <si>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</si>
  <si>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</si>
  <si>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</si>
  <si>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</si>
  <si>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</si>
  <si>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</si>
  <si>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</si>
  <si>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</si>
  <si>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</si>
  <si>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</si>
  <si>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</si>
  <si>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</si>
  <si>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</si>
  <si>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</si>
  <si>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</si>
  <si>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</si>
  <si>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</si>
  <si>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</si>
  <si>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</si>
  <si>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</si>
  <si>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</si>
  <si>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</si>
  <si>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</si>
  <si>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</si>
  <si>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</si>
  <si>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</si>
  <si>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</si>
  <si>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</si>
  <si>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</si>
  <si>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</si>
  <si>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</si>
  <si>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</si>
  <si>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</si>
  <si>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</si>
  <si>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</si>
  <si>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</si>
  <si>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</si>
  <si>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</si>
  <si>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</si>
  <si>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</si>
  <si>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</si>
  <si>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</si>
  <si>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</si>
  <si>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</si>
  <si>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</si>
  <si>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</si>
  <si>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</si>
  <si>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</si>
  <si>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</si>
  <si>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</si>
  <si>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</si>
  <si>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</si>
  <si>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</si>
  <si>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</si>
  <si>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</si>
  <si>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</si>
  <si>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</si>
  <si>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</si>
  <si>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</si>
  <si>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</si>
  <si>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</si>
  <si>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</si>
  <si>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</si>
  <si>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</si>
  <si>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</si>
  <si>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</si>
  <si>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</si>
  <si>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</si>
  <si>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</si>
  <si>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</si>
  <si>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</si>
  <si>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</si>
  <si>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</si>
  <si>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</si>
  <si>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</si>
  <si>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</si>
  <si>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</si>
  <si>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</si>
  <si>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</si>
  <si>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</si>
  <si>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</si>
  <si>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</si>
  <si>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</si>
  <si>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</si>
  <si>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</si>
  <si>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</si>
  <si>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</si>
  <si>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</si>
  <si>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</si>
  <si>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</si>
  <si>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</si>
  <si>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</si>
  <si>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</si>
  <si>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</si>
  <si>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</si>
  <si>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</si>
  <si>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</si>
  <si>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</si>
  <si>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</si>
  <si>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</si>
  <si>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</si>
  <si>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</si>
  <si>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</si>
  <si>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max(diag_n, 1)) - anc_ltc_rate, 0)</t>
  </si>
  <si>
    <t xml:space="preserve">sdiv(max((hepb_pop*treat_measure)-treated, 0), max(ltc_n, 1)) </t>
  </si>
  <si>
    <t>sdiv(b_rate*hepbd_cov-(b_rate*(mprev_diag_epos+mprev_diag_eneg) + b_rate*(mprev_undiag_epos+mprev_undiag_eneg)*anc_scr), b_rate*hepbd_cov+(1-sdiv(b_rate*hepbd_cov,b_rate*hepbd_cov)))*sdiv(b_rate*hepbd_cov,b_rate*hepbd_cov)</t>
  </si>
  <si>
    <t>horiz_chb</t>
  </si>
  <si>
    <t>Horizontal Transmission Leading to CHB</t>
  </si>
  <si>
    <t>horiz*acu_chb</t>
  </si>
  <si>
    <t>horiz_acu</t>
  </si>
  <si>
    <t>Horizontal Transmission Leading to Acute HBV</t>
  </si>
  <si>
    <t>horiz*(1-acu_chb)</t>
  </si>
  <si>
    <t>1-acu_dth</t>
  </si>
  <si>
    <t>sh_cost</t>
  </si>
  <si>
    <t>Costs</t>
  </si>
  <si>
    <t>treat_cost</t>
  </si>
  <si>
    <t>diag_cost</t>
  </si>
  <si>
    <t>diag_price</t>
  </si>
  <si>
    <t>treat_price</t>
  </si>
  <si>
    <t>diagnoses</t>
  </si>
  <si>
    <t>Annual number of diagnoses made</t>
  </si>
  <si>
    <t>ei:ei_d+eh:eh_d+si:si_d+sh:sh_d+cc:cc_d+dc:dc_d+hcc:hcc_d</t>
  </si>
  <si>
    <t>Annual cost of hepatitis B diagnoses</t>
  </si>
  <si>
    <t>Estimated price of a hepatitis B diagnosis</t>
  </si>
  <si>
    <t xml:space="preserve">Discounting rate assumed for costs </t>
  </si>
  <si>
    <t>disc_rate_cost</t>
  </si>
  <si>
    <t>chb_ltc_price</t>
  </si>
  <si>
    <t>cc_ltc_price</t>
  </si>
  <si>
    <t>dc_ltc_nt_price</t>
  </si>
  <si>
    <t>dc_ltc_tx_price</t>
  </si>
  <si>
    <t>hcc_ltc_nt_price</t>
  </si>
  <si>
    <t>hcc_ltc_tx_price</t>
  </si>
  <si>
    <t>chb_dm_cost</t>
  </si>
  <si>
    <t>Annual price CHB disease management</t>
  </si>
  <si>
    <t>Annual cost of CHB disease management</t>
  </si>
  <si>
    <t>Annual price of CC disease management</t>
  </si>
  <si>
    <t>cc_dm_cost</t>
  </si>
  <si>
    <t>Annual cost of CC disease management</t>
  </si>
  <si>
    <t>Annual price of DC disease management (not treated)</t>
  </si>
  <si>
    <t>Annual price of HCC disease management (not treated)</t>
  </si>
  <si>
    <t>Annual price of DC disease management (on treatment)</t>
  </si>
  <si>
    <t>dc_dm_cost</t>
  </si>
  <si>
    <t>Annual cost of DC disease management (total)</t>
  </si>
  <si>
    <t>((dc_l*dc_ltc_nt_price)+(dc_t*dc_ltc_tx_price))*disc_rate_cost</t>
  </si>
  <si>
    <t>(cc_l+cc_t)*cc_ltc_price*disc_rate_cost</t>
  </si>
  <si>
    <t>(ei_l+eh_l+si_l+sh_l+ei_t+eh_t+si_t+sh_t)*chb_ltc_price*disc_rate_cost</t>
  </si>
  <si>
    <t>diag_price*diagnoses*disc_rate_cost</t>
  </si>
  <si>
    <t>Annual price of HCC disease management (treated)</t>
  </si>
  <si>
    <t>hcc_dm_cost</t>
  </si>
  <si>
    <t>Annual cost of HCC dsease management (total)</t>
  </si>
  <si>
    <t>((hcc_l*hcc_ltc_nt_price)+(hcc_t*hcc_ltc_tx_price))*disc_rate_cost</t>
  </si>
  <si>
    <t>dm_cost</t>
  </si>
  <si>
    <t>Annual disease management costs</t>
  </si>
  <si>
    <t>chb_dm_cost+cc_dm_cost+dc_dm_cost+hcc_dm_cost</t>
  </si>
  <si>
    <t>Direct Costs of Hepatitis B</t>
  </si>
  <si>
    <t>QALYs</t>
  </si>
  <si>
    <t>direct_costs</t>
  </si>
  <si>
    <t>Total Direct Costs of HepB</t>
  </si>
  <si>
    <t>diag_cost+dm_cost+treat_cost</t>
  </si>
  <si>
    <t>Annual (weighted) price of hepatitis B treatment in Australia</t>
  </si>
  <si>
    <t>Annual cost of hepatitis B treatment</t>
  </si>
  <si>
    <t>treated*treat_price*disc_rate_cost</t>
  </si>
  <si>
    <t>ql_clr</t>
  </si>
  <si>
    <t>ql_chb</t>
  </si>
  <si>
    <t>ql_cc</t>
  </si>
  <si>
    <t>ql_dc</t>
  </si>
  <si>
    <t>ql_hcc</t>
  </si>
  <si>
    <t>disc_rate_qaly</t>
  </si>
  <si>
    <t>QoL Weight: No hepatititis B</t>
  </si>
  <si>
    <t>QoL Weight: CHB</t>
  </si>
  <si>
    <t>QoL Weight: Compensated Cirrhosis</t>
  </si>
  <si>
    <t>QoL Weight: Decompensated Cirrhosis</t>
  </si>
  <si>
    <t>QoL Weight: HCC</t>
  </si>
  <si>
    <t>Discounting rate assumed for QALYs</t>
  </si>
  <si>
    <t>sh_qaly</t>
  </si>
  <si>
    <t>qalys_clr</t>
  </si>
  <si>
    <t>qalys_chb</t>
  </si>
  <si>
    <t>qalys_cc</t>
  </si>
  <si>
    <t>qalys_dc</t>
  </si>
  <si>
    <t>qalys_hcc</t>
  </si>
  <si>
    <t>qalys_total</t>
  </si>
  <si>
    <t>QALYs: No hepatitis B</t>
  </si>
  <si>
    <t>ql_clr*(sus+vax+imm_chb)</t>
  </si>
  <si>
    <t>QALYs: CHB</t>
  </si>
  <si>
    <t>QALYs: HCC</t>
  </si>
  <si>
    <t>QALYs: Compensated Cirrhosis</t>
  </si>
  <si>
    <t>QALYs: Decompensated Cirrhosis</t>
  </si>
  <si>
    <t>QALYs: Total (discounted)</t>
  </si>
  <si>
    <t>ql_chb*(ei+ei_d+ei_l+ei_t+eh+eh_d+eh_l+eh_t+si+si_d+si_l+si_t+sh+sh_d+sh_l+sh_t)</t>
  </si>
  <si>
    <t>ql_cc*compensated</t>
  </si>
  <si>
    <t>ql_dc*decompensated</t>
  </si>
  <si>
    <t>ql_hcc*livercancer</t>
  </si>
  <si>
    <t>(qalys_clr+qalys_chb+qalys_cc+qalys_dc+qalys_hcc)*disc_rate_qaly</t>
  </si>
  <si>
    <t>ei,ei_d,ei_l,ei_t,eh,eh_d,eh_l,eh_t</t>
  </si>
  <si>
    <t>rate</t>
  </si>
  <si>
    <t>Productivity loss from mortality (15-64y)</t>
  </si>
  <si>
    <t>annual_salary</t>
  </si>
  <si>
    <t>Estimated annual salary of full -time Australian employee (median)</t>
  </si>
  <si>
    <t>etp_ratio</t>
  </si>
  <si>
    <t>Employment to population ratio in Australia</t>
  </si>
  <si>
    <t>sh_prod</t>
  </si>
  <si>
    <t>Productivity</t>
  </si>
  <si>
    <t>prod_loss</t>
  </si>
  <si>
    <t>Years Productive Life Lost (15-19)</t>
  </si>
  <si>
    <t>Years Productive Life Lost (20-24)</t>
  </si>
  <si>
    <t>Years Productive Life Lost (25-29)</t>
  </si>
  <si>
    <t>Years Productive Life Lost (30-34)</t>
  </si>
  <si>
    <t>Years Productive Life Lost (35-39)</t>
  </si>
  <si>
    <t>Years Productive Life Lost (40-44)</t>
  </si>
  <si>
    <t>Years Productive Life Lost (45-49)</t>
  </si>
  <si>
    <t>Years Productive Life Lost (50-54)</t>
  </si>
  <si>
    <t>Years Productive Life Lost (55-59)</t>
  </si>
  <si>
    <t>Years Productive Life Lost (60-64)</t>
  </si>
  <si>
    <t>Proportion of HBV deaths (15-19)</t>
  </si>
  <si>
    <t>Proportion of HBV deaths (20-24)</t>
  </si>
  <si>
    <t>Proportion of HBV deaths (25-29)</t>
  </si>
  <si>
    <t>Proportion of HBV deaths (30-34)</t>
  </si>
  <si>
    <t>Proportion of HBV deaths (35-39)</t>
  </si>
  <si>
    <t>Proportion of HBV deaths (40-44)</t>
  </si>
  <si>
    <t>Proportion of HBV deaths (45-49)</t>
  </si>
  <si>
    <t>Proportion of HBV deaths (50-54)</t>
  </si>
  <si>
    <t>Proportion of HBV deaths (55-59)</t>
  </si>
  <si>
    <t>Proportion of HBV deaths (60-64)</t>
  </si>
  <si>
    <t>Productivity loss caused by hepatitis B attributable mortality</t>
  </si>
  <si>
    <t>ypll_1519</t>
  </si>
  <si>
    <t>dp_1519</t>
  </si>
  <si>
    <t>ypll_2024</t>
  </si>
  <si>
    <t>dp_2024</t>
  </si>
  <si>
    <t>ypll_2529</t>
  </si>
  <si>
    <t>dp_2529</t>
  </si>
  <si>
    <t>ypll_3034</t>
  </si>
  <si>
    <t>dp_3034</t>
  </si>
  <si>
    <t>ypll_3539</t>
  </si>
  <si>
    <t>dp_3539</t>
  </si>
  <si>
    <t>ypll_4044</t>
  </si>
  <si>
    <t>dp_4044</t>
  </si>
  <si>
    <t>ypll_4549</t>
  </si>
  <si>
    <t>dp_4549</t>
  </si>
  <si>
    <t>ypll_5054</t>
  </si>
  <si>
    <t>dp_5054</t>
  </si>
  <si>
    <t>ypll_5559</t>
  </si>
  <si>
    <t>dp_5559</t>
  </si>
  <si>
    <t>ypll_6064</t>
  </si>
  <si>
    <t>dp_6064</t>
  </si>
  <si>
    <t>disc_rate_cost*annual_salary*etp_ratio*((ypll_1519*dp_1519*hep_dth)+(ypll_2024*dp_2024*hep_dth)+(ypll_2529*dp_2529*hep_dth)+(ypll_3034*dp_3034*hep_dth)+(ypll_3539*dp_3539*hep_dth)+(ypll_4044*dp_4044*hep_dth)+(ypll_4549*dp_4549*hep_dth)+(ypll_5054*dp_5054*hep_dth)+(ypll_5559*dp_5559*hep_dth)+(ypll_6064*dp_6064*hep_d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</si>
</sst>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4"/>
  <sheetViews>
    <sheetView workbookViewId="0">
      <selection activeCell="B15" sqref="B15"/>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530</v>
      </c>
      <c r="B5" t="s">
        <v>531</v>
      </c>
    </row>
    <row r="6" spans="1:2" x14ac:dyDescent="0.35">
      <c r="A6" t="s">
        <v>532</v>
      </c>
      <c r="B6" t="s">
        <v>533</v>
      </c>
    </row>
    <row r="7" spans="1:2" x14ac:dyDescent="0.35">
      <c r="A7" t="s">
        <v>534</v>
      </c>
      <c r="B7" t="s">
        <v>535</v>
      </c>
    </row>
    <row r="8" spans="1:2" x14ac:dyDescent="0.35">
      <c r="A8" t="s">
        <v>536</v>
      </c>
      <c r="B8" t="s">
        <v>537</v>
      </c>
    </row>
    <row r="9" spans="1:2" x14ac:dyDescent="0.35">
      <c r="A9" t="s">
        <v>538</v>
      </c>
      <c r="B9" t="s">
        <v>539</v>
      </c>
    </row>
    <row r="10" spans="1:2" x14ac:dyDescent="0.35">
      <c r="A10" t="s">
        <v>542</v>
      </c>
      <c r="B10" t="s">
        <v>543</v>
      </c>
    </row>
    <row r="11" spans="1:2" x14ac:dyDescent="0.35">
      <c r="A11" t="s">
        <v>544</v>
      </c>
      <c r="B11" t="s">
        <v>545</v>
      </c>
    </row>
    <row r="12" spans="1:2" x14ac:dyDescent="0.35">
      <c r="A12" t="s">
        <v>605</v>
      </c>
      <c r="B12" t="s">
        <v>606</v>
      </c>
    </row>
    <row r="13" spans="1:2" x14ac:dyDescent="0.35">
      <c r="A13" t="s">
        <v>666</v>
      </c>
      <c r="B13" t="s">
        <v>647</v>
      </c>
    </row>
    <row r="14" spans="1:2" x14ac:dyDescent="0.35">
      <c r="A14" t="s">
        <v>692</v>
      </c>
      <c r="B14" t="s">
        <v>693</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topLeftCell="A7" zoomScale="55" zoomScaleNormal="55" workbookViewId="0">
      <selection activeCell="Z34" sqref="Z34"/>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10.54296875" style="32" customWidth="1"/>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ht="29" x14ac:dyDescent="0.35">
      <c r="A8" s="26" t="str">
        <f>IF(Compartments!$A8&lt;&gt;"",Compartments!$A8,"")</f>
        <v>sus</v>
      </c>
      <c r="B8" s="36"/>
      <c r="C8" s="36"/>
      <c r="D8" s="36"/>
      <c r="E8" s="36" t="s">
        <v>128</v>
      </c>
      <c r="F8" s="36"/>
      <c r="G8" s="36" t="s">
        <v>129</v>
      </c>
      <c r="H8" s="36"/>
      <c r="I8" s="36"/>
      <c r="J8" s="31"/>
      <c r="K8" s="36"/>
      <c r="L8" s="36" t="s">
        <v>601</v>
      </c>
      <c r="M8" s="36" t="s">
        <v>598</v>
      </c>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c r="L13" s="41"/>
      <c r="M13" s="42"/>
      <c r="N13" s="43" t="s">
        <v>366</v>
      </c>
      <c r="O13" s="44" t="s">
        <v>360</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591</v>
      </c>
      <c r="L17" s="30"/>
      <c r="M17" s="55"/>
      <c r="N17" s="55"/>
      <c r="O17" s="55"/>
      <c r="P17" s="56"/>
      <c r="Q17" s="57"/>
      <c r="R17" s="43" t="s">
        <v>366</v>
      </c>
      <c r="S17" s="43" t="s">
        <v>360</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591</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591</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591</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591</v>
      </c>
      <c r="L21" s="34"/>
      <c r="M21" s="34"/>
      <c r="N21" s="34"/>
      <c r="O21" s="34"/>
      <c r="P21" s="34"/>
      <c r="Q21" s="69"/>
      <c r="R21" s="69"/>
      <c r="S21" s="69"/>
      <c r="T21" s="70"/>
      <c r="U21" s="71"/>
      <c r="V21" s="43" t="s">
        <v>366</v>
      </c>
      <c r="W21" s="72" t="s">
        <v>360</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591</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591</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591</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591</v>
      </c>
      <c r="L25" s="84"/>
      <c r="M25" s="84"/>
      <c r="N25" s="84"/>
      <c r="O25" s="84"/>
      <c r="P25" s="84"/>
      <c r="Q25" s="84"/>
      <c r="R25" s="84"/>
      <c r="S25" s="84"/>
      <c r="T25" s="84"/>
      <c r="U25" s="85" t="s">
        <v>167</v>
      </c>
      <c r="V25" s="85"/>
      <c r="W25" s="85"/>
      <c r="X25" s="86"/>
      <c r="Y25" s="87"/>
      <c r="Z25" s="43" t="s">
        <v>366</v>
      </c>
      <c r="AA25" s="88" t="s">
        <v>360</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591</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591</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591</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366</v>
      </c>
      <c r="AE29" s="104" t="s">
        <v>360</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218"/>
  <sheetViews>
    <sheetView tabSelected="1" topLeftCell="A182" zoomScale="85" zoomScaleNormal="85" workbookViewId="0">
      <selection activeCell="H191" sqref="H191"/>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583</v>
      </c>
      <c r="B5" s="23" t="s">
        <v>584</v>
      </c>
      <c r="K5" s="2" t="s">
        <v>212</v>
      </c>
    </row>
    <row r="6" spans="1:17" x14ac:dyDescent="0.35">
      <c r="A6" s="160" t="s">
        <v>176</v>
      </c>
      <c r="B6" s="159" t="s">
        <v>177</v>
      </c>
      <c r="H6" s="2" t="s">
        <v>585</v>
      </c>
      <c r="K6" s="2"/>
    </row>
    <row r="7" spans="1:17" x14ac:dyDescent="0.35">
      <c r="A7" s="160" t="s">
        <v>129</v>
      </c>
      <c r="B7" s="159" t="s">
        <v>178</v>
      </c>
      <c r="C7" s="2" t="s">
        <v>261</v>
      </c>
      <c r="H7" s="21" t="s">
        <v>586</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558</v>
      </c>
      <c r="K40" s="2"/>
    </row>
    <row r="41" spans="1:16" s="16" customFormat="1" x14ac:dyDescent="0.35">
      <c r="A41" s="15" t="s">
        <v>171</v>
      </c>
      <c r="B41" s="16" t="s">
        <v>413</v>
      </c>
      <c r="C41" s="17"/>
      <c r="D41" s="17"/>
      <c r="E41" s="17"/>
      <c r="F41" s="17"/>
      <c r="G41" s="17"/>
      <c r="I41" s="17"/>
      <c r="J41" s="17"/>
      <c r="K41" s="17"/>
      <c r="L41" s="17"/>
      <c r="N41" s="17"/>
      <c r="O41" s="17"/>
      <c r="P41" s="17"/>
    </row>
    <row r="42" spans="1:16" x14ac:dyDescent="0.35">
      <c r="A42" s="22" t="s">
        <v>256</v>
      </c>
      <c r="B42" s="24" t="s">
        <v>311</v>
      </c>
      <c r="K42" s="2" t="s">
        <v>534</v>
      </c>
    </row>
    <row r="43" spans="1:16" x14ac:dyDescent="0.35">
      <c r="A43" s="22" t="s">
        <v>257</v>
      </c>
      <c r="B43" s="24" t="s">
        <v>312</v>
      </c>
      <c r="K43" s="2" t="s">
        <v>534</v>
      </c>
    </row>
    <row r="44" spans="1:16" x14ac:dyDescent="0.35">
      <c r="A44" s="22" t="s">
        <v>258</v>
      </c>
      <c r="B44" s="24" t="s">
        <v>313</v>
      </c>
      <c r="K44" s="2" t="s">
        <v>534</v>
      </c>
    </row>
    <row r="45" spans="1:16" x14ac:dyDescent="0.35">
      <c r="A45" s="22" t="s">
        <v>260</v>
      </c>
      <c r="B45" s="24" t="s">
        <v>314</v>
      </c>
      <c r="K45" s="2" t="s">
        <v>534</v>
      </c>
    </row>
    <row r="46" spans="1:16" x14ac:dyDescent="0.35">
      <c r="A46" s="22" t="s">
        <v>157</v>
      </c>
      <c r="B46" s="24" t="s">
        <v>315</v>
      </c>
      <c r="C46" s="2" t="s">
        <v>261</v>
      </c>
      <c r="K46" s="2" t="s">
        <v>534</v>
      </c>
    </row>
    <row r="47" spans="1:16" x14ac:dyDescent="0.35">
      <c r="A47" s="22" t="s">
        <v>259</v>
      </c>
      <c r="B47" s="24" t="s">
        <v>316</v>
      </c>
      <c r="K47" s="2" t="s">
        <v>534</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532</v>
      </c>
    </row>
    <row r="50" spans="1:16" x14ac:dyDescent="0.35">
      <c r="A50" s="22" t="s">
        <v>263</v>
      </c>
      <c r="B50" s="23" t="s">
        <v>266</v>
      </c>
      <c r="K50" s="2" t="s">
        <v>530</v>
      </c>
    </row>
    <row r="51" spans="1:16" x14ac:dyDescent="0.35">
      <c r="A51" s="22" t="s">
        <v>264</v>
      </c>
      <c r="B51" s="23" t="s">
        <v>267</v>
      </c>
      <c r="K51" s="2" t="s">
        <v>530</v>
      </c>
    </row>
    <row r="52" spans="1:16" s="16" customFormat="1" x14ac:dyDescent="0.35">
      <c r="A52" s="15" t="s">
        <v>171</v>
      </c>
      <c r="B52" s="16" t="s">
        <v>270</v>
      </c>
      <c r="C52" s="17"/>
      <c r="D52" s="17"/>
      <c r="E52" s="17"/>
      <c r="F52" s="17"/>
      <c r="G52" s="17"/>
      <c r="I52" s="17"/>
      <c r="J52" s="17"/>
      <c r="K52" s="17"/>
      <c r="L52" s="17"/>
      <c r="N52" s="17"/>
      <c r="O52" s="17"/>
      <c r="P52" s="17"/>
    </row>
    <row r="53" spans="1:16" x14ac:dyDescent="0.35">
      <c r="A53" s="22" t="s">
        <v>131</v>
      </c>
      <c r="B53" s="24" t="s">
        <v>317</v>
      </c>
      <c r="C53" s="25" t="s">
        <v>261</v>
      </c>
      <c r="D53" s="2"/>
      <c r="K53" s="2" t="s">
        <v>532</v>
      </c>
    </row>
    <row r="54" spans="1:16" x14ac:dyDescent="0.35">
      <c r="A54" s="22" t="s">
        <v>132</v>
      </c>
      <c r="B54" s="24" t="s">
        <v>318</v>
      </c>
      <c r="C54" s="25" t="s">
        <v>261</v>
      </c>
      <c r="D54" s="2">
        <v>0.5</v>
      </c>
      <c r="K54" s="2" t="s">
        <v>532</v>
      </c>
    </row>
    <row r="55" spans="1:16" x14ac:dyDescent="0.35">
      <c r="A55" s="4" t="s">
        <v>130</v>
      </c>
      <c r="B55" s="3" t="s">
        <v>269</v>
      </c>
      <c r="C55" s="2" t="s">
        <v>268</v>
      </c>
      <c r="D55" s="2">
        <v>0.5</v>
      </c>
      <c r="H55" s="2" t="s">
        <v>604</v>
      </c>
    </row>
    <row r="56" spans="1:16" x14ac:dyDescent="0.35">
      <c r="A56" s="22" t="s">
        <v>158</v>
      </c>
      <c r="B56" s="24" t="s">
        <v>319</v>
      </c>
      <c r="C56" s="25" t="s">
        <v>261</v>
      </c>
      <c r="K56" s="2" t="s">
        <v>532</v>
      </c>
    </row>
    <row r="57" spans="1:16" x14ac:dyDescent="0.35">
      <c r="A57" s="22" t="s">
        <v>166</v>
      </c>
      <c r="B57" s="24" t="s">
        <v>320</v>
      </c>
      <c r="C57" s="25" t="s">
        <v>261</v>
      </c>
      <c r="K57" s="2" t="s">
        <v>532</v>
      </c>
    </row>
    <row r="58" spans="1:16" x14ac:dyDescent="0.35">
      <c r="A58" s="22" t="s">
        <v>167</v>
      </c>
      <c r="B58" s="24" t="s">
        <v>321</v>
      </c>
      <c r="C58" s="25" t="s">
        <v>261</v>
      </c>
      <c r="K58" s="2" t="s">
        <v>532</v>
      </c>
    </row>
    <row r="59" spans="1:16" x14ac:dyDescent="0.35">
      <c r="A59" s="22" t="s">
        <v>271</v>
      </c>
      <c r="B59" s="24" t="s">
        <v>322</v>
      </c>
      <c r="C59" s="25"/>
      <c r="K59" s="2" t="s">
        <v>532</v>
      </c>
    </row>
    <row r="60" spans="1:16" x14ac:dyDescent="0.35">
      <c r="A60" s="22" t="s">
        <v>272</v>
      </c>
      <c r="B60" s="24" t="s">
        <v>323</v>
      </c>
      <c r="C60" s="25"/>
      <c r="K60" s="2" t="s">
        <v>532</v>
      </c>
    </row>
    <row r="61" spans="1:16" x14ac:dyDescent="0.35">
      <c r="A61" s="4" t="s">
        <v>162</v>
      </c>
      <c r="B61" s="3" t="s">
        <v>305</v>
      </c>
      <c r="C61" s="2" t="s">
        <v>261</v>
      </c>
      <c r="H61" s="2" t="s">
        <v>303</v>
      </c>
    </row>
    <row r="62" spans="1:16" x14ac:dyDescent="0.35">
      <c r="A62" s="4" t="s">
        <v>164</v>
      </c>
      <c r="B62" s="3" t="s">
        <v>306</v>
      </c>
      <c r="C62" s="2" t="s">
        <v>261</v>
      </c>
      <c r="H62" s="2" t="s">
        <v>304</v>
      </c>
    </row>
    <row r="63" spans="1:16" x14ac:dyDescent="0.35">
      <c r="A63" s="22" t="s">
        <v>155</v>
      </c>
      <c r="B63" s="24" t="s">
        <v>324</v>
      </c>
      <c r="C63" s="25" t="s">
        <v>261</v>
      </c>
      <c r="K63" s="2" t="s">
        <v>532</v>
      </c>
    </row>
    <row r="64" spans="1:16" x14ac:dyDescent="0.35">
      <c r="A64" s="22" t="s">
        <v>273</v>
      </c>
      <c r="B64" s="24" t="s">
        <v>325</v>
      </c>
      <c r="C64" s="25"/>
      <c r="K64" s="2" t="s">
        <v>532</v>
      </c>
    </row>
    <row r="65" spans="1:16" x14ac:dyDescent="0.35">
      <c r="A65" s="22" t="s">
        <v>275</v>
      </c>
      <c r="B65" s="24" t="s">
        <v>326</v>
      </c>
      <c r="C65" s="25"/>
      <c r="K65" s="2" t="s">
        <v>532</v>
      </c>
    </row>
    <row r="66" spans="1:16" x14ac:dyDescent="0.35">
      <c r="A66" s="22" t="s">
        <v>274</v>
      </c>
      <c r="B66" s="24" t="s">
        <v>327</v>
      </c>
      <c r="C66" s="25"/>
      <c r="K66" s="2" t="s">
        <v>532</v>
      </c>
    </row>
    <row r="67" spans="1:16" x14ac:dyDescent="0.35">
      <c r="A67" s="22" t="s">
        <v>276</v>
      </c>
      <c r="B67" s="24" t="s">
        <v>328</v>
      </c>
      <c r="C67" s="25"/>
      <c r="K67" s="2" t="s">
        <v>532</v>
      </c>
    </row>
    <row r="68" spans="1:16" x14ac:dyDescent="0.35">
      <c r="A68" s="4" t="s">
        <v>148</v>
      </c>
      <c r="B68" t="s">
        <v>329</v>
      </c>
      <c r="C68" s="2" t="s">
        <v>261</v>
      </c>
      <c r="H68" s="2" t="s">
        <v>300</v>
      </c>
    </row>
    <row r="69" spans="1:16" x14ac:dyDescent="0.35">
      <c r="A69" s="4" t="s">
        <v>149</v>
      </c>
      <c r="B69" t="s">
        <v>330</v>
      </c>
      <c r="C69" s="2" t="s">
        <v>261</v>
      </c>
      <c r="H69" s="2" t="s">
        <v>301</v>
      </c>
    </row>
    <row r="70" spans="1:16" x14ac:dyDescent="0.35">
      <c r="A70" s="4" t="s">
        <v>151</v>
      </c>
      <c r="B70" t="s">
        <v>331</v>
      </c>
      <c r="C70" s="2" t="s">
        <v>261</v>
      </c>
      <c r="H70" s="2" t="s">
        <v>302</v>
      </c>
    </row>
    <row r="71" spans="1:16" x14ac:dyDescent="0.35">
      <c r="A71" s="4" t="s">
        <v>153</v>
      </c>
      <c r="B71" t="s">
        <v>332</v>
      </c>
      <c r="C71" s="2" t="s">
        <v>261</v>
      </c>
      <c r="H71" s="2" t="s">
        <v>559</v>
      </c>
    </row>
    <row r="72" spans="1:16" x14ac:dyDescent="0.35">
      <c r="A72" s="150" t="s">
        <v>133</v>
      </c>
      <c r="B72" s="151" t="s">
        <v>540</v>
      </c>
      <c r="C72" s="152" t="s">
        <v>261</v>
      </c>
      <c r="H72" s="2"/>
      <c r="K72" s="2" t="s">
        <v>532</v>
      </c>
    </row>
    <row r="73" spans="1:16" x14ac:dyDescent="0.35">
      <c r="A73" s="150" t="s">
        <v>135</v>
      </c>
      <c r="B73" s="151" t="s">
        <v>541</v>
      </c>
      <c r="C73" s="152" t="s">
        <v>261</v>
      </c>
      <c r="H73" s="2"/>
      <c r="K73" s="2" t="s">
        <v>532</v>
      </c>
    </row>
    <row r="74" spans="1:16" x14ac:dyDescent="0.35">
      <c r="A74" s="150" t="s">
        <v>591</v>
      </c>
      <c r="B74" s="151" t="s">
        <v>592</v>
      </c>
      <c r="C74" s="152" t="s">
        <v>261</v>
      </c>
      <c r="H74" s="2"/>
      <c r="K74" s="2" t="s">
        <v>532</v>
      </c>
    </row>
    <row r="75" spans="1:16" s="16" customFormat="1" x14ac:dyDescent="0.35">
      <c r="A75" s="15" t="s">
        <v>171</v>
      </c>
      <c r="B75" s="16" t="s">
        <v>277</v>
      </c>
      <c r="C75" s="17"/>
      <c r="D75" s="17"/>
      <c r="E75" s="17"/>
      <c r="F75" s="17"/>
      <c r="G75" s="17"/>
      <c r="I75" s="17"/>
      <c r="J75" s="17"/>
      <c r="K75" s="17"/>
      <c r="L75" s="17"/>
      <c r="N75" s="17"/>
      <c r="O75" s="17"/>
      <c r="P75" s="17"/>
    </row>
    <row r="76" spans="1:16" x14ac:dyDescent="0.35">
      <c r="A76" s="4" t="s">
        <v>163</v>
      </c>
      <c r="B76" s="3" t="s">
        <v>334</v>
      </c>
      <c r="C76" s="2" t="s">
        <v>261</v>
      </c>
      <c r="H76" s="2" t="s">
        <v>339</v>
      </c>
    </row>
    <row r="77" spans="1:16" x14ac:dyDescent="0.35">
      <c r="A77" s="4" t="s">
        <v>165</v>
      </c>
      <c r="B77" s="3" t="s">
        <v>333</v>
      </c>
      <c r="C77" s="2" t="s">
        <v>261</v>
      </c>
      <c r="H77" s="2" t="s">
        <v>340</v>
      </c>
    </row>
    <row r="78" spans="1:16" x14ac:dyDescent="0.35">
      <c r="A78" s="22" t="s">
        <v>168</v>
      </c>
      <c r="B78" s="24" t="s">
        <v>341</v>
      </c>
      <c r="C78" s="25" t="s">
        <v>261</v>
      </c>
      <c r="H78" s="2"/>
      <c r="K78" s="2" t="s">
        <v>534</v>
      </c>
    </row>
    <row r="79" spans="1:16" x14ac:dyDescent="0.35">
      <c r="A79" s="4" t="s">
        <v>156</v>
      </c>
      <c r="B79" s="3" t="s">
        <v>335</v>
      </c>
      <c r="C79" s="2" t="s">
        <v>261</v>
      </c>
      <c r="H79" s="2" t="s">
        <v>342</v>
      </c>
    </row>
    <row r="80" spans="1:16" x14ac:dyDescent="0.35">
      <c r="A80" s="4" t="s">
        <v>152</v>
      </c>
      <c r="B80" s="3" t="s">
        <v>336</v>
      </c>
      <c r="C80" s="2" t="s">
        <v>261</v>
      </c>
      <c r="H80" s="2" t="s">
        <v>344</v>
      </c>
    </row>
    <row r="81" spans="1:16" x14ac:dyDescent="0.35">
      <c r="A81" s="4" t="s">
        <v>150</v>
      </c>
      <c r="B81" s="3" t="s">
        <v>337</v>
      </c>
      <c r="C81" s="2" t="s">
        <v>261</v>
      </c>
      <c r="H81" s="2" t="s">
        <v>345</v>
      </c>
    </row>
    <row r="82" spans="1:16" x14ac:dyDescent="0.35">
      <c r="A82" s="4" t="s">
        <v>154</v>
      </c>
      <c r="B82" s="3" t="s">
        <v>338</v>
      </c>
      <c r="C82" s="2" t="s">
        <v>261</v>
      </c>
      <c r="H82" s="2" t="s">
        <v>347</v>
      </c>
    </row>
    <row r="83" spans="1:16" x14ac:dyDescent="0.35">
      <c r="A83" s="4" t="s">
        <v>134</v>
      </c>
      <c r="B83" s="3" t="s">
        <v>343</v>
      </c>
      <c r="C83" s="2" t="s">
        <v>261</v>
      </c>
      <c r="H83" s="2" t="s">
        <v>346</v>
      </c>
    </row>
    <row r="84" spans="1:16" s="16" customFormat="1" x14ac:dyDescent="0.35">
      <c r="A84" s="15" t="s">
        <v>171</v>
      </c>
      <c r="B84" s="16" t="s">
        <v>348</v>
      </c>
      <c r="C84" s="17"/>
      <c r="D84" s="17"/>
      <c r="E84" s="17"/>
      <c r="F84" s="17"/>
      <c r="G84" s="17"/>
      <c r="I84" s="17"/>
      <c r="J84" s="17"/>
      <c r="K84" s="17"/>
      <c r="L84" s="17"/>
      <c r="N84" s="17"/>
      <c r="O84" s="17"/>
      <c r="P84" s="17"/>
    </row>
    <row r="85" spans="1:16" x14ac:dyDescent="0.35">
      <c r="A85" s="22" t="s">
        <v>349</v>
      </c>
      <c r="B85" s="23" t="s">
        <v>350</v>
      </c>
      <c r="K85" s="2" t="s">
        <v>542</v>
      </c>
    </row>
    <row r="86" spans="1:16" x14ac:dyDescent="0.35">
      <c r="A86" s="22" t="s">
        <v>351</v>
      </c>
      <c r="B86" s="23" t="s">
        <v>352</v>
      </c>
      <c r="K86" s="2" t="s">
        <v>542</v>
      </c>
    </row>
    <row r="87" spans="1:16" x14ac:dyDescent="0.35">
      <c r="A87" s="4" t="s">
        <v>353</v>
      </c>
      <c r="B87" t="s">
        <v>354</v>
      </c>
      <c r="H87" s="2" t="s">
        <v>355</v>
      </c>
      <c r="K87" s="2"/>
    </row>
    <row r="88" spans="1:16" x14ac:dyDescent="0.35">
      <c r="A88" s="22" t="s">
        <v>356</v>
      </c>
      <c r="B88" s="23" t="s">
        <v>365</v>
      </c>
      <c r="K88" s="2" t="s">
        <v>542</v>
      </c>
    </row>
    <row r="89" spans="1:16" x14ac:dyDescent="0.35">
      <c r="A89" s="22" t="s">
        <v>357</v>
      </c>
      <c r="B89" s="23" t="s">
        <v>358</v>
      </c>
      <c r="K89" s="2" t="s">
        <v>542</v>
      </c>
    </row>
    <row r="90" spans="1:16" x14ac:dyDescent="0.35">
      <c r="A90" s="4" t="s">
        <v>359</v>
      </c>
      <c r="B90" s="3" t="s">
        <v>361</v>
      </c>
      <c r="C90" s="2" t="s">
        <v>261</v>
      </c>
      <c r="H90" s="2" t="s">
        <v>363</v>
      </c>
      <c r="K90" s="2"/>
    </row>
    <row r="91" spans="1:16" x14ac:dyDescent="0.35">
      <c r="A91" s="4" t="s">
        <v>360</v>
      </c>
      <c r="B91" s="3" t="s">
        <v>362</v>
      </c>
      <c r="C91" s="2" t="s">
        <v>261</v>
      </c>
      <c r="H91" s="2" t="s">
        <v>364</v>
      </c>
      <c r="K91" s="2"/>
    </row>
    <row r="92" spans="1:16" x14ac:dyDescent="0.35">
      <c r="A92" s="4" t="s">
        <v>367</v>
      </c>
      <c r="B92" s="3" t="s">
        <v>447</v>
      </c>
      <c r="H92" s="2" t="s">
        <v>368</v>
      </c>
      <c r="K92" s="2"/>
    </row>
    <row r="93" spans="1:16" s="16" customFormat="1" x14ac:dyDescent="0.35">
      <c r="A93" s="15" t="s">
        <v>171</v>
      </c>
      <c r="B93" s="16" t="s">
        <v>414</v>
      </c>
      <c r="C93" s="17"/>
      <c r="D93" s="17"/>
      <c r="E93" s="17"/>
      <c r="F93" s="17"/>
      <c r="G93" s="17"/>
      <c r="I93" s="17"/>
      <c r="J93" s="17"/>
      <c r="K93" s="17"/>
      <c r="L93" s="17"/>
      <c r="N93" s="17"/>
      <c r="O93" s="17"/>
      <c r="P93" s="17"/>
    </row>
    <row r="94" spans="1:16" x14ac:dyDescent="0.35">
      <c r="A94" s="22" t="s">
        <v>252</v>
      </c>
      <c r="B94" s="24" t="s">
        <v>307</v>
      </c>
      <c r="K94" s="2" t="s">
        <v>542</v>
      </c>
    </row>
    <row r="95" spans="1:16" x14ac:dyDescent="0.35">
      <c r="A95" s="22" t="s">
        <v>253</v>
      </c>
      <c r="B95" s="24" t="s">
        <v>308</v>
      </c>
      <c r="K95" s="2" t="s">
        <v>542</v>
      </c>
    </row>
    <row r="96" spans="1:16" x14ac:dyDescent="0.35">
      <c r="A96" s="22" t="s">
        <v>254</v>
      </c>
      <c r="B96" s="24" t="s">
        <v>309</v>
      </c>
      <c r="K96" s="2" t="s">
        <v>542</v>
      </c>
    </row>
    <row r="97" spans="1:11" x14ac:dyDescent="0.35">
      <c r="A97" s="22" t="s">
        <v>255</v>
      </c>
      <c r="B97" s="24" t="s">
        <v>310</v>
      </c>
      <c r="K97" s="2" t="s">
        <v>542</v>
      </c>
    </row>
    <row r="98" spans="1:11" x14ac:dyDescent="0.35">
      <c r="A98" s="22" t="s">
        <v>371</v>
      </c>
      <c r="B98" s="23" t="s">
        <v>378</v>
      </c>
      <c r="K98" s="2" t="s">
        <v>542</v>
      </c>
    </row>
    <row r="99" spans="1:11" x14ac:dyDescent="0.35">
      <c r="A99" s="22" t="s">
        <v>379</v>
      </c>
      <c r="B99" s="23" t="s">
        <v>381</v>
      </c>
      <c r="K99" s="2" t="s">
        <v>542</v>
      </c>
    </row>
    <row r="100" spans="1:11" x14ac:dyDescent="0.35">
      <c r="A100" s="22" t="s">
        <v>380</v>
      </c>
      <c r="B100" s="23" t="s">
        <v>399</v>
      </c>
      <c r="K100" s="2" t="s">
        <v>542</v>
      </c>
    </row>
    <row r="101" spans="1:11" x14ac:dyDescent="0.35">
      <c r="A101" s="22" t="s">
        <v>564</v>
      </c>
      <c r="B101" s="23" t="s">
        <v>397</v>
      </c>
      <c r="K101" s="2" t="s">
        <v>542</v>
      </c>
    </row>
    <row r="102" spans="1:11" x14ac:dyDescent="0.35">
      <c r="A102" s="22" t="s">
        <v>407</v>
      </c>
      <c r="B102" s="23" t="s">
        <v>408</v>
      </c>
      <c r="K102" s="2" t="s">
        <v>542</v>
      </c>
    </row>
    <row r="103" spans="1:11" x14ac:dyDescent="0.35">
      <c r="A103" s="22" t="s">
        <v>409</v>
      </c>
      <c r="B103" s="23" t="s">
        <v>411</v>
      </c>
      <c r="K103" s="2" t="s">
        <v>542</v>
      </c>
    </row>
    <row r="104" spans="1:11" x14ac:dyDescent="0.35">
      <c r="A104" s="22" t="s">
        <v>410</v>
      </c>
      <c r="B104" s="23" t="s">
        <v>412</v>
      </c>
      <c r="K104" s="2" t="s">
        <v>542</v>
      </c>
    </row>
    <row r="105" spans="1:11" x14ac:dyDescent="0.35">
      <c r="A105" s="4" t="s">
        <v>372</v>
      </c>
      <c r="B105" t="s">
        <v>374</v>
      </c>
      <c r="H105" s="2" t="s">
        <v>560</v>
      </c>
    </row>
    <row r="106" spans="1:11" x14ac:dyDescent="0.35">
      <c r="A106" s="4" t="s">
        <v>373</v>
      </c>
      <c r="B106" t="s">
        <v>376</v>
      </c>
      <c r="H106" s="2" t="s">
        <v>561</v>
      </c>
    </row>
    <row r="107" spans="1:11" x14ac:dyDescent="0.35">
      <c r="A107" s="4" t="s">
        <v>369</v>
      </c>
      <c r="B107" t="s">
        <v>375</v>
      </c>
      <c r="H107" s="2" t="s">
        <v>562</v>
      </c>
    </row>
    <row r="108" spans="1:11" x14ac:dyDescent="0.35">
      <c r="A108" s="4" t="s">
        <v>370</v>
      </c>
      <c r="B108" t="s">
        <v>377</v>
      </c>
      <c r="H108" s="2" t="s">
        <v>563</v>
      </c>
    </row>
    <row r="109" spans="1:11" x14ac:dyDescent="0.35">
      <c r="A109" s="18" t="s">
        <v>487</v>
      </c>
      <c r="B109" s="19" t="s">
        <v>398</v>
      </c>
      <c r="H109" s="21" t="s">
        <v>597</v>
      </c>
    </row>
    <row r="110" spans="1:11" x14ac:dyDescent="0.35">
      <c r="A110" s="134" t="s">
        <v>415</v>
      </c>
      <c r="B110" s="135" t="s">
        <v>450</v>
      </c>
      <c r="C110" s="8"/>
      <c r="D110" s="7"/>
      <c r="E110" s="7"/>
      <c r="F110" s="7"/>
      <c r="G110" s="7"/>
      <c r="H110" s="136" t="s">
        <v>481</v>
      </c>
    </row>
    <row r="111" spans="1:11" x14ac:dyDescent="0.35">
      <c r="A111" s="134" t="s">
        <v>416</v>
      </c>
      <c r="B111" s="135" t="s">
        <v>451</v>
      </c>
      <c r="C111" s="8"/>
      <c r="D111" s="7"/>
      <c r="E111" s="7"/>
      <c r="F111" s="7"/>
      <c r="G111" s="7"/>
      <c r="H111" s="136" t="s">
        <v>482</v>
      </c>
    </row>
    <row r="112" spans="1:11" x14ac:dyDescent="0.35">
      <c r="A112" s="134" t="s">
        <v>417</v>
      </c>
      <c r="B112" s="158" t="s">
        <v>452</v>
      </c>
      <c r="C112" s="8"/>
      <c r="D112" s="7"/>
      <c r="E112" s="7"/>
      <c r="F112" s="7"/>
      <c r="G112" s="7"/>
      <c r="H112" s="136" t="s">
        <v>483</v>
      </c>
    </row>
    <row r="113" spans="1:16" x14ac:dyDescent="0.35">
      <c r="A113" s="134" t="s">
        <v>418</v>
      </c>
      <c r="B113" s="158" t="s">
        <v>453</v>
      </c>
      <c r="C113" s="8"/>
      <c r="D113" s="7"/>
      <c r="E113" s="7"/>
      <c r="F113" s="7"/>
      <c r="G113" s="7"/>
      <c r="H113" s="136" t="s">
        <v>484</v>
      </c>
    </row>
    <row r="114" spans="1:16" x14ac:dyDescent="0.35">
      <c r="A114" s="134" t="s">
        <v>419</v>
      </c>
      <c r="B114" s="158" t="s">
        <v>454</v>
      </c>
      <c r="C114" s="8"/>
      <c r="D114" s="7"/>
      <c r="E114" s="7"/>
      <c r="F114" s="7"/>
      <c r="G114" s="7"/>
      <c r="H114" s="136" t="s">
        <v>485</v>
      </c>
    </row>
    <row r="115" spans="1:16" x14ac:dyDescent="0.35">
      <c r="A115" s="134" t="s">
        <v>420</v>
      </c>
      <c r="B115" s="158" t="s">
        <v>455</v>
      </c>
      <c r="C115" s="8"/>
      <c r="D115" s="7"/>
      <c r="E115" s="7"/>
      <c r="F115" s="7"/>
      <c r="G115" s="7"/>
      <c r="H115" s="136" t="s">
        <v>486</v>
      </c>
    </row>
    <row r="116" spans="1:16" ht="29" x14ac:dyDescent="0.35">
      <c r="A116" s="134" t="s">
        <v>421</v>
      </c>
      <c r="B116" s="158" t="s">
        <v>456</v>
      </c>
      <c r="C116" s="8"/>
      <c r="D116" s="7"/>
      <c r="E116" s="7"/>
      <c r="F116" s="7"/>
      <c r="G116" s="7"/>
      <c r="H116" s="136" t="s">
        <v>488</v>
      </c>
    </row>
    <row r="117" spans="1:16" ht="29" x14ac:dyDescent="0.35">
      <c r="A117" s="134" t="s">
        <v>422</v>
      </c>
      <c r="B117" s="158" t="s">
        <v>457</v>
      </c>
      <c r="C117" s="8"/>
      <c r="D117" s="7"/>
      <c r="E117" s="7"/>
      <c r="F117" s="7"/>
      <c r="G117" s="7"/>
      <c r="H117" s="136" t="s">
        <v>489</v>
      </c>
    </row>
    <row r="118" spans="1:16" ht="29" x14ac:dyDescent="0.35">
      <c r="A118" s="134" t="s">
        <v>423</v>
      </c>
      <c r="B118" s="158" t="s">
        <v>458</v>
      </c>
      <c r="C118" s="8"/>
      <c r="D118" s="7"/>
      <c r="E118" s="7"/>
      <c r="F118" s="7"/>
      <c r="G118" s="7"/>
      <c r="H118" s="136" t="s">
        <v>490</v>
      </c>
    </row>
    <row r="119" spans="1:16" ht="29" x14ac:dyDescent="0.35">
      <c r="A119" s="134" t="s">
        <v>424</v>
      </c>
      <c r="B119" s="158" t="s">
        <v>459</v>
      </c>
      <c r="C119" s="8"/>
      <c r="D119" s="7"/>
      <c r="E119" s="7"/>
      <c r="F119" s="7"/>
      <c r="G119" s="7"/>
      <c r="H119" s="136" t="s">
        <v>491</v>
      </c>
    </row>
    <row r="120" spans="1:16" x14ac:dyDescent="0.35">
      <c r="A120" s="134" t="s">
        <v>425</v>
      </c>
      <c r="B120" s="158" t="s">
        <v>460</v>
      </c>
      <c r="C120" s="8"/>
      <c r="D120" s="7"/>
      <c r="E120" s="7"/>
      <c r="F120" s="7"/>
      <c r="G120" s="7"/>
      <c r="H120" s="136" t="s">
        <v>565</v>
      </c>
    </row>
    <row r="121" spans="1:16" ht="29" x14ac:dyDescent="0.35">
      <c r="A121" s="6" t="s">
        <v>125</v>
      </c>
      <c r="B121" s="137" t="s">
        <v>403</v>
      </c>
      <c r="C121" s="8" t="s">
        <v>196</v>
      </c>
      <c r="D121" s="7"/>
      <c r="E121" s="7"/>
      <c r="F121" s="7"/>
      <c r="G121" s="7"/>
      <c r="H121" s="138" t="s">
        <v>566</v>
      </c>
    </row>
    <row r="122" spans="1:16" s="10" customFormat="1" x14ac:dyDescent="0.35">
      <c r="A122" s="139" t="s">
        <v>426</v>
      </c>
      <c r="B122" s="140" t="s">
        <v>461</v>
      </c>
      <c r="C122" s="11"/>
      <c r="H122" s="141" t="s">
        <v>567</v>
      </c>
      <c r="I122" s="11"/>
      <c r="J122" s="11"/>
      <c r="O122" s="11"/>
      <c r="P122" s="11"/>
    </row>
    <row r="123" spans="1:16" s="10" customFormat="1" x14ac:dyDescent="0.35">
      <c r="A123" s="139" t="s">
        <v>427</v>
      </c>
      <c r="B123" s="140" t="s">
        <v>462</v>
      </c>
      <c r="C123" s="11"/>
      <c r="H123" s="141" t="s">
        <v>492</v>
      </c>
      <c r="I123" s="11"/>
      <c r="J123" s="11"/>
      <c r="O123" s="11"/>
      <c r="P123" s="11"/>
    </row>
    <row r="124" spans="1:16" s="10" customFormat="1" x14ac:dyDescent="0.35">
      <c r="A124" s="139" t="s">
        <v>428</v>
      </c>
      <c r="B124" s="140" t="s">
        <v>463</v>
      </c>
      <c r="C124" s="11"/>
      <c r="H124" s="141" t="s">
        <v>493</v>
      </c>
      <c r="I124" s="11"/>
      <c r="J124" s="11"/>
      <c r="O124" s="11"/>
      <c r="P124" s="11"/>
    </row>
    <row r="125" spans="1:16" s="10" customFormat="1" x14ac:dyDescent="0.35">
      <c r="A125" s="139" t="s">
        <v>429</v>
      </c>
      <c r="B125" s="140" t="s">
        <v>464</v>
      </c>
      <c r="C125" s="11"/>
      <c r="H125" s="141" t="s">
        <v>494</v>
      </c>
      <c r="I125" s="11"/>
      <c r="J125" s="11"/>
      <c r="O125" s="11"/>
      <c r="P125" s="11"/>
    </row>
    <row r="126" spans="1:16" s="10" customFormat="1" x14ac:dyDescent="0.35">
      <c r="A126" s="139" t="s">
        <v>430</v>
      </c>
      <c r="B126" s="140" t="s">
        <v>465</v>
      </c>
      <c r="C126" s="11"/>
      <c r="H126" s="141" t="s">
        <v>495</v>
      </c>
      <c r="I126" s="11"/>
      <c r="J126" s="11"/>
      <c r="O126" s="11"/>
      <c r="P126" s="11"/>
    </row>
    <row r="127" spans="1:16" s="10" customFormat="1" x14ac:dyDescent="0.35">
      <c r="A127" s="139" t="s">
        <v>431</v>
      </c>
      <c r="B127" s="140" t="s">
        <v>466</v>
      </c>
      <c r="C127" s="11"/>
      <c r="H127" s="141" t="s">
        <v>496</v>
      </c>
      <c r="I127" s="11"/>
      <c r="J127" s="11"/>
      <c r="O127" s="11"/>
      <c r="P127" s="11"/>
    </row>
    <row r="128" spans="1:16" s="10" customFormat="1" x14ac:dyDescent="0.35">
      <c r="A128" s="139" t="s">
        <v>432</v>
      </c>
      <c r="B128" s="140" t="s">
        <v>467</v>
      </c>
      <c r="C128" s="11"/>
      <c r="H128" s="141" t="s">
        <v>571</v>
      </c>
      <c r="I128" s="11"/>
      <c r="J128" s="11"/>
      <c r="O128" s="11"/>
      <c r="P128" s="11"/>
    </row>
    <row r="129" spans="1:16" s="10" customFormat="1" x14ac:dyDescent="0.35">
      <c r="A129" s="139" t="s">
        <v>433</v>
      </c>
      <c r="B129" s="140" t="s">
        <v>468</v>
      </c>
      <c r="C129" s="11"/>
      <c r="H129" s="141" t="s">
        <v>568</v>
      </c>
      <c r="I129" s="11"/>
      <c r="J129" s="11"/>
      <c r="O129" s="11"/>
      <c r="P129" s="11"/>
    </row>
    <row r="130" spans="1:16" s="10" customFormat="1" x14ac:dyDescent="0.35">
      <c r="A130" s="139" t="s">
        <v>434</v>
      </c>
      <c r="B130" s="140" t="s">
        <v>469</v>
      </c>
      <c r="C130" s="11"/>
      <c r="H130" s="141" t="s">
        <v>569</v>
      </c>
      <c r="I130" s="11"/>
      <c r="J130" s="11"/>
      <c r="O130" s="11"/>
      <c r="P130" s="11"/>
    </row>
    <row r="131" spans="1:16" s="10" customFormat="1" x14ac:dyDescent="0.35">
      <c r="A131" s="139" t="s">
        <v>435</v>
      </c>
      <c r="B131" s="140" t="s">
        <v>470</v>
      </c>
      <c r="C131" s="11"/>
      <c r="H131" s="141" t="s">
        <v>570</v>
      </c>
      <c r="I131" s="11"/>
      <c r="J131" s="11"/>
      <c r="O131" s="11"/>
      <c r="P131" s="11"/>
    </row>
    <row r="132" spans="1:16" s="10" customFormat="1" x14ac:dyDescent="0.35">
      <c r="A132" s="9" t="s">
        <v>126</v>
      </c>
      <c r="B132" s="142" t="s">
        <v>404</v>
      </c>
      <c r="C132" s="11" t="s">
        <v>196</v>
      </c>
      <c r="H132" s="11" t="s">
        <v>572</v>
      </c>
      <c r="I132" s="11"/>
      <c r="J132" s="11"/>
      <c r="O132" s="11"/>
      <c r="P132" s="11"/>
    </row>
    <row r="133" spans="1:16" s="146" customFormat="1" x14ac:dyDescent="0.35">
      <c r="A133" s="143" t="s">
        <v>436</v>
      </c>
      <c r="B133" s="144" t="s">
        <v>471</v>
      </c>
      <c r="C133" s="145"/>
      <c r="H133" s="147" t="s">
        <v>573</v>
      </c>
      <c r="I133" s="145"/>
      <c r="J133" s="145"/>
      <c r="O133" s="145"/>
      <c r="P133" s="145"/>
    </row>
    <row r="134" spans="1:16" s="146" customFormat="1" x14ac:dyDescent="0.35">
      <c r="A134" s="143" t="s">
        <v>437</v>
      </c>
      <c r="B134" s="144" t="s">
        <v>472</v>
      </c>
      <c r="C134" s="145"/>
      <c r="H134" s="147" t="s">
        <v>574</v>
      </c>
      <c r="I134" s="145"/>
      <c r="J134" s="145"/>
      <c r="O134" s="145"/>
      <c r="P134" s="145"/>
    </row>
    <row r="135" spans="1:16" s="146" customFormat="1" x14ac:dyDescent="0.35">
      <c r="A135" s="143" t="s">
        <v>438</v>
      </c>
      <c r="B135" s="144" t="s">
        <v>473</v>
      </c>
      <c r="C135" s="145"/>
      <c r="H135" s="147" t="s">
        <v>497</v>
      </c>
      <c r="I135" s="145"/>
      <c r="J135" s="145"/>
      <c r="O135" s="145"/>
      <c r="P135" s="145"/>
    </row>
    <row r="136" spans="1:16" s="146" customFormat="1" x14ac:dyDescent="0.35">
      <c r="A136" s="143" t="s">
        <v>439</v>
      </c>
      <c r="B136" s="144" t="s">
        <v>474</v>
      </c>
      <c r="C136" s="145"/>
      <c r="H136" s="147" t="s">
        <v>498</v>
      </c>
      <c r="I136" s="145"/>
      <c r="J136" s="145"/>
      <c r="O136" s="145"/>
      <c r="P136" s="145"/>
    </row>
    <row r="137" spans="1:16" s="146" customFormat="1" x14ac:dyDescent="0.35">
      <c r="A137" s="143" t="s">
        <v>440</v>
      </c>
      <c r="B137" s="144" t="s">
        <v>475</v>
      </c>
      <c r="C137" s="145"/>
      <c r="H137" s="147" t="s">
        <v>499</v>
      </c>
      <c r="I137" s="145"/>
      <c r="J137" s="145"/>
      <c r="O137" s="145"/>
      <c r="P137" s="145"/>
    </row>
    <row r="138" spans="1:16" s="146" customFormat="1" x14ac:dyDescent="0.35">
      <c r="A138" s="143" t="s">
        <v>441</v>
      </c>
      <c r="B138" s="144" t="s">
        <v>476</v>
      </c>
      <c r="C138" s="145"/>
      <c r="H138" s="147" t="s">
        <v>500</v>
      </c>
      <c r="I138" s="145"/>
      <c r="J138" s="145"/>
      <c r="O138" s="145"/>
      <c r="P138" s="145"/>
    </row>
    <row r="139" spans="1:16" s="146" customFormat="1" x14ac:dyDescent="0.35">
      <c r="A139" s="143" t="s">
        <v>442</v>
      </c>
      <c r="B139" s="144" t="s">
        <v>477</v>
      </c>
      <c r="C139" s="145"/>
      <c r="H139" s="147" t="s">
        <v>579</v>
      </c>
      <c r="I139" s="145"/>
      <c r="J139" s="145"/>
      <c r="O139" s="145"/>
      <c r="P139" s="145"/>
    </row>
    <row r="140" spans="1:16" s="146" customFormat="1" x14ac:dyDescent="0.35">
      <c r="A140" s="143" t="s">
        <v>443</v>
      </c>
      <c r="B140" s="144" t="s">
        <v>478</v>
      </c>
      <c r="C140" s="145"/>
      <c r="H140" s="147" t="s">
        <v>578</v>
      </c>
      <c r="I140" s="145"/>
      <c r="J140" s="145"/>
      <c r="O140" s="145"/>
      <c r="P140" s="145"/>
    </row>
    <row r="141" spans="1:16" s="146" customFormat="1" x14ac:dyDescent="0.35">
      <c r="A141" s="143" t="s">
        <v>444</v>
      </c>
      <c r="B141" s="144" t="s">
        <v>479</v>
      </c>
      <c r="C141" s="145"/>
      <c r="H141" s="147" t="s">
        <v>577</v>
      </c>
      <c r="I141" s="145"/>
      <c r="J141" s="145"/>
      <c r="O141" s="145"/>
      <c r="P141" s="145"/>
    </row>
    <row r="142" spans="1:16" s="146" customFormat="1" x14ac:dyDescent="0.35">
      <c r="A142" s="143" t="s">
        <v>445</v>
      </c>
      <c r="B142" s="144" t="s">
        <v>480</v>
      </c>
      <c r="C142" s="145"/>
      <c r="H142" s="147" t="s">
        <v>576</v>
      </c>
      <c r="I142" s="145"/>
      <c r="J142" s="145"/>
      <c r="O142" s="145"/>
      <c r="P142" s="145"/>
    </row>
    <row r="143" spans="1:16" s="146" customFormat="1" ht="14" customHeight="1" x14ac:dyDescent="0.35">
      <c r="A143" s="148" t="s">
        <v>127</v>
      </c>
      <c r="B143" s="149" t="s">
        <v>405</v>
      </c>
      <c r="C143" s="145" t="s">
        <v>196</v>
      </c>
      <c r="H143" s="144" t="s">
        <v>575</v>
      </c>
      <c r="I143" s="145"/>
      <c r="J143" s="145"/>
      <c r="O143" s="145"/>
      <c r="P143" s="145"/>
    </row>
    <row r="144" spans="1:16" s="157" customFormat="1" x14ac:dyDescent="0.35">
      <c r="A144" s="154" t="s">
        <v>124</v>
      </c>
      <c r="B144" s="155" t="s">
        <v>406</v>
      </c>
      <c r="C144" s="156" t="s">
        <v>196</v>
      </c>
      <c r="H144" s="156" t="s">
        <v>446</v>
      </c>
      <c r="I144" s="156"/>
      <c r="J144" s="156"/>
      <c r="O144" s="156"/>
      <c r="P144" s="156"/>
    </row>
    <row r="145" spans="1:16" s="16" customFormat="1" x14ac:dyDescent="0.35">
      <c r="A145" s="15" t="s">
        <v>171</v>
      </c>
      <c r="B145" s="16" t="s">
        <v>385</v>
      </c>
      <c r="C145" s="17"/>
      <c r="D145" s="17"/>
      <c r="E145" s="17"/>
      <c r="F145" s="17"/>
      <c r="G145" s="17"/>
      <c r="I145" s="17"/>
      <c r="J145" s="17"/>
      <c r="K145" s="17"/>
      <c r="L145" s="17"/>
      <c r="N145" s="17"/>
      <c r="O145" s="17"/>
      <c r="P145" s="17"/>
    </row>
    <row r="146" spans="1:16" x14ac:dyDescent="0.35">
      <c r="A146" s="150" t="s">
        <v>400</v>
      </c>
      <c r="B146" s="151" t="s">
        <v>505</v>
      </c>
      <c r="K146" s="2" t="s">
        <v>530</v>
      </c>
    </row>
    <row r="147" spans="1:16" x14ac:dyDescent="0.35">
      <c r="A147" s="4" t="s">
        <v>401</v>
      </c>
      <c r="B147" t="s">
        <v>501</v>
      </c>
      <c r="H147" s="2" t="s">
        <v>502</v>
      </c>
    </row>
    <row r="148" spans="1:16" x14ac:dyDescent="0.35">
      <c r="A148" s="4" t="s">
        <v>402</v>
      </c>
      <c r="B148" s="3" t="s">
        <v>504</v>
      </c>
      <c r="H148" s="2" t="s">
        <v>503</v>
      </c>
    </row>
    <row r="149" spans="1:16" x14ac:dyDescent="0.35">
      <c r="A149" s="4" t="s">
        <v>598</v>
      </c>
      <c r="B149" s="3" t="s">
        <v>599</v>
      </c>
      <c r="C149" s="2" t="s">
        <v>261</v>
      </c>
      <c r="H149" s="2" t="s">
        <v>600</v>
      </c>
    </row>
    <row r="150" spans="1:16" x14ac:dyDescent="0.35">
      <c r="A150" s="4" t="s">
        <v>601</v>
      </c>
      <c r="B150" s="3" t="s">
        <v>602</v>
      </c>
      <c r="C150" s="2" t="s">
        <v>261</v>
      </c>
      <c r="H150" s="2" t="s">
        <v>603</v>
      </c>
    </row>
    <row r="151" spans="1:16" s="16" customFormat="1" x14ac:dyDescent="0.35">
      <c r="A151" s="15" t="s">
        <v>171</v>
      </c>
      <c r="B151" s="16" t="s">
        <v>506</v>
      </c>
      <c r="C151" s="17"/>
      <c r="D151" s="17"/>
      <c r="E151" s="17"/>
      <c r="F151" s="17"/>
      <c r="G151" s="17"/>
      <c r="I151" s="17"/>
      <c r="J151" s="17"/>
      <c r="K151" s="17"/>
      <c r="L151" s="17"/>
      <c r="N151" s="17"/>
      <c r="O151" s="17"/>
      <c r="P151" s="17"/>
    </row>
    <row r="152" spans="1:16" x14ac:dyDescent="0.35">
      <c r="A152" s="150" t="s">
        <v>160</v>
      </c>
      <c r="B152" s="153" t="s">
        <v>448</v>
      </c>
      <c r="C152" s="152" t="s">
        <v>261</v>
      </c>
      <c r="K152" s="2" t="s">
        <v>544</v>
      </c>
    </row>
    <row r="153" spans="1:16" ht="13.5" customHeight="1" x14ac:dyDescent="0.35">
      <c r="A153" s="150" t="s">
        <v>147</v>
      </c>
      <c r="B153" s="153" t="s">
        <v>449</v>
      </c>
      <c r="C153" s="152" t="s">
        <v>261</v>
      </c>
      <c r="K153" s="2" t="s">
        <v>544</v>
      </c>
    </row>
    <row r="154" spans="1:16" ht="13.5" customHeight="1" x14ac:dyDescent="0.35">
      <c r="A154" s="150" t="s">
        <v>520</v>
      </c>
      <c r="B154" s="153" t="s">
        <v>521</v>
      </c>
      <c r="K154" s="2" t="s">
        <v>544</v>
      </c>
    </row>
    <row r="155" spans="1:16" x14ac:dyDescent="0.35">
      <c r="A155" s="4" t="s">
        <v>145</v>
      </c>
      <c r="B155" t="s">
        <v>519</v>
      </c>
      <c r="C155" s="2" t="s">
        <v>686</v>
      </c>
      <c r="H155" s="2" t="s">
        <v>580</v>
      </c>
    </row>
    <row r="156" spans="1:16" x14ac:dyDescent="0.35">
      <c r="A156" s="150" t="s">
        <v>522</v>
      </c>
      <c r="B156" s="153" t="s">
        <v>523</v>
      </c>
      <c r="K156" s="2" t="s">
        <v>544</v>
      </c>
    </row>
    <row r="157" spans="1:16" x14ac:dyDescent="0.35">
      <c r="A157" s="4" t="s">
        <v>146</v>
      </c>
      <c r="B157" s="159" t="s">
        <v>524</v>
      </c>
      <c r="C157" s="2" t="s">
        <v>686</v>
      </c>
      <c r="H157" s="2" t="s">
        <v>595</v>
      </c>
    </row>
    <row r="158" spans="1:16" x14ac:dyDescent="0.35">
      <c r="A158" s="150" t="s">
        <v>581</v>
      </c>
      <c r="B158" s="153" t="s">
        <v>525</v>
      </c>
      <c r="K158" s="2" t="s">
        <v>544</v>
      </c>
    </row>
    <row r="159" spans="1:16" x14ac:dyDescent="0.35">
      <c r="A159" s="4" t="s">
        <v>159</v>
      </c>
      <c r="B159" s="159" t="s">
        <v>526</v>
      </c>
      <c r="C159" s="2" t="s">
        <v>686</v>
      </c>
      <c r="H159" s="2" t="s">
        <v>596</v>
      </c>
    </row>
    <row r="160" spans="1:16" s="162" customFormat="1" x14ac:dyDescent="0.35">
      <c r="A160" s="161" t="s">
        <v>171</v>
      </c>
      <c r="B160" s="162" t="s">
        <v>539</v>
      </c>
      <c r="C160" s="163"/>
      <c r="D160" s="163"/>
      <c r="E160" s="163"/>
      <c r="F160" s="163"/>
      <c r="G160" s="163"/>
      <c r="I160" s="163"/>
      <c r="J160" s="163"/>
      <c r="K160" s="163"/>
      <c r="L160" s="163"/>
      <c r="N160" s="163"/>
      <c r="O160" s="163"/>
      <c r="P160" s="163"/>
    </row>
    <row r="161" spans="1:16" x14ac:dyDescent="0.35">
      <c r="A161" s="4" t="s">
        <v>594</v>
      </c>
      <c r="B161" t="s">
        <v>593</v>
      </c>
      <c r="H161" s="2" t="s">
        <v>589</v>
      </c>
      <c r="K161" s="2" t="s">
        <v>538</v>
      </c>
    </row>
    <row r="162" spans="1:16" ht="29" x14ac:dyDescent="0.35">
      <c r="A162" s="4" t="s">
        <v>587</v>
      </c>
      <c r="B162" t="s">
        <v>588</v>
      </c>
      <c r="H162" s="164" t="s">
        <v>590</v>
      </c>
    </row>
    <row r="163" spans="1:16" s="162" customFormat="1" x14ac:dyDescent="0.35">
      <c r="A163" s="161" t="s">
        <v>171</v>
      </c>
      <c r="B163" s="162" t="s">
        <v>646</v>
      </c>
      <c r="C163" s="163"/>
      <c r="D163" s="163"/>
      <c r="E163" s="163"/>
      <c r="F163" s="163"/>
      <c r="G163" s="163"/>
      <c r="I163" s="163"/>
      <c r="J163" s="163"/>
      <c r="K163" s="163"/>
      <c r="L163" s="163"/>
      <c r="N163" s="163"/>
      <c r="O163" s="163"/>
      <c r="P163" s="163"/>
    </row>
    <row r="164" spans="1:16" x14ac:dyDescent="0.35">
      <c r="A164" s="4" t="s">
        <v>617</v>
      </c>
      <c r="B164" t="s">
        <v>616</v>
      </c>
      <c r="K164" s="2" t="s">
        <v>605</v>
      </c>
    </row>
    <row r="165" spans="1:16" x14ac:dyDescent="0.35">
      <c r="A165" s="4" t="s">
        <v>609</v>
      </c>
      <c r="B165" t="s">
        <v>615</v>
      </c>
      <c r="K165" s="2" t="s">
        <v>605</v>
      </c>
    </row>
    <row r="166" spans="1:16" x14ac:dyDescent="0.35">
      <c r="A166" s="4" t="s">
        <v>611</v>
      </c>
      <c r="B166" t="s">
        <v>612</v>
      </c>
      <c r="H166" s="2" t="s">
        <v>613</v>
      </c>
    </row>
    <row r="167" spans="1:16" x14ac:dyDescent="0.35">
      <c r="A167" s="4" t="s">
        <v>608</v>
      </c>
      <c r="B167" t="s">
        <v>614</v>
      </c>
      <c r="H167" s="2" t="s">
        <v>638</v>
      </c>
    </row>
    <row r="168" spans="1:16" x14ac:dyDescent="0.35">
      <c r="A168" s="4" t="s">
        <v>618</v>
      </c>
      <c r="B168" t="s">
        <v>625</v>
      </c>
      <c r="K168" s="2" t="s">
        <v>605</v>
      </c>
    </row>
    <row r="169" spans="1:16" x14ac:dyDescent="0.35">
      <c r="A169" s="4" t="s">
        <v>624</v>
      </c>
      <c r="B169" t="s">
        <v>626</v>
      </c>
      <c r="H169" s="2" t="s">
        <v>637</v>
      </c>
    </row>
    <row r="170" spans="1:16" x14ac:dyDescent="0.35">
      <c r="A170" s="4" t="s">
        <v>619</v>
      </c>
      <c r="B170" t="s">
        <v>627</v>
      </c>
      <c r="K170" s="2" t="s">
        <v>605</v>
      </c>
    </row>
    <row r="171" spans="1:16" x14ac:dyDescent="0.35">
      <c r="A171" s="4" t="s">
        <v>628</v>
      </c>
      <c r="B171" t="s">
        <v>629</v>
      </c>
      <c r="H171" s="2" t="s">
        <v>636</v>
      </c>
    </row>
    <row r="172" spans="1:16" x14ac:dyDescent="0.35">
      <c r="A172" s="4" t="s">
        <v>620</v>
      </c>
      <c r="B172" t="s">
        <v>630</v>
      </c>
      <c r="K172" s="2" t="s">
        <v>605</v>
      </c>
    </row>
    <row r="173" spans="1:16" x14ac:dyDescent="0.35">
      <c r="A173" s="4" t="s">
        <v>621</v>
      </c>
      <c r="B173" t="s">
        <v>632</v>
      </c>
      <c r="K173" s="2" t="s">
        <v>605</v>
      </c>
    </row>
    <row r="174" spans="1:16" x14ac:dyDescent="0.35">
      <c r="A174" s="4" t="s">
        <v>633</v>
      </c>
      <c r="B174" t="s">
        <v>634</v>
      </c>
      <c r="H174" s="2" t="s">
        <v>635</v>
      </c>
      <c r="K174" s="2"/>
    </row>
    <row r="175" spans="1:16" x14ac:dyDescent="0.35">
      <c r="A175" s="4" t="s">
        <v>622</v>
      </c>
      <c r="B175" t="s">
        <v>631</v>
      </c>
      <c r="K175" s="2" t="s">
        <v>605</v>
      </c>
    </row>
    <row r="176" spans="1:16" x14ac:dyDescent="0.35">
      <c r="A176" s="4" t="s">
        <v>623</v>
      </c>
      <c r="B176" t="s">
        <v>639</v>
      </c>
      <c r="K176" s="2" t="s">
        <v>605</v>
      </c>
    </row>
    <row r="177" spans="1:16" x14ac:dyDescent="0.35">
      <c r="A177" s="4" t="s">
        <v>640</v>
      </c>
      <c r="B177" t="s">
        <v>641</v>
      </c>
      <c r="H177" s="2" t="s">
        <v>642</v>
      </c>
    </row>
    <row r="178" spans="1:16" x14ac:dyDescent="0.35">
      <c r="A178" s="4" t="s">
        <v>643</v>
      </c>
      <c r="B178" t="s">
        <v>644</v>
      </c>
      <c r="H178" s="2" t="s">
        <v>645</v>
      </c>
    </row>
    <row r="179" spans="1:16" x14ac:dyDescent="0.35">
      <c r="A179" s="4" t="s">
        <v>610</v>
      </c>
      <c r="B179" t="s">
        <v>651</v>
      </c>
      <c r="H179" s="2"/>
      <c r="K179" s="2" t="s">
        <v>605</v>
      </c>
    </row>
    <row r="180" spans="1:16" x14ac:dyDescent="0.35">
      <c r="A180" s="4" t="s">
        <v>607</v>
      </c>
      <c r="B180" t="s">
        <v>652</v>
      </c>
      <c r="H180" s="2" t="s">
        <v>653</v>
      </c>
    </row>
    <row r="181" spans="1:16" x14ac:dyDescent="0.35">
      <c r="A181" s="4" t="s">
        <v>648</v>
      </c>
      <c r="B181" t="s">
        <v>649</v>
      </c>
      <c r="H181" s="2" t="s">
        <v>650</v>
      </c>
    </row>
    <row r="182" spans="1:16" s="162" customFormat="1" x14ac:dyDescent="0.35">
      <c r="A182" s="161" t="s">
        <v>171</v>
      </c>
      <c r="B182" s="162" t="s">
        <v>687</v>
      </c>
      <c r="C182" s="163"/>
      <c r="D182" s="163"/>
      <c r="E182" s="163"/>
      <c r="F182" s="163"/>
      <c r="G182" s="163"/>
      <c r="I182" s="163"/>
      <c r="J182" s="163"/>
      <c r="K182" s="163"/>
      <c r="L182" s="163"/>
      <c r="N182" s="163"/>
      <c r="O182" s="163"/>
      <c r="P182" s="163"/>
    </row>
    <row r="183" spans="1:16" x14ac:dyDescent="0.35">
      <c r="A183" s="4" t="s">
        <v>688</v>
      </c>
      <c r="B183" t="s">
        <v>689</v>
      </c>
      <c r="K183" s="2" t="s">
        <v>692</v>
      </c>
    </row>
    <row r="184" spans="1:16" x14ac:dyDescent="0.35">
      <c r="A184" s="4" t="s">
        <v>690</v>
      </c>
      <c r="B184" t="s">
        <v>691</v>
      </c>
      <c r="H184" s="2"/>
      <c r="K184" s="2" t="s">
        <v>692</v>
      </c>
    </row>
    <row r="185" spans="1:16" x14ac:dyDescent="0.35">
      <c r="A185" s="4" t="s">
        <v>716</v>
      </c>
      <c r="B185" t="s">
        <v>695</v>
      </c>
      <c r="H185" s="2"/>
      <c r="K185" s="2" t="s">
        <v>692</v>
      </c>
    </row>
    <row r="186" spans="1:16" x14ac:dyDescent="0.35">
      <c r="A186" s="4" t="s">
        <v>717</v>
      </c>
      <c r="B186" t="s">
        <v>705</v>
      </c>
      <c r="H186" s="2"/>
      <c r="K186" s="2" t="s">
        <v>692</v>
      </c>
    </row>
    <row r="187" spans="1:16" x14ac:dyDescent="0.35">
      <c r="A187" s="4" t="s">
        <v>718</v>
      </c>
      <c r="B187" t="s">
        <v>696</v>
      </c>
      <c r="H187" s="2"/>
      <c r="K187" s="2" t="s">
        <v>692</v>
      </c>
    </row>
    <row r="188" spans="1:16" x14ac:dyDescent="0.35">
      <c r="A188" s="4" t="s">
        <v>719</v>
      </c>
      <c r="B188" t="s">
        <v>706</v>
      </c>
      <c r="H188" s="2"/>
      <c r="K188" s="2" t="s">
        <v>692</v>
      </c>
    </row>
    <row r="189" spans="1:16" x14ac:dyDescent="0.35">
      <c r="A189" s="4" t="s">
        <v>720</v>
      </c>
      <c r="B189" t="s">
        <v>697</v>
      </c>
      <c r="H189" s="2"/>
      <c r="K189" s="2" t="s">
        <v>692</v>
      </c>
    </row>
    <row r="190" spans="1:16" x14ac:dyDescent="0.35">
      <c r="A190" s="4" t="s">
        <v>721</v>
      </c>
      <c r="B190" t="s">
        <v>707</v>
      </c>
      <c r="H190" s="2"/>
      <c r="K190" s="2" t="s">
        <v>692</v>
      </c>
    </row>
    <row r="191" spans="1:16" x14ac:dyDescent="0.35">
      <c r="A191" s="4" t="s">
        <v>722</v>
      </c>
      <c r="B191" t="s">
        <v>698</v>
      </c>
      <c r="H191" s="2"/>
      <c r="K191" s="2" t="s">
        <v>692</v>
      </c>
    </row>
    <row r="192" spans="1:16" x14ac:dyDescent="0.35">
      <c r="A192" s="4" t="s">
        <v>723</v>
      </c>
      <c r="B192" t="s">
        <v>708</v>
      </c>
      <c r="H192" s="2"/>
      <c r="K192" s="2" t="s">
        <v>692</v>
      </c>
    </row>
    <row r="193" spans="1:16" x14ac:dyDescent="0.35">
      <c r="A193" s="4" t="s">
        <v>724</v>
      </c>
      <c r="B193" t="s">
        <v>699</v>
      </c>
      <c r="H193" s="2"/>
      <c r="K193" s="2" t="s">
        <v>692</v>
      </c>
    </row>
    <row r="194" spans="1:16" x14ac:dyDescent="0.35">
      <c r="A194" s="4" t="s">
        <v>725</v>
      </c>
      <c r="B194" t="s">
        <v>709</v>
      </c>
      <c r="H194" s="2"/>
      <c r="K194" s="2" t="s">
        <v>692</v>
      </c>
    </row>
    <row r="195" spans="1:16" x14ac:dyDescent="0.35">
      <c r="A195" s="4" t="s">
        <v>726</v>
      </c>
      <c r="B195" t="s">
        <v>700</v>
      </c>
      <c r="H195" s="2"/>
      <c r="K195" s="2" t="s">
        <v>692</v>
      </c>
    </row>
    <row r="196" spans="1:16" x14ac:dyDescent="0.35">
      <c r="A196" s="4" t="s">
        <v>727</v>
      </c>
      <c r="B196" t="s">
        <v>710</v>
      </c>
      <c r="H196" s="2"/>
      <c r="K196" s="2" t="s">
        <v>692</v>
      </c>
    </row>
    <row r="197" spans="1:16" x14ac:dyDescent="0.35">
      <c r="A197" s="4" t="s">
        <v>728</v>
      </c>
      <c r="B197" t="s">
        <v>701</v>
      </c>
      <c r="H197" s="2"/>
      <c r="K197" s="2" t="s">
        <v>692</v>
      </c>
    </row>
    <row r="198" spans="1:16" x14ac:dyDescent="0.35">
      <c r="A198" s="4" t="s">
        <v>729</v>
      </c>
      <c r="B198" t="s">
        <v>711</v>
      </c>
      <c r="H198" s="2"/>
      <c r="K198" s="2" t="s">
        <v>692</v>
      </c>
    </row>
    <row r="199" spans="1:16" x14ac:dyDescent="0.35">
      <c r="A199" s="4" t="s">
        <v>730</v>
      </c>
      <c r="B199" t="s">
        <v>702</v>
      </c>
      <c r="H199" s="2"/>
      <c r="K199" s="2" t="s">
        <v>692</v>
      </c>
    </row>
    <row r="200" spans="1:16" x14ac:dyDescent="0.35">
      <c r="A200" s="4" t="s">
        <v>731</v>
      </c>
      <c r="B200" t="s">
        <v>712</v>
      </c>
      <c r="H200" s="2"/>
      <c r="K200" s="2" t="s">
        <v>692</v>
      </c>
    </row>
    <row r="201" spans="1:16" x14ac:dyDescent="0.35">
      <c r="A201" s="4" t="s">
        <v>732</v>
      </c>
      <c r="B201" t="s">
        <v>703</v>
      </c>
      <c r="H201" s="2"/>
      <c r="K201" s="2" t="s">
        <v>692</v>
      </c>
    </row>
    <row r="202" spans="1:16" x14ac:dyDescent="0.35">
      <c r="A202" s="4" t="s">
        <v>733</v>
      </c>
      <c r="B202" t="s">
        <v>713</v>
      </c>
      <c r="H202" s="2"/>
      <c r="K202" s="2" t="s">
        <v>692</v>
      </c>
    </row>
    <row r="203" spans="1:16" x14ac:dyDescent="0.35">
      <c r="A203" s="4" t="s">
        <v>734</v>
      </c>
      <c r="B203" t="s">
        <v>704</v>
      </c>
      <c r="H203" s="2"/>
      <c r="K203" s="2" t="s">
        <v>692</v>
      </c>
    </row>
    <row r="204" spans="1:16" x14ac:dyDescent="0.35">
      <c r="A204" s="4" t="s">
        <v>735</v>
      </c>
      <c r="B204" t="s">
        <v>714</v>
      </c>
      <c r="H204" s="2"/>
      <c r="K204" s="2" t="s">
        <v>692</v>
      </c>
    </row>
    <row r="205" spans="1:16" ht="43.5" x14ac:dyDescent="0.35">
      <c r="A205" s="4" t="s">
        <v>694</v>
      </c>
      <c r="B205" t="s">
        <v>715</v>
      </c>
      <c r="H205" s="164" t="s">
        <v>736</v>
      </c>
    </row>
    <row r="206" spans="1:16" s="162" customFormat="1" x14ac:dyDescent="0.35">
      <c r="A206" s="161" t="s">
        <v>171</v>
      </c>
      <c r="B206" s="162" t="s">
        <v>647</v>
      </c>
      <c r="C206" s="163"/>
      <c r="D206" s="163"/>
      <c r="E206" s="163"/>
      <c r="F206" s="163"/>
      <c r="G206" s="163"/>
      <c r="I206" s="163"/>
      <c r="J206" s="163"/>
      <c r="K206" s="163"/>
      <c r="L206" s="163"/>
      <c r="N206" s="163"/>
      <c r="O206" s="163"/>
      <c r="P206" s="163"/>
    </row>
    <row r="207" spans="1:16" x14ac:dyDescent="0.35">
      <c r="A207" s="4" t="s">
        <v>654</v>
      </c>
      <c r="B207" t="s">
        <v>660</v>
      </c>
      <c r="K207" s="2" t="s">
        <v>666</v>
      </c>
    </row>
    <row r="208" spans="1:16" x14ac:dyDescent="0.35">
      <c r="A208" s="4" t="s">
        <v>655</v>
      </c>
      <c r="B208" t="s">
        <v>661</v>
      </c>
      <c r="K208" s="2" t="s">
        <v>666</v>
      </c>
    </row>
    <row r="209" spans="1:11" x14ac:dyDescent="0.35">
      <c r="A209" s="4" t="s">
        <v>656</v>
      </c>
      <c r="B209" t="s">
        <v>662</v>
      </c>
      <c r="K209" s="2" t="s">
        <v>666</v>
      </c>
    </row>
    <row r="210" spans="1:11" x14ac:dyDescent="0.35">
      <c r="A210" s="4" t="s">
        <v>657</v>
      </c>
      <c r="B210" t="s">
        <v>663</v>
      </c>
      <c r="K210" s="2" t="s">
        <v>666</v>
      </c>
    </row>
    <row r="211" spans="1:11" x14ac:dyDescent="0.35">
      <c r="A211" s="4" t="s">
        <v>658</v>
      </c>
      <c r="B211" t="s">
        <v>664</v>
      </c>
      <c r="K211" s="2" t="s">
        <v>666</v>
      </c>
    </row>
    <row r="212" spans="1:11" x14ac:dyDescent="0.35">
      <c r="A212" s="4" t="s">
        <v>659</v>
      </c>
      <c r="B212" t="s">
        <v>665</v>
      </c>
      <c r="K212" s="2" t="s">
        <v>666</v>
      </c>
    </row>
    <row r="213" spans="1:11" x14ac:dyDescent="0.35">
      <c r="A213" s="4" t="s">
        <v>667</v>
      </c>
      <c r="B213" t="s">
        <v>673</v>
      </c>
      <c r="H213" s="2" t="s">
        <v>674</v>
      </c>
    </row>
    <row r="214" spans="1:11" x14ac:dyDescent="0.35">
      <c r="A214" s="4" t="s">
        <v>668</v>
      </c>
      <c r="B214" t="s">
        <v>675</v>
      </c>
      <c r="H214" s="2" t="s">
        <v>680</v>
      </c>
    </row>
    <row r="215" spans="1:11" x14ac:dyDescent="0.35">
      <c r="A215" s="4" t="s">
        <v>669</v>
      </c>
      <c r="B215" t="s">
        <v>677</v>
      </c>
      <c r="H215" s="2" t="s">
        <v>681</v>
      </c>
    </row>
    <row r="216" spans="1:11" x14ac:dyDescent="0.35">
      <c r="A216" s="4" t="s">
        <v>670</v>
      </c>
      <c r="B216" t="s">
        <v>678</v>
      </c>
      <c r="H216" s="2" t="s">
        <v>682</v>
      </c>
    </row>
    <row r="217" spans="1:11" x14ac:dyDescent="0.35">
      <c r="A217" s="4" t="s">
        <v>671</v>
      </c>
      <c r="B217" t="s">
        <v>676</v>
      </c>
      <c r="H217" s="2" t="s">
        <v>683</v>
      </c>
    </row>
    <row r="218" spans="1:11" x14ac:dyDescent="0.35">
      <c r="A218" s="4" t="s">
        <v>672</v>
      </c>
      <c r="B218" t="s">
        <v>679</v>
      </c>
      <c r="H218" s="2" t="s">
        <v>684</v>
      </c>
    </row>
  </sheetData>
  <conditionalFormatting sqref="B1:B1048576">
    <cfRule type="expression" dxfId="7" priority="4">
      <formula>AND(A1&lt;&gt;"",NOT(B1&lt;&gt;""))</formula>
    </cfRule>
  </conditionalFormatting>
  <conditionalFormatting sqref="K2:K160 K163:K1048576">
    <cfRule type="expression" dxfId="6" priority="2">
      <formula>AND(L2&lt;&gt;"",NOT(K2&lt;&gt;""))</formula>
    </cfRule>
  </conditionalFormatting>
  <conditionalFormatting sqref="K161">
    <cfRule type="expression" dxfId="4" priority="15">
      <formula>AND(L162&lt;&gt;"",NOT(K161&lt;&gt;""))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K2:K161 K163:K1048576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K1:K161 K163:K1048576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opLeftCell="A13" workbookViewId="0">
      <selection activeCell="C23" sqref="C23"/>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278</v>
      </c>
      <c r="B3" s="19" t="s">
        <v>279</v>
      </c>
      <c r="C3" s="20" t="s">
        <v>280</v>
      </c>
      <c r="D3" s="2"/>
      <c r="F3" s="21">
        <v>0</v>
      </c>
    </row>
    <row r="4" spans="1:12" x14ac:dyDescent="0.35">
      <c r="A4" t="s">
        <v>281</v>
      </c>
      <c r="B4" t="s">
        <v>282</v>
      </c>
      <c r="C4" s="21" t="s">
        <v>278</v>
      </c>
      <c r="D4" s="2" t="s">
        <v>215</v>
      </c>
      <c r="F4" s="21">
        <v>0</v>
      </c>
      <c r="H4" s="2" t="s">
        <v>538</v>
      </c>
    </row>
    <row r="5" spans="1:12" x14ac:dyDescent="0.35">
      <c r="A5" t="s">
        <v>283</v>
      </c>
      <c r="B5" t="s">
        <v>287</v>
      </c>
      <c r="C5" s="20" t="s">
        <v>291</v>
      </c>
      <c r="F5" s="21">
        <v>0</v>
      </c>
    </row>
    <row r="6" spans="1:12" x14ac:dyDescent="0.35">
      <c r="A6" t="s">
        <v>284</v>
      </c>
      <c r="B6" t="s">
        <v>288</v>
      </c>
      <c r="C6" s="20" t="s">
        <v>292</v>
      </c>
      <c r="F6" s="21">
        <v>0</v>
      </c>
    </row>
    <row r="7" spans="1:12" x14ac:dyDescent="0.35">
      <c r="A7" t="s">
        <v>554</v>
      </c>
      <c r="B7" t="s">
        <v>555</v>
      </c>
      <c r="C7" s="20" t="s">
        <v>284</v>
      </c>
      <c r="D7" s="2" t="s">
        <v>278</v>
      </c>
      <c r="F7" s="21">
        <v>0</v>
      </c>
      <c r="H7" s="2" t="s">
        <v>538</v>
      </c>
    </row>
    <row r="8" spans="1:12" x14ac:dyDescent="0.35">
      <c r="A8" t="s">
        <v>285</v>
      </c>
      <c r="B8" t="s">
        <v>290</v>
      </c>
      <c r="C8" s="20" t="s">
        <v>293</v>
      </c>
      <c r="F8" s="21">
        <v>0</v>
      </c>
    </row>
    <row r="9" spans="1:12" x14ac:dyDescent="0.35">
      <c r="A9" t="s">
        <v>556</v>
      </c>
      <c r="B9" t="s">
        <v>557</v>
      </c>
      <c r="C9" s="20" t="s">
        <v>285</v>
      </c>
      <c r="D9" s="2" t="s">
        <v>278</v>
      </c>
      <c r="F9" s="21">
        <v>0</v>
      </c>
      <c r="H9" s="2" t="s">
        <v>538</v>
      </c>
    </row>
    <row r="10" spans="1:12" x14ac:dyDescent="0.35">
      <c r="A10" t="s">
        <v>286</v>
      </c>
      <c r="B10" t="s">
        <v>289</v>
      </c>
      <c r="C10" s="20" t="s">
        <v>294</v>
      </c>
      <c r="F10" s="21">
        <v>0</v>
      </c>
    </row>
    <row r="11" spans="1:12" x14ac:dyDescent="0.35">
      <c r="A11" t="s">
        <v>393</v>
      </c>
      <c r="B11" t="s">
        <v>386</v>
      </c>
      <c r="C11" s="20" t="s">
        <v>389</v>
      </c>
      <c r="D11" s="2" t="s">
        <v>215</v>
      </c>
      <c r="F11" s="21">
        <v>0</v>
      </c>
    </row>
    <row r="12" spans="1:12" x14ac:dyDescent="0.35">
      <c r="A12" t="s">
        <v>394</v>
      </c>
      <c r="B12" t="s">
        <v>388</v>
      </c>
      <c r="C12" s="2" t="s">
        <v>392</v>
      </c>
      <c r="D12" s="2" t="s">
        <v>215</v>
      </c>
      <c r="F12" s="21">
        <v>0</v>
      </c>
    </row>
    <row r="13" spans="1:12" x14ac:dyDescent="0.35">
      <c r="A13" t="s">
        <v>395</v>
      </c>
      <c r="B13" t="s">
        <v>387</v>
      </c>
      <c r="C13" s="2" t="s">
        <v>390</v>
      </c>
      <c r="D13" s="2" t="s">
        <v>215</v>
      </c>
      <c r="F13" s="21">
        <v>0</v>
      </c>
    </row>
    <row r="14" spans="1:12" x14ac:dyDescent="0.35">
      <c r="A14" t="s">
        <v>396</v>
      </c>
      <c r="B14" t="s">
        <v>582</v>
      </c>
      <c r="C14" s="20" t="s">
        <v>391</v>
      </c>
      <c r="D14" s="2" t="s">
        <v>215</v>
      </c>
      <c r="F14" s="21">
        <v>0</v>
      </c>
    </row>
    <row r="15" spans="1:12" x14ac:dyDescent="0.35">
      <c r="A15" t="s">
        <v>515</v>
      </c>
      <c r="B15" t="s">
        <v>516</v>
      </c>
      <c r="C15" s="20" t="s">
        <v>514</v>
      </c>
      <c r="D15" s="2"/>
      <c r="F15" s="21">
        <v>0</v>
      </c>
    </row>
    <row r="16" spans="1:12" x14ac:dyDescent="0.35">
      <c r="A16" t="s">
        <v>507</v>
      </c>
      <c r="B16" t="s">
        <v>510</v>
      </c>
      <c r="C16" s="20" t="s">
        <v>515</v>
      </c>
      <c r="D16" s="2" t="s">
        <v>278</v>
      </c>
      <c r="F16" s="21">
        <v>0</v>
      </c>
    </row>
    <row r="17" spans="1:8" x14ac:dyDescent="0.35">
      <c r="A17" t="s">
        <v>517</v>
      </c>
      <c r="B17" t="s">
        <v>518</v>
      </c>
      <c r="C17" s="20" t="s">
        <v>513</v>
      </c>
      <c r="D17" s="2"/>
      <c r="F17" s="21">
        <v>0</v>
      </c>
    </row>
    <row r="18" spans="1:8" x14ac:dyDescent="0.35">
      <c r="A18" t="s">
        <v>508</v>
      </c>
      <c r="B18" t="s">
        <v>511</v>
      </c>
      <c r="C18" s="20" t="s">
        <v>517</v>
      </c>
      <c r="D18" s="2" t="s">
        <v>278</v>
      </c>
      <c r="F18" s="21">
        <v>0</v>
      </c>
    </row>
    <row r="19" spans="1:8" x14ac:dyDescent="0.35">
      <c r="A19" t="s">
        <v>509</v>
      </c>
      <c r="B19" t="s">
        <v>512</v>
      </c>
      <c r="C19" s="2" t="s">
        <v>286</v>
      </c>
      <c r="D19" s="2" t="s">
        <v>278</v>
      </c>
      <c r="F19" s="21">
        <v>0</v>
      </c>
      <c r="H19" s="2" t="s">
        <v>538</v>
      </c>
    </row>
    <row r="20" spans="1:8" x14ac:dyDescent="0.35">
      <c r="A20" t="s">
        <v>527</v>
      </c>
      <c r="B20" t="s">
        <v>547</v>
      </c>
      <c r="C20" s="2" t="s">
        <v>552</v>
      </c>
      <c r="F20" s="21">
        <v>0</v>
      </c>
    </row>
    <row r="21" spans="1:8" x14ac:dyDescent="0.35">
      <c r="A21" t="s">
        <v>528</v>
      </c>
      <c r="B21" t="s">
        <v>548</v>
      </c>
      <c r="C21" s="2" t="s">
        <v>553</v>
      </c>
      <c r="F21" s="21">
        <v>0</v>
      </c>
    </row>
    <row r="22" spans="1:8" x14ac:dyDescent="0.35">
      <c r="A22" t="s">
        <v>529</v>
      </c>
      <c r="B22" t="s">
        <v>549</v>
      </c>
      <c r="C22" s="2" t="s">
        <v>551</v>
      </c>
      <c r="F22" s="21">
        <v>0</v>
      </c>
    </row>
    <row r="23" spans="1:8" x14ac:dyDescent="0.35">
      <c r="A23" t="s">
        <v>546</v>
      </c>
      <c r="B23" t="s">
        <v>550</v>
      </c>
      <c r="C23" s="2" t="s">
        <v>685</v>
      </c>
      <c r="D23" s="2" t="s">
        <v>278</v>
      </c>
      <c r="F23" s="21">
        <v>0</v>
      </c>
      <c r="H23" s="2" t="s">
        <v>538</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382</v>
      </c>
      <c r="B2" t="s">
        <v>383</v>
      </c>
      <c r="C2">
        <v>1</v>
      </c>
      <c r="D2" s="2" t="s">
        <v>28</v>
      </c>
      <c r="E2" s="2" t="s">
        <v>28</v>
      </c>
    </row>
    <row r="3" spans="1:5" x14ac:dyDescent="0.35">
      <c r="A3" t="s">
        <v>384</v>
      </c>
      <c r="B3" t="s">
        <v>385</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295</v>
      </c>
      <c r="B2" s="4" t="s">
        <v>298</v>
      </c>
    </row>
    <row r="3" spans="1:2" x14ac:dyDescent="0.35">
      <c r="A3" t="s">
        <v>296</v>
      </c>
      <c r="B3" s="4" t="s">
        <v>299</v>
      </c>
    </row>
    <row r="4" spans="1:2" x14ac:dyDescent="0.35">
      <c r="A4" t="s">
        <v>297</v>
      </c>
      <c r="B4" t="s">
        <v>286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2026-09-30T02:47:05Z</dcterms:modified>
  <cp:category>atomica:framework</cp:category>
</cp:coreProperties>
</file>