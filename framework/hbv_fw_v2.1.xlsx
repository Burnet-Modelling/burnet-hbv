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Users\chris.seaman\Desktop\GitRepos\burnet-hbv\framework\"/>
    </mc:Choice>
  </mc:AlternateContent>
  <xr:revisionPtr revIDLastSave="0" documentId="13_ncr:1_{1E82B91F-BD77-4C23-8AA8-EA6759EA6409}" xr6:coauthVersionLast="47" xr6:coauthVersionMax="47" xr10:uidLastSave="{00000000-0000-0000-0000-000000000000}"/>
  <bookViews>
    <workbookView xWindow="-19310" yWindow="-110" windowWidth="19420" windowHeight="10300" firstSheet="2" activeTab="4" xr2:uid="{00000000-000D-0000-FFFF-FFFF00000000}"/>
    <workbookView xWindow="-110" yWindow="-110" windowWidth="19420" windowHeight="11500" firstSheet="2" activeTab="5" xr2:uid="{F310F532-AF8D-473F-B60A-D4AD40ADDAB4}"/>
  </bookViews>
  <sheets>
    <sheet name="About" sheetId="9" r:id="rId1"/>
    <sheet name="Databook Pages" sheetId="1" r:id="rId2"/>
    <sheet name="Population types" sheetId="10" r:id="rId3"/>
    <sheet name="Compartments" sheetId="2" r:id="rId4"/>
    <sheet name="Transitions" sheetId="3" r:id="rId5"/>
    <sheet name="Parameters" sheetId="6" r:id="rId6"/>
    <sheet name="Characteristics" sheetId="4" r:id="rId7"/>
    <sheet name="Interactions" sheetId="5" r:id="rId8"/>
    <sheet name="Cascades" sheetId="7" r:id="rId9"/>
    <sheet name="Plots" sheetId="8"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OH1" i="3" l="1"/>
  <c r="OG1" i="3"/>
  <c r="OF1" i="3"/>
  <c r="OE1" i="3"/>
  <c r="OD1" i="3"/>
  <c r="OC1" i="3"/>
  <c r="OB1" i="3"/>
  <c r="OA1" i="3"/>
  <c r="NZ1" i="3"/>
  <c r="NY1" i="3"/>
  <c r="NX1" i="3"/>
  <c r="NW1" i="3"/>
  <c r="NV1" i="3"/>
  <c r="NU1" i="3"/>
  <c r="NT1" i="3"/>
  <c r="NS1" i="3"/>
  <c r="NR1" i="3"/>
  <c r="NQ1" i="3"/>
  <c r="NP1" i="3"/>
  <c r="NO1" i="3"/>
  <c r="NN1" i="3"/>
  <c r="NM1" i="3"/>
  <c r="NL1" i="3"/>
  <c r="NK1" i="3"/>
  <c r="NJ1" i="3"/>
  <c r="NI1" i="3"/>
  <c r="NH1" i="3"/>
  <c r="NG1" i="3"/>
  <c r="NF1" i="3"/>
  <c r="NE1" i="3"/>
  <c r="ND1" i="3"/>
  <c r="NC1" i="3"/>
  <c r="NB1" i="3"/>
  <c r="NA1" i="3"/>
  <c r="MZ1" i="3"/>
  <c r="MY1" i="3"/>
  <c r="MX1" i="3"/>
  <c r="MW1" i="3"/>
  <c r="MV1" i="3"/>
  <c r="MU1" i="3"/>
  <c r="MT1" i="3"/>
  <c r="MS1" i="3"/>
  <c r="MR1" i="3"/>
  <c r="MQ1" i="3"/>
  <c r="MP1" i="3"/>
  <c r="MO1" i="3"/>
  <c r="MN1" i="3"/>
  <c r="MM1" i="3"/>
  <c r="ML1" i="3"/>
  <c r="MK1" i="3"/>
  <c r="MJ1" i="3"/>
  <c r="MI1" i="3"/>
  <c r="MH1" i="3"/>
  <c r="MG1" i="3"/>
  <c r="MF1" i="3"/>
  <c r="ME1" i="3"/>
  <c r="MD1" i="3"/>
  <c r="MC1" i="3"/>
  <c r="MB1" i="3"/>
  <c r="MA1" i="3"/>
  <c r="LZ1" i="3"/>
  <c r="LY1" i="3"/>
  <c r="LX1" i="3"/>
  <c r="LW1" i="3"/>
  <c r="LV1" i="3"/>
  <c r="LU1" i="3"/>
  <c r="LT1" i="3"/>
  <c r="LS1" i="3"/>
  <c r="LR1" i="3"/>
  <c r="LQ1" i="3"/>
  <c r="LP1" i="3"/>
  <c r="LO1" i="3"/>
  <c r="LN1" i="3"/>
  <c r="LM1" i="3"/>
  <c r="LL1" i="3"/>
  <c r="LK1" i="3"/>
  <c r="LJ1" i="3"/>
  <c r="LI1" i="3"/>
  <c r="LH1" i="3"/>
  <c r="LG1" i="3"/>
  <c r="LF1" i="3"/>
  <c r="LE1" i="3"/>
  <c r="LD1" i="3"/>
  <c r="LC1" i="3"/>
  <c r="LB1" i="3"/>
  <c r="LA1" i="3"/>
  <c r="KZ1" i="3"/>
  <c r="KY1" i="3"/>
  <c r="KX1" i="3"/>
  <c r="KW1" i="3"/>
  <c r="KV1" i="3"/>
  <c r="KU1" i="3"/>
  <c r="KT1" i="3"/>
  <c r="KS1" i="3"/>
  <c r="KR1" i="3"/>
  <c r="KQ1" i="3"/>
  <c r="KP1" i="3"/>
  <c r="KO1" i="3"/>
  <c r="KN1" i="3"/>
  <c r="KM1" i="3"/>
  <c r="KL1" i="3"/>
  <c r="KK1" i="3"/>
  <c r="KJ1" i="3"/>
  <c r="KI1" i="3"/>
  <c r="KH1" i="3"/>
  <c r="KG1" i="3"/>
  <c r="KF1" i="3"/>
  <c r="KE1" i="3"/>
  <c r="KD1" i="3"/>
  <c r="KC1" i="3"/>
  <c r="KB1" i="3"/>
  <c r="KA1" i="3"/>
  <c r="JZ1" i="3"/>
  <c r="JY1" i="3"/>
  <c r="JX1" i="3"/>
  <c r="JW1" i="3"/>
  <c r="JV1" i="3"/>
  <c r="JU1" i="3"/>
  <c r="JT1" i="3"/>
  <c r="JS1" i="3"/>
  <c r="JR1" i="3"/>
  <c r="JQ1" i="3"/>
  <c r="JP1" i="3"/>
  <c r="JO1" i="3"/>
  <c r="JN1" i="3"/>
  <c r="JM1" i="3"/>
  <c r="JL1" i="3"/>
  <c r="JK1" i="3"/>
  <c r="JJ1" i="3"/>
  <c r="JI1" i="3"/>
  <c r="JH1" i="3"/>
  <c r="JG1" i="3"/>
  <c r="JF1" i="3"/>
  <c r="JE1" i="3"/>
  <c r="JD1" i="3"/>
  <c r="JC1" i="3"/>
  <c r="JB1" i="3"/>
  <c r="JA1" i="3"/>
  <c r="IZ1" i="3"/>
  <c r="IY1" i="3"/>
  <c r="IX1" i="3"/>
  <c r="IW1" i="3"/>
  <c r="IV1" i="3"/>
  <c r="IU1" i="3"/>
  <c r="IT1" i="3"/>
  <c r="IS1" i="3"/>
  <c r="IR1" i="3"/>
  <c r="IQ1" i="3"/>
  <c r="IP1" i="3"/>
  <c r="IO1" i="3"/>
  <c r="IN1" i="3"/>
  <c r="IM1" i="3"/>
  <c r="IL1" i="3"/>
  <c r="IK1" i="3"/>
  <c r="IJ1" i="3"/>
  <c r="II1" i="3"/>
  <c r="IH1" i="3"/>
  <c r="IG1" i="3"/>
  <c r="IF1" i="3"/>
  <c r="IE1" i="3"/>
  <c r="ID1" i="3"/>
  <c r="IC1" i="3"/>
  <c r="IB1" i="3"/>
  <c r="IA1" i="3"/>
  <c r="HZ1" i="3"/>
  <c r="HY1" i="3"/>
  <c r="HX1" i="3"/>
  <c r="HW1" i="3"/>
  <c r="HV1" i="3"/>
  <c r="HU1" i="3"/>
  <c r="HT1" i="3"/>
  <c r="HS1" i="3"/>
  <c r="HR1" i="3"/>
  <c r="HQ1" i="3"/>
  <c r="HP1" i="3"/>
  <c r="HO1" i="3"/>
  <c r="HN1" i="3"/>
  <c r="HM1" i="3"/>
  <c r="HL1" i="3"/>
  <c r="HK1" i="3"/>
  <c r="HJ1" i="3"/>
  <c r="HI1" i="3"/>
  <c r="HH1" i="3"/>
  <c r="HG1" i="3"/>
  <c r="HF1" i="3"/>
  <c r="HE1" i="3"/>
  <c r="HD1" i="3"/>
  <c r="HC1" i="3"/>
  <c r="HB1" i="3"/>
  <c r="HA1" i="3"/>
  <c r="GZ1" i="3"/>
  <c r="GY1" i="3"/>
  <c r="GX1" i="3"/>
  <c r="GW1" i="3"/>
  <c r="GV1" i="3"/>
  <c r="GU1" i="3"/>
  <c r="GT1" i="3"/>
  <c r="GS1" i="3"/>
  <c r="GR1" i="3"/>
  <c r="GQ1" i="3"/>
  <c r="GP1" i="3"/>
  <c r="GO1" i="3"/>
  <c r="GN1" i="3"/>
  <c r="GM1" i="3"/>
  <c r="GL1" i="3"/>
  <c r="GK1" i="3"/>
  <c r="GJ1" i="3"/>
  <c r="GI1" i="3"/>
  <c r="GH1" i="3"/>
  <c r="GG1" i="3"/>
  <c r="GF1" i="3"/>
  <c r="GE1" i="3"/>
  <c r="GD1" i="3"/>
  <c r="GC1" i="3"/>
  <c r="GB1" i="3"/>
  <c r="GA1" i="3"/>
  <c r="FZ1" i="3"/>
  <c r="FY1" i="3"/>
  <c r="FX1" i="3"/>
  <c r="FW1" i="3"/>
  <c r="FV1" i="3"/>
  <c r="FU1" i="3"/>
  <c r="FT1" i="3"/>
  <c r="FS1" i="3"/>
  <c r="FR1" i="3"/>
  <c r="FQ1" i="3"/>
  <c r="FP1" i="3"/>
  <c r="FO1" i="3"/>
  <c r="FN1" i="3"/>
  <c r="FM1" i="3"/>
  <c r="FL1" i="3"/>
  <c r="FK1" i="3"/>
  <c r="FJ1" i="3"/>
  <c r="FI1" i="3"/>
  <c r="FH1" i="3"/>
  <c r="FG1" i="3"/>
  <c r="FF1" i="3"/>
  <c r="FE1" i="3"/>
  <c r="FD1" i="3"/>
  <c r="FC1" i="3"/>
  <c r="FB1" i="3"/>
  <c r="FA1" i="3"/>
  <c r="EZ1" i="3"/>
  <c r="EY1" i="3"/>
  <c r="EX1" i="3"/>
  <c r="EW1" i="3"/>
  <c r="EV1" i="3"/>
  <c r="EU1" i="3"/>
  <c r="ET1" i="3"/>
  <c r="ES1" i="3"/>
  <c r="ER1" i="3"/>
  <c r="EQ1" i="3"/>
  <c r="EP1" i="3"/>
  <c r="EO1" i="3"/>
  <c r="EN1" i="3"/>
  <c r="EM1" i="3"/>
  <c r="EL1" i="3"/>
  <c r="EK1" i="3"/>
  <c r="EJ1" i="3"/>
  <c r="EI1" i="3"/>
  <c r="EH1" i="3"/>
  <c r="EG1" i="3"/>
  <c r="EF1" i="3"/>
  <c r="EE1" i="3"/>
  <c r="ED1" i="3"/>
  <c r="EC1" i="3"/>
  <c r="EB1" i="3"/>
  <c r="EA1" i="3"/>
  <c r="DZ1" i="3"/>
  <c r="DY1" i="3"/>
  <c r="DX1" i="3"/>
  <c r="DW1" i="3"/>
  <c r="DV1" i="3"/>
  <c r="DU1" i="3"/>
  <c r="DT1" i="3"/>
  <c r="DS1" i="3"/>
  <c r="DR1" i="3"/>
  <c r="DQ1" i="3"/>
  <c r="DP1" i="3"/>
  <c r="DO1" i="3"/>
  <c r="DN1" i="3"/>
  <c r="DM1" i="3"/>
  <c r="DL1" i="3"/>
  <c r="DK1" i="3"/>
  <c r="DJ1" i="3"/>
  <c r="DI1" i="3"/>
  <c r="DH1" i="3"/>
  <c r="DG1" i="3"/>
  <c r="DF1" i="3"/>
  <c r="DE1" i="3"/>
  <c r="DD1" i="3"/>
  <c r="DC1" i="3"/>
  <c r="DB1" i="3"/>
  <c r="DA1" i="3"/>
  <c r="CZ1" i="3"/>
  <c r="CY1" i="3"/>
  <c r="CX1" i="3"/>
  <c r="CW1" i="3"/>
  <c r="CV1" i="3"/>
  <c r="CU1" i="3"/>
  <c r="CT1" i="3"/>
  <c r="CS1" i="3"/>
  <c r="CR1" i="3"/>
  <c r="CQ1" i="3"/>
  <c r="CP1" i="3"/>
  <c r="CO1" i="3"/>
  <c r="CN1" i="3"/>
  <c r="CM1" i="3"/>
  <c r="CL1" i="3"/>
  <c r="CK1" i="3"/>
  <c r="CJ1" i="3"/>
  <c r="CI1" i="3"/>
  <c r="CH1" i="3"/>
  <c r="CG1" i="3"/>
  <c r="CF1" i="3"/>
  <c r="CE1" i="3"/>
  <c r="CD1" i="3"/>
  <c r="CC1" i="3"/>
  <c r="CB1" i="3"/>
  <c r="CA1" i="3"/>
  <c r="BZ1" i="3"/>
  <c r="BY1" i="3"/>
  <c r="BX1" i="3"/>
  <c r="BW1" i="3"/>
  <c r="BV1" i="3"/>
  <c r="BU1" i="3"/>
  <c r="BT1" i="3"/>
  <c r="BS1" i="3"/>
  <c r="BR1" i="3"/>
  <c r="BQ1" i="3"/>
  <c r="BP1" i="3"/>
  <c r="BO1" i="3"/>
  <c r="BN1" i="3"/>
  <c r="BM1" i="3"/>
  <c r="BL1" i="3"/>
  <c r="BK1" i="3"/>
  <c r="BJ1" i="3"/>
  <c r="BI1" i="3"/>
  <c r="BH1" i="3"/>
  <c r="BG1" i="3"/>
  <c r="BF1" i="3"/>
  <c r="BE1" i="3"/>
  <c r="BD1" i="3"/>
  <c r="BC1" i="3"/>
  <c r="BB1" i="3"/>
  <c r="BA1" i="3"/>
  <c r="AZ1" i="3"/>
  <c r="AY1" i="3"/>
  <c r="AX1" i="3"/>
  <c r="AW1" i="3"/>
  <c r="AV1" i="3"/>
  <c r="AU1" i="3"/>
  <c r="AT1" i="3"/>
  <c r="AS1" i="3"/>
  <c r="AR1" i="3"/>
  <c r="AQ1" i="3"/>
  <c r="AP1" i="3"/>
  <c r="AO1" i="3"/>
  <c r="AN1" i="3"/>
  <c r="AM1" i="3"/>
  <c r="AL1" i="3"/>
  <c r="AK1" i="3"/>
  <c r="AJ1" i="3"/>
  <c r="AI1" i="3"/>
  <c r="AH1" i="3"/>
  <c r="AG1" i="3"/>
  <c r="AF1" i="3"/>
  <c r="AE1" i="3"/>
  <c r="AD1" i="3"/>
  <c r="AC1" i="3"/>
  <c r="AB1" i="3"/>
  <c r="AA1" i="3"/>
  <c r="Z1" i="3"/>
  <c r="Y1" i="3"/>
  <c r="X1" i="3"/>
  <c r="W1" i="3"/>
  <c r="V1" i="3"/>
  <c r="U1" i="3"/>
  <c r="T1" i="3"/>
  <c r="S1" i="3"/>
  <c r="R1" i="3"/>
  <c r="Q1" i="3"/>
  <c r="P1" i="3"/>
  <c r="O1" i="3"/>
  <c r="N1" i="3"/>
  <c r="M1" i="3"/>
  <c r="L1" i="3"/>
  <c r="K1" i="3"/>
  <c r="J1" i="3"/>
  <c r="I1" i="3"/>
  <c r="H1" i="3"/>
  <c r="G1" i="3"/>
  <c r="F1" i="3"/>
  <c r="E1" i="3"/>
  <c r="D1" i="3"/>
  <c r="C1" i="3"/>
  <c r="B1" i="3"/>
  <c r="A3" i="3"/>
  <c r="A4" i="3"/>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87" i="3"/>
  <c r="A188" i="3"/>
  <c r="A189" i="3"/>
  <c r="A190" i="3"/>
  <c r="A191" i="3"/>
  <c r="A192" i="3"/>
  <c r="A193" i="3"/>
  <c r="A194" i="3"/>
  <c r="A195" i="3"/>
  <c r="A196" i="3"/>
  <c r="A197" i="3"/>
  <c r="A198" i="3"/>
  <c r="A199" i="3"/>
  <c r="A200" i="3"/>
  <c r="A201" i="3"/>
  <c r="A202" i="3"/>
  <c r="A203" i="3"/>
  <c r="A204" i="3"/>
  <c r="A205" i="3"/>
  <c r="A206" i="3"/>
  <c r="A207" i="3"/>
  <c r="A208" i="3"/>
  <c r="A209" i="3"/>
  <c r="A210" i="3"/>
  <c r="A211" i="3"/>
  <c r="A212" i="3"/>
  <c r="A213" i="3"/>
  <c r="A214" i="3"/>
  <c r="A215" i="3"/>
  <c r="A216" i="3"/>
  <c r="A217" i="3"/>
  <c r="A218" i="3"/>
  <c r="A219" i="3"/>
  <c r="A220" i="3"/>
  <c r="A221" i="3"/>
  <c r="A222" i="3"/>
  <c r="A223" i="3"/>
  <c r="A224" i="3"/>
  <c r="A225" i="3"/>
  <c r="A226" i="3"/>
  <c r="A227" i="3"/>
  <c r="A228" i="3"/>
  <c r="A229" i="3"/>
  <c r="A230" i="3"/>
  <c r="A231" i="3"/>
  <c r="A232" i="3"/>
  <c r="A233" i="3"/>
  <c r="A234" i="3"/>
  <c r="A235" i="3"/>
  <c r="A236" i="3"/>
  <c r="A237" i="3"/>
  <c r="A238" i="3"/>
  <c r="A239" i="3"/>
  <c r="A240" i="3"/>
  <c r="A241" i="3"/>
  <c r="A242" i="3"/>
  <c r="A243" i="3"/>
  <c r="A244" i="3"/>
  <c r="A245" i="3"/>
  <c r="A246" i="3"/>
  <c r="A247" i="3"/>
  <c r="A248" i="3"/>
  <c r="A249" i="3"/>
  <c r="A250" i="3"/>
  <c r="A251" i="3"/>
  <c r="A252" i="3"/>
  <c r="A253" i="3"/>
  <c r="A254" i="3"/>
  <c r="A255" i="3"/>
  <c r="A256" i="3"/>
  <c r="A257" i="3"/>
  <c r="A258" i="3"/>
  <c r="A259" i="3"/>
  <c r="A260" i="3"/>
  <c r="A261" i="3"/>
  <c r="A262" i="3"/>
  <c r="A263" i="3"/>
  <c r="A264" i="3"/>
  <c r="A265" i="3"/>
  <c r="A266" i="3"/>
  <c r="A267" i="3"/>
  <c r="A268" i="3"/>
  <c r="A269" i="3"/>
  <c r="A270" i="3"/>
  <c r="A271" i="3"/>
  <c r="A272" i="3"/>
  <c r="A273" i="3"/>
  <c r="A274" i="3"/>
  <c r="A275" i="3"/>
  <c r="A276" i="3"/>
  <c r="A277" i="3"/>
  <c r="A278" i="3"/>
  <c r="A279" i="3"/>
  <c r="A280" i="3"/>
  <c r="A281" i="3"/>
  <c r="A282" i="3"/>
  <c r="A283" i="3"/>
  <c r="A284" i="3"/>
  <c r="A285" i="3"/>
  <c r="A286" i="3"/>
  <c r="A287" i="3"/>
  <c r="A288" i="3"/>
  <c r="A289" i="3"/>
  <c r="A290" i="3"/>
  <c r="A291" i="3"/>
  <c r="A292" i="3"/>
  <c r="A293" i="3"/>
  <c r="A294" i="3"/>
  <c r="A295" i="3"/>
  <c r="A296" i="3"/>
  <c r="A297" i="3"/>
  <c r="A298" i="3"/>
  <c r="A299" i="3"/>
  <c r="A300" i="3"/>
  <c r="A301" i="3"/>
  <c r="A302" i="3"/>
  <c r="A303" i="3"/>
  <c r="A304" i="3"/>
  <c r="A305" i="3"/>
  <c r="A306" i="3"/>
  <c r="A307" i="3"/>
  <c r="A308" i="3"/>
  <c r="A309" i="3"/>
  <c r="A310" i="3"/>
  <c r="A311" i="3"/>
  <c r="A312" i="3"/>
  <c r="A313" i="3"/>
  <c r="A314" i="3"/>
  <c r="A315" i="3"/>
  <c r="A316" i="3"/>
  <c r="A317" i="3"/>
  <c r="A318" i="3"/>
  <c r="A319" i="3"/>
  <c r="A320" i="3"/>
  <c r="A321" i="3"/>
  <c r="A322" i="3"/>
  <c r="A323" i="3"/>
  <c r="A324" i="3"/>
  <c r="A325" i="3"/>
  <c r="A326" i="3"/>
  <c r="A327" i="3"/>
  <c r="A328" i="3"/>
  <c r="A329" i="3"/>
  <c r="A330" i="3"/>
  <c r="A331" i="3"/>
  <c r="A332" i="3"/>
  <c r="A333" i="3"/>
  <c r="A334" i="3"/>
  <c r="A335" i="3"/>
  <c r="A336" i="3"/>
  <c r="A337" i="3"/>
  <c r="A338" i="3"/>
  <c r="A339" i="3"/>
  <c r="A340" i="3"/>
  <c r="A341" i="3"/>
  <c r="A342" i="3"/>
  <c r="A343" i="3"/>
  <c r="A344" i="3"/>
  <c r="A345" i="3"/>
  <c r="A346" i="3"/>
  <c r="A347" i="3"/>
  <c r="A348" i="3"/>
  <c r="A349" i="3"/>
  <c r="A350" i="3"/>
  <c r="A351" i="3"/>
  <c r="A352" i="3"/>
  <c r="A353" i="3"/>
  <c r="A354" i="3"/>
  <c r="A355" i="3"/>
  <c r="A356" i="3"/>
  <c r="A357" i="3"/>
  <c r="A358" i="3"/>
  <c r="A359" i="3"/>
  <c r="A360" i="3"/>
  <c r="A361" i="3"/>
  <c r="A362" i="3"/>
  <c r="A363" i="3"/>
  <c r="A364" i="3"/>
  <c r="A365" i="3"/>
  <c r="A366" i="3"/>
  <c r="A367" i="3"/>
  <c r="A368" i="3"/>
  <c r="A369" i="3"/>
  <c r="A370" i="3"/>
  <c r="A371" i="3"/>
  <c r="A372" i="3"/>
  <c r="A373" i="3"/>
  <c r="A374" i="3"/>
  <c r="A375" i="3"/>
  <c r="A376" i="3"/>
  <c r="A377" i="3"/>
  <c r="A378" i="3"/>
  <c r="A379" i="3"/>
  <c r="A380" i="3"/>
  <c r="A381" i="3"/>
  <c r="A382" i="3"/>
  <c r="A383" i="3"/>
  <c r="A384" i="3"/>
  <c r="A385" i="3"/>
  <c r="A386" i="3"/>
  <c r="A387" i="3"/>
  <c r="A388" i="3"/>
  <c r="A389" i="3"/>
  <c r="A390" i="3"/>
  <c r="A391" i="3"/>
  <c r="A392" i="3"/>
  <c r="A393" i="3"/>
  <c r="A394" i="3"/>
  <c r="A395" i="3"/>
  <c r="A396" i="3"/>
  <c r="A397" i="3"/>
  <c r="A398" i="3"/>
  <c r="A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A1" authorId="0" shapeId="0" xr:uid="{81FEFA03-739A-C346-8137-5A8ACB041632}">
      <text>
        <r>
          <rPr>
            <sz val="10"/>
            <color rgb="FF000000"/>
            <rFont val="Tahoma"/>
            <family val="2"/>
          </rPr>
          <t>For instructions on how to fill this out, please see cascade.tools/ug-frw-databookpages</t>
        </r>
      </text>
    </comment>
    <comment ref="B1" authorId="0" shapeId="0" xr:uid="{A0B63E8C-E18B-D146-8DCF-446716EF6F5E}">
      <text>
        <r>
          <rPr>
            <sz val="10"/>
            <color rgb="FF000000"/>
            <rFont val="Tahoma"/>
            <family val="2"/>
          </rPr>
          <t xml:space="preserve">For instructions on how to fill this out, please see </t>
        </r>
        <r>
          <rPr>
            <sz val="10"/>
            <color rgb="FF000000"/>
            <rFont val="Tahoma"/>
            <family val="2"/>
          </rPr>
          <t>cascade.tools/ug-frw-databookpages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Romesh</author>
  </authors>
  <commentList>
    <comment ref="A1" authorId="0" shapeId="0" xr:uid="{B66A40B7-D1A4-4FD5-B2E5-BE4A3E984FAF}">
      <text>
        <r>
          <rPr>
            <sz val="9"/>
            <color indexed="81"/>
            <rFont val="Tahoma"/>
            <family val="2"/>
          </rPr>
          <t>The code name for the population type. This should be lowercase with no spaces</t>
        </r>
      </text>
    </comment>
    <comment ref="B1" authorId="0" shapeId="0" xr:uid="{135DCF85-E328-4A8D-807B-4D98AB125498}">
      <text>
        <r>
          <rPr>
            <sz val="9"/>
            <color indexed="81"/>
            <rFont val="Tahoma"/>
            <family val="2"/>
          </rPr>
          <t xml:space="preserve">The display name appears on plots and other outputs.  It should be in sentence case.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Romesh</author>
    <author>Romesh Abeysuriya</author>
  </authors>
  <commentList>
    <comment ref="A1" authorId="0" shapeId="0" xr:uid="{8F11EEB6-017C-4E97-8DFB-6E8BA3F55C2C}">
      <text>
        <r>
          <rPr>
            <sz val="10"/>
            <color rgb="FF000000"/>
            <rFont val="Tahoma"/>
            <family val="2"/>
          </rPr>
          <t xml:space="preserve">The code name should be in lower case without spaces.
</t>
        </r>
        <r>
          <rPr>
            <sz val="10"/>
            <color rgb="FF000000"/>
            <rFont val="Tahoma"/>
            <family val="2"/>
          </rPr>
          <t xml:space="preserve">For </t>
        </r>
        <r>
          <rPr>
            <sz val="10"/>
            <color rgb="FF000000"/>
            <rFont val="Calibri"/>
            <family val="2"/>
            <scheme val="minor"/>
          </rPr>
          <t>further instructions on how to fill this out, please see cascade.tools/ug-frw-compartments</t>
        </r>
        <r>
          <rPr>
            <sz val="10"/>
            <color rgb="FF000000"/>
            <rFont val="Calibri"/>
            <family val="2"/>
            <scheme val="minor"/>
          </rPr>
          <t xml:space="preserve">
</t>
        </r>
      </text>
    </comment>
    <comment ref="B1" authorId="0" shapeId="0" xr:uid="{18044106-CF0A-4F46-AE9F-654B913C6CA3}">
      <text>
        <r>
          <rPr>
            <sz val="10"/>
            <color rgb="FF000000"/>
            <rFont val="Tahoma"/>
            <family val="2"/>
          </rPr>
          <t xml:space="preserve">The display name appears on plots and other outputs.  It should be in sentence case. </t>
        </r>
        <r>
          <rPr>
            <sz val="10"/>
            <color rgb="FF000000"/>
            <rFont val="Calibri"/>
            <family val="2"/>
            <scheme val="minor"/>
          </rPr>
          <t>For further instructions on how to fill this out, please see cascade.tools/ug-frw-compartments</t>
        </r>
        <r>
          <rPr>
            <sz val="10"/>
            <color rgb="FF000000"/>
            <rFont val="Calibri"/>
            <family val="2"/>
            <scheme val="minor"/>
          </rPr>
          <t xml:space="preserve">
</t>
        </r>
      </text>
    </comment>
    <comment ref="C1" authorId="0" shapeId="0" xr:uid="{50EA1244-E946-434D-A412-9398789E7050}">
      <text>
        <r>
          <rPr>
            <sz val="10"/>
            <color rgb="FF000000"/>
            <rFont val="Tahoma"/>
            <family val="2"/>
          </rPr>
          <t xml:space="preserve">This column is for tagging a compartment as an abstract 'source' state,
</t>
        </r>
        <r>
          <rPr>
            <sz val="10"/>
            <color rgb="FF000000"/>
            <rFont val="Tahoma"/>
            <family val="2"/>
          </rPr>
          <t xml:space="preserve">from which entities can flow into the rest of a network.
</t>
        </r>
        <r>
          <rPr>
            <sz val="10"/>
            <color rgb="FF000000"/>
            <rFont val="Tahoma"/>
            <family val="2"/>
          </rPr>
          <t xml:space="preserve">Compartment inflows are prohibited, compartment size is meaningless
</t>
        </r>
        <r>
          <rPr>
            <sz val="10"/>
            <color rgb="FF000000"/>
            <rFont val="Tahoma"/>
            <family val="2"/>
          </rPr>
          <t xml:space="preserve">and, accordingly, compartment outflows cannot be specified in relative
</t>
        </r>
        <r>
          <rPr>
            <sz val="10"/>
            <color rgb="FF000000"/>
            <rFont val="Tahoma"/>
            <family val="2"/>
          </rPr>
          <t xml:space="preserve">format.
</t>
        </r>
        <r>
          <rPr>
            <sz val="10"/>
            <color rgb="FF000000"/>
            <rFont val="Tahoma"/>
            <family val="2"/>
          </rPr>
          <t xml:space="preserve">This tag should only be enabled for sources of network flows that are
</t>
        </r>
        <r>
          <rPr>
            <sz val="10"/>
            <color rgb="FF000000"/>
            <rFont val="Tahoma"/>
            <family val="2"/>
          </rPr>
          <t xml:space="preserve">not intrinsically bound by size, e.g. births or immigration.
</t>
        </r>
        <r>
          <rPr>
            <sz val="10"/>
            <color rgb="FF000000"/>
            <rFont val="Tahoma"/>
            <family val="2"/>
          </rPr>
          <t xml:space="preserve">Flows from sources can still be dependent on other variables in the
</t>
        </r>
        <r>
          <rPr>
            <sz val="10"/>
            <color rgb="FF000000"/>
            <rFont val="Tahoma"/>
            <family val="2"/>
          </rPr>
          <t xml:space="preserve">cascade, e.g. if births are controlled by parental population size,
</t>
        </r>
        <r>
          <rPr>
            <sz val="10"/>
            <color rgb="FF000000"/>
            <rFont val="Tahoma"/>
            <family val="2"/>
          </rPr>
          <t xml:space="preserve">while migrations between populations are considered transfers,
</t>
        </r>
        <r>
          <rPr>
            <sz val="10"/>
            <color rgb="FF000000"/>
            <rFont val="Tahoma"/>
            <family val="2"/>
          </rPr>
          <t xml:space="preserve">i.e. between sets of compartments, and do not involve source nodes.
</t>
        </r>
        <r>
          <rPr>
            <sz val="10"/>
            <color rgb="FF000000"/>
            <rFont val="Tahoma"/>
            <family val="2"/>
          </rPr>
          <t xml:space="preserve">
</t>
        </r>
        <r>
          <rPr>
            <sz val="10"/>
            <color rgb="FF000000"/>
            <rFont val="Tahoma"/>
            <family val="2"/>
          </rPr>
          <t xml:space="preserve">Note: This tag is only enabled for a compartment by marking the
</t>
        </r>
        <r>
          <rPr>
            <sz val="10"/>
            <color rgb="FF000000"/>
            <rFont val="Tahoma"/>
            <family val="2"/>
          </rPr>
          <t xml:space="preserve">corresponding cell 'y'.
</t>
        </r>
        <r>
          <rPr>
            <sz val="10"/>
            <color rgb="FF000000"/>
            <rFont val="Tahoma"/>
            <family val="2"/>
          </rPr>
          <t xml:space="preserve">Anything else, including keeping the cell blank, disables the tag.
</t>
        </r>
        <r>
          <rPr>
            <sz val="10"/>
            <color rgb="FF000000"/>
            <rFont val="Tahoma"/>
            <family val="2"/>
          </rPr>
          <t xml:space="preserve">
</t>
        </r>
        <r>
          <rPr>
            <sz val="10"/>
            <color rgb="FF000000"/>
            <rFont val="Calibri"/>
            <family val="2"/>
            <scheme val="minor"/>
          </rPr>
          <t>For further instructions on how to fill this out, please see cascade.tools/ug-frw-compartments</t>
        </r>
        <r>
          <rPr>
            <sz val="10"/>
            <color rgb="FF000000"/>
            <rFont val="Calibri"/>
            <family val="2"/>
            <scheme val="minor"/>
          </rPr>
          <t xml:space="preserve">
</t>
        </r>
      </text>
    </comment>
    <comment ref="D1" authorId="0" shapeId="0" xr:uid="{4B1D614A-6995-4BC4-9139-ADC85A780737}">
      <text>
        <r>
          <rPr>
            <sz val="10"/>
            <color rgb="FF000000"/>
            <rFont val="Tahoma"/>
            <family val="2"/>
          </rPr>
          <t xml:space="preserve">This column is for tagging a compartment as an abstract 'sink' state,
</t>
        </r>
        <r>
          <rPr>
            <sz val="10"/>
            <color rgb="FF000000"/>
            <rFont val="Tahoma"/>
            <family val="2"/>
          </rPr>
          <t xml:space="preserve">into which entities can flow from the rest of a network.
</t>
        </r>
        <r>
          <rPr>
            <sz val="10"/>
            <color rgb="FF000000"/>
            <rFont val="Tahoma"/>
            <family val="2"/>
          </rPr>
          <t xml:space="preserve">Compartment outflows are prohibited and compartment size denotes
</t>
        </r>
        <r>
          <rPr>
            <sz val="10"/>
            <color rgb="FF000000"/>
            <rFont val="Tahoma"/>
            <family val="2"/>
          </rPr>
          <t xml:space="preserve">the accumulation of all inflowing entities from the start of
</t>
        </r>
        <r>
          <rPr>
            <sz val="10"/>
            <color rgb="FF000000"/>
            <rFont val="Tahoma"/>
            <family val="2"/>
          </rPr>
          <t xml:space="preserve">simulation, the utility of which the user must judge on their own.
</t>
        </r>
        <r>
          <rPr>
            <sz val="10"/>
            <color rgb="FF000000"/>
            <rFont val="Tahoma"/>
            <family val="2"/>
          </rPr>
          <t xml:space="preserve">This tag should only be enabled for sinks of network flows that mark
</t>
        </r>
        <r>
          <rPr>
            <sz val="10"/>
            <color rgb="FF000000"/>
            <rFont val="Tahoma"/>
            <family val="2"/>
          </rPr>
          <t xml:space="preserve">the exit of entities from further involvement in a cascade, e.g. deaths
</t>
        </r>
        <r>
          <rPr>
            <sz val="10"/>
            <color rgb="FF000000"/>
            <rFont val="Tahoma"/>
            <family val="2"/>
          </rPr>
          <t xml:space="preserve">and emigration.
</t>
        </r>
        <r>
          <rPr>
            <sz val="10"/>
            <color rgb="FF000000"/>
            <rFont val="Tahoma"/>
            <family val="2"/>
          </rPr>
          <t xml:space="preserve">Migrations between populations are considered transfers, i.e. between
</t>
        </r>
        <r>
          <rPr>
            <sz val="10"/>
            <color rgb="FF000000"/>
            <rFont val="Tahoma"/>
            <family val="2"/>
          </rPr>
          <t xml:space="preserve">sets of compartments, and do not involve sink nodes.
</t>
        </r>
        <r>
          <rPr>
            <sz val="10"/>
            <color rgb="FF000000"/>
            <rFont val="Tahoma"/>
            <family val="2"/>
          </rPr>
          <t xml:space="preserve">
</t>
        </r>
        <r>
          <rPr>
            <sz val="10"/>
            <color rgb="FF000000"/>
            <rFont val="Tahoma"/>
            <family val="2"/>
          </rPr>
          <t xml:space="preserve">Note: This tag is only enabled for a compartment by marking the
</t>
        </r>
        <r>
          <rPr>
            <sz val="10"/>
            <color rgb="FF000000"/>
            <rFont val="Tahoma"/>
            <family val="2"/>
          </rPr>
          <t xml:space="preserve">corresponding cell 'y'.
</t>
        </r>
        <r>
          <rPr>
            <sz val="10"/>
            <color rgb="FF000000"/>
            <rFont val="Tahoma"/>
            <family val="2"/>
          </rPr>
          <t xml:space="preserve">Anything else, including keeping the cell blank, disables the tag.
</t>
        </r>
        <r>
          <rPr>
            <sz val="10"/>
            <color rgb="FF000000"/>
            <rFont val="Tahoma"/>
            <family val="2"/>
          </rPr>
          <t xml:space="preserve">
</t>
        </r>
        <r>
          <rPr>
            <sz val="10"/>
            <color rgb="FF000000"/>
            <rFont val="Calibri"/>
            <family val="2"/>
            <scheme val="minor"/>
          </rPr>
          <t>For further instructions on how to fill this out, please see cascade.tools/ug-frw-compartments</t>
        </r>
        <r>
          <rPr>
            <sz val="10"/>
            <color rgb="FF000000"/>
            <rFont val="Calibri"/>
            <family val="2"/>
            <scheme val="minor"/>
          </rPr>
          <t xml:space="preserve">
</t>
        </r>
      </text>
    </comment>
    <comment ref="E1" authorId="0" shapeId="0" xr:uid="{DB56E746-A899-4F16-8FAE-6600FA84B075}">
      <text>
        <r>
          <rPr>
            <sz val="10"/>
            <color rgb="FF000000"/>
            <rFont val="Tahoma"/>
            <family val="2"/>
          </rPr>
          <t xml:space="preserve">This column is for tagging a compartment as an abstract 'junction'
</t>
        </r>
        <r>
          <rPr>
            <sz val="10"/>
            <color rgb="FF000000"/>
            <rFont val="Tahoma"/>
            <family val="2"/>
          </rPr>
          <t xml:space="preserve">state, commonly used to control the aggregation and disaggregation of
</t>
        </r>
        <r>
          <rPr>
            <sz val="10"/>
            <color rgb="FF000000"/>
            <rFont val="Tahoma"/>
            <family val="2"/>
          </rPr>
          <t xml:space="preserve">network flows.
</t>
        </r>
        <r>
          <rPr>
            <sz val="10"/>
            <color rgb="FF000000"/>
            <rFont val="Tahoma"/>
            <family val="2"/>
          </rPr>
          <t xml:space="preserve">These special nodes are designed to empty out their contents
</t>
        </r>
        <r>
          <rPr>
            <sz val="10"/>
            <color rgb="FF000000"/>
            <rFont val="Tahoma"/>
            <family val="2"/>
          </rPr>
          <t xml:space="preserve">immediately after collecting inflow, meaning that they will never
</t>
        </r>
        <r>
          <rPr>
            <sz val="10"/>
            <color rgb="FF000000"/>
            <rFont val="Tahoma"/>
            <family val="2"/>
          </rPr>
          <t xml:space="preserve">accumulate any entities at any point in time.
</t>
        </r>
        <r>
          <rPr>
            <sz val="10"/>
            <color rgb="FF000000"/>
            <rFont val="Tahoma"/>
            <family val="2"/>
          </rPr>
          <t xml:space="preserve">Accordingly, compartment size is always zero and there must always be
</t>
        </r>
        <r>
          <rPr>
            <sz val="10"/>
            <color rgb="FF000000"/>
            <rFont val="Tahoma"/>
            <family val="2"/>
          </rPr>
          <t xml:space="preserve">at least one compartment outflow, each of which must be specified in
</t>
        </r>
        <r>
          <rPr>
            <sz val="10"/>
            <color rgb="FF000000"/>
            <rFont val="Tahoma"/>
            <family val="2"/>
          </rPr>
          <t xml:space="preserve">weighted format.
</t>
        </r>
        <r>
          <rPr>
            <sz val="10"/>
            <color rgb="FF000000"/>
            <rFont val="Tahoma"/>
            <family val="2"/>
          </rPr>
          <t xml:space="preserve">Inflowing entities will be flushed out to connected states in
</t>
        </r>
        <r>
          <rPr>
            <sz val="10"/>
            <color rgb="FF000000"/>
            <rFont val="Tahoma"/>
            <family val="2"/>
          </rPr>
          <t xml:space="preserve">proportion with the weights of the outflowing transitions.
</t>
        </r>
        <r>
          <rPr>
            <sz val="10"/>
            <color rgb="FF000000"/>
            <rFont val="Tahoma"/>
            <family val="2"/>
          </rPr>
          <t xml:space="preserve">Models using junctions must be well designed, as a recursion limit will
</t>
        </r>
        <r>
          <rPr>
            <sz val="10"/>
            <color rgb="FF000000"/>
            <rFont val="Tahoma"/>
            <family val="2"/>
          </rPr>
          <t xml:space="preserve">break networks involving endless cycles during simulation runtime.
</t>
        </r>
        <r>
          <rPr>
            <sz val="10"/>
            <color rgb="FF000000"/>
            <rFont val="Tahoma"/>
            <family val="2"/>
          </rPr>
          <t xml:space="preserve">
</t>
        </r>
        <r>
          <rPr>
            <sz val="10"/>
            <color rgb="FF000000"/>
            <rFont val="Tahoma"/>
            <family val="2"/>
          </rPr>
          <t xml:space="preserve">Note: This tag is only enabled for a compartment by marking the
</t>
        </r>
        <r>
          <rPr>
            <sz val="10"/>
            <color rgb="FF000000"/>
            <rFont val="Tahoma"/>
            <family val="2"/>
          </rPr>
          <t xml:space="preserve">corresponding cell 'y'.
</t>
        </r>
        <r>
          <rPr>
            <sz val="10"/>
            <color rgb="FF000000"/>
            <rFont val="Tahoma"/>
            <family val="2"/>
          </rPr>
          <t xml:space="preserve">Anything else, including keeping the cell blank, disables the tag.
</t>
        </r>
        <r>
          <rPr>
            <sz val="10"/>
            <color rgb="FF000000"/>
            <rFont val="Tahoma"/>
            <family val="2"/>
          </rPr>
          <t xml:space="preserve">
</t>
        </r>
        <r>
          <rPr>
            <sz val="10"/>
            <color rgb="FF000000"/>
            <rFont val="Calibri"/>
            <family val="2"/>
            <scheme val="minor"/>
          </rPr>
          <t>For further instructions on how to fill this out, please see cascade.tools/ug-frw-compartments</t>
        </r>
        <r>
          <rPr>
            <sz val="10"/>
            <color rgb="FF000000"/>
            <rFont val="Calibri"/>
            <family val="2"/>
            <scheme val="minor"/>
          </rPr>
          <t xml:space="preserve">
</t>
        </r>
      </text>
    </comment>
    <comment ref="F1" authorId="0" shapeId="0" xr:uid="{B4B78201-E703-45F2-B8E3-C4BE043769F5}">
      <text>
        <r>
          <rPr>
            <sz val="10"/>
            <color rgb="FF000000"/>
            <rFont val="Tahoma"/>
            <family val="2"/>
          </rPr>
          <t xml:space="preserve">This column determines how important user-provided values for this
</t>
        </r>
        <r>
          <rPr>
            <sz val="10"/>
            <color rgb="FF000000"/>
            <rFont val="Tahoma"/>
            <family val="2"/>
          </rPr>
          <t xml:space="preserve">compartment are to setting up the initial state of a model.
</t>
        </r>
        <r>
          <rPr>
            <sz val="10"/>
            <color rgb="FF000000"/>
            <rFont val="Tahoma"/>
            <family val="2"/>
          </rPr>
          <t xml:space="preserve">In general, the column value should be '1' if model construction
</t>
        </r>
        <r>
          <rPr>
            <sz val="10"/>
            <color rgb="FF000000"/>
            <rFont val="Tahoma"/>
            <family val="2"/>
          </rPr>
          <t xml:space="preserve">directly depends on what the user provides for compartment size.
</t>
        </r>
        <r>
          <rPr>
            <sz val="10"/>
            <color rgb="FF000000"/>
            <rFont val="Tahoma"/>
            <family val="2"/>
          </rPr>
          <t xml:space="preserve">It should be '0' if supplied values are only for calibration or
</t>
        </r>
        <r>
          <rPr>
            <sz val="10"/>
            <color rgb="FF000000"/>
            <rFont val="Tahoma"/>
            <family val="2"/>
          </rPr>
          <t xml:space="preserve">note-keeping purposes.
</t>
        </r>
        <r>
          <rPr>
            <sz val="10"/>
            <color rgb="FF000000"/>
            <rFont val="Tahoma"/>
            <family val="2"/>
          </rPr>
          <t xml:space="preserve">In this latter case, the linear-algebra method of setting up
</t>
        </r>
        <r>
          <rPr>
            <sz val="10"/>
            <color rgb="FF000000"/>
            <rFont val="Tahoma"/>
            <family val="2"/>
          </rPr>
          <t xml:space="preserve">compartment sizes may complain about an 'under-determined' system
</t>
        </r>
        <r>
          <rPr>
            <sz val="10"/>
            <color rgb="FF000000"/>
            <rFont val="Tahoma"/>
            <family val="2"/>
          </rPr>
          <t xml:space="preserve">during a model run.
</t>
        </r>
        <r>
          <rPr>
            <sz val="10"/>
            <color rgb="FF000000"/>
            <rFont val="Tahoma"/>
            <family val="2"/>
          </rPr>
          <t xml:space="preserve">To avoid this, every zero-weighted compartment should be matched
</t>
        </r>
        <r>
          <rPr>
            <sz val="10"/>
            <color rgb="FF000000"/>
            <rFont val="Tahoma"/>
            <family val="2"/>
          </rPr>
          <t xml:space="preserve">by a 'characteristic' defined in a later spreadsheet that includes
</t>
        </r>
        <r>
          <rPr>
            <sz val="10"/>
            <color rgb="FF000000"/>
            <rFont val="Tahoma"/>
            <family val="2"/>
          </rPr>
          <t xml:space="preserve">this compartment and is not weighted zero for setup weight.
</t>
        </r>
        <r>
          <rPr>
            <sz val="10"/>
            <color rgb="FF000000"/>
            <rFont val="Tahoma"/>
            <family val="2"/>
          </rPr>
          <t xml:space="preserve">
</t>
        </r>
        <r>
          <rPr>
            <sz val="10"/>
            <color rgb="FF000000"/>
            <rFont val="Tahoma"/>
            <family val="2"/>
          </rPr>
          <t xml:space="preserve">Note: Default value, i.e. a blank cell, is '1'.
</t>
        </r>
        <r>
          <rPr>
            <sz val="10"/>
            <color rgb="FF000000"/>
            <rFont val="Tahoma"/>
            <family val="2"/>
          </rPr>
          <t xml:space="preserve">Framework file parsing should also warn the user about a compartment
</t>
        </r>
        <r>
          <rPr>
            <sz val="10"/>
            <color rgb="FF000000"/>
            <rFont val="Tahoma"/>
            <family val="2"/>
          </rPr>
          <t xml:space="preserve">with nonzero setup weight that is suppressed in the databook, i.e.
</t>
        </r>
        <r>
          <rPr>
            <sz val="10"/>
            <color rgb="FF000000"/>
            <rFont val="Tahoma"/>
            <family val="2"/>
          </rPr>
          <t xml:space="preserve">has a databook order of '-1'.
</t>
        </r>
        <r>
          <rPr>
            <sz val="10"/>
            <color rgb="FF000000"/>
            <rFont val="Tahoma"/>
            <family val="2"/>
          </rPr>
          <t xml:space="preserve">
</t>
        </r>
        <r>
          <rPr>
            <sz val="10"/>
            <color rgb="FF000000"/>
            <rFont val="Calibri"/>
            <family val="2"/>
            <scheme val="minor"/>
          </rPr>
          <t>For further instructions on how to fill this out, please see cascade.tools/ug-frw-compartments</t>
        </r>
        <r>
          <rPr>
            <sz val="10"/>
            <color rgb="FF000000"/>
            <rFont val="Calibri"/>
            <family val="2"/>
            <scheme val="minor"/>
          </rPr>
          <t xml:space="preserve">
</t>
        </r>
      </text>
    </comment>
    <comment ref="G1" authorId="0" shapeId="0" xr:uid="{3F46A7DA-FE24-4E1C-9D15-BD3B9B2F2AA3}">
      <text>
        <r>
          <rPr>
            <sz val="10"/>
            <color rgb="FF000000"/>
            <rFont val="Tahoma"/>
            <family val="2"/>
          </rPr>
          <t xml:space="preserve">This column marks whether compartment size data can be rescaled
</t>
        </r>
        <r>
          <rPr>
            <sz val="10"/>
            <color rgb="FF000000"/>
            <rFont val="Tahoma"/>
            <family val="2"/>
          </rPr>
          <t xml:space="preserve">during model calibration processes. To enable calibration, enter a label in this column. If no value is entered, the item will not appear for calibration. If this column is not present, it will be automatically populated if the compartment appears on a databook page
</t>
        </r>
        <r>
          <rPr>
            <sz val="10"/>
            <color rgb="FF000000"/>
            <rFont val="Tahoma"/>
            <family val="2"/>
          </rPr>
          <t xml:space="preserve">
</t>
        </r>
        <r>
          <rPr>
            <sz val="10"/>
            <color rgb="FF000000"/>
            <rFont val="Calibri"/>
            <family val="2"/>
            <scheme val="minor"/>
          </rPr>
          <t>For further instructions on how to fill this out, please see cascade.tools/ug-frw-compartments</t>
        </r>
        <r>
          <rPr>
            <sz val="10"/>
            <color rgb="FF000000"/>
            <rFont val="Calibri"/>
            <family val="2"/>
            <scheme val="minor"/>
          </rPr>
          <t xml:space="preserve">
</t>
        </r>
      </text>
    </comment>
    <comment ref="H1" authorId="0" shapeId="0" xr:uid="{69690E77-E19A-4C62-A1A8-7A79BC1C6D8C}">
      <text>
        <r>
          <rPr>
            <sz val="10"/>
            <color rgb="FF000000"/>
            <rFont val="Calibri"/>
            <family val="2"/>
          </rPr>
          <t>For further instructions on how to fill this out, please see cascade.tools/ug-frw-compartments</t>
        </r>
        <r>
          <rPr>
            <sz val="8"/>
            <color rgb="FF000000"/>
            <rFont val="Calibri"/>
            <family val="2"/>
          </rPr>
          <t xml:space="preserve">
</t>
        </r>
        <r>
          <rPr>
            <sz val="8"/>
            <color rgb="FF000000"/>
            <rFont val="Tahoma"/>
            <family val="2"/>
          </rPr>
          <t xml:space="preserve">
</t>
        </r>
        <r>
          <rPr>
            <sz val="10"/>
            <color rgb="FF000000"/>
            <rFont val="Tahoma"/>
            <family val="2"/>
          </rPr>
          <t xml:space="preserve">This column optionally marks whether a data-input section should
</t>
        </r>
        <r>
          <rPr>
            <sz val="10"/>
            <color rgb="FF000000"/>
            <rFont val="Tahoma"/>
            <family val="2"/>
          </rPr>
          <t xml:space="preserve">appear for this compartment in a custom databook sheet, if allowed
</t>
        </r>
        <r>
          <rPr>
            <sz val="10"/>
            <color rgb="FF000000"/>
            <rFont val="Tahoma"/>
            <family val="2"/>
          </rPr>
          <t xml:space="preserve">to appear at all according to 'databook order'.
</t>
        </r>
        <r>
          <rPr>
            <sz val="10"/>
            <color rgb="FF000000"/>
            <rFont val="Tahoma"/>
            <family val="2"/>
          </rPr>
          <t xml:space="preserve">Each value should be a code name for a desired page defined in
</t>
        </r>
        <r>
          <rPr>
            <sz val="10"/>
            <color rgb="FF000000"/>
            <rFont val="Tahoma"/>
            <family val="2"/>
          </rPr>
          <t xml:space="preserve">the 'custom databook pages' worksheet page.
</t>
        </r>
        <r>
          <rPr>
            <sz val="10"/>
            <color rgb="FF000000"/>
            <rFont val="Tahoma"/>
            <family val="2"/>
          </rPr>
          <t xml:space="preserve">If a cell is left empty, the enabled data-input section should appear
</t>
        </r>
        <r>
          <rPr>
            <sz val="10"/>
            <color rgb="FF000000"/>
            <rFont val="Tahoma"/>
            <family val="2"/>
          </rPr>
          <t>in a default databook page dedicated to state variables.</t>
        </r>
      </text>
    </comment>
    <comment ref="I1" authorId="0" shapeId="0" xr:uid="{4DCCC305-48A8-4F07-8F0E-014ED2BF36F9}">
      <text>
        <r>
          <rPr>
            <sz val="10"/>
            <color rgb="FF000000"/>
            <rFont val="Tahoma"/>
            <family val="2"/>
          </rPr>
          <t xml:space="preserve">This column currently denotes whether a databook should request
</t>
        </r>
        <r>
          <rPr>
            <sz val="10"/>
            <color rgb="FF000000"/>
            <rFont val="Tahoma"/>
            <family val="2"/>
          </rPr>
          <t xml:space="preserve">values from the user for the historical size of this compartment.
</t>
        </r>
        <r>
          <rPr>
            <sz val="10"/>
            <color rgb="FF000000"/>
            <rFont val="Tahoma"/>
            <family val="2"/>
          </rPr>
          <t xml:space="preserve">A value of '-1' suppresses it from appearing in the databook.
</t>
        </r>
        <r>
          <rPr>
            <sz val="10"/>
            <color rgb="FF000000"/>
            <rFont val="Tahoma"/>
            <family val="2"/>
          </rPr>
          <t xml:space="preserve">
</t>
        </r>
        <r>
          <rPr>
            <sz val="10"/>
            <color rgb="FF000000"/>
            <rFont val="Calibri"/>
            <family val="2"/>
            <scheme val="minor"/>
          </rPr>
          <t>For further instructions on how to fill this out, please see cascade.tools/ug-frw-compartments</t>
        </r>
      </text>
    </comment>
    <comment ref="J1" authorId="1" shapeId="0" xr:uid="{DC11A7F4-D37B-4E6C-A328-CF93337111F1}">
      <text>
        <r>
          <rPr>
            <sz val="9"/>
            <color indexed="81"/>
            <rFont val="Tahoma"/>
            <family val="2"/>
          </rPr>
          <t>Text entered here will appear as a comment in the title row of data entry tables in the databook</t>
        </r>
      </text>
    </comment>
    <comment ref="K1" authorId="1" shapeId="0" xr:uid="{2251638F-94C3-4F08-AC30-DD8D855E93D0}">
      <text>
        <r>
          <rPr>
            <sz val="9"/>
            <color rgb="FF000000"/>
            <rFont val="Tahoma"/>
            <family val="2"/>
          </rPr>
          <t>Assign quantity to a population type. This column must match a population type listed on the 'Population types' sheet. If left empty, the first population type listed will be used</t>
        </r>
      </text>
    </comment>
    <comment ref="L1" authorId="2" shapeId="0" xr:uid="{9E6B3C79-2646-3D48-8BB7-240A3AF02207}">
      <text>
        <r>
          <rPr>
            <sz val="10"/>
            <color rgb="FF000000"/>
            <rFont val="Tahoma"/>
            <family val="2"/>
          </rPr>
          <t>If supplied, this value will pre-populate any new databooks</t>
        </r>
      </text>
    </comment>
    <comment ref="M1" authorId="2" shapeId="0" xr:uid="{693850E7-DA22-0B46-9D3A-BB09E95D4E97}">
      <text>
        <r>
          <rPr>
            <sz val="10"/>
            <color rgb="FF000000"/>
            <rFont val="Tahoma"/>
            <family val="2"/>
          </rPr>
          <t>If a default value is provided, this column will pre-populate the 'Provenance' field in the databook to record the source for the default value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Romesh</author>
  </authors>
  <commentList>
    <comment ref="A1" authorId="0" shapeId="0" xr:uid="{30BE7B3B-8600-4B7D-BACD-39889A358194}">
      <text>
        <r>
          <rPr>
            <sz val="10"/>
            <color rgb="FF000000"/>
            <rFont val="Tahoma"/>
            <family val="2"/>
          </rPr>
          <t xml:space="preserve">The transition matrix specifies which parameters govern transitions between compartments. Entries in this matrix should correspond to parameter Code Names (cells will be red if the parameter name cannot be found on the Parameters sheet).
If defining multiple cascades, the top left cell should contain the name of a population type. Leave an empty row, and then define a new transition matrix below. See the combined framework library example for guidance.
</t>
        </r>
        <r>
          <rPr>
            <sz val="10"/>
            <color rgb="FF000000"/>
            <rFont val="Calibri"/>
            <family val="2"/>
          </rPr>
          <t xml:space="preserve">For further instructions on how to fill this out, please see cascade.tools/ug-frw-transitions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Romesh</author>
    <author>Romesh Abeysuriya</author>
  </authors>
  <commentList>
    <comment ref="A1" authorId="0" shapeId="0" xr:uid="{E2FBD3E0-0A11-1C4B-B047-ED175ED137D6}">
      <text>
        <r>
          <rPr>
            <sz val="10"/>
            <color rgb="FF000000"/>
            <rFont val="Tahoma"/>
            <family val="2"/>
          </rPr>
          <t xml:space="preserve">The code name should be in lower case without spaces.
</t>
        </r>
        <r>
          <rPr>
            <sz val="10"/>
            <color rgb="FF000000"/>
            <rFont val="Tahoma"/>
            <family val="2"/>
          </rPr>
          <t xml:space="preserve">
</t>
        </r>
        <r>
          <rPr>
            <sz val="10"/>
            <color rgb="FF000000"/>
            <rFont val="Calibri"/>
            <family val="2"/>
          </rPr>
          <t xml:space="preserve">For further instructions on how to fill this out, please see cascade.tools/ug-frw-parameters
</t>
        </r>
      </text>
    </comment>
    <comment ref="B1" authorId="0" shapeId="0" xr:uid="{98F43FDC-B8F2-624A-A3D7-83BC76723056}">
      <text>
        <r>
          <rPr>
            <sz val="10"/>
            <color rgb="FF000000"/>
            <rFont val="Tahoma"/>
            <family val="2"/>
          </rPr>
          <t xml:space="preserve">The display name will appear in plots and other outputs. It should be in sentence case.
</t>
        </r>
        <r>
          <rPr>
            <sz val="10"/>
            <color rgb="FF000000"/>
            <rFont val="Calibri"/>
            <family val="2"/>
          </rPr>
          <t>For further instructions on how to fill this out, please see cascade.tools/ug-frw-paramters</t>
        </r>
      </text>
    </comment>
    <comment ref="C1" authorId="0" shapeId="0" xr:uid="{EF5E3AFE-CA03-46C5-8AFC-2AC6046E3E09}">
      <text>
        <r>
          <rPr>
            <sz val="10"/>
            <color rgb="FF000000"/>
            <rFont val="Tahoma"/>
            <family val="2"/>
          </rPr>
          <t xml:space="preserve">This column defines a 'format' attribute for a 'par' item.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text>
    </comment>
    <comment ref="D1" authorId="1" shapeId="0" xr:uid="{A300C74D-F272-4D9A-8D8B-F358A29F1078}">
      <text>
        <r>
          <rPr>
            <sz val="9"/>
            <color indexed="81"/>
            <rFont val="Tahoma"/>
            <family val="2"/>
          </rPr>
          <t xml:space="preserve">This column defines the timescale for transition parameters. A value can be set here if the number or probability associated with the parameter is not on an annual basis. Values should be entered in this column in units of years. For example, a parameter for a daily probability would have the timescale set to '=1/365'
For further instructions on how to fill this out, please see cascade.tools/ug-frw-parameters 
</t>
        </r>
      </text>
    </comment>
    <comment ref="E1" authorId="0" shapeId="0" xr:uid="{FCE4BAB8-A6E9-4C37-855F-51EEAFF610F3}">
      <text>
        <r>
          <rPr>
            <sz val="10"/>
            <color rgb="FF000000"/>
            <rFont val="Tahoma"/>
            <family val="2"/>
          </rPr>
          <t xml:space="preserve">This column defines a 'default_value' attribute for a 'par' item.
</t>
        </r>
        <r>
          <rPr>
            <sz val="10"/>
            <color rgb="FF000000"/>
            <rFont val="Calibri"/>
            <family val="2"/>
          </rPr>
          <t xml:space="preserve">For further instructions on how to fill this out, please see cascade.tools/ug-frw-parameters 
</t>
        </r>
      </text>
    </comment>
    <comment ref="F1" authorId="0" shapeId="0" xr:uid="{F7DF6DA5-307D-42BB-80B5-CEE9AB8ED752}">
      <text>
        <r>
          <rPr>
            <sz val="10"/>
            <color rgb="FF000000"/>
            <rFont val="Tahoma"/>
            <family val="2"/>
          </rPr>
          <t xml:space="preserve">This column defines a 'min' attribute for a 'par' item.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r>
          <rPr>
            <sz val="10"/>
            <color rgb="FF000000"/>
            <rFont val="Calibri"/>
            <family val="2"/>
            <scheme val="minor"/>
          </rPr>
          <t xml:space="preserve">
</t>
        </r>
      </text>
    </comment>
    <comment ref="G1" authorId="0" shapeId="0" xr:uid="{4C3AB2C0-9D0C-4C0E-9CF0-D571224FE5BD}">
      <text>
        <r>
          <rPr>
            <sz val="10"/>
            <color rgb="FF000000"/>
            <rFont val="Tahoma"/>
            <family val="2"/>
          </rPr>
          <t xml:space="preserve">This column defines a 'max' attribute for a 'par' item.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r>
          <rPr>
            <sz val="10"/>
            <color rgb="FF000000"/>
            <rFont val="Calibri"/>
            <family val="2"/>
            <scheme val="minor"/>
          </rPr>
          <t xml:space="preserve">
</t>
        </r>
      </text>
    </comment>
    <comment ref="H1" authorId="0" shapeId="0" xr:uid="{98B9E77F-8634-4220-9AE2-2EB54A125949}">
      <text>
        <r>
          <rPr>
            <sz val="10"/>
            <color rgb="FF000000"/>
            <rFont val="Tahoma"/>
            <family val="2"/>
          </rPr>
          <t xml:space="preserve">This column defines a 'func' attribute for a 'par' item.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r>
          <rPr>
            <sz val="10"/>
            <color rgb="FF000000"/>
            <rFont val="Calibri"/>
            <family val="2"/>
            <scheme val="minor"/>
          </rPr>
          <t xml:space="preserve">
</t>
        </r>
      </text>
    </comment>
    <comment ref="I1" authorId="0" shapeId="0" xr:uid="{974FC231-C2BA-4000-88CD-AB6CE23C45D0}">
      <text>
        <r>
          <rPr>
            <sz val="10"/>
            <color rgb="FF000000"/>
            <rFont val="Tahoma"/>
            <family val="2"/>
          </rPr>
          <t xml:space="preserve">If set to 'y', the parameter can be targeted by programs, and it will appear in the program book for any projects using this framework
</t>
        </r>
        <r>
          <rPr>
            <sz val="10"/>
            <color rgb="FF000000"/>
            <rFont val="Tahoma"/>
            <family val="2"/>
          </rPr>
          <t xml:space="preserve">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r>
          <rPr>
            <sz val="10"/>
            <color rgb="FF000000"/>
            <rFont val="Calibri"/>
            <family val="2"/>
            <scheme val="minor"/>
          </rPr>
          <t xml:space="preserve">
</t>
        </r>
      </text>
    </comment>
    <comment ref="J1" authorId="0" shapeId="0" xr:uid="{2081E04D-F569-4CB4-A2D6-429C64002467}">
      <text>
        <r>
          <rPr>
            <sz val="10"/>
            <color rgb="FF000000"/>
            <rFont val="Tahoma"/>
            <family val="2"/>
          </rPr>
          <t xml:space="preserve">This column marks whether compartment size data can be rescaled during model calibration processes. To enable calibration, enter a label in this column. If no value is entered, the item will not appear for calibration. If this column is not present, it will be automatically populated if the parameter is targetable
</t>
        </r>
        <r>
          <rPr>
            <sz val="10"/>
            <color rgb="FF000000"/>
            <rFont val="Tahoma"/>
            <family val="2"/>
          </rPr>
          <t xml:space="preserve">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r>
          <rPr>
            <sz val="10"/>
            <color rgb="FF000000"/>
            <rFont val="Calibri"/>
            <family val="2"/>
            <scheme val="minor"/>
          </rPr>
          <t xml:space="preserve">
</t>
        </r>
      </text>
    </comment>
    <comment ref="K1" authorId="0" shapeId="0" xr:uid="{9AB3D83C-D0BC-4583-B5B1-006FE7C2562F}">
      <text>
        <r>
          <rPr>
            <sz val="10"/>
            <color rgb="FF000000"/>
            <rFont val="Tahoma"/>
            <family val="2"/>
          </rPr>
          <t xml:space="preserve">This column optionally marks whether a data-input section should appear for this parameter in a custom databook sheet, if allowed to appear at all according to 'databook order'.
</t>
        </r>
        <r>
          <rPr>
            <sz val="10"/>
            <color rgb="FF000000"/>
            <rFont val="Tahoma"/>
            <family val="2"/>
          </rPr>
          <t xml:space="preserve">
</t>
        </r>
        <r>
          <rPr>
            <sz val="10"/>
            <color rgb="FF000000"/>
            <rFont val="Tahoma"/>
            <family val="2"/>
          </rPr>
          <t xml:space="preserve">Each value should be a code name for a desired page defined in the 'custom databook pages' worksheet page. If a cell is left empty, the enabled data-input section should appear in a default databook page dedicated to parameters.
</t>
        </r>
        <r>
          <rPr>
            <sz val="10"/>
            <color rgb="FF000000"/>
            <rFont val="Tahoma"/>
            <family val="2"/>
          </rPr>
          <t xml:space="preserve">
</t>
        </r>
        <r>
          <rPr>
            <sz val="10"/>
            <color rgb="FF000000"/>
            <rFont val="Calibri"/>
            <family val="2"/>
          </rPr>
          <t xml:space="preserve">For further instructions on how to fill this out, please see cascade.tools/ug-frw-parameters 
</t>
        </r>
      </text>
    </comment>
    <comment ref="L1" authorId="0" shapeId="0" xr:uid="{F4694702-1A69-4233-A84B-A75E88284228}">
      <text>
        <r>
          <rPr>
            <sz val="10"/>
            <color rgb="FF000000"/>
            <rFont val="Tahoma"/>
            <family val="2"/>
          </rPr>
          <t xml:space="preserve">This column currently denotes whether a databook should request
</t>
        </r>
        <r>
          <rPr>
            <sz val="10"/>
            <color rgb="FF000000"/>
            <rFont val="Tahoma"/>
            <family val="2"/>
          </rPr>
          <t xml:space="preserve">historical values from the user for this parameter.
</t>
        </r>
        <r>
          <rPr>
            <sz val="10"/>
            <color rgb="FF000000"/>
            <rFont val="Tahoma"/>
            <family val="2"/>
          </rPr>
          <t xml:space="preserve">A value of '-1' suppresses it from appearing in the databook.
</t>
        </r>
        <r>
          <rPr>
            <sz val="10"/>
            <color rgb="FF000000"/>
            <rFont val="Tahoma"/>
            <family val="2"/>
          </rPr>
          <t xml:space="preserve">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r>
          <rPr>
            <sz val="10"/>
            <color rgb="FF000000"/>
            <rFont val="Calibri"/>
            <family val="2"/>
            <scheme val="minor"/>
          </rPr>
          <t xml:space="preserve">
</t>
        </r>
      </text>
    </comment>
    <comment ref="M1" authorId="1" shapeId="0" xr:uid="{334442D1-1566-452B-87A7-78190747C88B}">
      <text>
        <r>
          <rPr>
            <sz val="9"/>
            <color indexed="81"/>
            <rFont val="Tahoma"/>
            <family val="2"/>
          </rPr>
          <t>Text entered here will appear as a comment in the title row of data entry tables in the databook</t>
        </r>
      </text>
    </comment>
    <comment ref="N1" authorId="1" shapeId="0" xr:uid="{5A40974B-8263-4A1B-86CF-7F6950F59981}">
      <text>
        <r>
          <rPr>
            <sz val="9"/>
            <color indexed="81"/>
            <rFont val="Tahoma"/>
            <family val="2"/>
          </rPr>
          <t>Assign quantity to a population type. This column must match a population type listed on the 'Population types' sheet. If left empty, the first population type listed will be used</t>
        </r>
      </text>
    </comment>
    <comment ref="O1" authorId="0" shapeId="0" xr:uid="{313E745F-67D8-4CE4-B4E8-2FEEBB5B4A9E}">
      <text>
        <r>
          <rPr>
            <sz val="10"/>
            <color rgb="FF000000"/>
            <rFont val="Tahoma"/>
            <family val="2"/>
          </rPr>
          <t xml:space="preserve">If set to 'y', the parameter will serve as a time-limited transition that moves all people from a compartment once they have been in the compartment for the specified duration. These parameters cannot vary over time, are not targetable, and cannot be derivatives </t>
        </r>
        <r>
          <rPr>
            <sz val="10"/>
            <color rgb="FF000000"/>
            <rFont val="Calibri"/>
            <family val="2"/>
            <scheme val="minor"/>
          </rPr>
          <t xml:space="preserve">
</t>
        </r>
      </text>
    </comment>
    <comment ref="P1" authorId="0" shapeId="0" xr:uid="{7CD0FEB9-3AFA-45D0-BB50-215863F77842}">
      <text>
        <r>
          <rPr>
            <sz val="10"/>
            <color rgb="FF000000"/>
            <rFont val="Tahoma"/>
            <family val="2"/>
          </rPr>
          <t xml:space="preserve">If set to 'y', the parameter function will be used as the derivative of the parameter. A derivative parameter must have a function and must appear in the databook. The databook value corresponds to the initial conditions. </t>
        </r>
      </text>
    </comment>
    <comment ref="Q1" authorId="2" shapeId="0" xr:uid="{33D055D4-AF34-FC43-932F-BD2258ED8C1B}">
      <text>
        <r>
          <rPr>
            <sz val="10"/>
            <color rgb="FF000000"/>
            <rFont val="Tahoma"/>
            <family val="2"/>
          </rPr>
          <t>If a default value is provided, this column will pre-populate the 'Provenance' field in the databook to record the source for the default value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Romesh</author>
    <author>Romesh Abeysuriya</author>
  </authors>
  <commentList>
    <comment ref="A1" authorId="0" shapeId="0" xr:uid="{A81A74DD-AC0E-4B65-846B-CB2954186FEC}">
      <text>
        <r>
          <rPr>
            <sz val="10"/>
            <color rgb="FF000000"/>
            <rFont val="Tahoma"/>
            <family val="2"/>
          </rPr>
          <t xml:space="preserve">The code name should be in lower case without spaces.
</t>
        </r>
        <r>
          <rPr>
            <sz val="10"/>
            <color rgb="FF000000"/>
            <rFont val="Tahoma"/>
            <family val="2"/>
          </rPr>
          <t xml:space="preserve">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B1" authorId="0" shapeId="0" xr:uid="{57EA8209-4B86-41FB-BF49-4A6D4754AB5F}">
      <text>
        <r>
          <rPr>
            <sz val="10"/>
            <color rgb="FF000000"/>
            <rFont val="Tahoma"/>
            <family val="2"/>
          </rPr>
          <t xml:space="preserve">The display name will appear in plots and other outputs. It should be in sentence case.
</t>
        </r>
        <r>
          <rPr>
            <sz val="10"/>
            <color rgb="FF000000"/>
            <rFont val="Calibri"/>
            <family val="2"/>
            <scheme val="minor"/>
          </rPr>
          <t>For further instructions on how to fill this out, please see cascade.tools/ug-frw-characteristics</t>
        </r>
      </text>
    </comment>
    <comment ref="C1" authorId="0" shapeId="0" xr:uid="{6201EA2B-5CE9-45D3-ABC5-5BC441C9B026}">
      <text>
        <r>
          <rPr>
            <sz val="10"/>
            <color rgb="FF000000"/>
            <rFont val="Tahoma"/>
            <family val="2"/>
          </rPr>
          <t xml:space="preserve">This column is for the 'components' of a cascade characteristic.
</t>
        </r>
        <r>
          <rPr>
            <sz val="10"/>
            <color rgb="FF000000"/>
            <rFont val="Tahoma"/>
            <family val="2"/>
          </rPr>
          <t xml:space="preserve">
</t>
        </r>
        <r>
          <rPr>
            <sz val="10"/>
            <color rgb="FF000000"/>
            <rFont val="Tahoma"/>
            <family val="2"/>
          </rPr>
          <t xml:space="preserve">A component is either a compartment or a characteristic that has
</t>
        </r>
        <r>
          <rPr>
            <sz val="10"/>
            <color rgb="FF000000"/>
            <rFont val="Tahoma"/>
            <family val="2"/>
          </rPr>
          <t xml:space="preserve">been previously defined, i.e. in a previous row, and should be
</t>
        </r>
        <r>
          <rPr>
            <sz val="10"/>
            <color rgb="FF000000"/>
            <rFont val="Tahoma"/>
            <family val="2"/>
          </rPr>
          <t xml:space="preserve">listed in this (and appropriate subsequent columns) by 'Code Name'.
</t>
        </r>
        <r>
          <rPr>
            <sz val="10"/>
            <color rgb="FF000000"/>
            <rFont val="Tahoma"/>
            <family val="2"/>
          </rPr>
          <t xml:space="preserve">For example, characteristic 'infected' may include 'dis_stage_1',
</t>
        </r>
        <r>
          <rPr>
            <sz val="10"/>
            <color rgb="FF000000"/>
            <rFont val="Tahoma"/>
            <family val="2"/>
          </rPr>
          <t xml:space="preserve">'dis_stage_2' and 'dis_advanced', where 'dis_advanced' is another
</t>
        </r>
        <r>
          <rPr>
            <sz val="10"/>
            <color rgb="FF000000"/>
            <rFont val="Tahoma"/>
            <family val="2"/>
          </rPr>
          <t xml:space="preserve">previously-defined characteristic including 'dis_stage_3' and
</t>
        </r>
        <r>
          <rPr>
            <sz val="10"/>
            <color rgb="FF000000"/>
            <rFont val="Tahoma"/>
            <family val="2"/>
          </rPr>
          <t xml:space="preserve">'dis_stage_4'.
</t>
        </r>
        <r>
          <rPr>
            <sz val="10"/>
            <color rgb="FF000000"/>
            <rFont val="Tahoma"/>
            <family val="2"/>
          </rPr>
          <t xml:space="preserve">
</t>
        </r>
        <r>
          <rPr>
            <sz val="10"/>
            <color rgb="FF000000"/>
            <rFont val="Tahoma"/>
            <family val="2"/>
          </rPr>
          <t xml:space="preserve">In an example model, 'infected' would track population size summed
</t>
        </r>
        <r>
          <rPr>
            <sz val="10"/>
            <color rgb="FF000000"/>
            <rFont val="Tahoma"/>
            <family val="2"/>
          </rPr>
          <t xml:space="preserve">across the four 'dis_stage' states.
</t>
        </r>
        <r>
          <rPr>
            <sz val="10"/>
            <color rgb="FF000000"/>
            <rFont val="Tahoma"/>
            <family val="2"/>
          </rPr>
          <t xml:space="preserve">
</t>
        </r>
        <r>
          <rPr>
            <sz val="10"/>
            <color rgb="FF000000"/>
            <rFont val="Tahoma"/>
            <family val="2"/>
          </rPr>
          <t xml:space="preserve">Note: If two or more components are listed in the same column, they
</t>
        </r>
        <r>
          <rPr>
            <sz val="10"/>
            <color rgb="FF000000"/>
            <rFont val="Tahoma"/>
            <family val="2"/>
          </rPr>
          <t xml:space="preserve">must be separated by a comma.
</t>
        </r>
        <r>
          <rPr>
            <sz val="10"/>
            <color rgb="FF000000"/>
            <rFont val="Tahoma"/>
            <family val="2"/>
          </rPr>
          <t xml:space="preserve">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D1" authorId="0" shapeId="0" xr:uid="{7BD7B4BC-A36F-458A-A3A5-AFA478F72DEB}">
      <text>
        <r>
          <rPr>
            <sz val="10"/>
            <color rgb="FF000000"/>
            <rFont val="Tahoma"/>
            <family val="2"/>
          </rPr>
          <t xml:space="preserve">This column defines a 'denominator' attribute for a 'charac' item.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E1" authorId="0" shapeId="0" xr:uid="{39B7B833-74F0-4AC6-AF4B-699C22909F95}">
      <text>
        <r>
          <rPr>
            <sz val="10"/>
            <color rgb="FF000000"/>
            <rFont val="Tahoma"/>
            <family val="2"/>
          </rPr>
          <t xml:space="preserve">This column defines a 'default_value' attribute for a 'charac' item.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F1" authorId="0" shapeId="0" xr:uid="{A8C56C78-1F68-424B-8E30-7A6B97DEEFE2}">
      <text>
        <r>
          <rPr>
            <sz val="10"/>
            <color rgb="FF000000"/>
            <rFont val="Tahoma"/>
            <family val="2"/>
          </rPr>
          <t xml:space="preserve">This column determines how important user-provided values for this
</t>
        </r>
        <r>
          <rPr>
            <sz val="10"/>
            <color rgb="FF000000"/>
            <rFont val="Tahoma"/>
            <family val="2"/>
          </rPr>
          <t xml:space="preserve">characteristic are to setting up the initial state of a model.
</t>
        </r>
        <r>
          <rPr>
            <sz val="10"/>
            <color rgb="FF000000"/>
            <rFont val="Tahoma"/>
            <family val="2"/>
          </rPr>
          <t xml:space="preserve">In general, the column value should be '1' if model construction
</t>
        </r>
        <r>
          <rPr>
            <sz val="10"/>
            <color rgb="FF000000"/>
            <rFont val="Tahoma"/>
            <family val="2"/>
          </rPr>
          <t xml:space="preserve">directly depends on what the user provides for the characteristic.
</t>
        </r>
        <r>
          <rPr>
            <sz val="10"/>
            <color rgb="FF000000"/>
            <rFont val="Tahoma"/>
            <family val="2"/>
          </rPr>
          <t xml:space="preserve">It should be '0' if supplied values are only for calibration or
</t>
        </r>
        <r>
          <rPr>
            <sz val="10"/>
            <color rgb="FF000000"/>
            <rFont val="Tahoma"/>
            <family val="2"/>
          </rPr>
          <t xml:space="preserve">note-keeping purposes.
</t>
        </r>
        <r>
          <rPr>
            <sz val="10"/>
            <color rgb="FF000000"/>
            <rFont val="Tahoma"/>
            <family val="2"/>
          </rPr>
          <t xml:space="preserve">In this latter case, the linear-algebra method of setting up
</t>
        </r>
        <r>
          <rPr>
            <sz val="10"/>
            <color rgb="FF000000"/>
            <rFont val="Tahoma"/>
            <family val="2"/>
          </rPr>
          <t xml:space="preserve">compartment sizes may complain about an 'under-determined' system
</t>
        </r>
        <r>
          <rPr>
            <sz val="10"/>
            <color rgb="FF000000"/>
            <rFont val="Tahoma"/>
            <family val="2"/>
          </rPr>
          <t xml:space="preserve">during a model run.
</t>
        </r>
        <r>
          <rPr>
            <sz val="10"/>
            <color rgb="FF000000"/>
            <rFont val="Tahoma"/>
            <family val="2"/>
          </rPr>
          <t xml:space="preserve">To avoid this, every compartment that has a nonzero setup weight
</t>
        </r>
        <r>
          <rPr>
            <sz val="10"/>
            <color rgb="FF000000"/>
            <rFont val="Tahoma"/>
            <family val="2"/>
          </rPr>
          <t xml:space="preserve">should be included in at least one distinct characteristic.
</t>
        </r>
        <r>
          <rPr>
            <sz val="10"/>
            <color rgb="FF000000"/>
            <rFont val="Tahoma"/>
            <family val="2"/>
          </rPr>
          <t xml:space="preserve">
</t>
        </r>
        <r>
          <rPr>
            <sz val="10"/>
            <color rgb="FF000000"/>
            <rFont val="Tahoma"/>
            <family val="2"/>
          </rPr>
          <t xml:space="preserve">Note: Default value, i.e. a blank cell, is '1'.
</t>
        </r>
        <r>
          <rPr>
            <sz val="10"/>
            <color rgb="FF000000"/>
            <rFont val="Tahoma"/>
            <family val="2"/>
          </rPr>
          <t xml:space="preserve">Framework file parsing should also warn the user about a characteristic
</t>
        </r>
        <r>
          <rPr>
            <sz val="10"/>
            <color rgb="FF000000"/>
            <rFont val="Tahoma"/>
            <family val="2"/>
          </rPr>
          <t xml:space="preserve">with nonzero setup weight that is suppressed in the databook, i.e.
</t>
        </r>
        <r>
          <rPr>
            <sz val="10"/>
            <color rgb="FF000000"/>
            <rFont val="Tahoma"/>
            <family val="2"/>
          </rPr>
          <t xml:space="preserve">has a databook order of '-1'.
</t>
        </r>
        <r>
          <rPr>
            <sz val="10"/>
            <color rgb="FF000000"/>
            <rFont val="Tahoma"/>
            <family val="2"/>
          </rPr>
          <t xml:space="preserve">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G1" authorId="0" shapeId="0" xr:uid="{EE09D36E-A545-468A-9499-0CDA7C399F13}">
      <text>
        <r>
          <rPr>
            <sz val="10"/>
            <color rgb="FF000000"/>
            <rFont val="Tahoma"/>
            <family val="2"/>
          </rPr>
          <t xml:space="preserve">This column marks whether compartment size data can be rescaled
</t>
        </r>
        <r>
          <rPr>
            <sz val="10"/>
            <color rgb="FF000000"/>
            <rFont val="Tahoma"/>
            <family val="2"/>
          </rPr>
          <t xml:space="preserve">during model calibration processes. To enable calibration, enter a label in this column. If no value is entered, the item will not appear for calibration. If this column is not present, it will be automatically populated if the characteristic appears on a databook page.
</t>
        </r>
        <r>
          <rPr>
            <sz val="10"/>
            <color rgb="FF000000"/>
            <rFont val="Tahoma"/>
            <family val="2"/>
          </rPr>
          <t xml:space="preserve">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H1" authorId="0" shapeId="0" xr:uid="{559607C2-31DF-4F19-8B38-ADD8E67B050A}">
      <text>
        <r>
          <rPr>
            <sz val="10"/>
            <color rgb="FF000000"/>
            <rFont val="Tahoma"/>
            <family val="2"/>
          </rPr>
          <t xml:space="preserve">This column optionally marks whether a data-input section should
</t>
        </r>
        <r>
          <rPr>
            <sz val="10"/>
            <color rgb="FF000000"/>
            <rFont val="Tahoma"/>
            <family val="2"/>
          </rPr>
          <t xml:space="preserve">appear for this characteristic in a custom databook sheet, if allowed
</t>
        </r>
        <r>
          <rPr>
            <sz val="10"/>
            <color rgb="FF000000"/>
            <rFont val="Tahoma"/>
            <family val="2"/>
          </rPr>
          <t xml:space="preserve">to appear at all according to 'databook order'.
</t>
        </r>
        <r>
          <rPr>
            <sz val="10"/>
            <color rgb="FF000000"/>
            <rFont val="Tahoma"/>
            <family val="2"/>
          </rPr>
          <t xml:space="preserve">Each value should be a code name for a desired page defined in
</t>
        </r>
        <r>
          <rPr>
            <sz val="10"/>
            <color rgb="FF000000"/>
            <rFont val="Tahoma"/>
            <family val="2"/>
          </rPr>
          <t xml:space="preserve">the 'custom databook pages' worksheet page.
</t>
        </r>
        <r>
          <rPr>
            <sz val="10"/>
            <color rgb="FF000000"/>
            <rFont val="Tahoma"/>
            <family val="2"/>
          </rPr>
          <t xml:space="preserve">If a cell is left empty, the enabled data-input section should appear
</t>
        </r>
        <r>
          <rPr>
            <sz val="10"/>
            <color rgb="FF000000"/>
            <rFont val="Tahoma"/>
            <family val="2"/>
          </rPr>
          <t xml:space="preserve">in a default databook page dedicated to state variables.
</t>
        </r>
        <r>
          <rPr>
            <sz val="10"/>
            <color rgb="FF000000"/>
            <rFont val="Tahoma"/>
            <family val="2"/>
          </rPr>
          <t xml:space="preserve">
</t>
        </r>
        <r>
          <rPr>
            <sz val="10"/>
            <color rgb="FF000000"/>
            <rFont val="Calibri"/>
            <family val="2"/>
          </rPr>
          <t xml:space="preserve">For further instructions on how to fill this out, please see cascade.tools/ug-frw-characteristics
</t>
        </r>
      </text>
    </comment>
    <comment ref="I1" authorId="0" shapeId="0" xr:uid="{ADDFC9C7-7898-4FFB-896C-C95E74B008F3}">
      <text>
        <r>
          <rPr>
            <sz val="10"/>
            <color rgb="FF000000"/>
            <rFont val="Tahoma"/>
            <family val="2"/>
          </rPr>
          <t xml:space="preserve">This column currently denotes whether a databook should request
</t>
        </r>
        <r>
          <rPr>
            <sz val="10"/>
            <color rgb="FF000000"/>
            <rFont val="Tahoma"/>
            <family val="2"/>
          </rPr>
          <t xml:space="preserve">historical values from the user for this characteristic.
</t>
        </r>
        <r>
          <rPr>
            <sz val="10"/>
            <color rgb="FF000000"/>
            <rFont val="Tahoma"/>
            <family val="2"/>
          </rPr>
          <t xml:space="preserve">A value of '-1' suppresses it from appearing in the databook.
</t>
        </r>
        <r>
          <rPr>
            <sz val="10"/>
            <color rgb="FF000000"/>
            <rFont val="Tahoma"/>
            <family val="2"/>
          </rPr>
          <t xml:space="preserve">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J1" authorId="1" shapeId="0" xr:uid="{1C23A732-9959-4088-8261-754697652C47}">
      <text>
        <r>
          <rPr>
            <sz val="9"/>
            <color indexed="81"/>
            <rFont val="Tahoma"/>
            <family val="2"/>
          </rPr>
          <t>Text entered here will appear as a comment in the title row of data entry tables in the databook</t>
        </r>
      </text>
    </comment>
    <comment ref="K1" authorId="1" shapeId="0" xr:uid="{118400D4-A6D3-48E2-89E8-2C7DD58D978B}">
      <text>
        <r>
          <rPr>
            <sz val="9"/>
            <color indexed="81"/>
            <rFont val="Tahoma"/>
            <family val="2"/>
          </rPr>
          <t>Assign quantity to a population type. This column must match a population type listed on the 'Population types' sheet. If left empty, the first population type listed will be used</t>
        </r>
      </text>
    </comment>
    <comment ref="L1" authorId="2" shapeId="0" xr:uid="{2B896D7E-5E39-434D-990C-A4061B19E1F2}">
      <text>
        <r>
          <rPr>
            <sz val="10"/>
            <color rgb="FF000000"/>
            <rFont val="Tahoma"/>
            <family val="2"/>
          </rPr>
          <t>If a default value is provided, this column will pre-populate the 'Provenance' field in the databook to record the source for the default value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Romesh</author>
  </authors>
  <commentList>
    <comment ref="A1" authorId="0" shapeId="0" xr:uid="{66A64F1C-99F5-114A-9E5C-A6F5444B3812}">
      <text>
        <r>
          <rPr>
            <sz val="10"/>
            <color rgb="FF000000"/>
            <rFont val="Tahoma"/>
            <family val="2"/>
          </rPr>
          <t xml:space="preserve">The code name should be in lower case without spaces.
</t>
        </r>
        <r>
          <rPr>
            <sz val="10"/>
            <color rgb="FF000000"/>
            <rFont val="Tahoma"/>
            <family val="2"/>
          </rPr>
          <t xml:space="preserve">
</t>
        </r>
        <r>
          <rPr>
            <sz val="10"/>
            <color rgb="FF000000"/>
            <rFont val="Calibri"/>
            <family val="2"/>
          </rPr>
          <t xml:space="preserve">For further instructions on how to fill this out, please see cascade.tools/ug-frw-interactions
</t>
        </r>
      </text>
    </comment>
    <comment ref="B1" authorId="0" shapeId="0" xr:uid="{C2A1EF6A-7EE4-264E-8ABE-0FFF8850940E}">
      <text>
        <r>
          <rPr>
            <sz val="10"/>
            <color rgb="FF000000"/>
            <rFont val="Tahoma"/>
            <family val="2"/>
          </rPr>
          <t xml:space="preserve">The display name will appear in plots and other outputs. It should be in sentence case.
</t>
        </r>
        <r>
          <rPr>
            <sz val="10"/>
            <color rgb="FF000000"/>
            <rFont val="Calibri"/>
            <family val="2"/>
          </rPr>
          <t xml:space="preserve">For further instructions on how to fill this out, please see </t>
        </r>
        <r>
          <rPr>
            <sz val="10"/>
            <color rgb="FF000000"/>
            <rFont val="Calibri"/>
            <family val="2"/>
            <scheme val="minor"/>
          </rPr>
          <t>cascade.tools/ug-frw-interactions</t>
        </r>
        <r>
          <rPr>
            <sz val="10"/>
            <color rgb="FF000000"/>
            <rFont val="Calibri"/>
            <family val="2"/>
            <scheme val="minor"/>
          </rPr>
          <t xml:space="preserve"> </t>
        </r>
      </text>
    </comment>
    <comment ref="C1" authorId="0" shapeId="0" xr:uid="{ED07D9E4-694E-4387-BFA2-CAB6F8A058EC}">
      <text>
        <r>
          <rPr>
            <sz val="10"/>
            <color rgb="FF000000"/>
            <rFont val="Tahoma"/>
            <family val="2"/>
          </rPr>
          <t xml:space="preserve">This column defines a 'default_value' attribute for a 'interpop' item.
</t>
        </r>
        <r>
          <rPr>
            <sz val="10"/>
            <color rgb="FF000000"/>
            <rFont val="Tahoma"/>
            <family val="2"/>
          </rPr>
          <t xml:space="preserve">
</t>
        </r>
        <r>
          <rPr>
            <sz val="10"/>
            <color rgb="FF000000"/>
            <rFont val="Calibri"/>
            <family val="2"/>
            <scheme val="minor"/>
          </rPr>
          <t xml:space="preserve">For further instructions on how to fill this out, please see cascade.tools/ug-frw-interactions </t>
        </r>
      </text>
    </comment>
    <comment ref="D1" authorId="1" shapeId="0" xr:uid="{9E95838B-CD2F-4A66-94E7-842ADACD12FA}">
      <text>
        <r>
          <rPr>
            <sz val="9"/>
            <color indexed="81"/>
            <rFont val="Tahoma"/>
            <family val="2"/>
          </rPr>
          <t>Assign quantity to a population type. This column must match a population type listed on the 'Population types' sheet. If left empty, the first population type listed will be used</t>
        </r>
      </text>
    </comment>
    <comment ref="E1" authorId="1" shapeId="0" xr:uid="{D67BF957-D5C5-4856-B436-A23E71DF6876}">
      <text>
        <r>
          <rPr>
            <sz val="9"/>
            <color indexed="81"/>
            <rFont val="Tahoma"/>
            <family val="2"/>
          </rPr>
          <t>Assign quantity to a population type. This column must match a population type listed on the 'Population types' sheet. If left empty, the first population type listed will be used</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Romesh</author>
  </authors>
  <commentList>
    <comment ref="A1" authorId="0" shapeId="0" xr:uid="{B935E62C-0938-0C4C-AF10-F1E1867CC167}">
      <text>
        <r>
          <rPr>
            <sz val="9"/>
            <color rgb="FF000000"/>
            <rFont val="Tahoma"/>
            <family val="2"/>
          </rPr>
          <t xml:space="preserve">Specify the name of your cascade in this cell. In the cells below, specify the names of your cascade's stages
</t>
        </r>
        <r>
          <rPr>
            <sz val="9"/>
            <color rgb="FF000000"/>
            <rFont val="Tahoma"/>
            <family val="2"/>
          </rPr>
          <t xml:space="preserve">
</t>
        </r>
        <r>
          <rPr>
            <sz val="10"/>
            <color rgb="FF000000"/>
            <rFont val="Calibri"/>
            <family val="2"/>
          </rPr>
          <t>For further instructions on how to fill this out, please see cascade.tools/ug-frw-cascades</t>
        </r>
        <r>
          <rPr>
            <sz val="9"/>
            <color rgb="FF000000"/>
            <rFont val="Calibri"/>
            <family val="2"/>
          </rPr>
          <t xml:space="preserve">
</t>
        </r>
      </text>
    </comment>
    <comment ref="B1" authorId="0" shapeId="0" xr:uid="{E94A098B-5A50-AA4C-99A6-0D4002426718}">
      <text>
        <r>
          <rPr>
            <sz val="9"/>
            <color rgb="FF000000"/>
            <rFont val="Tahoma"/>
            <family val="2"/>
          </rPr>
          <t xml:space="preserve">In this column, specify which compartments and characteristics make up each cascade stage. You should specify them as a comma separated list of code names e.g., 'sus, inf, rec'
</t>
        </r>
        <r>
          <rPr>
            <sz val="9"/>
            <color rgb="FF000000"/>
            <rFont val="Tahoma"/>
            <family val="2"/>
          </rPr>
          <t xml:space="preserve">
</t>
        </r>
        <r>
          <rPr>
            <sz val="10"/>
            <color rgb="FF000000"/>
            <rFont val="Calibri"/>
            <family val="2"/>
            <scheme val="minor"/>
          </rPr>
          <t>For further instructions on how to fill this out, please see cascade.tools/ug-frw-cascades</t>
        </r>
        <r>
          <rPr>
            <sz val="9"/>
            <color rgb="FF000000"/>
            <rFont val="Calibri"/>
            <family val="2"/>
            <scheme val="minor"/>
          </rPr>
          <t xml:space="preserv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2EB6BD31-E926-014E-9F7A-805DBC8C7D8D}">
      <text>
        <r>
          <rPr>
            <sz val="10"/>
            <color rgb="FF000000"/>
            <rFont val="Tahoma"/>
            <family val="2"/>
          </rPr>
          <t xml:space="preserve">The code name should be in lower case without spaces.
</t>
        </r>
        <r>
          <rPr>
            <sz val="10"/>
            <color rgb="FF000000"/>
            <rFont val="Tahoma"/>
            <family val="2"/>
          </rPr>
          <t xml:space="preserve">
</t>
        </r>
        <r>
          <rPr>
            <sz val="10"/>
            <color rgb="FF000000"/>
            <rFont val="Calibri"/>
            <family val="2"/>
          </rPr>
          <t xml:space="preserve">For further instructions on how to fill this out, please see cascade.tools/ug-frw-plots
</t>
        </r>
      </text>
    </comment>
    <comment ref="B1" authorId="0" shapeId="0" xr:uid="{F09145A5-5E42-3A46-99A0-F87F2F2A0381}">
      <text>
        <r>
          <rPr>
            <sz val="10"/>
            <color rgb="FF000000"/>
            <rFont val="Tahoma"/>
            <family val="2"/>
          </rPr>
          <t xml:space="preserve">The display name will appear in plots and other outputs. It should be in sentence case.
</t>
        </r>
        <r>
          <rPr>
            <sz val="10"/>
            <color rgb="FF000000"/>
            <rFont val="Calibri"/>
            <family val="2"/>
          </rPr>
          <t>For further instructions on how to fill this out, please see cascade.tools/ug-frw-plots</t>
        </r>
      </text>
    </comment>
  </commentList>
</comments>
</file>

<file path=xl/sharedStrings.xml><?xml version="1.0" encoding="utf-8"?>
<sst xmlns="http://schemas.openxmlformats.org/spreadsheetml/2006/main" count="631" uniqueCount="371">
  <si>
    <t>Datasheet Code Name</t>
  </si>
  <si>
    <t>Datasheet Title</t>
  </si>
  <si>
    <t>Code Name</t>
  </si>
  <si>
    <t>Display Name</t>
  </si>
  <si>
    <t>Compartment 1</t>
  </si>
  <si>
    <t>Compartment 2</t>
  </si>
  <si>
    <t>Is Source</t>
  </si>
  <si>
    <t>Is Sink</t>
  </si>
  <si>
    <t>Is Junction</t>
  </si>
  <si>
    <t>Default Value</t>
  </si>
  <si>
    <t>Setup Weight</t>
  </si>
  <si>
    <t>Databook Page</t>
  </si>
  <si>
    <t>Databook Order</t>
  </si>
  <si>
    <t>Components</t>
  </si>
  <si>
    <t>Denominator</t>
  </si>
  <si>
    <t>Format</t>
  </si>
  <si>
    <t>Minimum Value</t>
  </si>
  <si>
    <t>Maximum Value</t>
  </si>
  <si>
    <t>Function</t>
  </si>
  <si>
    <t>Type</t>
  </si>
  <si>
    <t>Quantities</t>
  </si>
  <si>
    <t>Aggregate pops</t>
  </si>
  <si>
    <t>Plot Group</t>
  </si>
  <si>
    <t>comp2</t>
  </si>
  <si>
    <t>comp1</t>
  </si>
  <si>
    <t>Constituents</t>
  </si>
  <si>
    <t>series</t>
  </si>
  <si>
    <t>alive</t>
  </si>
  <si>
    <t>both</t>
  </si>
  <si>
    <t>{'All':['comp1','comp2']}</t>
  </si>
  <si>
    <t>interaction_1</t>
  </si>
  <si>
    <t>Interaction 1</t>
  </si>
  <si>
    <t>Name</t>
  </si>
  <si>
    <t>Description</t>
  </si>
  <si>
    <t>Template</t>
  </si>
  <si>
    <t>Calibrate</t>
  </si>
  <si>
    <t>Targetable</t>
  </si>
  <si>
    <t>This is a template cascade. For instructions on how to fill it out, please see: cascade.tools/user-guide</t>
  </si>
  <si>
    <t>Cascade name</t>
  </si>
  <si>
    <t>Guidance</t>
  </si>
  <si>
    <t>Timescale</t>
  </si>
  <si>
    <t>Code name</t>
  </si>
  <si>
    <t>default</t>
  </si>
  <si>
    <t>Default</t>
  </si>
  <si>
    <t>Population type</t>
  </si>
  <si>
    <t>From population type</t>
  </si>
  <si>
    <t>To population type</t>
  </si>
  <si>
    <t>Timed</t>
  </si>
  <si>
    <t>Is derivative</t>
  </si>
  <si>
    <t>Default value</t>
  </si>
  <si>
    <t>Provenance</t>
  </si>
  <si>
    <t>src_births</t>
  </si>
  <si>
    <t>Population Source: Births</t>
  </si>
  <si>
    <t>y</t>
  </si>
  <si>
    <t>src_immig</t>
  </si>
  <si>
    <t>Population Source: Immigration</t>
  </si>
  <si>
    <t>snk_odth</t>
  </si>
  <si>
    <t>Population Sink: Non-HBV deaths</t>
  </si>
  <si>
    <t>snk_hdth</t>
  </si>
  <si>
    <t>Population Sink: HBV attributable deaths</t>
  </si>
  <si>
    <t>snk_emig</t>
  </si>
  <si>
    <t>Population Sink: Emigration</t>
  </si>
  <si>
    <t>sus</t>
  </si>
  <si>
    <t>Hepatitis B susceptible</t>
  </si>
  <si>
    <t>vax</t>
  </si>
  <si>
    <t>Hepatitis B: Vaccine Protected</t>
  </si>
  <si>
    <t>imm_acu</t>
  </si>
  <si>
    <t>Hepatitis B: Cleared Acute Infection</t>
  </si>
  <si>
    <t>imm_chb</t>
  </si>
  <si>
    <t>Hepatitis B: Cleared Chronic Infection</t>
  </si>
  <si>
    <t>acu</t>
  </si>
  <si>
    <t>Hepatitis B: Acute Infection</t>
  </si>
  <si>
    <t>ei</t>
  </si>
  <si>
    <t>ei_d</t>
  </si>
  <si>
    <t>ei_l</t>
  </si>
  <si>
    <t>ei_t</t>
  </si>
  <si>
    <t>j_init</t>
  </si>
  <si>
    <t>Junction: Model Initialization</t>
  </si>
  <si>
    <t>eh</t>
  </si>
  <si>
    <t>eh_d</t>
  </si>
  <si>
    <t>eh_l</t>
  </si>
  <si>
    <t>eh_t</t>
  </si>
  <si>
    <t>si</t>
  </si>
  <si>
    <t>si_d</t>
  </si>
  <si>
    <t>si_l</t>
  </si>
  <si>
    <t>si_t</t>
  </si>
  <si>
    <t>sh</t>
  </si>
  <si>
    <t>sh_d</t>
  </si>
  <si>
    <t>sh_l</t>
  </si>
  <si>
    <t>sh_t</t>
  </si>
  <si>
    <t>cc</t>
  </si>
  <si>
    <t>cc_d</t>
  </si>
  <si>
    <t>cc_l</t>
  </si>
  <si>
    <t>cc_t</t>
  </si>
  <si>
    <t>dc</t>
  </si>
  <si>
    <t>dc_d</t>
  </si>
  <si>
    <t>dc_t</t>
  </si>
  <si>
    <t>dc_l</t>
  </si>
  <si>
    <t>hcc</t>
  </si>
  <si>
    <t>hcc_d</t>
  </si>
  <si>
    <t>hcc_l</t>
  </si>
  <si>
    <t>hcc_t</t>
  </si>
  <si>
    <t>Hepatitis B: HBeAg-positive chronic hepatitis (Linked to Care)</t>
  </si>
  <si>
    <t>Hepatitis B: HBeAg-positive chronic HBV infection (Undiagnosed)</t>
  </si>
  <si>
    <t>Hepatitis B: HBeAg-positive chronic HBV infection (Diagnosed)</t>
  </si>
  <si>
    <t>Hepatitis B: HBeAg-positive chronic HBV infection (Linked to Care)</t>
  </si>
  <si>
    <t>Hepatitis B: HBeAg-positive chronic HBV infection (Treated)</t>
  </si>
  <si>
    <t>Hepatitis B: HBeAg-positive chronic hepatitis (Undiagnosed)</t>
  </si>
  <si>
    <t>Hepatitis B: HBeAg-positive chronic hepatitis (Diagnosed)</t>
  </si>
  <si>
    <t>Hepatitis B: HBeAg-positive chronic hepatitis (Treated)</t>
  </si>
  <si>
    <t>Hepatitis B: HBeAg-negative chronic HBV infection (Undiagnosed)</t>
  </si>
  <si>
    <t>Hepatitis B: HBeAg-negative chronic HBV infection (Diagnosed)</t>
  </si>
  <si>
    <t>Hepatitis B: HBeAg-negative chronic HBV infection (Linked to Care)</t>
  </si>
  <si>
    <t>Hepatitis B: HBeAg-negative chronic HBV infection (Treated)</t>
  </si>
  <si>
    <t>Hepatitis B: HBeAg-negative chronic hepatitis (Undiagnosed)</t>
  </si>
  <si>
    <t>Hepatitis B: HBeAg-negative chronic hepatitis (Diagnosed)</t>
  </si>
  <si>
    <t>Hepatitis B: HBeAg-negative chronic hepatitis (Linked to Care)</t>
  </si>
  <si>
    <t>Hepatitis B: HBeAg-negative chronic hepatitis (Treated)</t>
  </si>
  <si>
    <t>Hepatitis B: Compensated Cirrhosis (Undiagnosed)</t>
  </si>
  <si>
    <t>Hepatitis B: Compensated Cirrhosis (Diagnosed)</t>
  </si>
  <si>
    <t>Hepatitis B: Compensated Cirrhosis (Linked-to-Care)</t>
  </si>
  <si>
    <t>Hepatitis B: Compensated Cirrhosis (Treated)</t>
  </si>
  <si>
    <t>Hepatitis B: Decompensated Cirrhosis (Undiagnosed)</t>
  </si>
  <si>
    <t>Hepatitis B: Decompensated Cirrhosis (Diagnosed)</t>
  </si>
  <si>
    <t>Hepatitis B: Decompensated Cirrhosis (Linked-to-Care)</t>
  </si>
  <si>
    <t>Hepatitis B: Decompensated Cirrhosis (Treated)</t>
  </si>
  <si>
    <t>Hepatitis B:Hepatocellular Carcinoma (Undiagnosed)</t>
  </si>
  <si>
    <t>Hepatitis B:Hepatocellular Carcinoma (Diagnosed)</t>
  </si>
  <si>
    <t>Hepatitis B: Hepatocellular Carcinoma (Linked-to-Care)</t>
  </si>
  <si>
    <t>Hepatitis B: Hepatocellular Carcinoma (Treated)</t>
  </si>
  <si>
    <t>init_sus</t>
  </si>
  <si>
    <t>init_ei</t>
  </si>
  <si>
    <t>init_eh</t>
  </si>
  <si>
    <t>init_si</t>
  </si>
  <si>
    <t>init_sh</t>
  </si>
  <si>
    <t>init_cc</t>
  </si>
  <si>
    <t>init_dc</t>
  </si>
  <si>
    <t>init_hcc</t>
  </si>
  <si>
    <t>b_sus</t>
  </si>
  <si>
    <t>b_vax</t>
  </si>
  <si>
    <t>b_chb</t>
  </si>
  <si>
    <t>b_clr</t>
  </si>
  <si>
    <t>echt, adht</t>
  </si>
  <si>
    <t>acm</t>
  </si>
  <si>
    <t>emig_rate</t>
  </si>
  <si>
    <t>acu_clr</t>
  </si>
  <si>
    <t>acu_chb</t>
  </si>
  <si>
    <t>acu_dth</t>
  </si>
  <si>
    <t>dc_dth</t>
  </si>
  <si>
    <t>dc_dth_t</t>
  </si>
  <si>
    <t>hcc_dth</t>
  </si>
  <si>
    <t>imig_sus</t>
  </si>
  <si>
    <t>imig_vax</t>
  </si>
  <si>
    <t>imig_ei</t>
  </si>
  <si>
    <t>imig_eh</t>
  </si>
  <si>
    <t>imig_si</t>
  </si>
  <si>
    <t>imig_sh</t>
  </si>
  <si>
    <t>imig_cc</t>
  </si>
  <si>
    <t>imig_clr</t>
  </si>
  <si>
    <t>init_clr</t>
  </si>
  <si>
    <t>diag_rate</t>
  </si>
  <si>
    <t>ltc_rate</t>
  </si>
  <si>
    <t>ltf_rate</t>
  </si>
  <si>
    <t>ei_hcc</t>
  </si>
  <si>
    <t>act_hcc</t>
  </si>
  <si>
    <t>act_hcc_t</t>
  </si>
  <si>
    <t>si_hcc</t>
  </si>
  <si>
    <t>si_hcc_t</t>
  </si>
  <si>
    <t>cir_hcc</t>
  </si>
  <si>
    <t>cir_hcc_t</t>
  </si>
  <si>
    <t>cc_dc</t>
  </si>
  <si>
    <t>cc_dc_t</t>
  </si>
  <si>
    <t>dc_cc_t</t>
  </si>
  <si>
    <t>ei_eh</t>
  </si>
  <si>
    <t>treat_rate</t>
  </si>
  <si>
    <t>ts_rate</t>
  </si>
  <si>
    <t>eh_si</t>
  </si>
  <si>
    <t>eh_cc</t>
  </si>
  <si>
    <t>eh_cc_t</t>
  </si>
  <si>
    <t>sh_cc</t>
  </si>
  <si>
    <t>sh_cc_t</t>
  </si>
  <si>
    <t>si_sh</t>
  </si>
  <si>
    <t>sh_si</t>
  </si>
  <si>
    <t>sh_si_t</t>
  </si>
  <si>
    <t>sh_init</t>
  </si>
  <si>
    <t>Model Initialization</t>
  </si>
  <si>
    <t>#ignore</t>
  </si>
  <si>
    <t>Population Demographics</t>
  </si>
  <si>
    <t>b_rate</t>
  </si>
  <si>
    <t>Annual Births (by sex)</t>
  </si>
  <si>
    <t>Non-HepB (all-cause) mortality rate</t>
  </si>
  <si>
    <t>imig_rate</t>
  </si>
  <si>
    <t>Annual Rate of Overseas Arrivals</t>
  </si>
  <si>
    <t>Annual Rate of Overseas Departures</t>
  </si>
  <si>
    <t>rate</t>
  </si>
  <si>
    <t>Immigration Model</t>
  </si>
  <si>
    <t>imig_prev</t>
  </si>
  <si>
    <t>Prevalence of hepatitis B among arrivals</t>
  </si>
  <si>
    <t>imig_rem</t>
  </si>
  <si>
    <t xml:space="preserve">Non-HepB positive arrivals to Australia </t>
  </si>
  <si>
    <t>min(imig_rate * (1-imig_prev), imig_rate)</t>
  </si>
  <si>
    <t>imig_vax_prop</t>
  </si>
  <si>
    <t>imig_clr_prop</t>
  </si>
  <si>
    <t>Proportion of non-HepB positive arrivals who are vaccinated</t>
  </si>
  <si>
    <t>Proportion of non-HepB positive arrivals who are immune</t>
  </si>
  <si>
    <t>imig_sus_prop</t>
  </si>
  <si>
    <t>Proportion of non-HepB positive arrivals who are susceptible</t>
  </si>
  <si>
    <t>1-(imig_vax_prop+imig_clr_prop)</t>
  </si>
  <si>
    <r>
      <t>Arrivals</t>
    </r>
    <r>
      <rPr>
        <sz val="11"/>
        <color theme="1"/>
        <rFont val="Calibri"/>
        <family val="2"/>
        <scheme val="minor"/>
      </rPr>
      <t>: Immune to hepatitis B from prior infection</t>
    </r>
  </si>
  <si>
    <r>
      <t xml:space="preserve">Arrivals: </t>
    </r>
    <r>
      <rPr>
        <sz val="11"/>
        <color theme="1"/>
        <rFont val="Calibri"/>
        <family val="2"/>
        <scheme val="minor"/>
      </rPr>
      <t>Vaccinated against hepatitis</t>
    </r>
    <r>
      <rPr>
        <b/>
        <sz val="11"/>
        <color theme="1"/>
        <rFont val="Calibri"/>
        <family val="2"/>
        <scheme val="minor"/>
      </rPr>
      <t xml:space="preserve"> </t>
    </r>
    <r>
      <rPr>
        <sz val="11"/>
        <color theme="1"/>
        <rFont val="Calibri"/>
        <family val="2"/>
        <scheme val="minor"/>
      </rPr>
      <t>B</t>
    </r>
  </si>
  <si>
    <r>
      <t xml:space="preserve">Arrivals: </t>
    </r>
    <r>
      <rPr>
        <sz val="11"/>
        <color theme="1"/>
        <rFont val="Calibri"/>
        <family val="2"/>
        <scheme val="minor"/>
      </rPr>
      <t>Susceptible to hepatitis B infection</t>
    </r>
  </si>
  <si>
    <t>imig_rem*imig_vax_prop</t>
  </si>
  <si>
    <t>number</t>
  </si>
  <si>
    <t>imig_rem*imig_clr_prop</t>
  </si>
  <si>
    <t>imig_rem*imig_sus_prop</t>
  </si>
  <si>
    <t>imig_pos</t>
  </si>
  <si>
    <t>Hepatitis B positive arrivals to Australia</t>
  </si>
  <si>
    <t>min(imig_rate*imig_prev, imig_rate)</t>
  </si>
  <si>
    <r>
      <t xml:space="preserve">Arrivals: </t>
    </r>
    <r>
      <rPr>
        <sz val="11"/>
        <color theme="1"/>
        <rFont val="Calibri"/>
        <family val="2"/>
        <scheme val="minor"/>
      </rPr>
      <t>HBeAg positive chronic HBV infection</t>
    </r>
  </si>
  <si>
    <r>
      <t xml:space="preserve">Arrivals: </t>
    </r>
    <r>
      <rPr>
        <sz val="11"/>
        <color theme="1"/>
        <rFont val="Calibri"/>
        <family val="2"/>
        <scheme val="minor"/>
      </rPr>
      <t>HBeAg positive chronic hepatitis</t>
    </r>
  </si>
  <si>
    <r>
      <t xml:space="preserve">Arrivals: </t>
    </r>
    <r>
      <rPr>
        <sz val="11"/>
        <color theme="1"/>
        <rFont val="Calibri"/>
        <family val="2"/>
        <scheme val="minor"/>
      </rPr>
      <t>HBeAg negative chronic HBV infection</t>
    </r>
  </si>
  <si>
    <r>
      <t xml:space="preserve">Arrivals: </t>
    </r>
    <r>
      <rPr>
        <sz val="11"/>
        <color theme="1"/>
        <rFont val="Calibri"/>
        <family val="2"/>
        <scheme val="minor"/>
      </rPr>
      <t>HBeAg negative chronic hepatitis</t>
    </r>
  </si>
  <si>
    <r>
      <t xml:space="preserve">Arrivals: </t>
    </r>
    <r>
      <rPr>
        <sz val="11"/>
        <color theme="1"/>
        <rFont val="Calibri"/>
        <family val="2"/>
        <scheme val="minor"/>
      </rPr>
      <t>Compensated cirrhosis</t>
    </r>
  </si>
  <si>
    <t>imig_pos*sdiv(ei, ei+eh+si+sh+cc)</t>
  </si>
  <si>
    <t>imig_pos*sdiv(eh, ei+eh+si+sh+cc)</t>
  </si>
  <si>
    <t>imig_pos*sdiv(si, ei+eh+si+sh+cc)</t>
  </si>
  <si>
    <t>imig_pos*sdiv(sh, ei+eh+si+sh+cc)</t>
  </si>
  <si>
    <t>imig_pos*sdiv(cc, ei+eh+si+sh+cc)</t>
  </si>
  <si>
    <t>sh_demog</t>
  </si>
  <si>
    <t>Populations</t>
  </si>
  <si>
    <t>sh_imig</t>
  </si>
  <si>
    <t>total_pop</t>
  </si>
  <si>
    <t>Total Population</t>
  </si>
  <si>
    <t>j_init, sus, vax, imm_chb, acu, ei,ei_d,ei_l,ei_t,eh,eh_d,eh_l,eh_t,si,si_d,si_l,si_t,sh,sh_d,sh_l,sh_t,cc,cc_d,cc_l,cc_t,dc,dc_d,dc_l,dc_t,hcc,hcc_d,hcc_l,hcc_t</t>
  </si>
  <si>
    <t>chb_init</t>
  </si>
  <si>
    <t>eag_init</t>
  </si>
  <si>
    <t>cc_prop</t>
  </si>
  <si>
    <t>dc_prop</t>
  </si>
  <si>
    <t>hcc_prop</t>
  </si>
  <si>
    <t>chb_adj</t>
  </si>
  <si>
    <t>ei_prop</t>
  </si>
  <si>
    <t>si_prop</t>
  </si>
  <si>
    <t>Initial compensated cirrhosis population (undiagnosed)</t>
  </si>
  <si>
    <t>Initial decompensated cirrhosis population (undiagnosed)</t>
  </si>
  <si>
    <t>proportion</t>
  </si>
  <si>
    <t>Unadjusted initial prevalence of hepatitis B</t>
  </si>
  <si>
    <t>Initial prevalence of HBeAg positive infection among all with hepatitis B</t>
  </si>
  <si>
    <t>Initial prevalence of compensated cirrhosis among all hepatitis B infections</t>
  </si>
  <si>
    <t>Initial prevalence of decompensated cirrhosis among all hepatitis B infections</t>
  </si>
  <si>
    <t>Initial prevalence of hepatocellular carcinoma among all hepatitis B infections</t>
  </si>
  <si>
    <t>Initial prevalence of hepatitis B adjusted for progression of disease</t>
  </si>
  <si>
    <t>Initial hepatocellular carcinoma population (undiagnosed)</t>
  </si>
  <si>
    <t>Initial HBeAg positive chronic HBV infection (undiagnosed)</t>
  </si>
  <si>
    <t>Initial HBeAg positive chronic hepatitis (undiagnosed)</t>
  </si>
  <si>
    <t>Initial HBeAg negative chronic HBV infection (undiagnosed)</t>
  </si>
  <si>
    <t>Initial HBeAg negative chronic infection (undiagnosed)</t>
  </si>
  <si>
    <t>Initial Recovered (HBsAg serocleared)</t>
  </si>
  <si>
    <t>Initial Susceptible</t>
  </si>
  <si>
    <t>Propoprtion of CHB positive with HBeAg negative chronic HBV infection (1-eag_init)</t>
  </si>
  <si>
    <t>Propoprtion of adjusted CHB positive with HBeAg positive chronic HBV infection (eag_init)</t>
  </si>
  <si>
    <t>max(chb_init-chb_init*(cc_prop+dc_prop+hcc_prop), 0)</t>
  </si>
  <si>
    <t>max(chb_init*cc_prop, 0)</t>
  </si>
  <si>
    <t>max(chb_init*dc_prop, 0)</t>
  </si>
  <si>
    <t>max(chb_init*hcc_prop, 0)</t>
  </si>
  <si>
    <t>max(chb_adj*eag_init*ei_prop, 0)</t>
  </si>
  <si>
    <t>max(chb_adj*eag_init*(1-ei_prop), 0)</t>
  </si>
  <si>
    <t>max(chb_adj*(1-eag_init)*si_prop, 0)</t>
  </si>
  <si>
    <t>max(chb_adj*(1-eag_init)*(1-si_prop), 0)</t>
  </si>
  <si>
    <t>max(1-(i_ei+i_eh+i_si+i_sh+i_cc+i_dc+i_hcc+i_rec), 0)</t>
  </si>
  <si>
    <t>Intervention (Vaccine and Treatment) Effectiveness</t>
  </si>
  <si>
    <t>ve_hepbd_lvl</t>
  </si>
  <si>
    <t>ve_hepbd_hvl</t>
  </si>
  <si>
    <t>ve_hepbd_pap</t>
  </si>
  <si>
    <t>ve_hepb3</t>
  </si>
  <si>
    <t>tx_chb_cc</t>
  </si>
  <si>
    <t>tx_chb_hcc</t>
  </si>
  <si>
    <t>tx_cir_hcc</t>
  </si>
  <si>
    <t>tx_dc_death</t>
  </si>
  <si>
    <t>tx_cc_dc</t>
  </si>
  <si>
    <t>probability</t>
  </si>
  <si>
    <t>Calibration Parameters (Natural History of Disease)</t>
  </si>
  <si>
    <t>y_hcc</t>
  </si>
  <si>
    <t>y_cc</t>
  </si>
  <si>
    <t>HBeAg seroconversion rate (used to fit HBeAg prevalence)</t>
  </si>
  <si>
    <t>Scaling Factor: Rate of HCC progression</t>
  </si>
  <si>
    <t>Scaling Factor: Rate of compensated cirrhosis progression from active infection</t>
  </si>
  <si>
    <t>duration</t>
  </si>
  <si>
    <r>
      <t xml:space="preserve">Natural History: </t>
    </r>
    <r>
      <rPr>
        <sz val="11"/>
        <color theme="1"/>
        <rFont val="Calibri"/>
        <family val="2"/>
        <scheme val="minor"/>
      </rPr>
      <t>Seroclearance of HBsAg following acute HBV infection</t>
    </r>
  </si>
  <si>
    <t>1-(acu_chb+acu_dth)</t>
  </si>
  <si>
    <t>Disease Progression (Natural History)</t>
  </si>
  <si>
    <t>eh_cc_in</t>
  </si>
  <si>
    <t>sh_cc_in</t>
  </si>
  <si>
    <t>ei_hcc_in</t>
  </si>
  <si>
    <t>si_hcc_in</t>
  </si>
  <si>
    <t>act_hcc_in</t>
  </si>
  <si>
    <t>cir_hcc_in</t>
  </si>
  <si>
    <t>Disease Progression (On Treatment)</t>
  </si>
  <si>
    <t>PMTCT Decision Tree Model</t>
  </si>
  <si>
    <t>hepb_pop</t>
  </si>
  <si>
    <t>Population with HBV</t>
  </si>
  <si>
    <t xml:space="preserve"> ei,ei_d,ei_l,ei_t,eh,eh_d,eh_l,eh_t,si,si_d,si_l,si_t,sh,sh_d,sh_l,sh_t,cc,cc_d,cc_l,cc_t,dc,dc_d,dc_l,dc_t,hcc,hcc_d,hcc_l,hcc_t</t>
  </si>
  <si>
    <t>hepb_prev</t>
  </si>
  <si>
    <t>Prevalence of HBV</t>
  </si>
  <si>
    <t>undiagnosed</t>
  </si>
  <si>
    <t>diagnosed</t>
  </si>
  <si>
    <t>linked</t>
  </si>
  <si>
    <t>treated</t>
  </si>
  <si>
    <t>Undiagnosed HepB</t>
  </si>
  <si>
    <t>Diagnosed HepB</t>
  </si>
  <si>
    <t>Treated HepB</t>
  </si>
  <si>
    <t>Linked-to-care HepB</t>
  </si>
  <si>
    <t xml:space="preserve"> ei,eh,si,sh,cc,dc,hcc</t>
  </si>
  <si>
    <t>ei_d,ei_l,ei_t,eh_d,eh_l,eh_t,si_d,si_l,si_t,sh_d,sh_l,sh_t,cc_d,cc_l,cc_t, dc_d,dc_l,dc_t,hcc_d,hcc_l,hcc_t</t>
  </si>
  <si>
    <t>ei_l,ei_t,eh_l,eh_t,si_l,si_t,sh_l,sh_t,cc_l,cc_t, dc_l,dc_t,hcc_l,hcc_t</t>
  </si>
  <si>
    <t>ei_t,eh_t,si_t,sh_t,cc_t,dc_t,hcc_t</t>
  </si>
  <si>
    <t>diag</t>
  </si>
  <si>
    <t>link</t>
  </si>
  <si>
    <t>treat</t>
  </si>
  <si>
    <t>diagnosed,linked,treated</t>
  </si>
  <si>
    <t>linked,treated</t>
  </si>
  <si>
    <t>y_hcc*ei_hcc_in</t>
  </si>
  <si>
    <t>y_hcc*act_hcc_in</t>
  </si>
  <si>
    <t>y_hcc*si_hcc_in</t>
  </si>
  <si>
    <t>y_hcc*cc_hcc_in</t>
  </si>
  <si>
    <t>y_cc*eh_cc_in</t>
  </si>
  <si>
    <t>y_cc*sh_cc_in</t>
  </si>
  <si>
    <r>
      <t xml:space="preserve">Natural History: </t>
    </r>
    <r>
      <rPr>
        <sz val="11"/>
        <color theme="1"/>
        <rFont val="Calibri"/>
        <family val="2"/>
        <scheme val="minor"/>
      </rPr>
      <t>HBeAg positive chronic hepatitis to compensated cirrhosis</t>
    </r>
  </si>
  <si>
    <r>
      <t xml:space="preserve">Natural History: </t>
    </r>
    <r>
      <rPr>
        <sz val="11"/>
        <color theme="1"/>
        <rFont val="Calibri"/>
        <family val="2"/>
        <scheme val="minor"/>
      </rPr>
      <t>HBeAg negative chronic hepatitis to compensated cirrhosis</t>
    </r>
  </si>
  <si>
    <r>
      <t xml:space="preserve">Vaccine Effectiveness: </t>
    </r>
    <r>
      <rPr>
        <sz val="11"/>
        <color theme="9" tint="-0.249977111117893"/>
        <rFont val="Calibri"/>
        <family val="2"/>
        <scheme val="minor"/>
      </rPr>
      <t>Hepatitis B birth dose (alone) in low viral load (&lt;200,00IU) mother</t>
    </r>
  </si>
  <si>
    <r>
      <t xml:space="preserve">Vaccine Effectiveness: </t>
    </r>
    <r>
      <rPr>
        <sz val="11"/>
        <color theme="9" tint="-0.249977111117893"/>
        <rFont val="Calibri"/>
        <family val="2"/>
        <scheme val="minor"/>
      </rPr>
      <t>Hepatitis B birth dose (alone) in high viral load (&gt;200,000IU) mother</t>
    </r>
  </si>
  <si>
    <r>
      <t xml:space="preserve">Vaccine Effectiveness: </t>
    </r>
    <r>
      <rPr>
        <sz val="11"/>
        <color theme="9" tint="-0.249977111117893"/>
        <rFont val="Calibri"/>
        <family val="2"/>
        <scheme val="minor"/>
      </rPr>
      <t>Hepatitis B birth dose plus additional prophylaxis in diagnosed mothers</t>
    </r>
  </si>
  <si>
    <r>
      <t xml:space="preserve">Vaccine Effectiveness: </t>
    </r>
    <r>
      <rPr>
        <sz val="11"/>
        <color theme="9" tint="-0.249977111117893"/>
        <rFont val="Calibri"/>
        <family val="2"/>
        <scheme val="minor"/>
      </rPr>
      <t>Full (three-dose) hepatitis B vaccination series</t>
    </r>
  </si>
  <si>
    <r>
      <t xml:space="preserve">Treatment Effectiveness: </t>
    </r>
    <r>
      <rPr>
        <sz val="11"/>
        <color theme="9" tint="-0.249977111117893"/>
        <rFont val="Calibri"/>
        <family val="2"/>
        <scheme val="minor"/>
      </rPr>
      <t>HBeAg</t>
    </r>
    <r>
      <rPr>
        <sz val="11"/>
        <color theme="9" tint="-0.249977111117893"/>
        <rFont val="Aptos Narrow"/>
        <family val="2"/>
      </rPr>
      <t>±</t>
    </r>
    <r>
      <rPr>
        <sz val="11"/>
        <color theme="9" tint="-0.249977111117893"/>
        <rFont val="Calibri"/>
        <family val="2"/>
      </rPr>
      <t xml:space="preserve"> chronic heaptitis to compensated cirrhosis</t>
    </r>
  </si>
  <si>
    <r>
      <t xml:space="preserve">Treatment Effectiveness: </t>
    </r>
    <r>
      <rPr>
        <sz val="11"/>
        <color theme="9" tint="-0.249977111117893"/>
        <rFont val="Calibri"/>
        <family val="2"/>
        <scheme val="minor"/>
      </rPr>
      <t>Chronic hepatitis B to hepatocellular carcinoma</t>
    </r>
  </si>
  <si>
    <r>
      <t xml:space="preserve">Treatment Effectiveness: </t>
    </r>
    <r>
      <rPr>
        <sz val="11"/>
        <color theme="9" tint="-0.249977111117893"/>
        <rFont val="Calibri"/>
        <family val="2"/>
        <scheme val="minor"/>
      </rPr>
      <t>Cirrhosis (compensated and decompensated) to hepatocellular carcinoma</t>
    </r>
  </si>
  <si>
    <r>
      <t xml:space="preserve">Treatment Effectiveness: </t>
    </r>
    <r>
      <rPr>
        <sz val="11"/>
        <color theme="9" tint="-0.249977111117893"/>
        <rFont val="Calibri"/>
        <family val="2"/>
        <scheme val="minor"/>
      </rPr>
      <t>Compensated cirrhosis to decompensated cirrhosis</t>
    </r>
  </si>
  <si>
    <r>
      <t xml:space="preserve">Treatment Effectivness: </t>
    </r>
    <r>
      <rPr>
        <sz val="11"/>
        <color theme="9" tint="-0.249977111117893"/>
        <rFont val="Calibri"/>
        <family val="2"/>
        <scheme val="minor"/>
      </rPr>
      <t>Decompensated cirrhosis to compensated cirrhosis (directly modelled parameter)</t>
    </r>
  </si>
  <si>
    <r>
      <t xml:space="preserve">Treatment Effectiveness: </t>
    </r>
    <r>
      <rPr>
        <sz val="11"/>
        <color theme="9" tint="-0.249977111117893"/>
        <rFont val="Calibri"/>
        <family val="2"/>
        <scheme val="minor"/>
      </rPr>
      <t>Decompensated cirrhosis to HBV attributable death</t>
    </r>
  </si>
  <si>
    <r>
      <t xml:space="preserve">Natural History: </t>
    </r>
    <r>
      <rPr>
        <sz val="11"/>
        <color theme="9" tint="-0.249977111117893"/>
        <rFont val="Calibri"/>
        <family val="2"/>
        <scheme val="minor"/>
      </rPr>
      <t>HBeAg positive chronic HBV infection from horizontally acquired acute HBV infection</t>
    </r>
  </si>
  <si>
    <r>
      <t xml:space="preserve">Natural History: </t>
    </r>
    <r>
      <rPr>
        <sz val="11"/>
        <color theme="9" tint="-0.249977111117893"/>
        <rFont val="Calibri"/>
        <family val="2"/>
        <scheme val="minor"/>
      </rPr>
      <t>Death from acute HBV infection</t>
    </r>
  </si>
  <si>
    <r>
      <t xml:space="preserve">Natural History: </t>
    </r>
    <r>
      <rPr>
        <sz val="11"/>
        <color theme="9" tint="-0.249977111117893"/>
        <rFont val="Calibri"/>
        <family val="2"/>
        <scheme val="minor"/>
      </rPr>
      <t>HBeAg positive chronic HBV infection to HBeAg positive chronic hepatitis</t>
    </r>
  </si>
  <si>
    <r>
      <t xml:space="preserve">Natural History: </t>
    </r>
    <r>
      <rPr>
        <sz val="11"/>
        <color theme="9" tint="-0.249977111117893"/>
        <rFont val="Calibri"/>
        <family val="2"/>
        <scheme val="minor"/>
      </rPr>
      <t>HBeAg negative chronic HBV infection to HBeAg negative chronic hepatitis</t>
    </r>
  </si>
  <si>
    <r>
      <t xml:space="preserve">Natural History: </t>
    </r>
    <r>
      <rPr>
        <sz val="11"/>
        <color theme="9" tint="-0.249977111117893"/>
        <rFont val="Calibri"/>
        <family val="2"/>
        <scheme val="minor"/>
      </rPr>
      <t>HBeAg negative chronic hepatitis to HBeAg negative chronic HBV infection</t>
    </r>
  </si>
  <si>
    <r>
      <t xml:space="preserve">Input: </t>
    </r>
    <r>
      <rPr>
        <sz val="11"/>
        <color theme="9" tint="-0.249977111117893"/>
        <rFont val="Calibri"/>
        <family val="2"/>
        <scheme val="minor"/>
      </rPr>
      <t>HBeAg positive chronic hepatitis to compensated cirrhosis</t>
    </r>
  </si>
  <si>
    <r>
      <t xml:space="preserve">Input: </t>
    </r>
    <r>
      <rPr>
        <sz val="11"/>
        <color theme="9" tint="-0.249977111117893"/>
        <rFont val="Calibri"/>
        <family val="2"/>
        <scheme val="minor"/>
      </rPr>
      <t>HBeAg negative chronic hepatitis to compensated cirrhosis</t>
    </r>
  </si>
  <si>
    <r>
      <t xml:space="preserve">Natural History: </t>
    </r>
    <r>
      <rPr>
        <sz val="11"/>
        <color theme="9" tint="-0.249977111117893"/>
        <rFont val="Calibri"/>
        <family val="2"/>
        <scheme val="minor"/>
      </rPr>
      <t>Compensated cirrhosis to decompensated cirrhosis</t>
    </r>
  </si>
  <si>
    <r>
      <t xml:space="preserve">Input: </t>
    </r>
    <r>
      <rPr>
        <sz val="11"/>
        <color theme="9" tint="-0.249977111117893"/>
        <rFont val="Calibri"/>
        <family val="2"/>
        <scheme val="minor"/>
      </rPr>
      <t>HBeAg positive chronic HBV infection to hepatocellular carcinoma</t>
    </r>
  </si>
  <si>
    <r>
      <t xml:space="preserve">Input: </t>
    </r>
    <r>
      <rPr>
        <sz val="11"/>
        <color theme="9" tint="-0.249977111117893"/>
        <rFont val="Calibri"/>
        <family val="2"/>
        <scheme val="minor"/>
      </rPr>
      <t>HBeAg± chronic HBV infection to hepatocellular carcinoma</t>
    </r>
  </si>
  <si>
    <r>
      <t xml:space="preserve">Input: </t>
    </r>
    <r>
      <rPr>
        <sz val="11"/>
        <color theme="9" tint="-0.249977111117893"/>
        <rFont val="Calibri"/>
        <family val="2"/>
        <scheme val="minor"/>
      </rPr>
      <t>HBeAg negative chronic HBV infection to hepatocellular carcinoma</t>
    </r>
  </si>
  <si>
    <r>
      <t xml:space="preserve">Input: </t>
    </r>
    <r>
      <rPr>
        <sz val="11"/>
        <color theme="9" tint="-0.249977111117893"/>
        <rFont val="Calibri"/>
        <family val="2"/>
        <scheme val="minor"/>
      </rPr>
      <t>Cirrhosis (compensated and decompensated) to hepatocellular carcinoma</t>
    </r>
  </si>
  <si>
    <r>
      <rPr>
        <b/>
        <sz val="11"/>
        <color theme="1"/>
        <rFont val="Calibri"/>
        <family val="2"/>
        <scheme val="minor"/>
      </rPr>
      <t>Natural History</t>
    </r>
    <r>
      <rPr>
        <sz val="11"/>
        <color theme="1"/>
        <rFont val="Calibri"/>
        <family val="2"/>
        <scheme val="minor"/>
      </rPr>
      <t>: HBeAg positive chronic HBV infection to hepatocellular carcinoma</t>
    </r>
  </si>
  <si>
    <r>
      <rPr>
        <b/>
        <sz val="11"/>
        <color theme="1"/>
        <rFont val="Calibri"/>
        <family val="2"/>
        <scheme val="minor"/>
      </rPr>
      <t>Natural History</t>
    </r>
    <r>
      <rPr>
        <sz val="11"/>
        <color theme="1"/>
        <rFont val="Calibri"/>
        <family val="2"/>
        <scheme val="minor"/>
      </rPr>
      <t>: HBeAg± chronic HBV infection to hepatocellular carcinoma</t>
    </r>
  </si>
  <si>
    <r>
      <rPr>
        <b/>
        <sz val="11"/>
        <color theme="1"/>
        <rFont val="Calibri"/>
        <family val="2"/>
        <scheme val="minor"/>
      </rPr>
      <t>Natural History</t>
    </r>
    <r>
      <rPr>
        <sz val="11"/>
        <color theme="1"/>
        <rFont val="Calibri"/>
        <family val="2"/>
        <scheme val="minor"/>
      </rPr>
      <t>: HBeAg negative chronic HBV infection to hepatocellular carcinoma</t>
    </r>
  </si>
  <si>
    <r>
      <rPr>
        <b/>
        <sz val="11"/>
        <color theme="1"/>
        <rFont val="Calibri"/>
        <family val="2"/>
        <scheme val="minor"/>
      </rPr>
      <t>Natural History</t>
    </r>
    <r>
      <rPr>
        <sz val="11"/>
        <color theme="1"/>
        <rFont val="Calibri"/>
        <family val="2"/>
        <scheme val="minor"/>
      </rPr>
      <t>: Cirrhosis (compensated and decompensated) to hepatocellular carcinoma</t>
    </r>
  </si>
  <si>
    <r>
      <t xml:space="preserve">On Treatment: </t>
    </r>
    <r>
      <rPr>
        <sz val="11"/>
        <color theme="1"/>
        <rFont val="Calibri"/>
        <family val="2"/>
        <scheme val="minor"/>
      </rPr>
      <t>HBeAg negative chronic hepatitis to compensated cirrhosis</t>
    </r>
  </si>
  <si>
    <r>
      <t xml:space="preserve">On Treatment: </t>
    </r>
    <r>
      <rPr>
        <sz val="11"/>
        <color theme="1"/>
        <rFont val="Calibri"/>
        <family val="2"/>
        <scheme val="minor"/>
      </rPr>
      <t>HBeAg positive chronic hepatitis to compensated cirrhosis</t>
    </r>
  </si>
  <si>
    <r>
      <t xml:space="preserve">On Treatment: </t>
    </r>
    <r>
      <rPr>
        <sz val="11"/>
        <color theme="1"/>
        <rFont val="Calibri"/>
        <family val="2"/>
        <scheme val="minor"/>
      </rPr>
      <t>Compensated cirrhosis to decompensated cirrhosis</t>
    </r>
  </si>
  <si>
    <r>
      <t xml:space="preserve">On Treatment: </t>
    </r>
    <r>
      <rPr>
        <sz val="11"/>
        <color theme="1"/>
        <rFont val="Calibri"/>
        <family val="2"/>
        <scheme val="minor"/>
      </rPr>
      <t>HBeAg negative chronic HBV infection to hepatocellular carcinoma</t>
    </r>
  </si>
  <si>
    <r>
      <t xml:space="preserve">On Treatment: </t>
    </r>
    <r>
      <rPr>
        <sz val="11"/>
        <color theme="1"/>
        <rFont val="Calibri"/>
        <family val="2"/>
        <scheme val="minor"/>
      </rPr>
      <t>HBeAg±  chronic hepatitis to hepatocellular carcinoma</t>
    </r>
  </si>
  <si>
    <r>
      <t xml:space="preserve">On Treatment: </t>
    </r>
    <r>
      <rPr>
        <sz val="11"/>
        <color theme="1"/>
        <rFont val="Calibri"/>
        <family val="2"/>
        <scheme val="minor"/>
      </rPr>
      <t>Cirrhosis (compensated and decompensated) to hepatocellular carcinoma</t>
    </r>
  </si>
  <si>
    <t>(1-tx_chb_cc)*eh_cc</t>
  </si>
  <si>
    <t>(1-tx_chb_cc)*sh_cc</t>
  </si>
  <si>
    <r>
      <t xml:space="preserve">On Treatment: </t>
    </r>
    <r>
      <rPr>
        <sz val="11"/>
        <color theme="9" tint="-0.249977111117893"/>
        <rFont val="Calibri"/>
        <family val="2"/>
        <scheme val="minor"/>
      </rPr>
      <t>HBeAg negative chronic infection to HBeAg negative chronic HBV infection</t>
    </r>
  </si>
  <si>
    <t>(1-tx_cc_dc)*cc_dc</t>
  </si>
  <si>
    <r>
      <t xml:space="preserve">Natural History: </t>
    </r>
    <r>
      <rPr>
        <sz val="11"/>
        <color theme="1"/>
        <rFont val="Calibri"/>
        <family val="2"/>
        <scheme val="minor"/>
      </rPr>
      <t>Mortality rate of decompensated cirrhosis</t>
    </r>
  </si>
  <si>
    <r>
      <t xml:space="preserve">Natural History: </t>
    </r>
    <r>
      <rPr>
        <sz val="11"/>
        <color theme="1"/>
        <rFont val="Calibri"/>
        <family val="2"/>
        <scheme val="minor"/>
      </rPr>
      <t>Mortality rate of hepatocellular carcinoma</t>
    </r>
  </si>
  <si>
    <r>
      <t xml:space="preserve">On Treatment: </t>
    </r>
    <r>
      <rPr>
        <sz val="11"/>
        <color theme="1"/>
        <rFont val="Calibri"/>
        <family val="2"/>
        <scheme val="minor"/>
      </rPr>
      <t>Mortality rate of decompensated cirrhosis</t>
    </r>
  </si>
  <si>
    <t>(1-tx_chb_hcc)*si_hcc</t>
  </si>
  <si>
    <t>(1-tx_chb_hcc)*act_hcc</t>
  </si>
  <si>
    <t>(1-tx_dc_death)*dc_dth</t>
  </si>
  <si>
    <t>(1-tx_cir_hcc)*cir_hcc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</si>
</sst>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1"/>
      <color theme="1"/>
      <name val="Calibri"/>
      <family val="2"/>
      <scheme val="minor"/>
    </font>
    <font>
      <sz val="10"/>
      <color rgb="FF000000"/>
      <name val="Tahoma"/>
      <family val="2"/>
    </font>
    <font>
      <sz val="8"/>
      <color rgb="FF000000"/>
      <name val="Tahoma"/>
      <family val="2"/>
    </font>
    <font>
      <sz val="10"/>
      <color rgb="FF000000"/>
      <name val="Calibri"/>
      <family val="2"/>
      <scheme val="minor"/>
    </font>
    <font>
      <sz val="10"/>
      <color rgb="FF000000"/>
      <name val="Calibri"/>
      <family val="2"/>
    </font>
    <font>
      <sz val="8"/>
      <color rgb="FF000000"/>
      <name val="Calibri"/>
      <family val="2"/>
    </font>
    <font>
      <sz val="9"/>
      <color rgb="FF000000"/>
      <name val="Tahoma"/>
      <family val="2"/>
    </font>
    <font>
      <sz val="9"/>
      <color rgb="FF000000"/>
      <name val="Calibri"/>
      <family val="2"/>
      <scheme val="minor"/>
    </font>
    <font>
      <sz val="9"/>
      <color rgb="FF000000"/>
      <name val="Calibri"/>
      <family val="2"/>
    </font>
    <font>
      <sz val="9"/>
      <color indexed="81"/>
      <name val="Tahoma"/>
      <family val="2"/>
    </font>
    <font>
      <b/>
      <sz val="11"/>
      <color theme="0"/>
      <name val="Calibri"/>
      <family val="2"/>
      <scheme val="minor"/>
    </font>
    <font>
      <sz val="11"/>
      <color rgb="FFFF0000"/>
      <name val="Calibri"/>
      <family val="2"/>
      <scheme val="minor"/>
    </font>
    <font>
      <sz val="11"/>
      <color rgb="FF00B050"/>
      <name val="Calibri"/>
      <family val="2"/>
      <scheme val="minor"/>
    </font>
    <font>
      <sz val="11"/>
      <name val="Calibri"/>
      <family val="2"/>
      <scheme val="minor"/>
    </font>
    <font>
      <sz val="11"/>
      <color theme="9" tint="-0.249977111117893"/>
      <name val="Calibri"/>
      <family val="2"/>
      <scheme val="minor"/>
    </font>
    <font>
      <b/>
      <sz val="11"/>
      <color theme="9" tint="-0.249977111117893"/>
      <name val="Calibri"/>
      <family val="2"/>
      <scheme val="minor"/>
    </font>
    <font>
      <sz val="11"/>
      <color theme="9" tint="-0.249977111117893"/>
      <name val="Aptos Narrow"/>
      <family val="2"/>
    </font>
    <font>
      <sz val="11"/>
      <color theme="9" tint="-0.249977111117893"/>
      <name val="Calibri"/>
      <family val="2"/>
    </font>
  </fonts>
  <fills count="12">
    <fill>
      <patternFill patternType="none"/>
    </fill>
    <fill>
      <patternFill patternType="gray125"/>
    </fill>
    <fill>
      <patternFill patternType="solid">
        <fgColor theme="8" tint="0.79998168889431442"/>
        <bgColor indexed="64"/>
      </patternFill>
    </fill>
    <fill>
      <patternFill patternType="solid">
        <fgColor theme="6" tint="0.79998168889431442"/>
        <bgColor indexed="64"/>
      </patternFill>
    </fill>
    <fill>
      <patternFill patternType="solid">
        <fgColor theme="1"/>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9"/>
        <bgColor indexed="64"/>
      </patternFill>
    </fill>
    <fill>
      <patternFill patternType="solid">
        <fgColor theme="6"/>
        <bgColor indexed="64"/>
      </patternFill>
    </fill>
    <fill>
      <patternFill patternType="solid">
        <fgColor theme="8"/>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s>
  <cellStyleXfs count="1">
    <xf numFmtId="0" fontId="0" fillId="0" borderId="0"/>
  </cellStyleXfs>
  <cellXfs count="133">
    <xf numFmtId="0" fontId="0" fillId="0" borderId="0" xfId="0"/>
    <xf numFmtId="0" fontId="1" fillId="0" borderId="0" xfId="0" applyFont="1" applyAlignment="1">
      <alignment horizontal="center"/>
    </xf>
    <xf numFmtId="0" fontId="0" fillId="0" borderId="0" xfId="0" applyAlignment="1">
      <alignment horizontal="center"/>
    </xf>
    <xf numFmtId="0" fontId="1" fillId="0" borderId="0" xfId="0" applyFont="1"/>
    <xf numFmtId="0" fontId="0" fillId="0" borderId="0" xfId="0" applyAlignment="1">
      <alignment horizontal="left"/>
    </xf>
    <xf numFmtId="0" fontId="0" fillId="0" borderId="0" xfId="0" applyAlignment="1">
      <alignment vertical="top"/>
    </xf>
    <xf numFmtId="0" fontId="13" fillId="0" borderId="0" xfId="0" applyFont="1" applyAlignment="1">
      <alignment horizontal="left"/>
    </xf>
    <xf numFmtId="0" fontId="13" fillId="0" borderId="0" xfId="0" applyFont="1"/>
    <xf numFmtId="0" fontId="13" fillId="0" borderId="0" xfId="0" applyFont="1" applyAlignment="1">
      <alignment horizontal="center"/>
    </xf>
    <xf numFmtId="0" fontId="12" fillId="0" borderId="0" xfId="0" applyFont="1" applyAlignment="1">
      <alignment horizontal="left"/>
    </xf>
    <xf numFmtId="0" fontId="12" fillId="0" borderId="0" xfId="0" applyFont="1"/>
    <xf numFmtId="0" fontId="12" fillId="0" borderId="0" xfId="0" applyFont="1" applyAlignment="1">
      <alignment horizontal="center"/>
    </xf>
    <xf numFmtId="0" fontId="1" fillId="2" borderId="0" xfId="0" applyFont="1" applyFill="1" applyAlignment="1">
      <alignment horizontal="left"/>
    </xf>
    <xf numFmtId="0" fontId="1" fillId="2" borderId="0" xfId="0" applyFont="1" applyFill="1"/>
    <xf numFmtId="0" fontId="1" fillId="2" borderId="0" xfId="0" applyFont="1" applyFill="1" applyAlignment="1">
      <alignment horizontal="center"/>
    </xf>
    <xf numFmtId="0" fontId="1" fillId="0" borderId="1" xfId="0" applyFont="1" applyBorder="1"/>
    <xf numFmtId="0" fontId="0" fillId="0" borderId="1" xfId="0" applyBorder="1"/>
    <xf numFmtId="0" fontId="1" fillId="2" borderId="1" xfId="0" applyFont="1" applyFill="1" applyBorder="1"/>
    <xf numFmtId="0" fontId="0" fillId="2" borderId="1" xfId="0" applyFill="1" applyBorder="1"/>
    <xf numFmtId="0" fontId="1" fillId="3" borderId="1" xfId="0" applyFont="1" applyFill="1" applyBorder="1"/>
    <xf numFmtId="0" fontId="0" fillId="3" borderId="1" xfId="0" applyFill="1" applyBorder="1"/>
    <xf numFmtId="0" fontId="0" fillId="4" borderId="1" xfId="0" applyFill="1" applyBorder="1"/>
    <xf numFmtId="0" fontId="11" fillId="4" borderId="1" xfId="0" applyFont="1" applyFill="1" applyBorder="1"/>
    <xf numFmtId="0" fontId="1" fillId="5" borderId="1" xfId="0" applyFont="1" applyFill="1" applyBorder="1"/>
    <xf numFmtId="0" fontId="0" fillId="5" borderId="1" xfId="0" applyFill="1" applyBorder="1"/>
    <xf numFmtId="0" fontId="1" fillId="6" borderId="1" xfId="0" applyFont="1" applyFill="1" applyBorder="1"/>
    <xf numFmtId="0" fontId="0" fillId="6" borderId="1" xfId="0" applyFill="1" applyBorder="1"/>
    <xf numFmtId="0" fontId="1" fillId="7" borderId="1" xfId="0" applyFont="1" applyFill="1" applyBorder="1"/>
    <xf numFmtId="0" fontId="0" fillId="7" borderId="1" xfId="0" applyFill="1" applyBorder="1"/>
    <xf numFmtId="0" fontId="1" fillId="8" borderId="1" xfId="0" applyFont="1" applyFill="1" applyBorder="1"/>
    <xf numFmtId="0" fontId="0" fillId="8" borderId="1" xfId="0" applyFill="1" applyBorder="1"/>
    <xf numFmtId="0" fontId="1" fillId="4" borderId="1" xfId="0" applyFont="1" applyFill="1" applyBorder="1"/>
    <xf numFmtId="0" fontId="0" fillId="4" borderId="0" xfId="0" applyFill="1"/>
    <xf numFmtId="0" fontId="0" fillId="5" borderId="2" xfId="0" applyFill="1" applyBorder="1"/>
    <xf numFmtId="0" fontId="0" fillId="5" borderId="3" xfId="0" applyFill="1" applyBorder="1"/>
    <xf numFmtId="0" fontId="0" fillId="0" borderId="4" xfId="0" applyBorder="1"/>
    <xf numFmtId="0" fontId="0" fillId="2" borderId="5" xfId="0" applyFill="1" applyBorder="1"/>
    <xf numFmtId="0" fontId="0" fillId="5" borderId="6" xfId="0" applyFill="1" applyBorder="1"/>
    <xf numFmtId="0" fontId="0" fillId="5" borderId="7" xfId="0" applyFill="1" applyBorder="1"/>
    <xf numFmtId="0" fontId="0" fillId="5" borderId="8" xfId="0" applyFill="1" applyBorder="1"/>
    <xf numFmtId="0" fontId="0" fillId="5" borderId="9" xfId="0" applyFill="1" applyBorder="1"/>
    <xf numFmtId="0" fontId="0" fillId="5" borderId="10" xfId="0" applyFill="1" applyBorder="1"/>
    <xf numFmtId="0" fontId="0" fillId="5" borderId="11" xfId="0" applyFill="1" applyBorder="1"/>
    <xf numFmtId="0" fontId="0" fillId="5" borderId="12" xfId="0" applyFill="1" applyBorder="1"/>
    <xf numFmtId="0" fontId="0" fillId="5" borderId="13" xfId="0" applyFill="1" applyBorder="1"/>
    <xf numFmtId="0" fontId="0" fillId="2" borderId="14" xfId="0" applyFill="1" applyBorder="1"/>
    <xf numFmtId="0" fontId="0" fillId="2" borderId="2" xfId="0" applyFill="1" applyBorder="1"/>
    <xf numFmtId="0" fontId="0" fillId="2" borderId="3" xfId="0" applyFill="1" applyBorder="1"/>
    <xf numFmtId="0" fontId="0" fillId="5" borderId="15" xfId="0" applyFill="1" applyBorder="1"/>
    <xf numFmtId="0" fontId="0" fillId="5" borderId="4" xfId="0" applyFill="1" applyBorder="1"/>
    <xf numFmtId="0" fontId="0" fillId="3" borderId="5" xfId="0" applyFill="1" applyBorder="1"/>
    <xf numFmtId="0" fontId="0" fillId="2" borderId="6" xfId="0" applyFill="1" applyBorder="1"/>
    <xf numFmtId="0" fontId="0" fillId="2" borderId="7" xfId="0" applyFill="1" applyBorder="1"/>
    <xf numFmtId="0" fontId="0" fillId="2" borderId="8" xfId="0" applyFill="1" applyBorder="1"/>
    <xf numFmtId="0" fontId="0" fillId="2" borderId="9" xfId="0" applyFill="1" applyBorder="1"/>
    <xf numFmtId="0" fontId="0" fillId="2" borderId="10" xfId="0" applyFill="1" applyBorder="1"/>
    <xf numFmtId="0" fontId="0" fillId="2" borderId="11" xfId="0" applyFill="1" applyBorder="1"/>
    <xf numFmtId="0" fontId="0" fillId="2" borderId="12" xfId="0" applyFill="1" applyBorder="1"/>
    <xf numFmtId="0" fontId="0" fillId="2" borderId="13" xfId="0" applyFill="1" applyBorder="1"/>
    <xf numFmtId="0" fontId="0" fillId="3" borderId="14" xfId="0" applyFill="1" applyBorder="1"/>
    <xf numFmtId="0" fontId="0" fillId="3" borderId="2" xfId="0" applyFill="1" applyBorder="1"/>
    <xf numFmtId="0" fontId="0" fillId="3" borderId="3" xfId="0" applyFill="1" applyBorder="1"/>
    <xf numFmtId="0" fontId="0" fillId="2" borderId="15" xfId="0" applyFill="1" applyBorder="1"/>
    <xf numFmtId="0" fontId="0" fillId="2" borderId="4" xfId="0" applyFill="1" applyBorder="1"/>
    <xf numFmtId="0" fontId="0" fillId="6"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0" fontId="0" fillId="3" borderId="11" xfId="0" applyFill="1" applyBorder="1"/>
    <xf numFmtId="0" fontId="0" fillId="3" borderId="12" xfId="0" applyFill="1" applyBorder="1"/>
    <xf numFmtId="0" fontId="0" fillId="3" borderId="13" xfId="0" applyFill="1" applyBorder="1"/>
    <xf numFmtId="0" fontId="0" fillId="6" borderId="14" xfId="0" applyFill="1" applyBorder="1"/>
    <xf numFmtId="0" fontId="0" fillId="6" borderId="2" xfId="0" applyFill="1" applyBorder="1"/>
    <xf numFmtId="0" fontId="0" fillId="3" borderId="15" xfId="0" applyFill="1" applyBorder="1"/>
    <xf numFmtId="0" fontId="0" fillId="3" borderId="4" xfId="0" applyFill="1" applyBorder="1"/>
    <xf numFmtId="0" fontId="0" fillId="7" borderId="5" xfId="0" applyFill="1" applyBorder="1"/>
    <xf numFmtId="0" fontId="0" fillId="6" borderId="6" xfId="0" applyFill="1" applyBorder="1"/>
    <xf numFmtId="0" fontId="0" fillId="6" borderId="7" xfId="0" applyFill="1" applyBorder="1"/>
    <xf numFmtId="0" fontId="0" fillId="6" borderId="8" xfId="0" applyFill="1" applyBorder="1"/>
    <xf numFmtId="0" fontId="0" fillId="6" borderId="9" xfId="0" applyFill="1" applyBorder="1"/>
    <xf numFmtId="0" fontId="0" fillId="6" borderId="10" xfId="0" applyFill="1" applyBorder="1"/>
    <xf numFmtId="0" fontId="0" fillId="6" borderId="11" xfId="0" applyFill="1" applyBorder="1"/>
    <xf numFmtId="0" fontId="0" fillId="6" borderId="12" xfId="0" applyFill="1" applyBorder="1"/>
    <xf numFmtId="0" fontId="0" fillId="6" borderId="13" xfId="0" applyFill="1" applyBorder="1"/>
    <xf numFmtId="0" fontId="0" fillId="7" borderId="14" xfId="0" applyFill="1" applyBorder="1"/>
    <xf numFmtId="0" fontId="0" fillId="7" borderId="2" xfId="0" applyFill="1" applyBorder="1"/>
    <xf numFmtId="0" fontId="0" fillId="8" borderId="5" xfId="0" applyFill="1" applyBorder="1"/>
    <xf numFmtId="0" fontId="0" fillId="7" borderId="6" xfId="0" applyFill="1" applyBorder="1"/>
    <xf numFmtId="0" fontId="0" fillId="7" borderId="7" xfId="0" applyFill="1" applyBorder="1"/>
    <xf numFmtId="0" fontId="0" fillId="7" borderId="8" xfId="0" applyFill="1" applyBorder="1"/>
    <xf numFmtId="0" fontId="0" fillId="7" borderId="9" xfId="0" applyFill="1" applyBorder="1"/>
    <xf numFmtId="0" fontId="0" fillId="7" borderId="10" xfId="0" applyFill="1" applyBorder="1"/>
    <xf numFmtId="0" fontId="0" fillId="7" borderId="11" xfId="0" applyFill="1" applyBorder="1"/>
    <xf numFmtId="0" fontId="0" fillId="7" borderId="12" xfId="0" applyFill="1" applyBorder="1"/>
    <xf numFmtId="0" fontId="0" fillId="7" borderId="13" xfId="0" applyFill="1" applyBorder="1"/>
    <xf numFmtId="0" fontId="0" fillId="8" borderId="14" xfId="0" applyFill="1" applyBorder="1"/>
    <xf numFmtId="0" fontId="0" fillId="8" borderId="2" xfId="0" applyFill="1" applyBorder="1"/>
    <xf numFmtId="0" fontId="0" fillId="5" borderId="5" xfId="0" applyFill="1" applyBorder="1"/>
    <xf numFmtId="0" fontId="0" fillId="8" borderId="6" xfId="0" applyFill="1" applyBorder="1"/>
    <xf numFmtId="0" fontId="0" fillId="8" borderId="7" xfId="0" applyFill="1" applyBorder="1"/>
    <xf numFmtId="0" fontId="0" fillId="8" borderId="8" xfId="0" applyFill="1" applyBorder="1"/>
    <xf numFmtId="0" fontId="0" fillId="8" borderId="9" xfId="0" applyFill="1" applyBorder="1"/>
    <xf numFmtId="0" fontId="0" fillId="8" borderId="10" xfId="0" applyFill="1" applyBorder="1"/>
    <xf numFmtId="0" fontId="0" fillId="8" borderId="11" xfId="0" applyFill="1" applyBorder="1"/>
    <xf numFmtId="0" fontId="0" fillId="8" borderId="12" xfId="0" applyFill="1" applyBorder="1"/>
    <xf numFmtId="0" fontId="0" fillId="8" borderId="13" xfId="0" applyFill="1" applyBorder="1"/>
    <xf numFmtId="0" fontId="0" fillId="5" borderId="14" xfId="0" applyFill="1" applyBorder="1"/>
    <xf numFmtId="0" fontId="14" fillId="9" borderId="1" xfId="0" applyFont="1" applyFill="1" applyBorder="1"/>
    <xf numFmtId="0" fontId="14" fillId="9" borderId="3" xfId="0" applyFont="1" applyFill="1" applyBorder="1"/>
    <xf numFmtId="0" fontId="14" fillId="9" borderId="15" xfId="0" applyFont="1" applyFill="1" applyBorder="1"/>
    <xf numFmtId="0" fontId="14" fillId="9" borderId="4" xfId="0" applyFont="1" applyFill="1" applyBorder="1"/>
    <xf numFmtId="0" fontId="0" fillId="10" borderId="3" xfId="0" applyFill="1" applyBorder="1"/>
    <xf numFmtId="0" fontId="0" fillId="10" borderId="1" xfId="0" applyFill="1" applyBorder="1"/>
    <xf numFmtId="0" fontId="0" fillId="10" borderId="15" xfId="0" applyFill="1" applyBorder="1"/>
    <xf numFmtId="0" fontId="0" fillId="10" borderId="4" xfId="0" applyFill="1" applyBorder="1"/>
    <xf numFmtId="0" fontId="0" fillId="11" borderId="1" xfId="0" applyFill="1" applyBorder="1"/>
    <xf numFmtId="0" fontId="0" fillId="11" borderId="3" xfId="0" applyFill="1" applyBorder="1"/>
    <xf numFmtId="0" fontId="0" fillId="11" borderId="15" xfId="0" applyFill="1" applyBorder="1"/>
    <xf numFmtId="0" fontId="0" fillId="11" borderId="4" xfId="0" applyFill="1" applyBorder="1"/>
    <xf numFmtId="0" fontId="11" fillId="4" borderId="0" xfId="0" applyFont="1" applyFill="1" applyAlignment="1">
      <alignment horizontal="left"/>
    </xf>
    <xf numFmtId="0" fontId="11" fillId="4" borderId="0" xfId="0" applyFont="1" applyFill="1"/>
    <xf numFmtId="0" fontId="11" fillId="4" borderId="0" xfId="0" applyFont="1" applyFill="1" applyAlignment="1">
      <alignment horizontal="center"/>
    </xf>
    <xf numFmtId="0" fontId="0" fillId="0" borderId="0" xfId="0" applyFont="1"/>
    <xf numFmtId="0" fontId="0" fillId="0" borderId="0" xfId="0" applyAlignment="1">
      <alignment horizontal="left" vertical="center"/>
    </xf>
    <xf numFmtId="0" fontId="0" fillId="0" borderId="0" xfId="0" applyAlignment="1">
      <alignment vertical="center"/>
    </xf>
    <xf numFmtId="0" fontId="0" fillId="0" borderId="0" xfId="0" applyAlignment="1">
      <alignment horizontal="center" vertical="center" wrapText="1"/>
    </xf>
    <xf numFmtId="0" fontId="0" fillId="0" borderId="0" xfId="0" applyAlignment="1">
      <alignment horizontal="center" vertical="center"/>
    </xf>
    <xf numFmtId="0" fontId="15" fillId="0" borderId="0" xfId="0" applyFont="1" applyAlignment="1">
      <alignment horizontal="left"/>
    </xf>
    <xf numFmtId="0" fontId="15" fillId="0" borderId="0" xfId="0" applyFont="1"/>
    <xf numFmtId="0" fontId="16" fillId="0" borderId="0" xfId="0" applyFont="1"/>
    <xf numFmtId="0" fontId="15" fillId="0" borderId="0" xfId="0" applyFont="1" applyAlignment="1">
      <alignment horizontal="center"/>
    </xf>
  </cellXfs>
  <cellStyles count="1">
    <cellStyle name="Normal" xfId="0" builtinId="0"/>
  </cellStyles>
  <dxfs count="12">
    <dxf>
      <fill>
        <patternFill>
          <bgColor theme="5" tint="0.79998168889431442"/>
        </patternFill>
      </fill>
    </dxf>
    <dxf>
      <fill>
        <patternFill>
          <bgColor theme="5" tint="0.79998168889431442"/>
        </patternFill>
      </fill>
    </dxf>
    <dxf>
      <fill>
        <patternFill>
          <bgColor rgb="FFFF0000"/>
        </patternFill>
      </fill>
    </dxf>
    <dxf>
      <fill>
        <patternFill>
          <bgColor theme="5" tint="0.79998168889431442"/>
        </patternFill>
      </fill>
    </dxf>
    <dxf>
      <fill>
        <patternFill>
          <bgColor theme="5" tint="0.79998168889431442"/>
        </patternFill>
      </fill>
    </dxf>
    <dxf>
      <fill>
        <patternFill>
          <bgColor rgb="FFFF0000"/>
        </patternFill>
      </fill>
    </dxf>
    <dxf>
      <fill>
        <patternFill>
          <bgColor theme="5" tint="0.79998168889431442"/>
        </patternFill>
      </fill>
    </dxf>
    <dxf>
      <fill>
        <patternFill>
          <bgColor rgb="FFFF0000"/>
        </patternFill>
      </fill>
    </dxf>
    <dxf>
      <fill>
        <patternFill>
          <bgColor theme="5" tint="0.79998168889431442"/>
        </patternFill>
      </fill>
    </dxf>
    <dxf>
      <fill>
        <patternFill>
          <bgColor rgb="FFFF0000"/>
        </patternFill>
      </fill>
    </dxf>
    <dxf>
      <fill>
        <patternFill>
          <bgColor theme="5" tint="0.79998168889431442"/>
        </patternFill>
      </fill>
    </dxf>
    <dxf>
      <fill>
        <patternFill>
          <bgColor theme="5"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EF971-4BEF-4E47-AA22-99A396340633}">
  <sheetPr>
    <tabColor rgb="FFFFC000"/>
  </sheetPr>
  <dimension ref="A1:B2"/>
  <sheetViews>
    <sheetView topLeftCell="A2" workbookViewId="0">
      <selection activeCell="B2" sqref="B2"/>
    </sheetView>
    <sheetView workbookViewId="1"/>
  </sheetViews>
  <sheetFormatPr defaultColWidth="8.81640625" defaultRowHeight="14.5" x14ac:dyDescent="0.35"/>
  <cols>
    <col min="1" max="1" width="21.453125" customWidth="1"/>
    <col min="2" max="2" width="74.81640625" customWidth="1"/>
  </cols>
  <sheetData>
    <row r="1" spans="1:2" x14ac:dyDescent="0.35">
      <c r="A1" s="3" t="s">
        <v>32</v>
      </c>
      <c r="B1" s="3" t="s">
        <v>33</v>
      </c>
    </row>
    <row r="2" spans="1:2" ht="234.75" customHeight="1" x14ac:dyDescent="0.35">
      <c r="A2" s="5" t="s">
        <v>34</v>
      </c>
      <c r="B2" s="5" t="s">
        <v>37</v>
      </c>
    </row>
  </sheetData>
  <pageMargins left="0.7" right="0.7" top="0.75" bottom="0.75" header="0.3" footer="0.3"/>
  <pageSetup paperSize="0"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sheetPr>
  <dimension ref="A1:B4"/>
  <sheetViews>
    <sheetView workbookViewId="0">
      <selection activeCell="B11" sqref="B11"/>
    </sheetView>
    <sheetView workbookViewId="1">
      <selection activeCell="A5" sqref="A5"/>
    </sheetView>
  </sheetViews>
  <sheetFormatPr defaultColWidth="8.81640625" defaultRowHeight="14.5" x14ac:dyDescent="0.35"/>
  <cols>
    <col min="1" max="1" width="20.7265625" customWidth="1"/>
    <col min="2" max="2" width="18.54296875" bestFit="1" customWidth="1"/>
  </cols>
  <sheetData>
    <row r="1" spans="1:2" x14ac:dyDescent="0.35">
      <c r="A1" s="1" t="s">
        <v>0</v>
      </c>
      <c r="B1" s="1" t="s">
        <v>1</v>
      </c>
    </row>
    <row r="2" spans="1:2" x14ac:dyDescent="0.35">
      <c r="A2" t="s">
        <v>184</v>
      </c>
      <c r="B2" t="s">
        <v>185</v>
      </c>
    </row>
    <row r="3" spans="1:2" x14ac:dyDescent="0.35">
      <c r="A3" t="s">
        <v>228</v>
      </c>
      <c r="B3" t="s">
        <v>229</v>
      </c>
    </row>
    <row r="4" spans="1:2" x14ac:dyDescent="0.35">
      <c r="A4" t="s">
        <v>230</v>
      </c>
      <c r="B4" t="s">
        <v>195</v>
      </c>
    </row>
  </sheetData>
  <conditionalFormatting sqref="B1:B1048576">
    <cfRule type="expression" dxfId="11" priority="1">
      <formula>AND(A1&lt;&gt;"",NOT(B1&lt;&gt;""))</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E1581-31F4-42B1-9DE6-29B15D89E18B}">
  <sheetPr>
    <tabColor theme="5" tint="0.79998168889431442"/>
  </sheetPr>
  <dimension ref="A1:B2"/>
  <sheetViews>
    <sheetView workbookViewId="0">
      <selection activeCell="B8" sqref="B8"/>
    </sheetView>
    <sheetView workbookViewId="1"/>
  </sheetViews>
  <sheetFormatPr defaultColWidth="8.81640625" defaultRowHeight="14.5" x14ac:dyDescent="0.35"/>
  <cols>
    <col min="1" max="1" width="11" bestFit="1" customWidth="1"/>
    <col min="2" max="2" width="37" customWidth="1"/>
  </cols>
  <sheetData>
    <row r="1" spans="1:2" x14ac:dyDescent="0.35">
      <c r="A1" s="3" t="s">
        <v>41</v>
      </c>
      <c r="B1" s="3" t="s">
        <v>33</v>
      </c>
    </row>
    <row r="2" spans="1:2" x14ac:dyDescent="0.35">
      <c r="A2" t="s">
        <v>42</v>
      </c>
      <c r="B2" t="s">
        <v>43</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79998168889431442"/>
  </sheetPr>
  <dimension ref="A1:M40"/>
  <sheetViews>
    <sheetView zoomScale="115" zoomScaleNormal="115" workbookViewId="0">
      <selection activeCell="I10" sqref="I10"/>
    </sheetView>
    <sheetView workbookViewId="1"/>
  </sheetViews>
  <sheetFormatPr defaultColWidth="8.81640625" defaultRowHeight="14.5" x14ac:dyDescent="0.35"/>
  <cols>
    <col min="1" max="1" width="10.7265625" style="4" customWidth="1"/>
    <col min="2" max="2" width="60.26953125" bestFit="1" customWidth="1"/>
    <col min="3" max="3" width="10.7265625" style="2" customWidth="1"/>
    <col min="4" max="4" width="8.7265625" style="2" customWidth="1"/>
    <col min="5" max="5" width="12.7265625" style="2" customWidth="1"/>
    <col min="6" max="6" width="14.7265625" customWidth="1"/>
    <col min="7" max="7" width="13.7265625" customWidth="1"/>
    <col min="8" max="8" width="14.7265625" customWidth="1"/>
    <col min="9" max="9" width="14.7265625" style="2" customWidth="1"/>
    <col min="10" max="10" width="15.7265625" customWidth="1"/>
    <col min="11" max="11" width="14.7265625" customWidth="1"/>
    <col min="12" max="12" width="11.26953125" bestFit="1" customWidth="1"/>
    <col min="13" max="13" width="10.26953125" bestFit="1" customWidth="1"/>
  </cols>
  <sheetData>
    <row r="1" spans="1:13" s="2" customFormat="1" x14ac:dyDescent="0.35">
      <c r="A1" s="1" t="s">
        <v>2</v>
      </c>
      <c r="B1" s="1" t="s">
        <v>3</v>
      </c>
      <c r="C1" s="1" t="s">
        <v>6</v>
      </c>
      <c r="D1" s="1" t="s">
        <v>7</v>
      </c>
      <c r="E1" s="1" t="s">
        <v>8</v>
      </c>
      <c r="F1" s="1" t="s">
        <v>10</v>
      </c>
      <c r="G1" s="1" t="s">
        <v>35</v>
      </c>
      <c r="H1" s="1" t="s">
        <v>11</v>
      </c>
      <c r="I1" s="1" t="s">
        <v>12</v>
      </c>
      <c r="J1" s="1" t="s">
        <v>39</v>
      </c>
      <c r="K1" s="1" t="s">
        <v>44</v>
      </c>
      <c r="L1" s="1" t="s">
        <v>49</v>
      </c>
      <c r="M1" s="1" t="s">
        <v>50</v>
      </c>
    </row>
    <row r="2" spans="1:13" x14ac:dyDescent="0.35">
      <c r="A2" s="12" t="s">
        <v>76</v>
      </c>
      <c r="B2" s="13" t="s">
        <v>77</v>
      </c>
      <c r="C2" s="14"/>
      <c r="D2" s="14"/>
      <c r="E2" s="14" t="s">
        <v>53</v>
      </c>
      <c r="F2" s="14"/>
      <c r="G2" s="14"/>
      <c r="H2" s="14" t="s">
        <v>184</v>
      </c>
      <c r="I2" s="14"/>
      <c r="J2" s="14"/>
      <c r="K2" s="14"/>
      <c r="L2" s="13"/>
      <c r="M2" s="13"/>
    </row>
    <row r="3" spans="1:13" x14ac:dyDescent="0.35">
      <c r="A3" s="6" t="s">
        <v>51</v>
      </c>
      <c r="B3" s="7" t="s">
        <v>52</v>
      </c>
      <c r="C3" s="8" t="s">
        <v>53</v>
      </c>
      <c r="D3" s="8"/>
      <c r="E3" s="8"/>
      <c r="F3" s="7"/>
      <c r="G3" s="8"/>
      <c r="H3" s="7"/>
      <c r="I3" s="8"/>
      <c r="J3" s="7"/>
      <c r="K3" s="7"/>
      <c r="L3" s="7"/>
      <c r="M3" s="7"/>
    </row>
    <row r="4" spans="1:13" x14ac:dyDescent="0.35">
      <c r="A4" s="6" t="s">
        <v>54</v>
      </c>
      <c r="B4" s="7" t="s">
        <v>55</v>
      </c>
      <c r="C4" s="8" t="s">
        <v>53</v>
      </c>
      <c r="D4" s="8"/>
      <c r="E4" s="11"/>
      <c r="F4" s="10"/>
      <c r="G4" s="10"/>
      <c r="H4" s="10"/>
      <c r="I4" s="11"/>
      <c r="J4" s="10"/>
      <c r="K4" s="10"/>
      <c r="L4" s="10"/>
      <c r="M4" s="10"/>
    </row>
    <row r="5" spans="1:13" x14ac:dyDescent="0.35">
      <c r="A5" s="9" t="s">
        <v>56</v>
      </c>
      <c r="B5" s="10" t="s">
        <v>57</v>
      </c>
      <c r="C5" s="11"/>
      <c r="D5" s="11" t="s">
        <v>53</v>
      </c>
      <c r="E5" s="11"/>
      <c r="F5" s="10"/>
      <c r="G5" s="10"/>
      <c r="H5" s="10"/>
      <c r="I5" s="11"/>
      <c r="J5" s="10"/>
      <c r="K5" s="10"/>
      <c r="L5" s="10"/>
      <c r="M5" s="10"/>
    </row>
    <row r="6" spans="1:13" x14ac:dyDescent="0.35">
      <c r="A6" s="9" t="s">
        <v>58</v>
      </c>
      <c r="B6" s="10" t="s">
        <v>59</v>
      </c>
      <c r="C6" s="11"/>
      <c r="D6" s="11" t="s">
        <v>53</v>
      </c>
      <c r="E6" s="11"/>
      <c r="F6" s="10"/>
      <c r="G6" s="10"/>
      <c r="H6" s="10"/>
      <c r="I6" s="11"/>
      <c r="J6" s="10"/>
      <c r="K6" s="10"/>
      <c r="L6" s="10"/>
      <c r="M6" s="10"/>
    </row>
    <row r="7" spans="1:13" x14ac:dyDescent="0.35">
      <c r="A7" s="9" t="s">
        <v>60</v>
      </c>
      <c r="B7" s="10" t="s">
        <v>61</v>
      </c>
      <c r="C7" s="11"/>
      <c r="D7" s="11" t="s">
        <v>53</v>
      </c>
    </row>
    <row r="8" spans="1:13" x14ac:dyDescent="0.35">
      <c r="A8" s="4" t="s">
        <v>62</v>
      </c>
      <c r="B8" t="s">
        <v>63</v>
      </c>
    </row>
    <row r="9" spans="1:13" x14ac:dyDescent="0.35">
      <c r="A9" s="4" t="s">
        <v>64</v>
      </c>
      <c r="B9" t="s">
        <v>65</v>
      </c>
    </row>
    <row r="10" spans="1:13" x14ac:dyDescent="0.35">
      <c r="A10" s="4" t="s">
        <v>66</v>
      </c>
      <c r="B10" t="s">
        <v>67</v>
      </c>
    </row>
    <row r="11" spans="1:13" x14ac:dyDescent="0.35">
      <c r="A11" s="4" t="s">
        <v>68</v>
      </c>
      <c r="B11" t="s">
        <v>69</v>
      </c>
    </row>
    <row r="12" spans="1:13" x14ac:dyDescent="0.35">
      <c r="A12" s="4" t="s">
        <v>70</v>
      </c>
      <c r="B12" t="s">
        <v>71</v>
      </c>
    </row>
    <row r="13" spans="1:13" x14ac:dyDescent="0.35">
      <c r="A13" s="4" t="s">
        <v>72</v>
      </c>
      <c r="B13" t="s">
        <v>103</v>
      </c>
    </row>
    <row r="14" spans="1:13" x14ac:dyDescent="0.35">
      <c r="A14" s="4" t="s">
        <v>73</v>
      </c>
      <c r="B14" t="s">
        <v>104</v>
      </c>
    </row>
    <row r="15" spans="1:13" x14ac:dyDescent="0.35">
      <c r="A15" s="4" t="s">
        <v>74</v>
      </c>
      <c r="B15" t="s">
        <v>105</v>
      </c>
    </row>
    <row r="16" spans="1:13" x14ac:dyDescent="0.35">
      <c r="A16" s="4" t="s">
        <v>75</v>
      </c>
      <c r="B16" t="s">
        <v>106</v>
      </c>
    </row>
    <row r="17" spans="1:2" x14ac:dyDescent="0.35">
      <c r="A17" s="4" t="s">
        <v>78</v>
      </c>
      <c r="B17" t="s">
        <v>107</v>
      </c>
    </row>
    <row r="18" spans="1:2" x14ac:dyDescent="0.35">
      <c r="A18" s="4" t="s">
        <v>79</v>
      </c>
      <c r="B18" t="s">
        <v>108</v>
      </c>
    </row>
    <row r="19" spans="1:2" x14ac:dyDescent="0.35">
      <c r="A19" s="4" t="s">
        <v>80</v>
      </c>
      <c r="B19" t="s">
        <v>102</v>
      </c>
    </row>
    <row r="20" spans="1:2" x14ac:dyDescent="0.35">
      <c r="A20" s="4" t="s">
        <v>81</v>
      </c>
      <c r="B20" t="s">
        <v>109</v>
      </c>
    </row>
    <row r="21" spans="1:2" x14ac:dyDescent="0.35">
      <c r="A21" s="4" t="s">
        <v>82</v>
      </c>
      <c r="B21" t="s">
        <v>110</v>
      </c>
    </row>
    <row r="22" spans="1:2" x14ac:dyDescent="0.35">
      <c r="A22" s="4" t="s">
        <v>83</v>
      </c>
      <c r="B22" t="s">
        <v>111</v>
      </c>
    </row>
    <row r="23" spans="1:2" x14ac:dyDescent="0.35">
      <c r="A23" s="4" t="s">
        <v>84</v>
      </c>
      <c r="B23" t="s">
        <v>112</v>
      </c>
    </row>
    <row r="24" spans="1:2" x14ac:dyDescent="0.35">
      <c r="A24" s="4" t="s">
        <v>85</v>
      </c>
      <c r="B24" t="s">
        <v>113</v>
      </c>
    </row>
    <row r="25" spans="1:2" x14ac:dyDescent="0.35">
      <c r="A25" s="4" t="s">
        <v>86</v>
      </c>
      <c r="B25" t="s">
        <v>114</v>
      </c>
    </row>
    <row r="26" spans="1:2" x14ac:dyDescent="0.35">
      <c r="A26" s="4" t="s">
        <v>87</v>
      </c>
      <c r="B26" t="s">
        <v>115</v>
      </c>
    </row>
    <row r="27" spans="1:2" x14ac:dyDescent="0.35">
      <c r="A27" s="4" t="s">
        <v>88</v>
      </c>
      <c r="B27" t="s">
        <v>116</v>
      </c>
    </row>
    <row r="28" spans="1:2" x14ac:dyDescent="0.35">
      <c r="A28" s="4" t="s">
        <v>89</v>
      </c>
      <c r="B28" t="s">
        <v>117</v>
      </c>
    </row>
    <row r="29" spans="1:2" x14ac:dyDescent="0.35">
      <c r="A29" s="4" t="s">
        <v>90</v>
      </c>
      <c r="B29" t="s">
        <v>118</v>
      </c>
    </row>
    <row r="30" spans="1:2" x14ac:dyDescent="0.35">
      <c r="A30" s="4" t="s">
        <v>91</v>
      </c>
      <c r="B30" t="s">
        <v>119</v>
      </c>
    </row>
    <row r="31" spans="1:2" x14ac:dyDescent="0.35">
      <c r="A31" s="4" t="s">
        <v>92</v>
      </c>
      <c r="B31" t="s">
        <v>120</v>
      </c>
    </row>
    <row r="32" spans="1:2" x14ac:dyDescent="0.35">
      <c r="A32" s="4" t="s">
        <v>93</v>
      </c>
      <c r="B32" t="s">
        <v>121</v>
      </c>
    </row>
    <row r="33" spans="1:2" x14ac:dyDescent="0.35">
      <c r="A33" s="4" t="s">
        <v>94</v>
      </c>
      <c r="B33" t="s">
        <v>122</v>
      </c>
    </row>
    <row r="34" spans="1:2" x14ac:dyDescent="0.35">
      <c r="A34" s="4" t="s">
        <v>95</v>
      </c>
      <c r="B34" t="s">
        <v>123</v>
      </c>
    </row>
    <row r="35" spans="1:2" x14ac:dyDescent="0.35">
      <c r="A35" s="4" t="s">
        <v>97</v>
      </c>
      <c r="B35" t="s">
        <v>124</v>
      </c>
    </row>
    <row r="36" spans="1:2" x14ac:dyDescent="0.35">
      <c r="A36" s="4" t="s">
        <v>96</v>
      </c>
      <c r="B36" t="s">
        <v>125</v>
      </c>
    </row>
    <row r="37" spans="1:2" x14ac:dyDescent="0.35">
      <c r="A37" s="4" t="s">
        <v>98</v>
      </c>
      <c r="B37" t="s">
        <v>126</v>
      </c>
    </row>
    <row r="38" spans="1:2" x14ac:dyDescent="0.35">
      <c r="A38" s="4" t="s">
        <v>99</v>
      </c>
      <c r="B38" t="s">
        <v>127</v>
      </c>
    </row>
    <row r="39" spans="1:2" x14ac:dyDescent="0.35">
      <c r="A39" s="4" t="s">
        <v>100</v>
      </c>
      <c r="B39" t="s">
        <v>128</v>
      </c>
    </row>
    <row r="40" spans="1:2" x14ac:dyDescent="0.35">
      <c r="A40" s="4" t="s">
        <v>101</v>
      </c>
      <c r="B40" t="s">
        <v>129</v>
      </c>
    </row>
  </sheetData>
  <sheetProtection formatCells="0" formatColumns="0" formatRows="0" insertColumns="0" insertRows="0" insertHyperlinks="0" deleteColumns="0" deleteRows="0" sort="0" autoFilter="0" pivotTables="0"/>
  <conditionalFormatting sqref="B1:B1048576">
    <cfRule type="expression" dxfId="10" priority="4">
      <formula>AND(A1&lt;&gt;"",NOT(B1&lt;&gt;""))</formula>
    </cfRule>
  </conditionalFormatting>
  <conditionalFormatting sqref="H2:H1048576">
    <cfRule type="expression" dxfId="8" priority="2">
      <formula>AND(I2&lt;&gt;"",NOT(H2&lt;&gt;""))</formula>
    </cfRule>
  </conditionalFormatting>
  <dataValidations count="1">
    <dataValidation type="list" allowBlank="1" showInputMessage="1" showErrorMessage="1" sqref="C1:E1048576" xr:uid="{EFA3D3D9-56A8-43F0-A737-1EDBC3038312}">
      <formula1>"n,y"</formula1>
    </dataValidation>
  </dataValidations>
  <pageMargins left="0.7" right="0.7" top="0.75" bottom="0.75" header="0.3" footer="0.3"/>
  <pageSetup paperSize="0"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1" id="{0238372B-F012-4B98-A58B-305EDC0BD903}">
            <xm:f>AND(H2&lt;&gt;"",ISERROR(MATCH(H2,'Databook Pages'!$A:$A,0)))</xm:f>
            <x14:dxf>
              <fill>
                <patternFill>
                  <bgColor rgb="FFFF0000"/>
                </patternFill>
              </fill>
            </x14:dxf>
          </x14:cfRule>
          <xm:sqref>H2:H1048576</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C2776057-0350-4E7C-BAC5-318FB06D10B4}">
          <x14:formula1>
            <xm:f>'Databook Pages'!$A$2:$A$9999</xm:f>
          </x14:formula1>
          <xm:sqref>H2:H1048576</xm:sqref>
        </x14:dataValidation>
        <x14:dataValidation type="list" allowBlank="1" showInputMessage="1" showErrorMessage="1" xr:uid="{CA76BCBF-510E-44FC-AA8B-F65C1FAD9B61}">
          <x14:formula1>
            <xm:f>'Population types'!$A$2:$A$9999</xm:f>
          </x14:formula1>
          <xm:sqref>K1:K1048576</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79998168889431442"/>
  </sheetPr>
  <dimension ref="A1:OH398"/>
  <sheetViews>
    <sheetView tabSelected="1" topLeftCell="C21" zoomScale="55" zoomScaleNormal="55" workbookViewId="0">
      <selection activeCell="X21" sqref="X21"/>
    </sheetView>
    <sheetView workbookViewId="1"/>
  </sheetViews>
  <sheetFormatPr defaultColWidth="8.81640625" defaultRowHeight="14.5" x14ac:dyDescent="0.35"/>
  <cols>
    <col min="1" max="1" width="16.26953125" style="3" bestFit="1" customWidth="1"/>
    <col min="3" max="3" width="9.54296875" bestFit="1" customWidth="1"/>
    <col min="4" max="4" width="10" bestFit="1" customWidth="1"/>
    <col min="5" max="5" width="9.1796875" bestFit="1" customWidth="1"/>
    <col min="6" max="6" width="9.54296875" bestFit="1" customWidth="1"/>
    <col min="7" max="7" width="10" bestFit="1" customWidth="1"/>
    <col min="8" max="8" width="11" customWidth="1"/>
    <col min="9" max="9" width="9.54296875" customWidth="1"/>
    <col min="10" max="10" width="12" style="32" bestFit="1" customWidth="1"/>
    <col min="11" max="11" width="12.1796875" bestFit="1" customWidth="1"/>
    <col min="12" max="12" width="9.81640625" bestFit="1" customWidth="1"/>
    <col min="14" max="14" width="9.26953125" bestFit="1" customWidth="1"/>
    <col min="20" max="20" width="9.81640625" bestFit="1" customWidth="1"/>
    <col min="24" max="24" width="9.81640625" bestFit="1" customWidth="1"/>
    <col min="28" max="28" width="9.81640625" bestFit="1" customWidth="1"/>
    <col min="40" max="40" width="9.1796875" bestFit="1" customWidth="1"/>
  </cols>
  <sheetData>
    <row r="1" spans="1:398" s="3" customFormat="1" x14ac:dyDescent="0.35">
      <c r="A1" s="15"/>
      <c r="B1" s="15" t="str">
        <f>IF(Compartments!$A2&lt;&gt;"",Compartments!$A2,"")</f>
        <v>j_init</v>
      </c>
      <c r="C1" s="15" t="str">
        <f>IF(Compartments!$A3&lt;&gt;"",Compartments!$A3,"")</f>
        <v>src_births</v>
      </c>
      <c r="D1" s="15" t="str">
        <f>IF(Compartments!$A4&lt;&gt;"",Compartments!$A4,"")</f>
        <v>src_immig</v>
      </c>
      <c r="E1" s="15" t="str">
        <f>IF(Compartments!$A5&lt;&gt;"",Compartments!$A5,"")</f>
        <v>snk_odth</v>
      </c>
      <c r="F1" s="15" t="str">
        <f>IF(Compartments!$A6&lt;&gt;"",Compartments!$A6,"")</f>
        <v>snk_hdth</v>
      </c>
      <c r="G1" s="15" t="str">
        <f>IF(Compartments!$A7&lt;&gt;"",Compartments!$A7,"")</f>
        <v>snk_emig</v>
      </c>
      <c r="H1" s="15" t="str">
        <f>IF(Compartments!$A8&lt;&gt;"",Compartments!$A8,"")</f>
        <v>sus</v>
      </c>
      <c r="I1" s="15" t="str">
        <f>IF(Compartments!$A9&lt;&gt;"",Compartments!$A9,"")</f>
        <v>vax</v>
      </c>
      <c r="J1" s="31" t="str">
        <f>IF(Compartments!$A10&lt;&gt;"",Compartments!$A10,"")</f>
        <v>imm_acu</v>
      </c>
      <c r="K1" s="15" t="str">
        <f>IF(Compartments!$A11&lt;&gt;"",Compartments!$A11,"")</f>
        <v>imm_chb</v>
      </c>
      <c r="L1" s="15" t="str">
        <f>IF(Compartments!$A12&lt;&gt;"",Compartments!$A12,"")</f>
        <v>acu</v>
      </c>
      <c r="M1" s="15" t="str">
        <f>IF(Compartments!$A13&lt;&gt;"",Compartments!$A13,"")</f>
        <v>ei</v>
      </c>
      <c r="N1" s="15" t="str">
        <f>IF(Compartments!$A14&lt;&gt;"",Compartments!$A14,"")</f>
        <v>ei_d</v>
      </c>
      <c r="O1" s="15" t="str">
        <f>IF(Compartments!$A15&lt;&gt;"",Compartments!$A15,"")</f>
        <v>ei_l</v>
      </c>
      <c r="P1" s="15" t="str">
        <f>IF(Compartments!$A16&lt;&gt;"",Compartments!$A16,"")</f>
        <v>ei_t</v>
      </c>
      <c r="Q1" s="15" t="str">
        <f>IF(Compartments!$A17&lt;&gt;"",Compartments!$A17,"")</f>
        <v>eh</v>
      </c>
      <c r="R1" s="15" t="str">
        <f>IF(Compartments!$A18&lt;&gt;"",Compartments!$A18,"")</f>
        <v>eh_d</v>
      </c>
      <c r="S1" s="15" t="str">
        <f>IF(Compartments!$A19&lt;&gt;"",Compartments!$A19,"")</f>
        <v>eh_l</v>
      </c>
      <c r="T1" s="15" t="str">
        <f>IF(Compartments!$A20&lt;&gt;"",Compartments!$A20,"")</f>
        <v>eh_t</v>
      </c>
      <c r="U1" s="15" t="str">
        <f>IF(Compartments!$A21&lt;&gt;"",Compartments!$A21,"")</f>
        <v>si</v>
      </c>
      <c r="V1" s="15" t="str">
        <f>IF(Compartments!$A22&lt;&gt;"",Compartments!$A22,"")</f>
        <v>si_d</v>
      </c>
      <c r="W1" s="15" t="str">
        <f>IF(Compartments!$A23&lt;&gt;"",Compartments!$A23,"")</f>
        <v>si_l</v>
      </c>
      <c r="X1" s="15" t="str">
        <f>IF(Compartments!$A24&lt;&gt;"",Compartments!$A24,"")</f>
        <v>si_t</v>
      </c>
      <c r="Y1" s="15" t="str">
        <f>IF(Compartments!$A25&lt;&gt;"",Compartments!$A25,"")</f>
        <v>sh</v>
      </c>
      <c r="Z1" s="15" t="str">
        <f>IF(Compartments!$A26&lt;&gt;"",Compartments!$A26,"")</f>
        <v>sh_d</v>
      </c>
      <c r="AA1" s="15" t="str">
        <f>IF(Compartments!$A27&lt;&gt;"",Compartments!$A27,"")</f>
        <v>sh_l</v>
      </c>
      <c r="AB1" s="15" t="str">
        <f>IF(Compartments!$A28&lt;&gt;"",Compartments!$A28,"")</f>
        <v>sh_t</v>
      </c>
      <c r="AC1" s="15" t="str">
        <f>IF(Compartments!$A29&lt;&gt;"",Compartments!$A29,"")</f>
        <v>cc</v>
      </c>
      <c r="AD1" s="15" t="str">
        <f>IF(Compartments!$A30&lt;&gt;"",Compartments!$A30,"")</f>
        <v>cc_d</v>
      </c>
      <c r="AE1" s="15" t="str">
        <f>IF(Compartments!$A31&lt;&gt;"",Compartments!$A31,"")</f>
        <v>cc_l</v>
      </c>
      <c r="AF1" s="15" t="str">
        <f>IF(Compartments!$A32&lt;&gt;"",Compartments!$A32,"")</f>
        <v>cc_t</v>
      </c>
      <c r="AG1" s="15" t="str">
        <f>IF(Compartments!$A33&lt;&gt;"",Compartments!$A33,"")</f>
        <v>dc</v>
      </c>
      <c r="AH1" s="15" t="str">
        <f>IF(Compartments!$A34&lt;&gt;"",Compartments!$A34,"")</f>
        <v>dc_d</v>
      </c>
      <c r="AI1" s="15" t="str">
        <f>IF(Compartments!$A35&lt;&gt;"",Compartments!$A35,"")</f>
        <v>dc_l</v>
      </c>
      <c r="AJ1" s="15" t="str">
        <f>IF(Compartments!$A36&lt;&gt;"",Compartments!$A36,"")</f>
        <v>dc_t</v>
      </c>
      <c r="AK1" s="15" t="str">
        <f>IF(Compartments!$A37&lt;&gt;"",Compartments!$A37,"")</f>
        <v>hcc</v>
      </c>
      <c r="AL1" s="15" t="str">
        <f>IF(Compartments!$A38&lt;&gt;"",Compartments!$A38,"")</f>
        <v>hcc_d</v>
      </c>
      <c r="AM1" s="15" t="str">
        <f>IF(Compartments!$A39&lt;&gt;"",Compartments!$A39,"")</f>
        <v>hcc_l</v>
      </c>
      <c r="AN1" s="15" t="str">
        <f>IF(Compartments!$A40&lt;&gt;"",Compartments!$A40,"")</f>
        <v>hcc_t</v>
      </c>
      <c r="AO1" s="3" t="str">
        <f>IF(Compartments!$A41&lt;&gt;"",Compartments!$A41,"")</f>
        <v/>
      </c>
      <c r="AP1" s="3" t="str">
        <f>IF(Compartments!$A42&lt;&gt;"",Compartments!$A42,"")</f>
        <v/>
      </c>
      <c r="AQ1" s="3" t="str">
        <f>IF(Compartments!$A43&lt;&gt;"",Compartments!$A43,"")</f>
        <v/>
      </c>
      <c r="AR1" s="3" t="str">
        <f>IF(Compartments!$A44&lt;&gt;"",Compartments!$A44,"")</f>
        <v/>
      </c>
      <c r="AS1" s="3" t="str">
        <f>IF(Compartments!$A45&lt;&gt;"",Compartments!$A45,"")</f>
        <v/>
      </c>
      <c r="AT1" s="3" t="str">
        <f>IF(Compartments!$A46&lt;&gt;"",Compartments!$A46,"")</f>
        <v/>
      </c>
      <c r="AU1" s="3" t="str">
        <f>IF(Compartments!$A47&lt;&gt;"",Compartments!$A47,"")</f>
        <v/>
      </c>
      <c r="AV1" s="3" t="str">
        <f>IF(Compartments!$A48&lt;&gt;"",Compartments!$A48,"")</f>
        <v/>
      </c>
      <c r="AW1" s="3" t="str">
        <f>IF(Compartments!$A49&lt;&gt;"",Compartments!$A49,"")</f>
        <v/>
      </c>
      <c r="AX1" s="3" t="str">
        <f>IF(Compartments!$A50&lt;&gt;"",Compartments!$A50,"")</f>
        <v/>
      </c>
      <c r="AY1" s="3" t="str">
        <f>IF(Compartments!$A51&lt;&gt;"",Compartments!$A51,"")</f>
        <v/>
      </c>
      <c r="AZ1" s="3" t="str">
        <f>IF(Compartments!$A52&lt;&gt;"",Compartments!$A52,"")</f>
        <v/>
      </c>
      <c r="BA1" s="3" t="str">
        <f>IF(Compartments!$A53&lt;&gt;"",Compartments!$A53,"")</f>
        <v/>
      </c>
      <c r="BB1" s="3" t="str">
        <f>IF(Compartments!$A54&lt;&gt;"",Compartments!$A54,"")</f>
        <v/>
      </c>
      <c r="BC1" s="3" t="str">
        <f>IF(Compartments!$A55&lt;&gt;"",Compartments!$A55,"")</f>
        <v/>
      </c>
      <c r="BD1" s="3" t="str">
        <f>IF(Compartments!$A56&lt;&gt;"",Compartments!$A56,"")</f>
        <v/>
      </c>
      <c r="BE1" s="3" t="str">
        <f>IF(Compartments!$A57&lt;&gt;"",Compartments!$A57,"")</f>
        <v/>
      </c>
      <c r="BF1" s="3" t="str">
        <f>IF(Compartments!$A58&lt;&gt;"",Compartments!$A58,"")</f>
        <v/>
      </c>
      <c r="BG1" s="3" t="str">
        <f>IF(Compartments!$A59&lt;&gt;"",Compartments!$A59,"")</f>
        <v/>
      </c>
      <c r="BH1" s="3" t="str">
        <f>IF(Compartments!$A60&lt;&gt;"",Compartments!$A60,"")</f>
        <v/>
      </c>
      <c r="BI1" s="3" t="str">
        <f>IF(Compartments!$A61&lt;&gt;"",Compartments!$A61,"")</f>
        <v/>
      </c>
      <c r="BJ1" s="3" t="str">
        <f>IF(Compartments!$A62&lt;&gt;"",Compartments!$A62,"")</f>
        <v/>
      </c>
      <c r="BK1" s="3" t="str">
        <f>IF(Compartments!$A63&lt;&gt;"",Compartments!$A63,"")</f>
        <v/>
      </c>
      <c r="BL1" s="3" t="str">
        <f>IF(Compartments!$A64&lt;&gt;"",Compartments!$A64,"")</f>
        <v/>
      </c>
      <c r="BM1" s="3" t="str">
        <f>IF(Compartments!$A65&lt;&gt;"",Compartments!$A65,"")</f>
        <v/>
      </c>
      <c r="BN1" s="3" t="str">
        <f>IF(Compartments!$A66&lt;&gt;"",Compartments!$A66,"")</f>
        <v/>
      </c>
      <c r="BO1" s="3" t="str">
        <f>IF(Compartments!$A67&lt;&gt;"",Compartments!$A67,"")</f>
        <v/>
      </c>
      <c r="BP1" s="3" t="str">
        <f>IF(Compartments!$A68&lt;&gt;"",Compartments!$A68,"")</f>
        <v/>
      </c>
      <c r="BQ1" s="3" t="str">
        <f>IF(Compartments!$A69&lt;&gt;"",Compartments!$A69,"")</f>
        <v/>
      </c>
      <c r="BR1" s="3" t="str">
        <f>IF(Compartments!$A70&lt;&gt;"",Compartments!$A70,"")</f>
        <v/>
      </c>
      <c r="BS1" s="3" t="str">
        <f>IF(Compartments!$A71&lt;&gt;"",Compartments!$A71,"")</f>
        <v/>
      </c>
      <c r="BT1" s="3" t="str">
        <f>IF(Compartments!$A72&lt;&gt;"",Compartments!$A72,"")</f>
        <v/>
      </c>
      <c r="BU1" s="3" t="str">
        <f>IF(Compartments!$A73&lt;&gt;"",Compartments!$A73,"")</f>
        <v/>
      </c>
      <c r="BV1" s="3" t="str">
        <f>IF(Compartments!$A74&lt;&gt;"",Compartments!$A74,"")</f>
        <v/>
      </c>
      <c r="BW1" s="3" t="str">
        <f>IF(Compartments!$A75&lt;&gt;"",Compartments!$A75,"")</f>
        <v/>
      </c>
      <c r="BX1" s="3" t="str">
        <f>IF(Compartments!$A76&lt;&gt;"",Compartments!$A76,"")</f>
        <v/>
      </c>
      <c r="BY1" s="3" t="str">
        <f>IF(Compartments!$A77&lt;&gt;"",Compartments!$A77,"")</f>
        <v/>
      </c>
      <c r="BZ1" s="3" t="str">
        <f>IF(Compartments!$A78&lt;&gt;"",Compartments!$A78,"")</f>
        <v/>
      </c>
      <c r="CA1" s="3" t="str">
        <f>IF(Compartments!$A79&lt;&gt;"",Compartments!$A79,"")</f>
        <v/>
      </c>
      <c r="CB1" s="3" t="str">
        <f>IF(Compartments!$A80&lt;&gt;"",Compartments!$A80,"")</f>
        <v/>
      </c>
      <c r="CC1" s="3" t="str">
        <f>IF(Compartments!$A81&lt;&gt;"",Compartments!$A81,"")</f>
        <v/>
      </c>
      <c r="CD1" s="3" t="str">
        <f>IF(Compartments!$A82&lt;&gt;"",Compartments!$A82,"")</f>
        <v/>
      </c>
      <c r="CE1" s="3" t="str">
        <f>IF(Compartments!$A83&lt;&gt;"",Compartments!$A83,"")</f>
        <v/>
      </c>
      <c r="CF1" s="3" t="str">
        <f>IF(Compartments!$A84&lt;&gt;"",Compartments!$A84,"")</f>
        <v/>
      </c>
      <c r="CG1" s="3" t="str">
        <f>IF(Compartments!$A85&lt;&gt;"",Compartments!$A85,"")</f>
        <v/>
      </c>
      <c r="CH1" s="3" t="str">
        <f>IF(Compartments!$A86&lt;&gt;"",Compartments!$A86,"")</f>
        <v/>
      </c>
      <c r="CI1" s="3" t="str">
        <f>IF(Compartments!$A87&lt;&gt;"",Compartments!$A87,"")</f>
        <v/>
      </c>
      <c r="CJ1" s="3" t="str">
        <f>IF(Compartments!$A88&lt;&gt;"",Compartments!$A88,"")</f>
        <v/>
      </c>
      <c r="CK1" s="3" t="str">
        <f>IF(Compartments!$A89&lt;&gt;"",Compartments!$A89,"")</f>
        <v/>
      </c>
      <c r="CL1" s="3" t="str">
        <f>IF(Compartments!$A90&lt;&gt;"",Compartments!$A90,"")</f>
        <v/>
      </c>
      <c r="CM1" s="3" t="str">
        <f>IF(Compartments!$A91&lt;&gt;"",Compartments!$A91,"")</f>
        <v/>
      </c>
      <c r="CN1" s="3" t="str">
        <f>IF(Compartments!$A92&lt;&gt;"",Compartments!$A92,"")</f>
        <v/>
      </c>
      <c r="CO1" s="3" t="str">
        <f>IF(Compartments!$A93&lt;&gt;"",Compartments!$A93,"")</f>
        <v/>
      </c>
      <c r="CP1" s="3" t="str">
        <f>IF(Compartments!$A94&lt;&gt;"",Compartments!$A94,"")</f>
        <v/>
      </c>
      <c r="CQ1" s="3" t="str">
        <f>IF(Compartments!$A95&lt;&gt;"",Compartments!$A95,"")</f>
        <v/>
      </c>
      <c r="CR1" s="3" t="str">
        <f>IF(Compartments!$A96&lt;&gt;"",Compartments!$A96,"")</f>
        <v/>
      </c>
      <c r="CS1" s="3" t="str">
        <f>IF(Compartments!$A97&lt;&gt;"",Compartments!$A97,"")</f>
        <v/>
      </c>
      <c r="CT1" s="3" t="str">
        <f>IF(Compartments!$A98&lt;&gt;"",Compartments!$A98,"")</f>
        <v/>
      </c>
      <c r="CU1" s="3" t="str">
        <f>IF(Compartments!$A99&lt;&gt;"",Compartments!$A99,"")</f>
        <v/>
      </c>
      <c r="CV1" s="3" t="str">
        <f>IF(Compartments!$A100&lt;&gt;"",Compartments!$A100,"")</f>
        <v/>
      </c>
      <c r="CW1" s="3" t="str">
        <f>IF(Compartments!$A101&lt;&gt;"",Compartments!$A101,"")</f>
        <v/>
      </c>
      <c r="CX1" s="3" t="str">
        <f>IF(Compartments!$A102&lt;&gt;"",Compartments!$A102,"")</f>
        <v/>
      </c>
      <c r="CY1" s="3" t="str">
        <f>IF(Compartments!$A103&lt;&gt;"",Compartments!$A103,"")</f>
        <v/>
      </c>
      <c r="CZ1" s="3" t="str">
        <f>IF(Compartments!$A104&lt;&gt;"",Compartments!$A104,"")</f>
        <v/>
      </c>
      <c r="DA1" s="3" t="str">
        <f>IF(Compartments!$A105&lt;&gt;"",Compartments!$A105,"")</f>
        <v/>
      </c>
      <c r="DB1" s="3" t="str">
        <f>IF(Compartments!$A106&lt;&gt;"",Compartments!$A106,"")</f>
        <v/>
      </c>
      <c r="DC1" s="3" t="str">
        <f>IF(Compartments!$A107&lt;&gt;"",Compartments!$A107,"")</f>
        <v/>
      </c>
      <c r="DD1" s="3" t="str">
        <f>IF(Compartments!$A108&lt;&gt;"",Compartments!$A108,"")</f>
        <v/>
      </c>
      <c r="DE1" s="3" t="str">
        <f>IF(Compartments!$A109&lt;&gt;"",Compartments!$A109,"")</f>
        <v/>
      </c>
      <c r="DF1" s="3" t="str">
        <f>IF(Compartments!$A110&lt;&gt;"",Compartments!$A110,"")</f>
        <v/>
      </c>
      <c r="DG1" s="3" t="str">
        <f>IF(Compartments!$A111&lt;&gt;"",Compartments!$A111,"")</f>
        <v/>
      </c>
      <c r="DH1" s="3" t="str">
        <f>IF(Compartments!$A112&lt;&gt;"",Compartments!$A112,"")</f>
        <v/>
      </c>
      <c r="DI1" s="3" t="str">
        <f>IF(Compartments!$A113&lt;&gt;"",Compartments!$A113,"")</f>
        <v/>
      </c>
      <c r="DJ1" s="3" t="str">
        <f>IF(Compartments!$A114&lt;&gt;"",Compartments!$A114,"")</f>
        <v/>
      </c>
      <c r="DK1" s="3" t="str">
        <f>IF(Compartments!$A115&lt;&gt;"",Compartments!$A115,"")</f>
        <v/>
      </c>
      <c r="DL1" s="3" t="str">
        <f>IF(Compartments!$A116&lt;&gt;"",Compartments!$A116,"")</f>
        <v/>
      </c>
      <c r="DM1" s="3" t="str">
        <f>IF(Compartments!$A117&lt;&gt;"",Compartments!$A117,"")</f>
        <v/>
      </c>
      <c r="DN1" s="3" t="str">
        <f>IF(Compartments!$A118&lt;&gt;"",Compartments!$A118,"")</f>
        <v/>
      </c>
      <c r="DO1" s="3" t="str">
        <f>IF(Compartments!$A119&lt;&gt;"",Compartments!$A119,"")</f>
        <v/>
      </c>
      <c r="DP1" s="3" t="str">
        <f>IF(Compartments!$A120&lt;&gt;"",Compartments!$A120,"")</f>
        <v/>
      </c>
      <c r="DQ1" s="3" t="str">
        <f>IF(Compartments!$A121&lt;&gt;"",Compartments!$A121,"")</f>
        <v/>
      </c>
      <c r="DR1" s="3" t="str">
        <f>IF(Compartments!$A122&lt;&gt;"",Compartments!$A122,"")</f>
        <v/>
      </c>
      <c r="DS1" s="3" t="str">
        <f>IF(Compartments!$A123&lt;&gt;"",Compartments!$A123,"")</f>
        <v/>
      </c>
      <c r="DT1" s="3" t="str">
        <f>IF(Compartments!$A124&lt;&gt;"",Compartments!$A124,"")</f>
        <v/>
      </c>
      <c r="DU1" s="3" t="str">
        <f>IF(Compartments!$A125&lt;&gt;"",Compartments!$A125,"")</f>
        <v/>
      </c>
      <c r="DV1" s="3" t="str">
        <f>IF(Compartments!$A126&lt;&gt;"",Compartments!$A126,"")</f>
        <v/>
      </c>
      <c r="DW1" s="3" t="str">
        <f>IF(Compartments!$A127&lt;&gt;"",Compartments!$A127,"")</f>
        <v/>
      </c>
      <c r="DX1" s="3" t="str">
        <f>IF(Compartments!$A128&lt;&gt;"",Compartments!$A128,"")</f>
        <v/>
      </c>
      <c r="DY1" s="3" t="str">
        <f>IF(Compartments!$A129&lt;&gt;"",Compartments!$A129,"")</f>
        <v/>
      </c>
      <c r="DZ1" s="3" t="str">
        <f>IF(Compartments!$A130&lt;&gt;"",Compartments!$A130,"")</f>
        <v/>
      </c>
      <c r="EA1" s="3" t="str">
        <f>IF(Compartments!$A131&lt;&gt;"",Compartments!$A131,"")</f>
        <v/>
      </c>
      <c r="EB1" s="3" t="str">
        <f>IF(Compartments!$A132&lt;&gt;"",Compartments!$A132,"")</f>
        <v/>
      </c>
      <c r="EC1" s="3" t="str">
        <f>IF(Compartments!$A133&lt;&gt;"",Compartments!$A133,"")</f>
        <v/>
      </c>
      <c r="ED1" s="3" t="str">
        <f>IF(Compartments!$A134&lt;&gt;"",Compartments!$A134,"")</f>
        <v/>
      </c>
      <c r="EE1" s="3" t="str">
        <f>IF(Compartments!$A135&lt;&gt;"",Compartments!$A135,"")</f>
        <v/>
      </c>
      <c r="EF1" s="3" t="str">
        <f>IF(Compartments!$A136&lt;&gt;"",Compartments!$A136,"")</f>
        <v/>
      </c>
      <c r="EG1" s="3" t="str">
        <f>IF(Compartments!$A137&lt;&gt;"",Compartments!$A137,"")</f>
        <v/>
      </c>
      <c r="EH1" s="3" t="str">
        <f>IF(Compartments!$A138&lt;&gt;"",Compartments!$A138,"")</f>
        <v/>
      </c>
      <c r="EI1" s="3" t="str">
        <f>IF(Compartments!$A139&lt;&gt;"",Compartments!$A139,"")</f>
        <v/>
      </c>
      <c r="EJ1" s="3" t="str">
        <f>IF(Compartments!$A140&lt;&gt;"",Compartments!$A140,"")</f>
        <v/>
      </c>
      <c r="EK1" s="3" t="str">
        <f>IF(Compartments!$A141&lt;&gt;"",Compartments!$A141,"")</f>
        <v/>
      </c>
      <c r="EL1" s="3" t="str">
        <f>IF(Compartments!$A142&lt;&gt;"",Compartments!$A142,"")</f>
        <v/>
      </c>
      <c r="EM1" s="3" t="str">
        <f>IF(Compartments!$A143&lt;&gt;"",Compartments!$A143,"")</f>
        <v/>
      </c>
      <c r="EN1" s="3" t="str">
        <f>IF(Compartments!$A144&lt;&gt;"",Compartments!$A144,"")</f>
        <v/>
      </c>
      <c r="EO1" s="3" t="str">
        <f>IF(Compartments!$A145&lt;&gt;"",Compartments!$A145,"")</f>
        <v/>
      </c>
      <c r="EP1" s="3" t="str">
        <f>IF(Compartments!$A146&lt;&gt;"",Compartments!$A146,"")</f>
        <v/>
      </c>
      <c r="EQ1" s="3" t="str">
        <f>IF(Compartments!$A147&lt;&gt;"",Compartments!$A147,"")</f>
        <v/>
      </c>
      <c r="ER1" s="3" t="str">
        <f>IF(Compartments!$A148&lt;&gt;"",Compartments!$A148,"")</f>
        <v/>
      </c>
      <c r="ES1" s="3" t="str">
        <f>IF(Compartments!$A149&lt;&gt;"",Compartments!$A149,"")</f>
        <v/>
      </c>
      <c r="ET1" s="3" t="str">
        <f>IF(Compartments!$A150&lt;&gt;"",Compartments!$A150,"")</f>
        <v/>
      </c>
      <c r="EU1" s="3" t="str">
        <f>IF(Compartments!$A151&lt;&gt;"",Compartments!$A151,"")</f>
        <v/>
      </c>
      <c r="EV1" s="3" t="str">
        <f>IF(Compartments!$A152&lt;&gt;"",Compartments!$A152,"")</f>
        <v/>
      </c>
      <c r="EW1" s="3" t="str">
        <f>IF(Compartments!$A153&lt;&gt;"",Compartments!$A153,"")</f>
        <v/>
      </c>
      <c r="EX1" s="3" t="str">
        <f>IF(Compartments!$A154&lt;&gt;"",Compartments!$A154,"")</f>
        <v/>
      </c>
      <c r="EY1" s="3" t="str">
        <f>IF(Compartments!$A155&lt;&gt;"",Compartments!$A155,"")</f>
        <v/>
      </c>
      <c r="EZ1" s="3" t="str">
        <f>IF(Compartments!$A156&lt;&gt;"",Compartments!$A156,"")</f>
        <v/>
      </c>
      <c r="FA1" s="3" t="str">
        <f>IF(Compartments!$A157&lt;&gt;"",Compartments!$A157,"")</f>
        <v/>
      </c>
      <c r="FB1" s="3" t="str">
        <f>IF(Compartments!$A158&lt;&gt;"",Compartments!$A158,"")</f>
        <v/>
      </c>
      <c r="FC1" s="3" t="str">
        <f>IF(Compartments!$A159&lt;&gt;"",Compartments!$A159,"")</f>
        <v/>
      </c>
      <c r="FD1" s="3" t="str">
        <f>IF(Compartments!$A160&lt;&gt;"",Compartments!$A160,"")</f>
        <v/>
      </c>
      <c r="FE1" s="3" t="str">
        <f>IF(Compartments!$A161&lt;&gt;"",Compartments!$A161,"")</f>
        <v/>
      </c>
      <c r="FF1" s="3" t="str">
        <f>IF(Compartments!$A162&lt;&gt;"",Compartments!$A162,"")</f>
        <v/>
      </c>
      <c r="FG1" s="3" t="str">
        <f>IF(Compartments!$A163&lt;&gt;"",Compartments!$A163,"")</f>
        <v/>
      </c>
      <c r="FH1" s="3" t="str">
        <f>IF(Compartments!$A164&lt;&gt;"",Compartments!$A164,"")</f>
        <v/>
      </c>
      <c r="FI1" s="3" t="str">
        <f>IF(Compartments!$A165&lt;&gt;"",Compartments!$A165,"")</f>
        <v/>
      </c>
      <c r="FJ1" s="3" t="str">
        <f>IF(Compartments!$A166&lt;&gt;"",Compartments!$A166,"")</f>
        <v/>
      </c>
      <c r="FK1" s="3" t="str">
        <f>IF(Compartments!$A167&lt;&gt;"",Compartments!$A167,"")</f>
        <v/>
      </c>
      <c r="FL1" s="3" t="str">
        <f>IF(Compartments!$A168&lt;&gt;"",Compartments!$A168,"")</f>
        <v/>
      </c>
      <c r="FM1" s="3" t="str">
        <f>IF(Compartments!$A169&lt;&gt;"",Compartments!$A169,"")</f>
        <v/>
      </c>
      <c r="FN1" s="3" t="str">
        <f>IF(Compartments!$A170&lt;&gt;"",Compartments!$A170,"")</f>
        <v/>
      </c>
      <c r="FO1" s="3" t="str">
        <f>IF(Compartments!$A171&lt;&gt;"",Compartments!$A171,"")</f>
        <v/>
      </c>
      <c r="FP1" s="3" t="str">
        <f>IF(Compartments!$A172&lt;&gt;"",Compartments!$A172,"")</f>
        <v/>
      </c>
      <c r="FQ1" s="3" t="str">
        <f>IF(Compartments!$A173&lt;&gt;"",Compartments!$A173,"")</f>
        <v/>
      </c>
      <c r="FR1" s="3" t="str">
        <f>IF(Compartments!$A174&lt;&gt;"",Compartments!$A174,"")</f>
        <v/>
      </c>
      <c r="FS1" s="3" t="str">
        <f>IF(Compartments!$A175&lt;&gt;"",Compartments!$A175,"")</f>
        <v/>
      </c>
      <c r="FT1" s="3" t="str">
        <f>IF(Compartments!$A176&lt;&gt;"",Compartments!$A176,"")</f>
        <v/>
      </c>
      <c r="FU1" s="3" t="str">
        <f>IF(Compartments!$A177&lt;&gt;"",Compartments!$A177,"")</f>
        <v/>
      </c>
      <c r="FV1" s="3" t="str">
        <f>IF(Compartments!$A178&lt;&gt;"",Compartments!$A178,"")</f>
        <v/>
      </c>
      <c r="FW1" s="3" t="str">
        <f>IF(Compartments!$A179&lt;&gt;"",Compartments!$A179,"")</f>
        <v/>
      </c>
      <c r="FX1" s="3" t="str">
        <f>IF(Compartments!$A180&lt;&gt;"",Compartments!$A180,"")</f>
        <v/>
      </c>
      <c r="FY1" s="3" t="str">
        <f>IF(Compartments!$A181&lt;&gt;"",Compartments!$A181,"")</f>
        <v/>
      </c>
      <c r="FZ1" s="3" t="str">
        <f>IF(Compartments!$A182&lt;&gt;"",Compartments!$A182,"")</f>
        <v/>
      </c>
      <c r="GA1" s="3" t="str">
        <f>IF(Compartments!$A183&lt;&gt;"",Compartments!$A183,"")</f>
        <v/>
      </c>
      <c r="GB1" s="3" t="str">
        <f>IF(Compartments!$A184&lt;&gt;"",Compartments!$A184,"")</f>
        <v/>
      </c>
      <c r="GC1" s="3" t="str">
        <f>IF(Compartments!$A185&lt;&gt;"",Compartments!$A185,"")</f>
        <v/>
      </c>
      <c r="GD1" s="3" t="str">
        <f>IF(Compartments!$A186&lt;&gt;"",Compartments!$A186,"")</f>
        <v/>
      </c>
      <c r="GE1" s="3" t="str">
        <f>IF(Compartments!$A187&lt;&gt;"",Compartments!$A187,"")</f>
        <v/>
      </c>
      <c r="GF1" s="3" t="str">
        <f>IF(Compartments!$A188&lt;&gt;"",Compartments!$A188,"")</f>
        <v/>
      </c>
      <c r="GG1" s="3" t="str">
        <f>IF(Compartments!$A189&lt;&gt;"",Compartments!$A189,"")</f>
        <v/>
      </c>
      <c r="GH1" s="3" t="str">
        <f>IF(Compartments!$A190&lt;&gt;"",Compartments!$A190,"")</f>
        <v/>
      </c>
      <c r="GI1" s="3" t="str">
        <f>IF(Compartments!$A191&lt;&gt;"",Compartments!$A191,"")</f>
        <v/>
      </c>
      <c r="GJ1" s="3" t="str">
        <f>IF(Compartments!$A192&lt;&gt;"",Compartments!$A192,"")</f>
        <v/>
      </c>
      <c r="GK1" s="3" t="str">
        <f>IF(Compartments!$A193&lt;&gt;"",Compartments!$A193,"")</f>
        <v/>
      </c>
      <c r="GL1" s="3" t="str">
        <f>IF(Compartments!$A194&lt;&gt;"",Compartments!$A194,"")</f>
        <v/>
      </c>
      <c r="GM1" s="3" t="str">
        <f>IF(Compartments!$A195&lt;&gt;"",Compartments!$A195,"")</f>
        <v/>
      </c>
      <c r="GN1" s="3" t="str">
        <f>IF(Compartments!$A196&lt;&gt;"",Compartments!$A196,"")</f>
        <v/>
      </c>
      <c r="GO1" s="3" t="str">
        <f>IF(Compartments!$A197&lt;&gt;"",Compartments!$A197,"")</f>
        <v/>
      </c>
      <c r="GP1" s="3" t="str">
        <f>IF(Compartments!$A198&lt;&gt;"",Compartments!$A198,"")</f>
        <v/>
      </c>
      <c r="GQ1" s="3" t="str">
        <f>IF(Compartments!$A199&lt;&gt;"",Compartments!$A199,"")</f>
        <v/>
      </c>
      <c r="GR1" s="3" t="str">
        <f>IF(Compartments!$A200&lt;&gt;"",Compartments!$A200,"")</f>
        <v/>
      </c>
      <c r="GS1" s="3" t="str">
        <f>IF(Compartments!$A201&lt;&gt;"",Compartments!$A201,"")</f>
        <v/>
      </c>
      <c r="GT1" s="3" t="str">
        <f>IF(Compartments!$A202&lt;&gt;"",Compartments!$A202,"")</f>
        <v/>
      </c>
      <c r="GU1" s="3" t="str">
        <f>IF(Compartments!$A203&lt;&gt;"",Compartments!$A203,"")</f>
        <v/>
      </c>
      <c r="GV1" s="3" t="str">
        <f>IF(Compartments!$A204&lt;&gt;"",Compartments!$A204,"")</f>
        <v/>
      </c>
      <c r="GW1" s="3" t="str">
        <f>IF(Compartments!$A205&lt;&gt;"",Compartments!$A205,"")</f>
        <v/>
      </c>
      <c r="GX1" s="3" t="str">
        <f>IF(Compartments!$A206&lt;&gt;"",Compartments!$A206,"")</f>
        <v/>
      </c>
      <c r="GY1" s="3" t="str">
        <f>IF(Compartments!$A207&lt;&gt;"",Compartments!$A207,"")</f>
        <v/>
      </c>
      <c r="GZ1" s="3" t="str">
        <f>IF(Compartments!$A208&lt;&gt;"",Compartments!$A208,"")</f>
        <v/>
      </c>
      <c r="HA1" s="3" t="str">
        <f>IF(Compartments!$A209&lt;&gt;"",Compartments!$A209,"")</f>
        <v/>
      </c>
      <c r="HB1" s="3" t="str">
        <f>IF(Compartments!$A210&lt;&gt;"",Compartments!$A210,"")</f>
        <v/>
      </c>
      <c r="HC1" s="3" t="str">
        <f>IF(Compartments!$A211&lt;&gt;"",Compartments!$A211,"")</f>
        <v/>
      </c>
      <c r="HD1" s="3" t="str">
        <f>IF(Compartments!$A212&lt;&gt;"",Compartments!$A212,"")</f>
        <v/>
      </c>
      <c r="HE1" s="3" t="str">
        <f>IF(Compartments!$A213&lt;&gt;"",Compartments!$A213,"")</f>
        <v/>
      </c>
      <c r="HF1" s="3" t="str">
        <f>IF(Compartments!$A214&lt;&gt;"",Compartments!$A214,"")</f>
        <v/>
      </c>
      <c r="HG1" s="3" t="str">
        <f>IF(Compartments!$A215&lt;&gt;"",Compartments!$A215,"")</f>
        <v/>
      </c>
      <c r="HH1" s="3" t="str">
        <f>IF(Compartments!$A216&lt;&gt;"",Compartments!$A216,"")</f>
        <v/>
      </c>
      <c r="HI1" s="3" t="str">
        <f>IF(Compartments!$A217&lt;&gt;"",Compartments!$A217,"")</f>
        <v/>
      </c>
      <c r="HJ1" s="3" t="str">
        <f>IF(Compartments!$A218&lt;&gt;"",Compartments!$A218,"")</f>
        <v/>
      </c>
      <c r="HK1" s="3" t="str">
        <f>IF(Compartments!$A219&lt;&gt;"",Compartments!$A219,"")</f>
        <v/>
      </c>
      <c r="HL1" s="3" t="str">
        <f>IF(Compartments!$A220&lt;&gt;"",Compartments!$A220,"")</f>
        <v/>
      </c>
      <c r="HM1" s="3" t="str">
        <f>IF(Compartments!$A221&lt;&gt;"",Compartments!$A221,"")</f>
        <v/>
      </c>
      <c r="HN1" s="3" t="str">
        <f>IF(Compartments!$A222&lt;&gt;"",Compartments!$A222,"")</f>
        <v/>
      </c>
      <c r="HO1" s="3" t="str">
        <f>IF(Compartments!$A223&lt;&gt;"",Compartments!$A223,"")</f>
        <v/>
      </c>
      <c r="HP1" s="3" t="str">
        <f>IF(Compartments!$A224&lt;&gt;"",Compartments!$A224,"")</f>
        <v/>
      </c>
      <c r="HQ1" s="3" t="str">
        <f>IF(Compartments!$A225&lt;&gt;"",Compartments!$A225,"")</f>
        <v/>
      </c>
      <c r="HR1" s="3" t="str">
        <f>IF(Compartments!$A226&lt;&gt;"",Compartments!$A226,"")</f>
        <v/>
      </c>
      <c r="HS1" s="3" t="str">
        <f>IF(Compartments!$A227&lt;&gt;"",Compartments!$A227,"")</f>
        <v/>
      </c>
      <c r="HT1" s="3" t="str">
        <f>IF(Compartments!$A228&lt;&gt;"",Compartments!$A228,"")</f>
        <v/>
      </c>
      <c r="HU1" s="3" t="str">
        <f>IF(Compartments!$A229&lt;&gt;"",Compartments!$A229,"")</f>
        <v/>
      </c>
      <c r="HV1" s="3" t="str">
        <f>IF(Compartments!$A230&lt;&gt;"",Compartments!$A230,"")</f>
        <v/>
      </c>
      <c r="HW1" s="3" t="str">
        <f>IF(Compartments!$A231&lt;&gt;"",Compartments!$A231,"")</f>
        <v/>
      </c>
      <c r="HX1" s="3" t="str">
        <f>IF(Compartments!$A232&lt;&gt;"",Compartments!$A232,"")</f>
        <v/>
      </c>
      <c r="HY1" s="3" t="str">
        <f>IF(Compartments!$A233&lt;&gt;"",Compartments!$A233,"")</f>
        <v/>
      </c>
      <c r="HZ1" s="3" t="str">
        <f>IF(Compartments!$A234&lt;&gt;"",Compartments!$A234,"")</f>
        <v/>
      </c>
      <c r="IA1" s="3" t="str">
        <f>IF(Compartments!$A235&lt;&gt;"",Compartments!$A235,"")</f>
        <v/>
      </c>
      <c r="IB1" s="3" t="str">
        <f>IF(Compartments!$A236&lt;&gt;"",Compartments!$A236,"")</f>
        <v/>
      </c>
      <c r="IC1" s="3" t="str">
        <f>IF(Compartments!$A237&lt;&gt;"",Compartments!$A237,"")</f>
        <v/>
      </c>
      <c r="ID1" s="3" t="str">
        <f>IF(Compartments!$A238&lt;&gt;"",Compartments!$A238,"")</f>
        <v/>
      </c>
      <c r="IE1" s="3" t="str">
        <f>IF(Compartments!$A239&lt;&gt;"",Compartments!$A239,"")</f>
        <v/>
      </c>
      <c r="IF1" s="3" t="str">
        <f>IF(Compartments!$A240&lt;&gt;"",Compartments!$A240,"")</f>
        <v/>
      </c>
      <c r="IG1" s="3" t="str">
        <f>IF(Compartments!$A241&lt;&gt;"",Compartments!$A241,"")</f>
        <v/>
      </c>
      <c r="IH1" s="3" t="str">
        <f>IF(Compartments!$A242&lt;&gt;"",Compartments!$A242,"")</f>
        <v/>
      </c>
      <c r="II1" s="3" t="str">
        <f>IF(Compartments!$A243&lt;&gt;"",Compartments!$A243,"")</f>
        <v/>
      </c>
      <c r="IJ1" s="3" t="str">
        <f>IF(Compartments!$A244&lt;&gt;"",Compartments!$A244,"")</f>
        <v/>
      </c>
      <c r="IK1" s="3" t="str">
        <f>IF(Compartments!$A245&lt;&gt;"",Compartments!$A245,"")</f>
        <v/>
      </c>
      <c r="IL1" s="3" t="str">
        <f>IF(Compartments!$A246&lt;&gt;"",Compartments!$A246,"")</f>
        <v/>
      </c>
      <c r="IM1" s="3" t="str">
        <f>IF(Compartments!$A247&lt;&gt;"",Compartments!$A247,"")</f>
        <v/>
      </c>
      <c r="IN1" s="3" t="str">
        <f>IF(Compartments!$A248&lt;&gt;"",Compartments!$A248,"")</f>
        <v/>
      </c>
      <c r="IO1" s="3" t="str">
        <f>IF(Compartments!$A249&lt;&gt;"",Compartments!$A249,"")</f>
        <v/>
      </c>
      <c r="IP1" s="3" t="str">
        <f>IF(Compartments!$A250&lt;&gt;"",Compartments!$A250,"")</f>
        <v/>
      </c>
      <c r="IQ1" s="3" t="str">
        <f>IF(Compartments!$A251&lt;&gt;"",Compartments!$A251,"")</f>
        <v/>
      </c>
      <c r="IR1" s="3" t="str">
        <f>IF(Compartments!$A252&lt;&gt;"",Compartments!$A252,"")</f>
        <v/>
      </c>
      <c r="IS1" s="3" t="str">
        <f>IF(Compartments!$A253&lt;&gt;"",Compartments!$A253,"")</f>
        <v/>
      </c>
      <c r="IT1" s="3" t="str">
        <f>IF(Compartments!$A254&lt;&gt;"",Compartments!$A254,"")</f>
        <v/>
      </c>
      <c r="IU1" s="3" t="str">
        <f>IF(Compartments!$A255&lt;&gt;"",Compartments!$A255,"")</f>
        <v/>
      </c>
      <c r="IV1" s="3" t="str">
        <f>IF(Compartments!$A256&lt;&gt;"",Compartments!$A256,"")</f>
        <v/>
      </c>
      <c r="IW1" s="3" t="str">
        <f>IF(Compartments!$A257&lt;&gt;"",Compartments!$A257,"")</f>
        <v/>
      </c>
      <c r="IX1" s="3" t="str">
        <f>IF(Compartments!$A258&lt;&gt;"",Compartments!$A258,"")</f>
        <v/>
      </c>
      <c r="IY1" s="3" t="str">
        <f>IF(Compartments!$A259&lt;&gt;"",Compartments!$A259,"")</f>
        <v/>
      </c>
      <c r="IZ1" s="3" t="str">
        <f>IF(Compartments!$A260&lt;&gt;"",Compartments!$A260,"")</f>
        <v/>
      </c>
      <c r="JA1" s="3" t="str">
        <f>IF(Compartments!$A261&lt;&gt;"",Compartments!$A261,"")</f>
        <v/>
      </c>
      <c r="JB1" s="3" t="str">
        <f>IF(Compartments!$A262&lt;&gt;"",Compartments!$A262,"")</f>
        <v/>
      </c>
      <c r="JC1" s="3" t="str">
        <f>IF(Compartments!$A263&lt;&gt;"",Compartments!$A263,"")</f>
        <v/>
      </c>
      <c r="JD1" s="3" t="str">
        <f>IF(Compartments!$A264&lt;&gt;"",Compartments!$A264,"")</f>
        <v/>
      </c>
      <c r="JE1" s="3" t="str">
        <f>IF(Compartments!$A265&lt;&gt;"",Compartments!$A265,"")</f>
        <v/>
      </c>
      <c r="JF1" s="3" t="str">
        <f>IF(Compartments!$A266&lt;&gt;"",Compartments!$A266,"")</f>
        <v/>
      </c>
      <c r="JG1" s="3" t="str">
        <f>IF(Compartments!$A267&lt;&gt;"",Compartments!$A267,"")</f>
        <v/>
      </c>
      <c r="JH1" s="3" t="str">
        <f>IF(Compartments!$A268&lt;&gt;"",Compartments!$A268,"")</f>
        <v/>
      </c>
      <c r="JI1" s="3" t="str">
        <f>IF(Compartments!$A269&lt;&gt;"",Compartments!$A269,"")</f>
        <v/>
      </c>
      <c r="JJ1" s="3" t="str">
        <f>IF(Compartments!$A270&lt;&gt;"",Compartments!$A270,"")</f>
        <v/>
      </c>
      <c r="JK1" s="3" t="str">
        <f>IF(Compartments!$A271&lt;&gt;"",Compartments!$A271,"")</f>
        <v/>
      </c>
      <c r="JL1" s="3" t="str">
        <f>IF(Compartments!$A272&lt;&gt;"",Compartments!$A272,"")</f>
        <v/>
      </c>
      <c r="JM1" s="3" t="str">
        <f>IF(Compartments!$A273&lt;&gt;"",Compartments!$A273,"")</f>
        <v/>
      </c>
      <c r="JN1" s="3" t="str">
        <f>IF(Compartments!$A274&lt;&gt;"",Compartments!$A274,"")</f>
        <v/>
      </c>
      <c r="JO1" s="3" t="str">
        <f>IF(Compartments!$A275&lt;&gt;"",Compartments!$A275,"")</f>
        <v/>
      </c>
      <c r="JP1" s="3" t="str">
        <f>IF(Compartments!$A276&lt;&gt;"",Compartments!$A276,"")</f>
        <v/>
      </c>
      <c r="JQ1" s="3" t="str">
        <f>IF(Compartments!$A277&lt;&gt;"",Compartments!$A277,"")</f>
        <v/>
      </c>
      <c r="JR1" s="3" t="str">
        <f>IF(Compartments!$A278&lt;&gt;"",Compartments!$A278,"")</f>
        <v/>
      </c>
      <c r="JS1" s="3" t="str">
        <f>IF(Compartments!$A279&lt;&gt;"",Compartments!$A279,"")</f>
        <v/>
      </c>
      <c r="JT1" s="3" t="str">
        <f>IF(Compartments!$A280&lt;&gt;"",Compartments!$A280,"")</f>
        <v/>
      </c>
      <c r="JU1" s="3" t="str">
        <f>IF(Compartments!$A281&lt;&gt;"",Compartments!$A281,"")</f>
        <v/>
      </c>
      <c r="JV1" s="3" t="str">
        <f>IF(Compartments!$A282&lt;&gt;"",Compartments!$A282,"")</f>
        <v/>
      </c>
      <c r="JW1" s="3" t="str">
        <f>IF(Compartments!$A283&lt;&gt;"",Compartments!$A283,"")</f>
        <v/>
      </c>
      <c r="JX1" s="3" t="str">
        <f>IF(Compartments!$A284&lt;&gt;"",Compartments!$A284,"")</f>
        <v/>
      </c>
      <c r="JY1" s="3" t="str">
        <f>IF(Compartments!$A285&lt;&gt;"",Compartments!$A285,"")</f>
        <v/>
      </c>
      <c r="JZ1" s="3" t="str">
        <f>IF(Compartments!$A286&lt;&gt;"",Compartments!$A286,"")</f>
        <v/>
      </c>
      <c r="KA1" s="3" t="str">
        <f>IF(Compartments!$A287&lt;&gt;"",Compartments!$A287,"")</f>
        <v/>
      </c>
      <c r="KB1" s="3" t="str">
        <f>IF(Compartments!$A288&lt;&gt;"",Compartments!$A288,"")</f>
        <v/>
      </c>
      <c r="KC1" s="3" t="str">
        <f>IF(Compartments!$A289&lt;&gt;"",Compartments!$A289,"")</f>
        <v/>
      </c>
      <c r="KD1" s="3" t="str">
        <f>IF(Compartments!$A290&lt;&gt;"",Compartments!$A290,"")</f>
        <v/>
      </c>
      <c r="KE1" s="3" t="str">
        <f>IF(Compartments!$A291&lt;&gt;"",Compartments!$A291,"")</f>
        <v/>
      </c>
      <c r="KF1" s="3" t="str">
        <f>IF(Compartments!$A292&lt;&gt;"",Compartments!$A292,"")</f>
        <v/>
      </c>
      <c r="KG1" s="3" t="str">
        <f>IF(Compartments!$A293&lt;&gt;"",Compartments!$A293,"")</f>
        <v/>
      </c>
      <c r="KH1" s="3" t="str">
        <f>IF(Compartments!$A294&lt;&gt;"",Compartments!$A294,"")</f>
        <v/>
      </c>
      <c r="KI1" s="3" t="str">
        <f>IF(Compartments!$A295&lt;&gt;"",Compartments!$A295,"")</f>
        <v/>
      </c>
      <c r="KJ1" s="3" t="str">
        <f>IF(Compartments!$A296&lt;&gt;"",Compartments!$A296,"")</f>
        <v/>
      </c>
      <c r="KK1" s="3" t="str">
        <f>IF(Compartments!$A297&lt;&gt;"",Compartments!$A297,"")</f>
        <v/>
      </c>
      <c r="KL1" s="3" t="str">
        <f>IF(Compartments!$A298&lt;&gt;"",Compartments!$A298,"")</f>
        <v/>
      </c>
      <c r="KM1" s="3" t="str">
        <f>IF(Compartments!$A299&lt;&gt;"",Compartments!$A299,"")</f>
        <v/>
      </c>
      <c r="KN1" s="3" t="str">
        <f>IF(Compartments!$A300&lt;&gt;"",Compartments!$A300,"")</f>
        <v/>
      </c>
      <c r="KO1" s="3" t="str">
        <f>IF(Compartments!$A301&lt;&gt;"",Compartments!$A301,"")</f>
        <v/>
      </c>
      <c r="KP1" s="3" t="str">
        <f>IF(Compartments!$A302&lt;&gt;"",Compartments!$A302,"")</f>
        <v/>
      </c>
      <c r="KQ1" s="3" t="str">
        <f>IF(Compartments!$A303&lt;&gt;"",Compartments!$A303,"")</f>
        <v/>
      </c>
      <c r="KR1" s="3" t="str">
        <f>IF(Compartments!$A304&lt;&gt;"",Compartments!$A304,"")</f>
        <v/>
      </c>
      <c r="KS1" s="3" t="str">
        <f>IF(Compartments!$A305&lt;&gt;"",Compartments!$A305,"")</f>
        <v/>
      </c>
      <c r="KT1" s="3" t="str">
        <f>IF(Compartments!$A306&lt;&gt;"",Compartments!$A306,"")</f>
        <v/>
      </c>
      <c r="KU1" s="3" t="str">
        <f>IF(Compartments!$A307&lt;&gt;"",Compartments!$A307,"")</f>
        <v/>
      </c>
      <c r="KV1" s="3" t="str">
        <f>IF(Compartments!$A308&lt;&gt;"",Compartments!$A308,"")</f>
        <v/>
      </c>
      <c r="KW1" s="3" t="str">
        <f>IF(Compartments!$A309&lt;&gt;"",Compartments!$A309,"")</f>
        <v/>
      </c>
      <c r="KX1" s="3" t="str">
        <f>IF(Compartments!$A310&lt;&gt;"",Compartments!$A310,"")</f>
        <v/>
      </c>
      <c r="KY1" s="3" t="str">
        <f>IF(Compartments!$A311&lt;&gt;"",Compartments!$A311,"")</f>
        <v/>
      </c>
      <c r="KZ1" s="3" t="str">
        <f>IF(Compartments!$A312&lt;&gt;"",Compartments!$A312,"")</f>
        <v/>
      </c>
      <c r="LA1" s="3" t="str">
        <f>IF(Compartments!$A313&lt;&gt;"",Compartments!$A313,"")</f>
        <v/>
      </c>
      <c r="LB1" s="3" t="str">
        <f>IF(Compartments!$A314&lt;&gt;"",Compartments!$A314,"")</f>
        <v/>
      </c>
      <c r="LC1" s="3" t="str">
        <f>IF(Compartments!$A315&lt;&gt;"",Compartments!$A315,"")</f>
        <v/>
      </c>
      <c r="LD1" s="3" t="str">
        <f>IF(Compartments!$A316&lt;&gt;"",Compartments!$A316,"")</f>
        <v/>
      </c>
      <c r="LE1" s="3" t="str">
        <f>IF(Compartments!$A317&lt;&gt;"",Compartments!$A317,"")</f>
        <v/>
      </c>
      <c r="LF1" s="3" t="str">
        <f>IF(Compartments!$A318&lt;&gt;"",Compartments!$A318,"")</f>
        <v/>
      </c>
      <c r="LG1" s="3" t="str">
        <f>IF(Compartments!$A319&lt;&gt;"",Compartments!$A319,"")</f>
        <v/>
      </c>
      <c r="LH1" s="3" t="str">
        <f>IF(Compartments!$A320&lt;&gt;"",Compartments!$A320,"")</f>
        <v/>
      </c>
      <c r="LI1" s="3" t="str">
        <f>IF(Compartments!$A321&lt;&gt;"",Compartments!$A321,"")</f>
        <v/>
      </c>
      <c r="LJ1" s="3" t="str">
        <f>IF(Compartments!$A322&lt;&gt;"",Compartments!$A322,"")</f>
        <v/>
      </c>
      <c r="LK1" s="3" t="str">
        <f>IF(Compartments!$A323&lt;&gt;"",Compartments!$A323,"")</f>
        <v/>
      </c>
      <c r="LL1" s="3" t="str">
        <f>IF(Compartments!$A324&lt;&gt;"",Compartments!$A324,"")</f>
        <v/>
      </c>
      <c r="LM1" s="3" t="str">
        <f>IF(Compartments!$A325&lt;&gt;"",Compartments!$A325,"")</f>
        <v/>
      </c>
      <c r="LN1" s="3" t="str">
        <f>IF(Compartments!$A326&lt;&gt;"",Compartments!$A326,"")</f>
        <v/>
      </c>
      <c r="LO1" s="3" t="str">
        <f>IF(Compartments!$A327&lt;&gt;"",Compartments!$A327,"")</f>
        <v/>
      </c>
      <c r="LP1" s="3" t="str">
        <f>IF(Compartments!$A328&lt;&gt;"",Compartments!$A328,"")</f>
        <v/>
      </c>
      <c r="LQ1" s="3" t="str">
        <f>IF(Compartments!$A329&lt;&gt;"",Compartments!$A329,"")</f>
        <v/>
      </c>
      <c r="LR1" s="3" t="str">
        <f>IF(Compartments!$A330&lt;&gt;"",Compartments!$A330,"")</f>
        <v/>
      </c>
      <c r="LS1" s="3" t="str">
        <f>IF(Compartments!$A331&lt;&gt;"",Compartments!$A331,"")</f>
        <v/>
      </c>
      <c r="LT1" s="3" t="str">
        <f>IF(Compartments!$A332&lt;&gt;"",Compartments!$A332,"")</f>
        <v/>
      </c>
      <c r="LU1" s="3" t="str">
        <f>IF(Compartments!$A333&lt;&gt;"",Compartments!$A333,"")</f>
        <v/>
      </c>
      <c r="LV1" s="3" t="str">
        <f>IF(Compartments!$A334&lt;&gt;"",Compartments!$A334,"")</f>
        <v/>
      </c>
      <c r="LW1" s="3" t="str">
        <f>IF(Compartments!$A335&lt;&gt;"",Compartments!$A335,"")</f>
        <v/>
      </c>
      <c r="LX1" s="3" t="str">
        <f>IF(Compartments!$A336&lt;&gt;"",Compartments!$A336,"")</f>
        <v/>
      </c>
      <c r="LY1" s="3" t="str">
        <f>IF(Compartments!$A337&lt;&gt;"",Compartments!$A337,"")</f>
        <v/>
      </c>
      <c r="LZ1" s="3" t="str">
        <f>IF(Compartments!$A338&lt;&gt;"",Compartments!$A338,"")</f>
        <v/>
      </c>
      <c r="MA1" s="3" t="str">
        <f>IF(Compartments!$A339&lt;&gt;"",Compartments!$A339,"")</f>
        <v/>
      </c>
      <c r="MB1" s="3" t="str">
        <f>IF(Compartments!$A340&lt;&gt;"",Compartments!$A340,"")</f>
        <v/>
      </c>
      <c r="MC1" s="3" t="str">
        <f>IF(Compartments!$A341&lt;&gt;"",Compartments!$A341,"")</f>
        <v/>
      </c>
      <c r="MD1" s="3" t="str">
        <f>IF(Compartments!$A342&lt;&gt;"",Compartments!$A342,"")</f>
        <v/>
      </c>
      <c r="ME1" s="3" t="str">
        <f>IF(Compartments!$A343&lt;&gt;"",Compartments!$A343,"")</f>
        <v/>
      </c>
      <c r="MF1" s="3" t="str">
        <f>IF(Compartments!$A344&lt;&gt;"",Compartments!$A344,"")</f>
        <v/>
      </c>
      <c r="MG1" s="3" t="str">
        <f>IF(Compartments!$A345&lt;&gt;"",Compartments!$A345,"")</f>
        <v/>
      </c>
      <c r="MH1" s="3" t="str">
        <f>IF(Compartments!$A346&lt;&gt;"",Compartments!$A346,"")</f>
        <v/>
      </c>
      <c r="MI1" s="3" t="str">
        <f>IF(Compartments!$A347&lt;&gt;"",Compartments!$A347,"")</f>
        <v/>
      </c>
      <c r="MJ1" s="3" t="str">
        <f>IF(Compartments!$A348&lt;&gt;"",Compartments!$A348,"")</f>
        <v/>
      </c>
      <c r="MK1" s="3" t="str">
        <f>IF(Compartments!$A349&lt;&gt;"",Compartments!$A349,"")</f>
        <v/>
      </c>
      <c r="ML1" s="3" t="str">
        <f>IF(Compartments!$A350&lt;&gt;"",Compartments!$A350,"")</f>
        <v/>
      </c>
      <c r="MM1" s="3" t="str">
        <f>IF(Compartments!$A351&lt;&gt;"",Compartments!$A351,"")</f>
        <v/>
      </c>
      <c r="MN1" s="3" t="str">
        <f>IF(Compartments!$A352&lt;&gt;"",Compartments!$A352,"")</f>
        <v/>
      </c>
      <c r="MO1" s="3" t="str">
        <f>IF(Compartments!$A353&lt;&gt;"",Compartments!$A353,"")</f>
        <v/>
      </c>
      <c r="MP1" s="3" t="str">
        <f>IF(Compartments!$A354&lt;&gt;"",Compartments!$A354,"")</f>
        <v/>
      </c>
      <c r="MQ1" s="3" t="str">
        <f>IF(Compartments!$A355&lt;&gt;"",Compartments!$A355,"")</f>
        <v/>
      </c>
      <c r="MR1" s="3" t="str">
        <f>IF(Compartments!$A356&lt;&gt;"",Compartments!$A356,"")</f>
        <v/>
      </c>
      <c r="MS1" s="3" t="str">
        <f>IF(Compartments!$A357&lt;&gt;"",Compartments!$A357,"")</f>
        <v/>
      </c>
      <c r="MT1" s="3" t="str">
        <f>IF(Compartments!$A358&lt;&gt;"",Compartments!$A358,"")</f>
        <v/>
      </c>
      <c r="MU1" s="3" t="str">
        <f>IF(Compartments!$A359&lt;&gt;"",Compartments!$A359,"")</f>
        <v/>
      </c>
      <c r="MV1" s="3" t="str">
        <f>IF(Compartments!$A360&lt;&gt;"",Compartments!$A360,"")</f>
        <v/>
      </c>
      <c r="MW1" s="3" t="str">
        <f>IF(Compartments!$A361&lt;&gt;"",Compartments!$A361,"")</f>
        <v/>
      </c>
      <c r="MX1" s="3" t="str">
        <f>IF(Compartments!$A362&lt;&gt;"",Compartments!$A362,"")</f>
        <v/>
      </c>
      <c r="MY1" s="3" t="str">
        <f>IF(Compartments!$A363&lt;&gt;"",Compartments!$A363,"")</f>
        <v/>
      </c>
      <c r="MZ1" s="3" t="str">
        <f>IF(Compartments!$A364&lt;&gt;"",Compartments!$A364,"")</f>
        <v/>
      </c>
      <c r="NA1" s="3" t="str">
        <f>IF(Compartments!$A365&lt;&gt;"",Compartments!$A365,"")</f>
        <v/>
      </c>
      <c r="NB1" s="3" t="str">
        <f>IF(Compartments!$A366&lt;&gt;"",Compartments!$A366,"")</f>
        <v/>
      </c>
      <c r="NC1" s="3" t="str">
        <f>IF(Compartments!$A367&lt;&gt;"",Compartments!$A367,"")</f>
        <v/>
      </c>
      <c r="ND1" s="3" t="str">
        <f>IF(Compartments!$A368&lt;&gt;"",Compartments!$A368,"")</f>
        <v/>
      </c>
      <c r="NE1" s="3" t="str">
        <f>IF(Compartments!$A369&lt;&gt;"",Compartments!$A369,"")</f>
        <v/>
      </c>
      <c r="NF1" s="3" t="str">
        <f>IF(Compartments!$A370&lt;&gt;"",Compartments!$A370,"")</f>
        <v/>
      </c>
      <c r="NG1" s="3" t="str">
        <f>IF(Compartments!$A371&lt;&gt;"",Compartments!$A371,"")</f>
        <v/>
      </c>
      <c r="NH1" s="3" t="str">
        <f>IF(Compartments!$A372&lt;&gt;"",Compartments!$A372,"")</f>
        <v/>
      </c>
      <c r="NI1" s="3" t="str">
        <f>IF(Compartments!$A373&lt;&gt;"",Compartments!$A373,"")</f>
        <v/>
      </c>
      <c r="NJ1" s="3" t="str">
        <f>IF(Compartments!$A374&lt;&gt;"",Compartments!$A374,"")</f>
        <v/>
      </c>
      <c r="NK1" s="3" t="str">
        <f>IF(Compartments!$A375&lt;&gt;"",Compartments!$A375,"")</f>
        <v/>
      </c>
      <c r="NL1" s="3" t="str">
        <f>IF(Compartments!$A376&lt;&gt;"",Compartments!$A376,"")</f>
        <v/>
      </c>
      <c r="NM1" s="3" t="str">
        <f>IF(Compartments!$A377&lt;&gt;"",Compartments!$A377,"")</f>
        <v/>
      </c>
      <c r="NN1" s="3" t="str">
        <f>IF(Compartments!$A378&lt;&gt;"",Compartments!$A378,"")</f>
        <v/>
      </c>
      <c r="NO1" s="3" t="str">
        <f>IF(Compartments!$A379&lt;&gt;"",Compartments!$A379,"")</f>
        <v/>
      </c>
      <c r="NP1" s="3" t="str">
        <f>IF(Compartments!$A380&lt;&gt;"",Compartments!$A380,"")</f>
        <v/>
      </c>
      <c r="NQ1" s="3" t="str">
        <f>IF(Compartments!$A381&lt;&gt;"",Compartments!$A381,"")</f>
        <v/>
      </c>
      <c r="NR1" s="3" t="str">
        <f>IF(Compartments!$A382&lt;&gt;"",Compartments!$A382,"")</f>
        <v/>
      </c>
      <c r="NS1" s="3" t="str">
        <f>IF(Compartments!$A383&lt;&gt;"",Compartments!$A383,"")</f>
        <v/>
      </c>
      <c r="NT1" s="3" t="str">
        <f>IF(Compartments!$A384&lt;&gt;"",Compartments!$A384,"")</f>
        <v/>
      </c>
      <c r="NU1" s="3" t="str">
        <f>IF(Compartments!$A385&lt;&gt;"",Compartments!$A385,"")</f>
        <v/>
      </c>
      <c r="NV1" s="3" t="str">
        <f>IF(Compartments!$A386&lt;&gt;"",Compartments!$A386,"")</f>
        <v/>
      </c>
      <c r="NW1" s="3" t="str">
        <f>IF(Compartments!$A387&lt;&gt;"",Compartments!$A387,"")</f>
        <v/>
      </c>
      <c r="NX1" s="3" t="str">
        <f>IF(Compartments!$A388&lt;&gt;"",Compartments!$A388,"")</f>
        <v/>
      </c>
      <c r="NY1" s="3" t="str">
        <f>IF(Compartments!$A389&lt;&gt;"",Compartments!$A389,"")</f>
        <v/>
      </c>
      <c r="NZ1" s="3" t="str">
        <f>IF(Compartments!$A390&lt;&gt;"",Compartments!$A390,"")</f>
        <v/>
      </c>
      <c r="OA1" s="3" t="str">
        <f>IF(Compartments!$A391&lt;&gt;"",Compartments!$A391,"")</f>
        <v/>
      </c>
      <c r="OB1" s="3" t="str">
        <f>IF(Compartments!$A392&lt;&gt;"",Compartments!$A392,"")</f>
        <v/>
      </c>
      <c r="OC1" s="3" t="str">
        <f>IF(Compartments!$A393&lt;&gt;"",Compartments!$A393,"")</f>
        <v/>
      </c>
      <c r="OD1" s="3" t="str">
        <f>IF(Compartments!$A394&lt;&gt;"",Compartments!$A394,"")</f>
        <v/>
      </c>
      <c r="OE1" s="3" t="str">
        <f>IF(Compartments!$A395&lt;&gt;"",Compartments!$A395,"")</f>
        <v/>
      </c>
      <c r="OF1" s="3" t="str">
        <f>IF(Compartments!$A396&lt;&gt;"",Compartments!$A396,"")</f>
        <v/>
      </c>
      <c r="OG1" s="3" t="str">
        <f>IF(Compartments!$A397&lt;&gt;"",Compartments!$A397,"")</f>
        <v/>
      </c>
      <c r="OH1" s="3" t="str">
        <f>IF(Compartments!$A398&lt;&gt;"",Compartments!$A398,"")</f>
        <v/>
      </c>
    </row>
    <row r="2" spans="1:398" x14ac:dyDescent="0.35">
      <c r="A2" s="17" t="str">
        <f>IF(Compartments!$A2&lt;&gt;"",Compartments!$A2,"")</f>
        <v>j_init</v>
      </c>
      <c r="B2" s="18"/>
      <c r="C2" s="18"/>
      <c r="D2" s="18"/>
      <c r="E2" s="18"/>
      <c r="F2" s="18"/>
      <c r="G2" s="18"/>
      <c r="H2" s="18" t="s">
        <v>130</v>
      </c>
      <c r="I2" s="18"/>
      <c r="J2" s="21"/>
      <c r="K2" s="18" t="s">
        <v>159</v>
      </c>
      <c r="L2" s="18"/>
      <c r="M2" s="18" t="s">
        <v>131</v>
      </c>
      <c r="N2" s="18"/>
      <c r="O2" s="18"/>
      <c r="P2" s="18"/>
      <c r="Q2" s="18" t="s">
        <v>132</v>
      </c>
      <c r="R2" s="18"/>
      <c r="S2" s="18"/>
      <c r="T2" s="18"/>
      <c r="U2" s="18" t="s">
        <v>133</v>
      </c>
      <c r="V2" s="18"/>
      <c r="W2" s="18"/>
      <c r="X2" s="18"/>
      <c r="Y2" s="18" t="s">
        <v>134</v>
      </c>
      <c r="Z2" s="18"/>
      <c r="AA2" s="18"/>
      <c r="AB2" s="18"/>
      <c r="AC2" s="18" t="s">
        <v>135</v>
      </c>
      <c r="AD2" s="18"/>
      <c r="AE2" s="18"/>
      <c r="AF2" s="18"/>
      <c r="AG2" s="18" t="s">
        <v>136</v>
      </c>
      <c r="AH2" s="18"/>
      <c r="AI2" s="18"/>
      <c r="AJ2" s="18"/>
      <c r="AK2" s="18" t="s">
        <v>137</v>
      </c>
      <c r="AL2" s="18"/>
      <c r="AM2" s="18"/>
      <c r="AN2" s="18"/>
    </row>
    <row r="3" spans="1:398" x14ac:dyDescent="0.35">
      <c r="A3" s="19" t="str">
        <f>IF(Compartments!$A3&lt;&gt;"",Compartments!$A3,"")</f>
        <v>src_births</v>
      </c>
      <c r="B3" s="20"/>
      <c r="C3" s="20"/>
      <c r="D3" s="20"/>
      <c r="E3" s="20"/>
      <c r="F3" s="20"/>
      <c r="G3" s="20"/>
      <c r="H3" s="20" t="s">
        <v>138</v>
      </c>
      <c r="I3" s="20" t="s">
        <v>139</v>
      </c>
      <c r="J3" s="21"/>
      <c r="K3" s="20" t="s">
        <v>141</v>
      </c>
      <c r="L3" s="20"/>
      <c r="M3" s="20" t="s">
        <v>140</v>
      </c>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row>
    <row r="4" spans="1:398" x14ac:dyDescent="0.35">
      <c r="A4" s="19" t="str">
        <f>IF(Compartments!$A4&lt;&gt;"",Compartments!$A4,"")</f>
        <v>src_immig</v>
      </c>
      <c r="B4" s="20"/>
      <c r="C4" s="20"/>
      <c r="D4" s="20"/>
      <c r="E4" s="20"/>
      <c r="F4" s="20"/>
      <c r="G4" s="20"/>
      <c r="H4" s="20" t="s">
        <v>151</v>
      </c>
      <c r="I4" s="20" t="s">
        <v>152</v>
      </c>
      <c r="J4" s="21"/>
      <c r="K4" s="20" t="s">
        <v>158</v>
      </c>
      <c r="L4" s="20"/>
      <c r="M4" s="20" t="s">
        <v>153</v>
      </c>
      <c r="N4" s="20"/>
      <c r="O4" s="20"/>
      <c r="P4" s="20"/>
      <c r="Q4" s="20" t="s">
        <v>154</v>
      </c>
      <c r="R4" s="20"/>
      <c r="S4" s="20"/>
      <c r="T4" s="20"/>
      <c r="U4" s="20" t="s">
        <v>155</v>
      </c>
      <c r="V4" s="20"/>
      <c r="W4" s="20"/>
      <c r="X4" s="20"/>
      <c r="Y4" s="20" t="s">
        <v>156</v>
      </c>
      <c r="Z4" s="20"/>
      <c r="AA4" s="20"/>
      <c r="AB4" s="20"/>
      <c r="AC4" s="20" t="s">
        <v>157</v>
      </c>
      <c r="AD4" s="20"/>
      <c r="AE4" s="20"/>
      <c r="AF4" s="20"/>
      <c r="AG4" s="20"/>
      <c r="AH4" s="20"/>
      <c r="AI4" s="20"/>
      <c r="AJ4" s="20"/>
      <c r="AK4" s="20"/>
      <c r="AL4" s="20"/>
      <c r="AM4" s="20"/>
      <c r="AN4" s="20"/>
    </row>
    <row r="5" spans="1:398" x14ac:dyDescent="0.35">
      <c r="A5" s="22" t="str">
        <f>IF(Compartments!$A5&lt;&gt;"",Compartments!$A5,"")</f>
        <v>snk_odth</v>
      </c>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row>
    <row r="6" spans="1:398" x14ac:dyDescent="0.35">
      <c r="A6" s="22" t="str">
        <f>IF(Compartments!$A6&lt;&gt;"",Compartments!$A6,"")</f>
        <v>snk_hdth</v>
      </c>
      <c r="B6" s="21"/>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row>
    <row r="7" spans="1:398" x14ac:dyDescent="0.35">
      <c r="A7" s="22" t="str">
        <f>IF(Compartments!$A7&lt;&gt;"",Compartments!$A7,"")</f>
        <v>snk_emig</v>
      </c>
      <c r="B7" s="21"/>
      <c r="C7" s="21"/>
      <c r="D7" s="21"/>
      <c r="E7" s="21"/>
      <c r="F7" s="21"/>
      <c r="G7" s="21"/>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row>
    <row r="8" spans="1:398" x14ac:dyDescent="0.35">
      <c r="A8" s="15" t="str">
        <f>IF(Compartments!$A8&lt;&gt;"",Compartments!$A8,"")</f>
        <v>sus</v>
      </c>
      <c r="B8" s="16"/>
      <c r="C8" s="16"/>
      <c r="D8" s="16"/>
      <c r="E8" s="16" t="s">
        <v>143</v>
      </c>
      <c r="F8" s="16"/>
      <c r="G8" s="16" t="s">
        <v>144</v>
      </c>
      <c r="H8" s="16"/>
      <c r="I8" s="16"/>
      <c r="J8" s="21"/>
      <c r="K8" s="16"/>
      <c r="L8" s="16" t="s">
        <v>142</v>
      </c>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row>
    <row r="9" spans="1:398" x14ac:dyDescent="0.35">
      <c r="A9" s="15" t="str">
        <f>IF(Compartments!$A9&lt;&gt;"",Compartments!$A9,"")</f>
        <v>vax</v>
      </c>
      <c r="B9" s="16"/>
      <c r="C9" s="16"/>
      <c r="D9" s="16"/>
      <c r="E9" s="16" t="s">
        <v>143</v>
      </c>
      <c r="F9" s="16"/>
      <c r="G9" s="16" t="s">
        <v>144</v>
      </c>
      <c r="H9" s="16"/>
      <c r="I9" s="16"/>
      <c r="J9" s="21"/>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row>
    <row r="10" spans="1:398" s="32" customFormat="1" x14ac:dyDescent="0.35">
      <c r="A10" s="31" t="str">
        <f>IF(Compartments!$A10&lt;&gt;"",Compartments!$A10,"")</f>
        <v>imm_acu</v>
      </c>
      <c r="B10" s="21"/>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row>
    <row r="11" spans="1:398" x14ac:dyDescent="0.35">
      <c r="A11" s="15" t="str">
        <f>IF(Compartments!$A11&lt;&gt;"",Compartments!$A11,"")</f>
        <v>imm_chb</v>
      </c>
      <c r="B11" s="16"/>
      <c r="C11" s="16"/>
      <c r="D11" s="16"/>
      <c r="E11" s="16" t="s">
        <v>143</v>
      </c>
      <c r="F11" s="16"/>
      <c r="G11" s="16" t="s">
        <v>144</v>
      </c>
      <c r="H11" s="16"/>
      <c r="I11" s="16"/>
      <c r="J11" s="21"/>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row>
    <row r="12" spans="1:398" ht="15" thickBot="1" x14ac:dyDescent="0.4">
      <c r="A12" s="15" t="str">
        <f>IF(Compartments!$A12&lt;&gt;"",Compartments!$A12,"")</f>
        <v>acu</v>
      </c>
      <c r="B12" s="16"/>
      <c r="C12" s="16"/>
      <c r="D12" s="16"/>
      <c r="E12" s="16" t="s">
        <v>143</v>
      </c>
      <c r="F12" s="16" t="s">
        <v>147</v>
      </c>
      <c r="G12" s="16" t="s">
        <v>144</v>
      </c>
      <c r="H12" s="16"/>
      <c r="I12" s="16"/>
      <c r="K12" s="16" t="s">
        <v>145</v>
      </c>
      <c r="L12" s="16"/>
      <c r="M12" s="35" t="s">
        <v>146</v>
      </c>
      <c r="N12" s="35"/>
      <c r="O12" s="35"/>
      <c r="P12" s="35"/>
      <c r="Q12" s="16"/>
      <c r="R12" s="16"/>
      <c r="S12" s="16"/>
      <c r="T12" s="16"/>
      <c r="U12" s="16"/>
      <c r="V12" s="16"/>
      <c r="W12" s="16"/>
      <c r="X12" s="16"/>
      <c r="Y12" s="16"/>
      <c r="Z12" s="16"/>
      <c r="AA12" s="16"/>
      <c r="AB12" s="16"/>
      <c r="AC12" s="16"/>
      <c r="AD12" s="16"/>
      <c r="AE12" s="16"/>
      <c r="AF12" s="16"/>
      <c r="AG12" s="16"/>
      <c r="AH12" s="16"/>
      <c r="AI12" s="16"/>
      <c r="AJ12" s="16"/>
      <c r="AK12" s="16"/>
      <c r="AL12" s="16"/>
      <c r="AM12" s="16"/>
      <c r="AN12" s="16"/>
    </row>
    <row r="13" spans="1:398" x14ac:dyDescent="0.35">
      <c r="A13" s="23" t="str">
        <f>IF(Compartments!$A13&lt;&gt;"",Compartments!$A13,"")</f>
        <v>ei</v>
      </c>
      <c r="B13" s="24"/>
      <c r="C13" s="24"/>
      <c r="D13" s="24"/>
      <c r="E13" s="24" t="s">
        <v>143</v>
      </c>
      <c r="F13" s="24"/>
      <c r="G13" s="24" t="s">
        <v>144</v>
      </c>
      <c r="H13" s="24"/>
      <c r="I13" s="24"/>
      <c r="J13" s="21"/>
      <c r="K13" s="24"/>
      <c r="L13" s="33"/>
      <c r="M13" s="37"/>
      <c r="N13" s="38" t="s">
        <v>160</v>
      </c>
      <c r="O13" s="38"/>
      <c r="P13" s="39"/>
      <c r="Q13" s="34" t="s">
        <v>173</v>
      </c>
      <c r="R13" s="24"/>
      <c r="S13" s="24"/>
      <c r="T13" s="24"/>
      <c r="U13" s="24"/>
      <c r="V13" s="24"/>
      <c r="W13" s="24"/>
      <c r="X13" s="24"/>
      <c r="Y13" s="24"/>
      <c r="Z13" s="24"/>
      <c r="AA13" s="24"/>
      <c r="AB13" s="24"/>
      <c r="AC13" s="24"/>
      <c r="AD13" s="24"/>
      <c r="AE13" s="24"/>
      <c r="AF13" s="24"/>
      <c r="AG13" s="24"/>
      <c r="AH13" s="24"/>
      <c r="AI13" s="24"/>
      <c r="AJ13" s="24"/>
      <c r="AK13" s="109" t="s">
        <v>163</v>
      </c>
      <c r="AL13" s="109"/>
      <c r="AM13" s="109"/>
      <c r="AN13" s="109"/>
    </row>
    <row r="14" spans="1:398" x14ac:dyDescent="0.35">
      <c r="A14" s="23" t="str">
        <f>IF(Compartments!$A14&lt;&gt;"",Compartments!$A14,"")</f>
        <v>ei_d</v>
      </c>
      <c r="B14" s="24"/>
      <c r="C14" s="24"/>
      <c r="D14" s="24"/>
      <c r="E14" s="24" t="s">
        <v>143</v>
      </c>
      <c r="F14" s="24"/>
      <c r="G14" s="24" t="s">
        <v>144</v>
      </c>
      <c r="H14" s="24"/>
      <c r="I14" s="24"/>
      <c r="J14" s="21"/>
      <c r="K14" s="24"/>
      <c r="L14" s="33"/>
      <c r="M14" s="40"/>
      <c r="N14" s="24"/>
      <c r="O14" s="24" t="s">
        <v>161</v>
      </c>
      <c r="P14" s="41"/>
      <c r="Q14" s="34"/>
      <c r="R14" s="24" t="s">
        <v>173</v>
      </c>
      <c r="S14" s="24"/>
      <c r="T14" s="24"/>
      <c r="U14" s="24"/>
      <c r="V14" s="24"/>
      <c r="W14" s="24"/>
      <c r="X14" s="24"/>
      <c r="Y14" s="24"/>
      <c r="Z14" s="24"/>
      <c r="AA14" s="24"/>
      <c r="AB14" s="24"/>
      <c r="AC14" s="24"/>
      <c r="AD14" s="24"/>
      <c r="AE14" s="24"/>
      <c r="AF14" s="24"/>
      <c r="AG14" s="24"/>
      <c r="AH14" s="24"/>
      <c r="AI14" s="24"/>
      <c r="AJ14" s="24"/>
      <c r="AK14" s="109"/>
      <c r="AL14" s="109" t="s">
        <v>163</v>
      </c>
      <c r="AM14" s="109"/>
      <c r="AN14" s="109"/>
    </row>
    <row r="15" spans="1:398" x14ac:dyDescent="0.35">
      <c r="A15" s="23" t="str">
        <f>IF(Compartments!$A15&lt;&gt;"",Compartments!$A15,"")</f>
        <v>ei_l</v>
      </c>
      <c r="B15" s="24"/>
      <c r="C15" s="24"/>
      <c r="D15" s="24"/>
      <c r="E15" s="24" t="s">
        <v>143</v>
      </c>
      <c r="F15" s="24"/>
      <c r="G15" s="24" t="s">
        <v>144</v>
      </c>
      <c r="H15" s="24"/>
      <c r="I15" s="24"/>
      <c r="J15" s="21"/>
      <c r="K15" s="24"/>
      <c r="L15" s="33"/>
      <c r="M15" s="40"/>
      <c r="N15" s="24" t="s">
        <v>162</v>
      </c>
      <c r="O15" s="24"/>
      <c r="P15" s="41"/>
      <c r="Q15" s="34"/>
      <c r="R15" s="24"/>
      <c r="S15" s="24" t="s">
        <v>173</v>
      </c>
      <c r="T15" s="24"/>
      <c r="U15" s="24"/>
      <c r="V15" s="24"/>
      <c r="W15" s="24"/>
      <c r="X15" s="24"/>
      <c r="Y15" s="24"/>
      <c r="Z15" s="24"/>
      <c r="AA15" s="24"/>
      <c r="AB15" s="24"/>
      <c r="AC15" s="24"/>
      <c r="AD15" s="24"/>
      <c r="AE15" s="24"/>
      <c r="AF15" s="24"/>
      <c r="AG15" s="24"/>
      <c r="AH15" s="24"/>
      <c r="AI15" s="24"/>
      <c r="AJ15" s="24"/>
      <c r="AK15" s="109"/>
      <c r="AL15" s="109"/>
      <c r="AM15" s="109" t="s">
        <v>163</v>
      </c>
      <c r="AN15" s="109"/>
    </row>
    <row r="16" spans="1:398" ht="15" thickBot="1" x14ac:dyDescent="0.4">
      <c r="A16" s="23" t="str">
        <f>IF(Compartments!$A16&lt;&gt;"",Compartments!$A16,"")</f>
        <v>ei_t</v>
      </c>
      <c r="B16" s="24"/>
      <c r="C16" s="24"/>
      <c r="D16" s="24"/>
      <c r="E16" s="24" t="s">
        <v>143</v>
      </c>
      <c r="F16" s="24"/>
      <c r="G16" s="24" t="s">
        <v>144</v>
      </c>
      <c r="H16" s="24"/>
      <c r="I16" s="24"/>
      <c r="J16" s="21"/>
      <c r="K16" s="24"/>
      <c r="L16" s="33"/>
      <c r="M16" s="42"/>
      <c r="N16" s="43"/>
      <c r="O16" s="43"/>
      <c r="P16" s="44"/>
      <c r="Q16" s="48"/>
      <c r="R16" s="49"/>
      <c r="S16" s="49"/>
      <c r="T16" s="49"/>
      <c r="U16" s="24"/>
      <c r="V16" s="24"/>
      <c r="W16" s="24"/>
      <c r="X16" s="24"/>
      <c r="Y16" s="24"/>
      <c r="Z16" s="24"/>
      <c r="AA16" s="24"/>
      <c r="AB16" s="24"/>
      <c r="AC16" s="24"/>
      <c r="AD16" s="24"/>
      <c r="AE16" s="24"/>
      <c r="AF16" s="24"/>
      <c r="AG16" s="24"/>
      <c r="AH16" s="24"/>
      <c r="AI16" s="24"/>
      <c r="AJ16" s="24"/>
      <c r="AK16" s="109"/>
      <c r="AL16" s="109"/>
      <c r="AM16" s="109"/>
      <c r="AN16" s="109"/>
    </row>
    <row r="17" spans="1:40" x14ac:dyDescent="0.35">
      <c r="A17" s="17" t="str">
        <f>IF(Compartments!$A17&lt;&gt;"",Compartments!$A17,"")</f>
        <v>eh</v>
      </c>
      <c r="B17" s="18"/>
      <c r="C17" s="18"/>
      <c r="D17" s="18"/>
      <c r="E17" s="18" t="s">
        <v>143</v>
      </c>
      <c r="F17" s="18"/>
      <c r="G17" s="18" t="s">
        <v>144</v>
      </c>
      <c r="H17" s="18"/>
      <c r="I17" s="18"/>
      <c r="J17" s="21"/>
      <c r="K17" s="18"/>
      <c r="L17" s="18"/>
      <c r="M17" s="36"/>
      <c r="N17" s="36"/>
      <c r="O17" s="36"/>
      <c r="P17" s="45"/>
      <c r="Q17" s="51"/>
      <c r="R17" s="52" t="s">
        <v>160</v>
      </c>
      <c r="S17" s="52"/>
      <c r="T17" s="53"/>
      <c r="U17" s="47" t="s">
        <v>176</v>
      </c>
      <c r="V17" s="18"/>
      <c r="W17" s="18"/>
      <c r="X17" s="18"/>
      <c r="Y17" s="18"/>
      <c r="Z17" s="18"/>
      <c r="AA17" s="18"/>
      <c r="AB17" s="18"/>
      <c r="AC17" s="117" t="s">
        <v>177</v>
      </c>
      <c r="AD17" s="117"/>
      <c r="AE17" s="117"/>
      <c r="AF17" s="117"/>
      <c r="AG17" s="18"/>
      <c r="AH17" s="18"/>
      <c r="AI17" s="18"/>
      <c r="AJ17" s="18"/>
      <c r="AK17" s="109" t="s">
        <v>164</v>
      </c>
      <c r="AL17" s="109"/>
      <c r="AM17" s="109"/>
      <c r="AN17" s="109"/>
    </row>
    <row r="18" spans="1:40" x14ac:dyDescent="0.35">
      <c r="A18" s="17" t="str">
        <f>IF(Compartments!$A18&lt;&gt;"",Compartments!$A18,"")</f>
        <v>eh_d</v>
      </c>
      <c r="B18" s="18"/>
      <c r="C18" s="18"/>
      <c r="D18" s="18"/>
      <c r="E18" s="18" t="s">
        <v>143</v>
      </c>
      <c r="F18" s="18"/>
      <c r="G18" s="18" t="s">
        <v>144</v>
      </c>
      <c r="H18" s="18"/>
      <c r="I18" s="18"/>
      <c r="J18" s="21"/>
      <c r="K18" s="18"/>
      <c r="L18" s="18"/>
      <c r="M18" s="18"/>
      <c r="N18" s="18"/>
      <c r="O18" s="18"/>
      <c r="P18" s="46"/>
      <c r="Q18" s="54"/>
      <c r="R18" s="18"/>
      <c r="S18" s="18" t="s">
        <v>161</v>
      </c>
      <c r="T18" s="55"/>
      <c r="U18" s="47"/>
      <c r="V18" s="18" t="s">
        <v>176</v>
      </c>
      <c r="W18" s="18"/>
      <c r="X18" s="18"/>
      <c r="Y18" s="18"/>
      <c r="Z18" s="18"/>
      <c r="AA18" s="18"/>
      <c r="AB18" s="18"/>
      <c r="AC18" s="117"/>
      <c r="AD18" s="117" t="s">
        <v>177</v>
      </c>
      <c r="AE18" s="117"/>
      <c r="AF18" s="117"/>
      <c r="AG18" s="18"/>
      <c r="AH18" s="18"/>
      <c r="AI18" s="18"/>
      <c r="AJ18" s="18"/>
      <c r="AK18" s="109"/>
      <c r="AL18" s="109" t="s">
        <v>164</v>
      </c>
      <c r="AM18" s="109"/>
      <c r="AN18" s="109"/>
    </row>
    <row r="19" spans="1:40" x14ac:dyDescent="0.35">
      <c r="A19" s="17" t="str">
        <f>IF(Compartments!$A19&lt;&gt;"",Compartments!$A19,"")</f>
        <v>eh_l</v>
      </c>
      <c r="B19" s="18"/>
      <c r="C19" s="18"/>
      <c r="D19" s="18"/>
      <c r="E19" s="18" t="s">
        <v>143</v>
      </c>
      <c r="F19" s="18"/>
      <c r="G19" s="18" t="s">
        <v>144</v>
      </c>
      <c r="H19" s="18"/>
      <c r="I19" s="18"/>
      <c r="J19" s="21"/>
      <c r="K19" s="18"/>
      <c r="L19" s="18"/>
      <c r="M19" s="18"/>
      <c r="N19" s="18"/>
      <c r="O19" s="18"/>
      <c r="P19" s="46"/>
      <c r="Q19" s="54"/>
      <c r="R19" s="18" t="s">
        <v>162</v>
      </c>
      <c r="S19" s="18"/>
      <c r="T19" s="55" t="s">
        <v>174</v>
      </c>
      <c r="U19" s="47"/>
      <c r="V19" s="18"/>
      <c r="W19" s="18" t="s">
        <v>176</v>
      </c>
      <c r="X19" s="18"/>
      <c r="Y19" s="18"/>
      <c r="Z19" s="18"/>
      <c r="AA19" s="18"/>
      <c r="AB19" s="18"/>
      <c r="AC19" s="117"/>
      <c r="AD19" s="117"/>
      <c r="AE19" s="117" t="s">
        <v>177</v>
      </c>
      <c r="AF19" s="117"/>
      <c r="AG19" s="18"/>
      <c r="AH19" s="18"/>
      <c r="AI19" s="18"/>
      <c r="AJ19" s="18"/>
      <c r="AK19" s="109"/>
      <c r="AL19" s="109"/>
      <c r="AM19" s="109" t="s">
        <v>164</v>
      </c>
      <c r="AN19" s="109"/>
    </row>
    <row r="20" spans="1:40" ht="15" thickBot="1" x14ac:dyDescent="0.4">
      <c r="A20" s="17" t="str">
        <f>IF(Compartments!$A20&lt;&gt;"",Compartments!$A20,"")</f>
        <v>eh_t</v>
      </c>
      <c r="B20" s="18"/>
      <c r="C20" s="18"/>
      <c r="D20" s="18"/>
      <c r="E20" s="18" t="s">
        <v>143</v>
      </c>
      <c r="F20" s="18"/>
      <c r="G20" s="18" t="s">
        <v>144</v>
      </c>
      <c r="H20" s="18"/>
      <c r="I20" s="18"/>
      <c r="J20" s="21"/>
      <c r="K20" s="18"/>
      <c r="L20" s="18"/>
      <c r="M20" s="18"/>
      <c r="N20" s="18"/>
      <c r="O20" s="18"/>
      <c r="P20" s="46"/>
      <c r="Q20" s="56"/>
      <c r="R20" s="57" t="s">
        <v>175</v>
      </c>
      <c r="S20" s="57"/>
      <c r="T20" s="58"/>
      <c r="U20" s="62"/>
      <c r="V20" s="63"/>
      <c r="W20" s="63"/>
      <c r="X20" s="63" t="s">
        <v>176</v>
      </c>
      <c r="Y20" s="18"/>
      <c r="Z20" s="18"/>
      <c r="AA20" s="18"/>
      <c r="AB20" s="18"/>
      <c r="AC20" s="117"/>
      <c r="AD20" s="117"/>
      <c r="AE20" s="117"/>
      <c r="AF20" s="117" t="s">
        <v>178</v>
      </c>
      <c r="AG20" s="18"/>
      <c r="AH20" s="18"/>
      <c r="AI20" s="18"/>
      <c r="AJ20" s="18"/>
      <c r="AK20" s="109"/>
      <c r="AL20" s="109"/>
      <c r="AM20" s="109"/>
      <c r="AN20" s="109" t="s">
        <v>165</v>
      </c>
    </row>
    <row r="21" spans="1:40" x14ac:dyDescent="0.35">
      <c r="A21" s="19" t="str">
        <f>IF(Compartments!$A21&lt;&gt;"",Compartments!$A21,"")</f>
        <v>si</v>
      </c>
      <c r="B21" s="20"/>
      <c r="C21" s="20"/>
      <c r="D21" s="20"/>
      <c r="E21" s="20" t="s">
        <v>143</v>
      </c>
      <c r="F21" s="20"/>
      <c r="G21" s="20" t="s">
        <v>144</v>
      </c>
      <c r="H21" s="20"/>
      <c r="I21" s="20"/>
      <c r="J21" s="21"/>
      <c r="K21" s="20"/>
      <c r="L21" s="20"/>
      <c r="M21" s="20"/>
      <c r="N21" s="20"/>
      <c r="O21" s="20"/>
      <c r="P21" s="20"/>
      <c r="Q21" s="50"/>
      <c r="R21" s="50"/>
      <c r="S21" s="50"/>
      <c r="T21" s="59"/>
      <c r="U21" s="65"/>
      <c r="V21" s="66" t="s">
        <v>160</v>
      </c>
      <c r="W21" s="66"/>
      <c r="X21" s="67"/>
      <c r="Y21" s="61" t="s">
        <v>181</v>
      </c>
      <c r="Z21" s="20"/>
      <c r="AA21" s="20"/>
      <c r="AB21" s="20"/>
      <c r="AC21" s="20"/>
      <c r="AD21" s="20"/>
      <c r="AE21" s="20"/>
      <c r="AF21" s="20"/>
      <c r="AG21" s="20"/>
      <c r="AH21" s="20"/>
      <c r="AI21" s="20"/>
      <c r="AJ21" s="20"/>
      <c r="AK21" s="109" t="s">
        <v>166</v>
      </c>
      <c r="AL21" s="109"/>
      <c r="AM21" s="109"/>
      <c r="AN21" s="109"/>
    </row>
    <row r="22" spans="1:40" x14ac:dyDescent="0.35">
      <c r="A22" s="19" t="str">
        <f>IF(Compartments!$A22&lt;&gt;"",Compartments!$A22,"")</f>
        <v>si_d</v>
      </c>
      <c r="B22" s="20"/>
      <c r="C22" s="20"/>
      <c r="D22" s="20"/>
      <c r="E22" s="20" t="s">
        <v>143</v>
      </c>
      <c r="F22" s="20"/>
      <c r="G22" s="20" t="s">
        <v>144</v>
      </c>
      <c r="H22" s="20"/>
      <c r="I22" s="20"/>
      <c r="J22" s="21"/>
      <c r="K22" s="20"/>
      <c r="L22" s="20"/>
      <c r="M22" s="20"/>
      <c r="N22" s="20"/>
      <c r="O22" s="20"/>
      <c r="P22" s="20"/>
      <c r="Q22" s="20"/>
      <c r="R22" s="20"/>
      <c r="S22" s="20"/>
      <c r="T22" s="60"/>
      <c r="U22" s="68"/>
      <c r="V22" s="20"/>
      <c r="W22" s="20" t="s">
        <v>161</v>
      </c>
      <c r="X22" s="69"/>
      <c r="Y22" s="61"/>
      <c r="Z22" s="20" t="s">
        <v>181</v>
      </c>
      <c r="AA22" s="20"/>
      <c r="AB22" s="20"/>
      <c r="AC22" s="20"/>
      <c r="AD22" s="20"/>
      <c r="AE22" s="20"/>
      <c r="AF22" s="20"/>
      <c r="AG22" s="20"/>
      <c r="AH22" s="20"/>
      <c r="AI22" s="20"/>
      <c r="AJ22" s="20"/>
      <c r="AK22" s="109"/>
      <c r="AL22" s="109" t="s">
        <v>166</v>
      </c>
      <c r="AM22" s="109"/>
      <c r="AN22" s="109"/>
    </row>
    <row r="23" spans="1:40" x14ac:dyDescent="0.35">
      <c r="A23" s="19" t="str">
        <f>IF(Compartments!$A23&lt;&gt;"",Compartments!$A23,"")</f>
        <v>si_l</v>
      </c>
      <c r="B23" s="20"/>
      <c r="C23" s="20"/>
      <c r="D23" s="20"/>
      <c r="E23" s="20" t="s">
        <v>143</v>
      </c>
      <c r="F23" s="20"/>
      <c r="G23" s="20" t="s">
        <v>144</v>
      </c>
      <c r="H23" s="20"/>
      <c r="I23" s="20"/>
      <c r="J23" s="21"/>
      <c r="K23" s="20"/>
      <c r="L23" s="20"/>
      <c r="M23" s="20"/>
      <c r="N23" s="20"/>
      <c r="O23" s="20"/>
      <c r="P23" s="20"/>
      <c r="Q23" s="20"/>
      <c r="R23" s="20"/>
      <c r="S23" s="20"/>
      <c r="T23" s="60"/>
      <c r="U23" s="68"/>
      <c r="V23" s="20" t="s">
        <v>162</v>
      </c>
      <c r="W23" s="20"/>
      <c r="X23" s="69" t="s">
        <v>174</v>
      </c>
      <c r="Y23" s="61"/>
      <c r="Z23" s="20"/>
      <c r="AA23" s="20" t="s">
        <v>181</v>
      </c>
      <c r="AB23" s="20"/>
      <c r="AC23" s="20"/>
      <c r="AD23" s="20"/>
      <c r="AE23" s="20"/>
      <c r="AF23" s="20"/>
      <c r="AG23" s="20"/>
      <c r="AH23" s="20"/>
      <c r="AI23" s="20"/>
      <c r="AJ23" s="20"/>
      <c r="AK23" s="109"/>
      <c r="AL23" s="109"/>
      <c r="AM23" s="109" t="s">
        <v>166</v>
      </c>
      <c r="AN23" s="109"/>
    </row>
    <row r="24" spans="1:40" ht="15" thickBot="1" x14ac:dyDescent="0.4">
      <c r="A24" s="19" t="str">
        <f>IF(Compartments!$A24&lt;&gt;"",Compartments!$A24,"")</f>
        <v>si_t</v>
      </c>
      <c r="B24" s="20"/>
      <c r="C24" s="20"/>
      <c r="D24" s="20"/>
      <c r="E24" s="20" t="s">
        <v>143</v>
      </c>
      <c r="F24" s="20"/>
      <c r="G24" s="20" t="s">
        <v>144</v>
      </c>
      <c r="H24" s="20"/>
      <c r="I24" s="20"/>
      <c r="J24" s="21"/>
      <c r="K24" s="20"/>
      <c r="L24" s="20"/>
      <c r="M24" s="20"/>
      <c r="N24" s="20"/>
      <c r="O24" s="20"/>
      <c r="P24" s="20"/>
      <c r="Q24" s="20"/>
      <c r="R24" s="20"/>
      <c r="S24" s="20"/>
      <c r="T24" s="60"/>
      <c r="U24" s="70"/>
      <c r="V24" s="71" t="s">
        <v>175</v>
      </c>
      <c r="W24" s="71"/>
      <c r="X24" s="72"/>
      <c r="Y24" s="75"/>
      <c r="Z24" s="76"/>
      <c r="AA24" s="76"/>
      <c r="AB24" s="76"/>
      <c r="AC24" s="20"/>
      <c r="AD24" s="20"/>
      <c r="AE24" s="20"/>
      <c r="AF24" s="20"/>
      <c r="AG24" s="20"/>
      <c r="AH24" s="20"/>
      <c r="AI24" s="20"/>
      <c r="AJ24" s="20"/>
      <c r="AK24" s="109"/>
      <c r="AL24" s="109"/>
      <c r="AM24" s="109"/>
      <c r="AN24" s="109" t="s">
        <v>167</v>
      </c>
    </row>
    <row r="25" spans="1:40" x14ac:dyDescent="0.35">
      <c r="A25" s="25" t="str">
        <f>IF(Compartments!$A25&lt;&gt;"",Compartments!$A25,"")</f>
        <v>sh</v>
      </c>
      <c r="B25" s="26"/>
      <c r="C25" s="26"/>
      <c r="D25" s="26"/>
      <c r="E25" s="26" t="s">
        <v>143</v>
      </c>
      <c r="F25" s="26"/>
      <c r="G25" s="26" t="s">
        <v>144</v>
      </c>
      <c r="H25" s="26"/>
      <c r="I25" s="26"/>
      <c r="J25" s="21"/>
      <c r="K25" s="26"/>
      <c r="L25" s="26"/>
      <c r="M25" s="26"/>
      <c r="N25" s="26"/>
      <c r="O25" s="26"/>
      <c r="P25" s="26"/>
      <c r="Q25" s="26"/>
      <c r="R25" s="26"/>
      <c r="S25" s="26"/>
      <c r="T25" s="26"/>
      <c r="U25" s="64" t="s">
        <v>182</v>
      </c>
      <c r="V25" s="64"/>
      <c r="W25" s="64"/>
      <c r="X25" s="73"/>
      <c r="Y25" s="78"/>
      <c r="Z25" s="79" t="s">
        <v>160</v>
      </c>
      <c r="AA25" s="79"/>
      <c r="AB25" s="80"/>
      <c r="AC25" s="118" t="s">
        <v>179</v>
      </c>
      <c r="AD25" s="117"/>
      <c r="AE25" s="117"/>
      <c r="AF25" s="117"/>
      <c r="AG25" s="26"/>
      <c r="AH25" s="26"/>
      <c r="AI25" s="26"/>
      <c r="AJ25" s="26"/>
      <c r="AK25" s="109" t="s">
        <v>164</v>
      </c>
      <c r="AL25" s="109"/>
      <c r="AM25" s="109"/>
      <c r="AN25" s="109"/>
    </row>
    <row r="26" spans="1:40" x14ac:dyDescent="0.35">
      <c r="A26" s="25" t="str">
        <f>IF(Compartments!$A26&lt;&gt;"",Compartments!$A26,"")</f>
        <v>sh_d</v>
      </c>
      <c r="B26" s="26"/>
      <c r="C26" s="26"/>
      <c r="D26" s="26"/>
      <c r="E26" s="26" t="s">
        <v>143</v>
      </c>
      <c r="F26" s="26"/>
      <c r="G26" s="26" t="s">
        <v>144</v>
      </c>
      <c r="H26" s="26"/>
      <c r="I26" s="26"/>
      <c r="J26" s="21"/>
      <c r="K26" s="26"/>
      <c r="L26" s="26"/>
      <c r="M26" s="26"/>
      <c r="N26" s="26"/>
      <c r="O26" s="26"/>
      <c r="P26" s="26"/>
      <c r="Q26" s="26"/>
      <c r="R26" s="26"/>
      <c r="S26" s="26"/>
      <c r="T26" s="26"/>
      <c r="U26" s="26"/>
      <c r="V26" s="26" t="s">
        <v>182</v>
      </c>
      <c r="W26" s="26"/>
      <c r="X26" s="74"/>
      <c r="Y26" s="81"/>
      <c r="Z26" s="26"/>
      <c r="AA26" s="26" t="s">
        <v>161</v>
      </c>
      <c r="AB26" s="82"/>
      <c r="AC26" s="118"/>
      <c r="AD26" s="117" t="s">
        <v>179</v>
      </c>
      <c r="AE26" s="117"/>
      <c r="AF26" s="117"/>
      <c r="AG26" s="26"/>
      <c r="AH26" s="26"/>
      <c r="AI26" s="26"/>
      <c r="AJ26" s="26"/>
      <c r="AK26" s="109"/>
      <c r="AL26" s="109" t="s">
        <v>164</v>
      </c>
      <c r="AM26" s="109"/>
      <c r="AN26" s="109"/>
    </row>
    <row r="27" spans="1:40" x14ac:dyDescent="0.35">
      <c r="A27" s="25" t="str">
        <f>IF(Compartments!$A27&lt;&gt;"",Compartments!$A27,"")</f>
        <v>sh_l</v>
      </c>
      <c r="B27" s="26"/>
      <c r="C27" s="26"/>
      <c r="D27" s="26"/>
      <c r="E27" s="26" t="s">
        <v>143</v>
      </c>
      <c r="F27" s="26"/>
      <c r="G27" s="26" t="s">
        <v>144</v>
      </c>
      <c r="H27" s="26"/>
      <c r="I27" s="26"/>
      <c r="J27" s="21"/>
      <c r="K27" s="26"/>
      <c r="L27" s="26"/>
      <c r="M27" s="26"/>
      <c r="N27" s="26"/>
      <c r="O27" s="26"/>
      <c r="P27" s="26"/>
      <c r="Q27" s="26"/>
      <c r="R27" s="26"/>
      <c r="S27" s="26"/>
      <c r="T27" s="26"/>
      <c r="U27" s="26"/>
      <c r="V27" s="26"/>
      <c r="W27" s="26" t="s">
        <v>182</v>
      </c>
      <c r="X27" s="74"/>
      <c r="Y27" s="81"/>
      <c r="Z27" s="26" t="s">
        <v>162</v>
      </c>
      <c r="AA27" s="26"/>
      <c r="AB27" s="82" t="s">
        <v>174</v>
      </c>
      <c r="AC27" s="118"/>
      <c r="AD27" s="117"/>
      <c r="AE27" s="117" t="s">
        <v>179</v>
      </c>
      <c r="AF27" s="117"/>
      <c r="AG27" s="26"/>
      <c r="AH27" s="26"/>
      <c r="AI27" s="26"/>
      <c r="AJ27" s="26"/>
      <c r="AK27" s="109"/>
      <c r="AL27" s="109"/>
      <c r="AM27" s="109" t="s">
        <v>164</v>
      </c>
      <c r="AN27" s="109"/>
    </row>
    <row r="28" spans="1:40" ht="15" thickBot="1" x14ac:dyDescent="0.4">
      <c r="A28" s="25" t="str">
        <f>IF(Compartments!$A28&lt;&gt;"",Compartments!$A28,"")</f>
        <v>sh_t</v>
      </c>
      <c r="B28" s="26"/>
      <c r="C28" s="26"/>
      <c r="D28" s="26"/>
      <c r="E28" s="26" t="s">
        <v>143</v>
      </c>
      <c r="F28" s="26"/>
      <c r="G28" s="26" t="s">
        <v>144</v>
      </c>
      <c r="H28" s="26"/>
      <c r="I28" s="26"/>
      <c r="J28" s="21"/>
      <c r="K28" s="26"/>
      <c r="L28" s="26"/>
      <c r="M28" s="26"/>
      <c r="N28" s="26"/>
      <c r="O28" s="26"/>
      <c r="P28" s="26"/>
      <c r="Q28" s="26"/>
      <c r="R28" s="26"/>
      <c r="S28" s="26"/>
      <c r="T28" s="26"/>
      <c r="U28" s="26"/>
      <c r="V28" s="26"/>
      <c r="W28" s="26"/>
      <c r="X28" s="74" t="s">
        <v>183</v>
      </c>
      <c r="Y28" s="83"/>
      <c r="Z28" s="84" t="s">
        <v>175</v>
      </c>
      <c r="AA28" s="84"/>
      <c r="AB28" s="85"/>
      <c r="AC28" s="119"/>
      <c r="AD28" s="120"/>
      <c r="AE28" s="120"/>
      <c r="AF28" s="120" t="s">
        <v>180</v>
      </c>
      <c r="AG28" s="26"/>
      <c r="AH28" s="26"/>
      <c r="AI28" s="26"/>
      <c r="AJ28" s="26"/>
      <c r="AK28" s="109"/>
      <c r="AL28" s="109"/>
      <c r="AM28" s="109"/>
      <c r="AN28" s="109" t="s">
        <v>165</v>
      </c>
    </row>
    <row r="29" spans="1:40" x14ac:dyDescent="0.35">
      <c r="A29" s="27" t="str">
        <f>IF(Compartments!$A29&lt;&gt;"",Compartments!$A29,"")</f>
        <v>cc</v>
      </c>
      <c r="B29" s="28"/>
      <c r="C29" s="28"/>
      <c r="D29" s="28"/>
      <c r="E29" s="28" t="s">
        <v>143</v>
      </c>
      <c r="F29" s="28"/>
      <c r="G29" s="28" t="s">
        <v>144</v>
      </c>
      <c r="H29" s="28"/>
      <c r="I29" s="28"/>
      <c r="J29" s="21"/>
      <c r="K29" s="28"/>
      <c r="L29" s="28"/>
      <c r="M29" s="28"/>
      <c r="N29" s="28"/>
      <c r="O29" s="28"/>
      <c r="P29" s="28"/>
      <c r="Q29" s="28"/>
      <c r="R29" s="28"/>
      <c r="S29" s="28"/>
      <c r="T29" s="28"/>
      <c r="U29" s="28"/>
      <c r="V29" s="28"/>
      <c r="W29" s="28"/>
      <c r="X29" s="28"/>
      <c r="Y29" s="77"/>
      <c r="Z29" s="77"/>
      <c r="AA29" s="77"/>
      <c r="AB29" s="86"/>
      <c r="AC29" s="89"/>
      <c r="AD29" s="90" t="s">
        <v>160</v>
      </c>
      <c r="AE29" s="90"/>
      <c r="AF29" s="91"/>
      <c r="AG29" s="113" t="s">
        <v>170</v>
      </c>
      <c r="AH29" s="114"/>
      <c r="AI29" s="114"/>
      <c r="AJ29" s="114"/>
      <c r="AK29" s="109" t="s">
        <v>168</v>
      </c>
      <c r="AL29" s="109"/>
      <c r="AM29" s="109"/>
      <c r="AN29" s="109"/>
    </row>
    <row r="30" spans="1:40" x14ac:dyDescent="0.35">
      <c r="A30" s="27" t="str">
        <f>IF(Compartments!$A30&lt;&gt;"",Compartments!$A30,"")</f>
        <v>cc_d</v>
      </c>
      <c r="B30" s="28"/>
      <c r="C30" s="28"/>
      <c r="D30" s="28"/>
      <c r="E30" s="28" t="s">
        <v>143</v>
      </c>
      <c r="F30" s="28"/>
      <c r="G30" s="28" t="s">
        <v>144</v>
      </c>
      <c r="H30" s="28"/>
      <c r="I30" s="28"/>
      <c r="J30" s="21"/>
      <c r="K30" s="28"/>
      <c r="L30" s="28"/>
      <c r="M30" s="28"/>
      <c r="N30" s="28"/>
      <c r="O30" s="28"/>
      <c r="P30" s="28"/>
      <c r="Q30" s="28"/>
      <c r="R30" s="28"/>
      <c r="S30" s="28"/>
      <c r="T30" s="28"/>
      <c r="U30" s="28"/>
      <c r="V30" s="28"/>
      <c r="W30" s="28"/>
      <c r="X30" s="28"/>
      <c r="Y30" s="28"/>
      <c r="Z30" s="28"/>
      <c r="AA30" s="28"/>
      <c r="AB30" s="87"/>
      <c r="AC30" s="92"/>
      <c r="AD30" s="28"/>
      <c r="AE30" s="28" t="s">
        <v>161</v>
      </c>
      <c r="AF30" s="93"/>
      <c r="AG30" s="113"/>
      <c r="AH30" s="114" t="s">
        <v>170</v>
      </c>
      <c r="AI30" s="114"/>
      <c r="AJ30" s="114"/>
      <c r="AK30" s="109"/>
      <c r="AL30" s="109" t="s">
        <v>168</v>
      </c>
      <c r="AM30" s="109"/>
      <c r="AN30" s="109"/>
    </row>
    <row r="31" spans="1:40" x14ac:dyDescent="0.35">
      <c r="A31" s="27" t="str">
        <f>IF(Compartments!$A31&lt;&gt;"",Compartments!$A31,"")</f>
        <v>cc_l</v>
      </c>
      <c r="B31" s="28"/>
      <c r="C31" s="28"/>
      <c r="D31" s="28"/>
      <c r="E31" s="28" t="s">
        <v>143</v>
      </c>
      <c r="F31" s="28"/>
      <c r="G31" s="28" t="s">
        <v>144</v>
      </c>
      <c r="H31" s="28"/>
      <c r="I31" s="28"/>
      <c r="J31" s="21"/>
      <c r="K31" s="28"/>
      <c r="L31" s="28"/>
      <c r="M31" s="28"/>
      <c r="N31" s="28"/>
      <c r="O31" s="28"/>
      <c r="P31" s="28"/>
      <c r="Q31" s="28"/>
      <c r="R31" s="28"/>
      <c r="S31" s="28"/>
      <c r="T31" s="28"/>
      <c r="U31" s="28"/>
      <c r="V31" s="28"/>
      <c r="W31" s="28"/>
      <c r="X31" s="28"/>
      <c r="Y31" s="28"/>
      <c r="Z31" s="28"/>
      <c r="AA31" s="28"/>
      <c r="AB31" s="87"/>
      <c r="AC31" s="92"/>
      <c r="AD31" s="28" t="s">
        <v>162</v>
      </c>
      <c r="AE31" s="28"/>
      <c r="AF31" s="93" t="s">
        <v>174</v>
      </c>
      <c r="AG31" s="113"/>
      <c r="AH31" s="114"/>
      <c r="AI31" s="114" t="s">
        <v>170</v>
      </c>
      <c r="AJ31" s="114"/>
      <c r="AK31" s="109"/>
      <c r="AL31" s="109"/>
      <c r="AM31" s="109" t="s">
        <v>168</v>
      </c>
      <c r="AN31" s="109"/>
    </row>
    <row r="32" spans="1:40" ht="15" thickBot="1" x14ac:dyDescent="0.4">
      <c r="A32" s="27" t="str">
        <f>IF(Compartments!$A32&lt;&gt;"",Compartments!$A32,"")</f>
        <v>cc_t</v>
      </c>
      <c r="B32" s="28"/>
      <c r="C32" s="28"/>
      <c r="D32" s="28"/>
      <c r="E32" s="28" t="s">
        <v>143</v>
      </c>
      <c r="F32" s="28"/>
      <c r="G32" s="28" t="s">
        <v>144</v>
      </c>
      <c r="H32" s="28"/>
      <c r="I32" s="28"/>
      <c r="J32" s="21"/>
      <c r="K32" s="28"/>
      <c r="L32" s="28"/>
      <c r="M32" s="28"/>
      <c r="N32" s="28"/>
      <c r="O32" s="28"/>
      <c r="P32" s="28"/>
      <c r="Q32" s="28"/>
      <c r="R32" s="28"/>
      <c r="S32" s="28"/>
      <c r="T32" s="28"/>
      <c r="U32" s="28"/>
      <c r="V32" s="28"/>
      <c r="W32" s="28"/>
      <c r="X32" s="28"/>
      <c r="Y32" s="28"/>
      <c r="Z32" s="28"/>
      <c r="AA32" s="28"/>
      <c r="AB32" s="87"/>
      <c r="AC32" s="94"/>
      <c r="AD32" s="95" t="s">
        <v>175</v>
      </c>
      <c r="AE32" s="95"/>
      <c r="AF32" s="96"/>
      <c r="AG32" s="115"/>
      <c r="AH32" s="116"/>
      <c r="AI32" s="116"/>
      <c r="AJ32" s="116" t="s">
        <v>171</v>
      </c>
      <c r="AK32" s="109"/>
      <c r="AL32" s="109"/>
      <c r="AM32" s="109"/>
      <c r="AN32" s="109" t="s">
        <v>169</v>
      </c>
    </row>
    <row r="33" spans="1:40" x14ac:dyDescent="0.35">
      <c r="A33" s="29" t="str">
        <f>IF(Compartments!$A33&lt;&gt;"",Compartments!$A33,"")</f>
        <v>dc</v>
      </c>
      <c r="B33" s="30"/>
      <c r="C33" s="30"/>
      <c r="D33" s="30"/>
      <c r="E33" s="30" t="s">
        <v>143</v>
      </c>
      <c r="F33" s="30" t="s">
        <v>148</v>
      </c>
      <c r="G33" s="30" t="s">
        <v>144</v>
      </c>
      <c r="H33" s="30"/>
      <c r="I33" s="30"/>
      <c r="J33" s="21"/>
      <c r="K33" s="30"/>
      <c r="L33" s="30"/>
      <c r="M33" s="30"/>
      <c r="N33" s="30"/>
      <c r="O33" s="30"/>
      <c r="P33" s="30"/>
      <c r="Q33" s="30"/>
      <c r="R33" s="30"/>
      <c r="S33" s="30"/>
      <c r="T33" s="30"/>
      <c r="U33" s="30"/>
      <c r="V33" s="30"/>
      <c r="W33" s="30"/>
      <c r="X33" s="30"/>
      <c r="Y33" s="30"/>
      <c r="Z33" s="30"/>
      <c r="AA33" s="30"/>
      <c r="AB33" s="30"/>
      <c r="AC33" s="88"/>
      <c r="AD33" s="88"/>
      <c r="AE33" s="88"/>
      <c r="AF33" s="97"/>
      <c r="AG33" s="100"/>
      <c r="AH33" s="101" t="s">
        <v>160</v>
      </c>
      <c r="AI33" s="101"/>
      <c r="AJ33" s="102"/>
      <c r="AK33" s="110" t="s">
        <v>168</v>
      </c>
      <c r="AL33" s="109"/>
      <c r="AM33" s="109"/>
      <c r="AN33" s="109"/>
    </row>
    <row r="34" spans="1:40" x14ac:dyDescent="0.35">
      <c r="A34" s="29" t="str">
        <f>IF(Compartments!$A34&lt;&gt;"",Compartments!$A34,"")</f>
        <v>dc_d</v>
      </c>
      <c r="B34" s="30"/>
      <c r="C34" s="30"/>
      <c r="D34" s="30"/>
      <c r="E34" s="30" t="s">
        <v>143</v>
      </c>
      <c r="F34" s="30" t="s">
        <v>148</v>
      </c>
      <c r="G34" s="30" t="s">
        <v>144</v>
      </c>
      <c r="H34" s="30"/>
      <c r="I34" s="30"/>
      <c r="J34" s="21"/>
      <c r="K34" s="30"/>
      <c r="L34" s="30"/>
      <c r="M34" s="30"/>
      <c r="N34" s="30"/>
      <c r="O34" s="30"/>
      <c r="P34" s="30"/>
      <c r="Q34" s="30"/>
      <c r="R34" s="30"/>
      <c r="S34" s="30"/>
      <c r="T34" s="30"/>
      <c r="U34" s="30"/>
      <c r="V34" s="30"/>
      <c r="W34" s="30"/>
      <c r="X34" s="30"/>
      <c r="Y34" s="30"/>
      <c r="Z34" s="30"/>
      <c r="AA34" s="30"/>
      <c r="AB34" s="30"/>
      <c r="AC34" s="30"/>
      <c r="AD34" s="30"/>
      <c r="AE34" s="30"/>
      <c r="AF34" s="98"/>
      <c r="AG34" s="103"/>
      <c r="AH34" s="30"/>
      <c r="AI34" s="30" t="s">
        <v>161</v>
      </c>
      <c r="AJ34" s="104"/>
      <c r="AK34" s="110"/>
      <c r="AL34" s="109" t="s">
        <v>168</v>
      </c>
      <c r="AM34" s="109"/>
      <c r="AN34" s="109"/>
    </row>
    <row r="35" spans="1:40" x14ac:dyDescent="0.35">
      <c r="A35" s="29" t="str">
        <f>IF(Compartments!$A35&lt;&gt;"",Compartments!$A35,"")</f>
        <v>dc_l</v>
      </c>
      <c r="B35" s="30"/>
      <c r="C35" s="30"/>
      <c r="D35" s="30"/>
      <c r="E35" s="30" t="s">
        <v>143</v>
      </c>
      <c r="F35" s="30" t="s">
        <v>148</v>
      </c>
      <c r="G35" s="30" t="s">
        <v>144</v>
      </c>
      <c r="H35" s="30"/>
      <c r="I35" s="30"/>
      <c r="J35" s="21"/>
      <c r="K35" s="30"/>
      <c r="L35" s="30"/>
      <c r="M35" s="30"/>
      <c r="N35" s="30"/>
      <c r="O35" s="30"/>
      <c r="P35" s="30"/>
      <c r="Q35" s="30"/>
      <c r="R35" s="30"/>
      <c r="S35" s="30"/>
      <c r="T35" s="30"/>
      <c r="U35" s="30"/>
      <c r="V35" s="30"/>
      <c r="W35" s="30"/>
      <c r="X35" s="30"/>
      <c r="Y35" s="30"/>
      <c r="Z35" s="30"/>
      <c r="AA35" s="30"/>
      <c r="AB35" s="30"/>
      <c r="AC35" s="30"/>
      <c r="AD35" s="30"/>
      <c r="AE35" s="30"/>
      <c r="AF35" s="98"/>
      <c r="AG35" s="103"/>
      <c r="AH35" s="30" t="s">
        <v>162</v>
      </c>
      <c r="AI35" s="30"/>
      <c r="AJ35" s="104" t="s">
        <v>174</v>
      </c>
      <c r="AK35" s="110"/>
      <c r="AL35" s="109"/>
      <c r="AM35" s="109" t="s">
        <v>168</v>
      </c>
      <c r="AN35" s="109"/>
    </row>
    <row r="36" spans="1:40" ht="15" thickBot="1" x14ac:dyDescent="0.4">
      <c r="A36" s="29" t="str">
        <f>IF(Compartments!$A36&lt;&gt;"",Compartments!$A36,"")</f>
        <v>dc_t</v>
      </c>
      <c r="B36" s="30"/>
      <c r="C36" s="30"/>
      <c r="D36" s="30"/>
      <c r="E36" s="30" t="s">
        <v>143</v>
      </c>
      <c r="F36" s="30" t="s">
        <v>149</v>
      </c>
      <c r="G36" s="30" t="s">
        <v>144</v>
      </c>
      <c r="H36" s="30"/>
      <c r="I36" s="30"/>
      <c r="J36" s="21"/>
      <c r="K36" s="30"/>
      <c r="L36" s="30"/>
      <c r="M36" s="30"/>
      <c r="N36" s="30"/>
      <c r="O36" s="30"/>
      <c r="P36" s="30"/>
      <c r="Q36" s="30"/>
      <c r="R36" s="30"/>
      <c r="S36" s="30"/>
      <c r="T36" s="30"/>
      <c r="U36" s="30"/>
      <c r="V36" s="30"/>
      <c r="W36" s="30"/>
      <c r="X36" s="30"/>
      <c r="Y36" s="30"/>
      <c r="Z36" s="30"/>
      <c r="AA36" s="30"/>
      <c r="AB36" s="30"/>
      <c r="AC36" s="30"/>
      <c r="AD36" s="30"/>
      <c r="AE36" s="30"/>
      <c r="AF36" s="98" t="s">
        <v>172</v>
      </c>
      <c r="AG36" s="105"/>
      <c r="AH36" s="106" t="s">
        <v>175</v>
      </c>
      <c r="AI36" s="106"/>
      <c r="AJ36" s="107"/>
      <c r="AK36" s="111"/>
      <c r="AL36" s="112"/>
      <c r="AM36" s="112"/>
      <c r="AN36" s="112" t="s">
        <v>169</v>
      </c>
    </row>
    <row r="37" spans="1:40" x14ac:dyDescent="0.35">
      <c r="A37" s="23" t="str">
        <f>IF(Compartments!$A37&lt;&gt;"",Compartments!$A37,"")</f>
        <v>hcc</v>
      </c>
      <c r="B37" s="24"/>
      <c r="C37" s="24"/>
      <c r="D37" s="24"/>
      <c r="E37" s="24" t="s">
        <v>143</v>
      </c>
      <c r="F37" s="24" t="s">
        <v>150</v>
      </c>
      <c r="G37" s="24" t="s">
        <v>144</v>
      </c>
      <c r="H37" s="24"/>
      <c r="I37" s="24"/>
      <c r="J37" s="21"/>
      <c r="K37" s="24"/>
      <c r="L37" s="24"/>
      <c r="M37" s="24"/>
      <c r="N37" s="24"/>
      <c r="O37" s="24"/>
      <c r="P37" s="24"/>
      <c r="Q37" s="24"/>
      <c r="R37" s="24"/>
      <c r="S37" s="24"/>
      <c r="T37" s="24"/>
      <c r="U37" s="24"/>
      <c r="V37" s="24"/>
      <c r="W37" s="24"/>
      <c r="X37" s="24"/>
      <c r="Y37" s="24"/>
      <c r="Z37" s="24"/>
      <c r="AA37" s="24"/>
      <c r="AB37" s="24"/>
      <c r="AC37" s="24"/>
      <c r="AD37" s="24"/>
      <c r="AE37" s="24"/>
      <c r="AF37" s="24"/>
      <c r="AG37" s="99"/>
      <c r="AH37" s="99"/>
      <c r="AI37" s="99"/>
      <c r="AJ37" s="108"/>
      <c r="AK37" s="37"/>
      <c r="AL37" s="38" t="s">
        <v>160</v>
      </c>
      <c r="AM37" s="38"/>
      <c r="AN37" s="39"/>
    </row>
    <row r="38" spans="1:40" x14ac:dyDescent="0.35">
      <c r="A38" s="23" t="str">
        <f>IF(Compartments!$A38&lt;&gt;"",Compartments!$A38,"")</f>
        <v>hcc_d</v>
      </c>
      <c r="B38" s="24"/>
      <c r="C38" s="24"/>
      <c r="D38" s="24"/>
      <c r="E38" s="24" t="s">
        <v>143</v>
      </c>
      <c r="F38" s="24" t="s">
        <v>150</v>
      </c>
      <c r="G38" s="24" t="s">
        <v>144</v>
      </c>
      <c r="H38" s="24"/>
      <c r="I38" s="24"/>
      <c r="J38" s="21"/>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33"/>
      <c r="AK38" s="40"/>
      <c r="AL38" s="24"/>
      <c r="AM38" s="24" t="s">
        <v>161</v>
      </c>
      <c r="AN38" s="41"/>
    </row>
    <row r="39" spans="1:40" x14ac:dyDescent="0.35">
      <c r="A39" s="23" t="str">
        <f>IF(Compartments!$A39&lt;&gt;"",Compartments!$A39,"")</f>
        <v>hcc_l</v>
      </c>
      <c r="B39" s="24"/>
      <c r="C39" s="24"/>
      <c r="D39" s="24"/>
      <c r="E39" s="24" t="s">
        <v>143</v>
      </c>
      <c r="F39" s="24" t="s">
        <v>150</v>
      </c>
      <c r="G39" s="24" t="s">
        <v>144</v>
      </c>
      <c r="H39" s="24"/>
      <c r="I39" s="24"/>
      <c r="J39" s="21"/>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33"/>
      <c r="AK39" s="40"/>
      <c r="AL39" s="24" t="s">
        <v>162</v>
      </c>
      <c r="AM39" s="24"/>
      <c r="AN39" s="41" t="s">
        <v>174</v>
      </c>
    </row>
    <row r="40" spans="1:40" ht="15" thickBot="1" x14ac:dyDescent="0.4">
      <c r="A40" s="23" t="str">
        <f>IF(Compartments!$A40&lt;&gt;"",Compartments!$A40,"")</f>
        <v>hcc_t</v>
      </c>
      <c r="B40" s="24"/>
      <c r="C40" s="24"/>
      <c r="D40" s="24"/>
      <c r="E40" s="24" t="s">
        <v>143</v>
      </c>
      <c r="F40" s="24" t="s">
        <v>150</v>
      </c>
      <c r="G40" s="24" t="s">
        <v>144</v>
      </c>
      <c r="H40" s="24"/>
      <c r="I40" s="24"/>
      <c r="J40" s="21"/>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33"/>
      <c r="AK40" s="42"/>
      <c r="AL40" s="43" t="s">
        <v>175</v>
      </c>
      <c r="AM40" s="43"/>
      <c r="AN40" s="44"/>
    </row>
    <row r="41" spans="1:40" x14ac:dyDescent="0.35">
      <c r="A41" s="3" t="str">
        <f>IF(Compartments!$A41&lt;&gt;"",Compartments!$A41,"")</f>
        <v/>
      </c>
    </row>
    <row r="42" spans="1:40" x14ac:dyDescent="0.35">
      <c r="A42" s="3" t="str">
        <f>IF(Compartments!$A42&lt;&gt;"",Compartments!$A42,"")</f>
        <v/>
      </c>
    </row>
    <row r="43" spans="1:40" x14ac:dyDescent="0.35">
      <c r="A43" s="3" t="str">
        <f>IF(Compartments!$A43&lt;&gt;"",Compartments!$A43,"")</f>
        <v/>
      </c>
    </row>
    <row r="44" spans="1:40" x14ac:dyDescent="0.35">
      <c r="A44" s="3" t="str">
        <f>IF(Compartments!$A44&lt;&gt;"",Compartments!$A44,"")</f>
        <v/>
      </c>
    </row>
    <row r="45" spans="1:40" x14ac:dyDescent="0.35">
      <c r="A45" s="3" t="str">
        <f>IF(Compartments!$A45&lt;&gt;"",Compartments!$A45,"")</f>
        <v/>
      </c>
    </row>
    <row r="46" spans="1:40" x14ac:dyDescent="0.35">
      <c r="A46" s="3" t="str">
        <f>IF(Compartments!$A46&lt;&gt;"",Compartments!$A46,"")</f>
        <v/>
      </c>
    </row>
    <row r="47" spans="1:40" x14ac:dyDescent="0.35">
      <c r="A47" s="3" t="str">
        <f>IF(Compartments!$A47&lt;&gt;"",Compartments!$A47,"")</f>
        <v/>
      </c>
    </row>
    <row r="48" spans="1:40" x14ac:dyDescent="0.35">
      <c r="A48" s="3" t="str">
        <f>IF(Compartments!$A48&lt;&gt;"",Compartments!$A48,"")</f>
        <v/>
      </c>
    </row>
    <row r="49" spans="1:1" x14ac:dyDescent="0.35">
      <c r="A49" s="3" t="str">
        <f>IF(Compartments!$A49&lt;&gt;"",Compartments!$A49,"")</f>
        <v/>
      </c>
    </row>
    <row r="50" spans="1:1" x14ac:dyDescent="0.35">
      <c r="A50" s="3" t="str">
        <f>IF(Compartments!$A50&lt;&gt;"",Compartments!$A50,"")</f>
        <v/>
      </c>
    </row>
    <row r="51" spans="1:1" x14ac:dyDescent="0.35">
      <c r="A51" s="3" t="str">
        <f>IF(Compartments!$A51&lt;&gt;"",Compartments!$A51,"")</f>
        <v/>
      </c>
    </row>
    <row r="52" spans="1:1" x14ac:dyDescent="0.35">
      <c r="A52" s="3" t="str">
        <f>IF(Compartments!$A52&lt;&gt;"",Compartments!$A52,"")</f>
        <v/>
      </c>
    </row>
    <row r="53" spans="1:1" x14ac:dyDescent="0.35">
      <c r="A53" s="3" t="str">
        <f>IF(Compartments!$A53&lt;&gt;"",Compartments!$A53,"")</f>
        <v/>
      </c>
    </row>
    <row r="54" spans="1:1" x14ac:dyDescent="0.35">
      <c r="A54" s="3" t="str">
        <f>IF(Compartments!$A54&lt;&gt;"",Compartments!$A54,"")</f>
        <v/>
      </c>
    </row>
    <row r="55" spans="1:1" x14ac:dyDescent="0.35">
      <c r="A55" s="3" t="str">
        <f>IF(Compartments!$A55&lt;&gt;"",Compartments!$A55,"")</f>
        <v/>
      </c>
    </row>
    <row r="56" spans="1:1" x14ac:dyDescent="0.35">
      <c r="A56" s="3" t="str">
        <f>IF(Compartments!$A56&lt;&gt;"",Compartments!$A56,"")</f>
        <v/>
      </c>
    </row>
    <row r="57" spans="1:1" x14ac:dyDescent="0.35">
      <c r="A57" s="3" t="str">
        <f>IF(Compartments!$A57&lt;&gt;"",Compartments!$A57,"")</f>
        <v/>
      </c>
    </row>
    <row r="58" spans="1:1" x14ac:dyDescent="0.35">
      <c r="A58" s="3" t="str">
        <f>IF(Compartments!$A58&lt;&gt;"",Compartments!$A58,"")</f>
        <v/>
      </c>
    </row>
    <row r="59" spans="1:1" x14ac:dyDescent="0.35">
      <c r="A59" s="3" t="str">
        <f>IF(Compartments!$A59&lt;&gt;"",Compartments!$A59,"")</f>
        <v/>
      </c>
    </row>
    <row r="60" spans="1:1" x14ac:dyDescent="0.35">
      <c r="A60" s="3" t="str">
        <f>IF(Compartments!$A60&lt;&gt;"",Compartments!$A60,"")</f>
        <v/>
      </c>
    </row>
    <row r="61" spans="1:1" x14ac:dyDescent="0.35">
      <c r="A61" s="3" t="str">
        <f>IF(Compartments!$A61&lt;&gt;"",Compartments!$A61,"")</f>
        <v/>
      </c>
    </row>
    <row r="62" spans="1:1" x14ac:dyDescent="0.35">
      <c r="A62" s="3" t="str">
        <f>IF(Compartments!$A62&lt;&gt;"",Compartments!$A62,"")</f>
        <v/>
      </c>
    </row>
    <row r="63" spans="1:1" x14ac:dyDescent="0.35">
      <c r="A63" s="3" t="str">
        <f>IF(Compartments!$A63&lt;&gt;"",Compartments!$A63,"")</f>
        <v/>
      </c>
    </row>
    <row r="64" spans="1:1" x14ac:dyDescent="0.35">
      <c r="A64" s="3" t="str">
        <f>IF(Compartments!$A64&lt;&gt;"",Compartments!$A64,"")</f>
        <v/>
      </c>
    </row>
    <row r="65" spans="1:1" x14ac:dyDescent="0.35">
      <c r="A65" s="3" t="str">
        <f>IF(Compartments!$A65&lt;&gt;"",Compartments!$A65,"")</f>
        <v/>
      </c>
    </row>
    <row r="66" spans="1:1" x14ac:dyDescent="0.35">
      <c r="A66" s="3" t="str">
        <f>IF(Compartments!$A66&lt;&gt;"",Compartments!$A66,"")</f>
        <v/>
      </c>
    </row>
    <row r="67" spans="1:1" x14ac:dyDescent="0.35">
      <c r="A67" s="3" t="str">
        <f>IF(Compartments!$A67&lt;&gt;"",Compartments!$A67,"")</f>
        <v/>
      </c>
    </row>
    <row r="68" spans="1:1" x14ac:dyDescent="0.35">
      <c r="A68" s="3" t="str">
        <f>IF(Compartments!$A68&lt;&gt;"",Compartments!$A68,"")</f>
        <v/>
      </c>
    </row>
    <row r="69" spans="1:1" x14ac:dyDescent="0.35">
      <c r="A69" s="3" t="str">
        <f>IF(Compartments!$A69&lt;&gt;"",Compartments!$A69,"")</f>
        <v/>
      </c>
    </row>
    <row r="70" spans="1:1" x14ac:dyDescent="0.35">
      <c r="A70" s="3" t="str">
        <f>IF(Compartments!$A70&lt;&gt;"",Compartments!$A70,"")</f>
        <v/>
      </c>
    </row>
    <row r="71" spans="1:1" x14ac:dyDescent="0.35">
      <c r="A71" s="3" t="str">
        <f>IF(Compartments!$A71&lt;&gt;"",Compartments!$A71,"")</f>
        <v/>
      </c>
    </row>
    <row r="72" spans="1:1" x14ac:dyDescent="0.35">
      <c r="A72" s="3" t="str">
        <f>IF(Compartments!$A72&lt;&gt;"",Compartments!$A72,"")</f>
        <v/>
      </c>
    </row>
    <row r="73" spans="1:1" x14ac:dyDescent="0.35">
      <c r="A73" s="3" t="str">
        <f>IF(Compartments!$A73&lt;&gt;"",Compartments!$A73,"")</f>
        <v/>
      </c>
    </row>
    <row r="74" spans="1:1" x14ac:dyDescent="0.35">
      <c r="A74" s="3" t="str">
        <f>IF(Compartments!$A74&lt;&gt;"",Compartments!$A74,"")</f>
        <v/>
      </c>
    </row>
    <row r="75" spans="1:1" x14ac:dyDescent="0.35">
      <c r="A75" s="3" t="str">
        <f>IF(Compartments!$A75&lt;&gt;"",Compartments!$A75,"")</f>
        <v/>
      </c>
    </row>
    <row r="76" spans="1:1" x14ac:dyDescent="0.35">
      <c r="A76" s="3" t="str">
        <f>IF(Compartments!$A76&lt;&gt;"",Compartments!$A76,"")</f>
        <v/>
      </c>
    </row>
    <row r="77" spans="1:1" x14ac:dyDescent="0.35">
      <c r="A77" s="3" t="str">
        <f>IF(Compartments!$A77&lt;&gt;"",Compartments!$A77,"")</f>
        <v/>
      </c>
    </row>
    <row r="78" spans="1:1" x14ac:dyDescent="0.35">
      <c r="A78" s="3" t="str">
        <f>IF(Compartments!$A78&lt;&gt;"",Compartments!$A78,"")</f>
        <v/>
      </c>
    </row>
    <row r="79" spans="1:1" x14ac:dyDescent="0.35">
      <c r="A79" s="3" t="str">
        <f>IF(Compartments!$A79&lt;&gt;"",Compartments!$A79,"")</f>
        <v/>
      </c>
    </row>
    <row r="80" spans="1:1" x14ac:dyDescent="0.35">
      <c r="A80" s="3" t="str">
        <f>IF(Compartments!$A80&lt;&gt;"",Compartments!$A80,"")</f>
        <v/>
      </c>
    </row>
    <row r="81" spans="1:1" x14ac:dyDescent="0.35">
      <c r="A81" s="3" t="str">
        <f>IF(Compartments!$A81&lt;&gt;"",Compartments!$A81,"")</f>
        <v/>
      </c>
    </row>
    <row r="82" spans="1:1" x14ac:dyDescent="0.35">
      <c r="A82" s="3" t="str">
        <f>IF(Compartments!$A82&lt;&gt;"",Compartments!$A82,"")</f>
        <v/>
      </c>
    </row>
    <row r="83" spans="1:1" x14ac:dyDescent="0.35">
      <c r="A83" s="3" t="str">
        <f>IF(Compartments!$A83&lt;&gt;"",Compartments!$A83,"")</f>
        <v/>
      </c>
    </row>
    <row r="84" spans="1:1" x14ac:dyDescent="0.35">
      <c r="A84" s="3" t="str">
        <f>IF(Compartments!$A84&lt;&gt;"",Compartments!$A84,"")</f>
        <v/>
      </c>
    </row>
    <row r="85" spans="1:1" x14ac:dyDescent="0.35">
      <c r="A85" s="3" t="str">
        <f>IF(Compartments!$A85&lt;&gt;"",Compartments!$A85,"")</f>
        <v/>
      </c>
    </row>
    <row r="86" spans="1:1" x14ac:dyDescent="0.35">
      <c r="A86" s="3" t="str">
        <f>IF(Compartments!$A86&lt;&gt;"",Compartments!$A86,"")</f>
        <v/>
      </c>
    </row>
    <row r="87" spans="1:1" x14ac:dyDescent="0.35">
      <c r="A87" s="3" t="str">
        <f>IF(Compartments!$A87&lt;&gt;"",Compartments!$A87,"")</f>
        <v/>
      </c>
    </row>
    <row r="88" spans="1:1" x14ac:dyDescent="0.35">
      <c r="A88" s="3" t="str">
        <f>IF(Compartments!$A88&lt;&gt;"",Compartments!$A88,"")</f>
        <v/>
      </c>
    </row>
    <row r="89" spans="1:1" x14ac:dyDescent="0.35">
      <c r="A89" s="3" t="str">
        <f>IF(Compartments!$A89&lt;&gt;"",Compartments!$A89,"")</f>
        <v/>
      </c>
    </row>
    <row r="90" spans="1:1" x14ac:dyDescent="0.35">
      <c r="A90" s="3" t="str">
        <f>IF(Compartments!$A90&lt;&gt;"",Compartments!$A90,"")</f>
        <v/>
      </c>
    </row>
    <row r="91" spans="1:1" x14ac:dyDescent="0.35">
      <c r="A91" s="3" t="str">
        <f>IF(Compartments!$A91&lt;&gt;"",Compartments!$A91,"")</f>
        <v/>
      </c>
    </row>
    <row r="92" spans="1:1" x14ac:dyDescent="0.35">
      <c r="A92" s="3" t="str">
        <f>IF(Compartments!$A92&lt;&gt;"",Compartments!$A92,"")</f>
        <v/>
      </c>
    </row>
    <row r="93" spans="1:1" x14ac:dyDescent="0.35">
      <c r="A93" s="3" t="str">
        <f>IF(Compartments!$A93&lt;&gt;"",Compartments!$A93,"")</f>
        <v/>
      </c>
    </row>
    <row r="94" spans="1:1" x14ac:dyDescent="0.35">
      <c r="A94" s="3" t="str">
        <f>IF(Compartments!$A94&lt;&gt;"",Compartments!$A94,"")</f>
        <v/>
      </c>
    </row>
    <row r="95" spans="1:1" x14ac:dyDescent="0.35">
      <c r="A95" s="3" t="str">
        <f>IF(Compartments!$A95&lt;&gt;"",Compartments!$A95,"")</f>
        <v/>
      </c>
    </row>
    <row r="96" spans="1:1" x14ac:dyDescent="0.35">
      <c r="A96" s="3" t="str">
        <f>IF(Compartments!$A96&lt;&gt;"",Compartments!$A96,"")</f>
        <v/>
      </c>
    </row>
    <row r="97" spans="1:1" x14ac:dyDescent="0.35">
      <c r="A97" s="3" t="str">
        <f>IF(Compartments!$A97&lt;&gt;"",Compartments!$A97,"")</f>
        <v/>
      </c>
    </row>
    <row r="98" spans="1:1" x14ac:dyDescent="0.35">
      <c r="A98" s="3" t="str">
        <f>IF(Compartments!$A98&lt;&gt;"",Compartments!$A98,"")</f>
        <v/>
      </c>
    </row>
    <row r="99" spans="1:1" x14ac:dyDescent="0.35">
      <c r="A99" s="3" t="str">
        <f>IF(Compartments!$A99&lt;&gt;"",Compartments!$A99,"")</f>
        <v/>
      </c>
    </row>
    <row r="100" spans="1:1" x14ac:dyDescent="0.35">
      <c r="A100" s="3" t="str">
        <f>IF(Compartments!$A100&lt;&gt;"",Compartments!$A100,"")</f>
        <v/>
      </c>
    </row>
    <row r="101" spans="1:1" x14ac:dyDescent="0.35">
      <c r="A101" s="3" t="str">
        <f>IF(Compartments!$A101&lt;&gt;"",Compartments!$A101,"")</f>
        <v/>
      </c>
    </row>
    <row r="102" spans="1:1" x14ac:dyDescent="0.35">
      <c r="A102" s="3" t="str">
        <f>IF(Compartments!$A102&lt;&gt;"",Compartments!$A102,"")</f>
        <v/>
      </c>
    </row>
    <row r="103" spans="1:1" x14ac:dyDescent="0.35">
      <c r="A103" s="3" t="str">
        <f>IF(Compartments!$A103&lt;&gt;"",Compartments!$A103,"")</f>
        <v/>
      </c>
    </row>
    <row r="104" spans="1:1" x14ac:dyDescent="0.35">
      <c r="A104" s="3" t="str">
        <f>IF(Compartments!$A104&lt;&gt;"",Compartments!$A104,"")</f>
        <v/>
      </c>
    </row>
    <row r="105" spans="1:1" x14ac:dyDescent="0.35">
      <c r="A105" s="3" t="str">
        <f>IF(Compartments!$A105&lt;&gt;"",Compartments!$A105,"")</f>
        <v/>
      </c>
    </row>
    <row r="106" spans="1:1" x14ac:dyDescent="0.35">
      <c r="A106" s="3" t="str">
        <f>IF(Compartments!$A106&lt;&gt;"",Compartments!$A106,"")</f>
        <v/>
      </c>
    </row>
    <row r="107" spans="1:1" x14ac:dyDescent="0.35">
      <c r="A107" s="3" t="str">
        <f>IF(Compartments!$A107&lt;&gt;"",Compartments!$A107,"")</f>
        <v/>
      </c>
    </row>
    <row r="108" spans="1:1" x14ac:dyDescent="0.35">
      <c r="A108" s="3" t="str">
        <f>IF(Compartments!$A108&lt;&gt;"",Compartments!$A108,"")</f>
        <v/>
      </c>
    </row>
    <row r="109" spans="1:1" x14ac:dyDescent="0.35">
      <c r="A109" s="3" t="str">
        <f>IF(Compartments!$A109&lt;&gt;"",Compartments!$A109,"")</f>
        <v/>
      </c>
    </row>
    <row r="110" spans="1:1" x14ac:dyDescent="0.35">
      <c r="A110" s="3" t="str">
        <f>IF(Compartments!$A110&lt;&gt;"",Compartments!$A110,"")</f>
        <v/>
      </c>
    </row>
    <row r="111" spans="1:1" x14ac:dyDescent="0.35">
      <c r="A111" s="3" t="str">
        <f>IF(Compartments!$A111&lt;&gt;"",Compartments!$A111,"")</f>
        <v/>
      </c>
    </row>
    <row r="112" spans="1:1" x14ac:dyDescent="0.35">
      <c r="A112" s="3" t="str">
        <f>IF(Compartments!$A112&lt;&gt;"",Compartments!$A112,"")</f>
        <v/>
      </c>
    </row>
    <row r="113" spans="1:1" x14ac:dyDescent="0.35">
      <c r="A113" s="3" t="str">
        <f>IF(Compartments!$A113&lt;&gt;"",Compartments!$A113,"")</f>
        <v/>
      </c>
    </row>
    <row r="114" spans="1:1" x14ac:dyDescent="0.35">
      <c r="A114" s="3" t="str">
        <f>IF(Compartments!$A114&lt;&gt;"",Compartments!$A114,"")</f>
        <v/>
      </c>
    </row>
    <row r="115" spans="1:1" x14ac:dyDescent="0.35">
      <c r="A115" s="3" t="str">
        <f>IF(Compartments!$A115&lt;&gt;"",Compartments!$A115,"")</f>
        <v/>
      </c>
    </row>
    <row r="116" spans="1:1" x14ac:dyDescent="0.35">
      <c r="A116" s="3" t="str">
        <f>IF(Compartments!$A116&lt;&gt;"",Compartments!$A116,"")</f>
        <v/>
      </c>
    </row>
    <row r="117" spans="1:1" x14ac:dyDescent="0.35">
      <c r="A117" s="3" t="str">
        <f>IF(Compartments!$A117&lt;&gt;"",Compartments!$A117,"")</f>
        <v/>
      </c>
    </row>
    <row r="118" spans="1:1" x14ac:dyDescent="0.35">
      <c r="A118" s="3" t="str">
        <f>IF(Compartments!$A118&lt;&gt;"",Compartments!$A118,"")</f>
        <v/>
      </c>
    </row>
    <row r="119" spans="1:1" x14ac:dyDescent="0.35">
      <c r="A119" s="3" t="str">
        <f>IF(Compartments!$A119&lt;&gt;"",Compartments!$A119,"")</f>
        <v/>
      </c>
    </row>
    <row r="120" spans="1:1" x14ac:dyDescent="0.35">
      <c r="A120" s="3" t="str">
        <f>IF(Compartments!$A120&lt;&gt;"",Compartments!$A120,"")</f>
        <v/>
      </c>
    </row>
    <row r="121" spans="1:1" x14ac:dyDescent="0.35">
      <c r="A121" s="3" t="str">
        <f>IF(Compartments!$A121&lt;&gt;"",Compartments!$A121,"")</f>
        <v/>
      </c>
    </row>
    <row r="122" spans="1:1" x14ac:dyDescent="0.35">
      <c r="A122" s="3" t="str">
        <f>IF(Compartments!$A122&lt;&gt;"",Compartments!$A122,"")</f>
        <v/>
      </c>
    </row>
    <row r="123" spans="1:1" x14ac:dyDescent="0.35">
      <c r="A123" s="3" t="str">
        <f>IF(Compartments!$A123&lt;&gt;"",Compartments!$A123,"")</f>
        <v/>
      </c>
    </row>
    <row r="124" spans="1:1" x14ac:dyDescent="0.35">
      <c r="A124" s="3" t="str">
        <f>IF(Compartments!$A124&lt;&gt;"",Compartments!$A124,"")</f>
        <v/>
      </c>
    </row>
    <row r="125" spans="1:1" x14ac:dyDescent="0.35">
      <c r="A125" s="3" t="str">
        <f>IF(Compartments!$A125&lt;&gt;"",Compartments!$A125,"")</f>
        <v/>
      </c>
    </row>
    <row r="126" spans="1:1" x14ac:dyDescent="0.35">
      <c r="A126" s="3" t="str">
        <f>IF(Compartments!$A126&lt;&gt;"",Compartments!$A126,"")</f>
        <v/>
      </c>
    </row>
    <row r="127" spans="1:1" x14ac:dyDescent="0.35">
      <c r="A127" s="3" t="str">
        <f>IF(Compartments!$A127&lt;&gt;"",Compartments!$A127,"")</f>
        <v/>
      </c>
    </row>
    <row r="128" spans="1:1" x14ac:dyDescent="0.35">
      <c r="A128" s="3" t="str">
        <f>IF(Compartments!$A128&lt;&gt;"",Compartments!$A128,"")</f>
        <v/>
      </c>
    </row>
    <row r="129" spans="1:1" x14ac:dyDescent="0.35">
      <c r="A129" s="3" t="str">
        <f>IF(Compartments!$A129&lt;&gt;"",Compartments!$A129,"")</f>
        <v/>
      </c>
    </row>
    <row r="130" spans="1:1" x14ac:dyDescent="0.35">
      <c r="A130" s="3" t="str">
        <f>IF(Compartments!$A130&lt;&gt;"",Compartments!$A130,"")</f>
        <v/>
      </c>
    </row>
    <row r="131" spans="1:1" x14ac:dyDescent="0.35">
      <c r="A131" s="3" t="str">
        <f>IF(Compartments!$A131&lt;&gt;"",Compartments!$A131,"")</f>
        <v/>
      </c>
    </row>
    <row r="132" spans="1:1" x14ac:dyDescent="0.35">
      <c r="A132" s="3" t="str">
        <f>IF(Compartments!$A132&lt;&gt;"",Compartments!$A132,"")</f>
        <v/>
      </c>
    </row>
    <row r="133" spans="1:1" x14ac:dyDescent="0.35">
      <c r="A133" s="3" t="str">
        <f>IF(Compartments!$A133&lt;&gt;"",Compartments!$A133,"")</f>
        <v/>
      </c>
    </row>
    <row r="134" spans="1:1" x14ac:dyDescent="0.35">
      <c r="A134" s="3" t="str">
        <f>IF(Compartments!$A134&lt;&gt;"",Compartments!$A134,"")</f>
        <v/>
      </c>
    </row>
    <row r="135" spans="1:1" x14ac:dyDescent="0.35">
      <c r="A135" s="3" t="str">
        <f>IF(Compartments!$A135&lt;&gt;"",Compartments!$A135,"")</f>
        <v/>
      </c>
    </row>
    <row r="136" spans="1:1" x14ac:dyDescent="0.35">
      <c r="A136" s="3" t="str">
        <f>IF(Compartments!$A136&lt;&gt;"",Compartments!$A136,"")</f>
        <v/>
      </c>
    </row>
    <row r="137" spans="1:1" x14ac:dyDescent="0.35">
      <c r="A137" s="3" t="str">
        <f>IF(Compartments!$A137&lt;&gt;"",Compartments!$A137,"")</f>
        <v/>
      </c>
    </row>
    <row r="138" spans="1:1" x14ac:dyDescent="0.35">
      <c r="A138" s="3" t="str">
        <f>IF(Compartments!$A138&lt;&gt;"",Compartments!$A138,"")</f>
        <v/>
      </c>
    </row>
    <row r="139" spans="1:1" x14ac:dyDescent="0.35">
      <c r="A139" s="3" t="str">
        <f>IF(Compartments!$A139&lt;&gt;"",Compartments!$A139,"")</f>
        <v/>
      </c>
    </row>
    <row r="140" spans="1:1" x14ac:dyDescent="0.35">
      <c r="A140" s="3" t="str">
        <f>IF(Compartments!$A140&lt;&gt;"",Compartments!$A140,"")</f>
        <v/>
      </c>
    </row>
    <row r="141" spans="1:1" x14ac:dyDescent="0.35">
      <c r="A141" s="3" t="str">
        <f>IF(Compartments!$A141&lt;&gt;"",Compartments!$A141,"")</f>
        <v/>
      </c>
    </row>
    <row r="142" spans="1:1" x14ac:dyDescent="0.35">
      <c r="A142" s="3" t="str">
        <f>IF(Compartments!$A142&lt;&gt;"",Compartments!$A142,"")</f>
        <v/>
      </c>
    </row>
    <row r="143" spans="1:1" x14ac:dyDescent="0.35">
      <c r="A143" s="3" t="str">
        <f>IF(Compartments!$A143&lt;&gt;"",Compartments!$A143,"")</f>
        <v/>
      </c>
    </row>
    <row r="144" spans="1:1" x14ac:dyDescent="0.35">
      <c r="A144" s="3" t="str">
        <f>IF(Compartments!$A144&lt;&gt;"",Compartments!$A144,"")</f>
        <v/>
      </c>
    </row>
    <row r="145" spans="1:1" x14ac:dyDescent="0.35">
      <c r="A145" s="3" t="str">
        <f>IF(Compartments!$A145&lt;&gt;"",Compartments!$A145,"")</f>
        <v/>
      </c>
    </row>
    <row r="146" spans="1:1" x14ac:dyDescent="0.35">
      <c r="A146" s="3" t="str">
        <f>IF(Compartments!$A146&lt;&gt;"",Compartments!$A146,"")</f>
        <v/>
      </c>
    </row>
    <row r="147" spans="1:1" x14ac:dyDescent="0.35">
      <c r="A147" s="3" t="str">
        <f>IF(Compartments!$A147&lt;&gt;"",Compartments!$A147,"")</f>
        <v/>
      </c>
    </row>
    <row r="148" spans="1:1" x14ac:dyDescent="0.35">
      <c r="A148" s="3" t="str">
        <f>IF(Compartments!$A148&lt;&gt;"",Compartments!$A148,"")</f>
        <v/>
      </c>
    </row>
    <row r="149" spans="1:1" x14ac:dyDescent="0.35">
      <c r="A149" s="3" t="str">
        <f>IF(Compartments!$A149&lt;&gt;"",Compartments!$A149,"")</f>
        <v/>
      </c>
    </row>
    <row r="150" spans="1:1" x14ac:dyDescent="0.35">
      <c r="A150" s="3" t="str">
        <f>IF(Compartments!$A150&lt;&gt;"",Compartments!$A150,"")</f>
        <v/>
      </c>
    </row>
    <row r="151" spans="1:1" x14ac:dyDescent="0.35">
      <c r="A151" s="3" t="str">
        <f>IF(Compartments!$A151&lt;&gt;"",Compartments!$A151,"")</f>
        <v/>
      </c>
    </row>
    <row r="152" spans="1:1" x14ac:dyDescent="0.35">
      <c r="A152" s="3" t="str">
        <f>IF(Compartments!$A152&lt;&gt;"",Compartments!$A152,"")</f>
        <v/>
      </c>
    </row>
    <row r="153" spans="1:1" x14ac:dyDescent="0.35">
      <c r="A153" s="3" t="str">
        <f>IF(Compartments!$A153&lt;&gt;"",Compartments!$A153,"")</f>
        <v/>
      </c>
    </row>
    <row r="154" spans="1:1" x14ac:dyDescent="0.35">
      <c r="A154" s="3" t="str">
        <f>IF(Compartments!$A154&lt;&gt;"",Compartments!$A154,"")</f>
        <v/>
      </c>
    </row>
    <row r="155" spans="1:1" x14ac:dyDescent="0.35">
      <c r="A155" s="3" t="str">
        <f>IF(Compartments!$A155&lt;&gt;"",Compartments!$A155,"")</f>
        <v/>
      </c>
    </row>
    <row r="156" spans="1:1" x14ac:dyDescent="0.35">
      <c r="A156" s="3" t="str">
        <f>IF(Compartments!$A156&lt;&gt;"",Compartments!$A156,"")</f>
        <v/>
      </c>
    </row>
    <row r="157" spans="1:1" x14ac:dyDescent="0.35">
      <c r="A157" s="3" t="str">
        <f>IF(Compartments!$A157&lt;&gt;"",Compartments!$A157,"")</f>
        <v/>
      </c>
    </row>
    <row r="158" spans="1:1" x14ac:dyDescent="0.35">
      <c r="A158" s="3" t="str">
        <f>IF(Compartments!$A158&lt;&gt;"",Compartments!$A158,"")</f>
        <v/>
      </c>
    </row>
    <row r="159" spans="1:1" x14ac:dyDescent="0.35">
      <c r="A159" s="3" t="str">
        <f>IF(Compartments!$A159&lt;&gt;"",Compartments!$A159,"")</f>
        <v/>
      </c>
    </row>
    <row r="160" spans="1:1" x14ac:dyDescent="0.35">
      <c r="A160" s="3" t="str">
        <f>IF(Compartments!$A160&lt;&gt;"",Compartments!$A160,"")</f>
        <v/>
      </c>
    </row>
    <row r="161" spans="1:1" x14ac:dyDescent="0.35">
      <c r="A161" s="3" t="str">
        <f>IF(Compartments!$A161&lt;&gt;"",Compartments!$A161,"")</f>
        <v/>
      </c>
    </row>
    <row r="162" spans="1:1" x14ac:dyDescent="0.35">
      <c r="A162" s="3" t="str">
        <f>IF(Compartments!$A162&lt;&gt;"",Compartments!$A162,"")</f>
        <v/>
      </c>
    </row>
    <row r="163" spans="1:1" x14ac:dyDescent="0.35">
      <c r="A163" s="3" t="str">
        <f>IF(Compartments!$A163&lt;&gt;"",Compartments!$A163,"")</f>
        <v/>
      </c>
    </row>
    <row r="164" spans="1:1" x14ac:dyDescent="0.35">
      <c r="A164" s="3" t="str">
        <f>IF(Compartments!$A164&lt;&gt;"",Compartments!$A164,"")</f>
        <v/>
      </c>
    </row>
    <row r="165" spans="1:1" x14ac:dyDescent="0.35">
      <c r="A165" s="3" t="str">
        <f>IF(Compartments!$A165&lt;&gt;"",Compartments!$A165,"")</f>
        <v/>
      </c>
    </row>
    <row r="166" spans="1:1" x14ac:dyDescent="0.35">
      <c r="A166" s="3" t="str">
        <f>IF(Compartments!$A166&lt;&gt;"",Compartments!$A166,"")</f>
        <v/>
      </c>
    </row>
    <row r="167" spans="1:1" x14ac:dyDescent="0.35">
      <c r="A167" s="3" t="str">
        <f>IF(Compartments!$A167&lt;&gt;"",Compartments!$A167,"")</f>
        <v/>
      </c>
    </row>
    <row r="168" spans="1:1" x14ac:dyDescent="0.35">
      <c r="A168" s="3" t="str">
        <f>IF(Compartments!$A168&lt;&gt;"",Compartments!$A168,"")</f>
        <v/>
      </c>
    </row>
    <row r="169" spans="1:1" x14ac:dyDescent="0.35">
      <c r="A169" s="3" t="str">
        <f>IF(Compartments!$A169&lt;&gt;"",Compartments!$A169,"")</f>
        <v/>
      </c>
    </row>
    <row r="170" spans="1:1" x14ac:dyDescent="0.35">
      <c r="A170" s="3" t="str">
        <f>IF(Compartments!$A170&lt;&gt;"",Compartments!$A170,"")</f>
        <v/>
      </c>
    </row>
    <row r="171" spans="1:1" x14ac:dyDescent="0.35">
      <c r="A171" s="3" t="str">
        <f>IF(Compartments!$A171&lt;&gt;"",Compartments!$A171,"")</f>
        <v/>
      </c>
    </row>
    <row r="172" spans="1:1" x14ac:dyDescent="0.35">
      <c r="A172" s="3" t="str">
        <f>IF(Compartments!$A172&lt;&gt;"",Compartments!$A172,"")</f>
        <v/>
      </c>
    </row>
    <row r="173" spans="1:1" x14ac:dyDescent="0.35">
      <c r="A173" s="3" t="str">
        <f>IF(Compartments!$A173&lt;&gt;"",Compartments!$A173,"")</f>
        <v/>
      </c>
    </row>
    <row r="174" spans="1:1" x14ac:dyDescent="0.35">
      <c r="A174" s="3" t="str">
        <f>IF(Compartments!$A174&lt;&gt;"",Compartments!$A174,"")</f>
        <v/>
      </c>
    </row>
    <row r="175" spans="1:1" x14ac:dyDescent="0.35">
      <c r="A175" s="3" t="str">
        <f>IF(Compartments!$A175&lt;&gt;"",Compartments!$A175,"")</f>
        <v/>
      </c>
    </row>
    <row r="176" spans="1:1" x14ac:dyDescent="0.35">
      <c r="A176" s="3" t="str">
        <f>IF(Compartments!$A176&lt;&gt;"",Compartments!$A176,"")</f>
        <v/>
      </c>
    </row>
    <row r="177" spans="1:1" x14ac:dyDescent="0.35">
      <c r="A177" s="3" t="str">
        <f>IF(Compartments!$A177&lt;&gt;"",Compartments!$A177,"")</f>
        <v/>
      </c>
    </row>
    <row r="178" spans="1:1" x14ac:dyDescent="0.35">
      <c r="A178" s="3" t="str">
        <f>IF(Compartments!$A178&lt;&gt;"",Compartments!$A178,"")</f>
        <v/>
      </c>
    </row>
    <row r="179" spans="1:1" x14ac:dyDescent="0.35">
      <c r="A179" s="3" t="str">
        <f>IF(Compartments!$A179&lt;&gt;"",Compartments!$A179,"")</f>
        <v/>
      </c>
    </row>
    <row r="180" spans="1:1" x14ac:dyDescent="0.35">
      <c r="A180" s="3" t="str">
        <f>IF(Compartments!$A180&lt;&gt;"",Compartments!$A180,"")</f>
        <v/>
      </c>
    </row>
    <row r="181" spans="1:1" x14ac:dyDescent="0.35">
      <c r="A181" s="3" t="str">
        <f>IF(Compartments!$A181&lt;&gt;"",Compartments!$A181,"")</f>
        <v/>
      </c>
    </row>
    <row r="182" spans="1:1" x14ac:dyDescent="0.35">
      <c r="A182" s="3" t="str">
        <f>IF(Compartments!$A182&lt;&gt;"",Compartments!$A182,"")</f>
        <v/>
      </c>
    </row>
    <row r="183" spans="1:1" x14ac:dyDescent="0.35">
      <c r="A183" s="3" t="str">
        <f>IF(Compartments!$A183&lt;&gt;"",Compartments!$A183,"")</f>
        <v/>
      </c>
    </row>
    <row r="184" spans="1:1" x14ac:dyDescent="0.35">
      <c r="A184" s="3" t="str">
        <f>IF(Compartments!$A184&lt;&gt;"",Compartments!$A184,"")</f>
        <v/>
      </c>
    </row>
    <row r="185" spans="1:1" x14ac:dyDescent="0.35">
      <c r="A185" s="3" t="str">
        <f>IF(Compartments!$A185&lt;&gt;"",Compartments!$A185,"")</f>
        <v/>
      </c>
    </row>
    <row r="186" spans="1:1" x14ac:dyDescent="0.35">
      <c r="A186" s="3" t="str">
        <f>IF(Compartments!$A186&lt;&gt;"",Compartments!$A186,"")</f>
        <v/>
      </c>
    </row>
    <row r="187" spans="1:1" x14ac:dyDescent="0.35">
      <c r="A187" s="3" t="str">
        <f>IF(Compartments!$A187&lt;&gt;"",Compartments!$A187,"")</f>
        <v/>
      </c>
    </row>
    <row r="188" spans="1:1" x14ac:dyDescent="0.35">
      <c r="A188" s="3" t="str">
        <f>IF(Compartments!$A188&lt;&gt;"",Compartments!$A188,"")</f>
        <v/>
      </c>
    </row>
    <row r="189" spans="1:1" x14ac:dyDescent="0.35">
      <c r="A189" s="3" t="str">
        <f>IF(Compartments!$A189&lt;&gt;"",Compartments!$A189,"")</f>
        <v/>
      </c>
    </row>
    <row r="190" spans="1:1" x14ac:dyDescent="0.35">
      <c r="A190" s="3" t="str">
        <f>IF(Compartments!$A190&lt;&gt;"",Compartments!$A190,"")</f>
        <v/>
      </c>
    </row>
    <row r="191" spans="1:1" x14ac:dyDescent="0.35">
      <c r="A191" s="3" t="str">
        <f>IF(Compartments!$A191&lt;&gt;"",Compartments!$A191,"")</f>
        <v/>
      </c>
    </row>
    <row r="192" spans="1:1" x14ac:dyDescent="0.35">
      <c r="A192" s="3" t="str">
        <f>IF(Compartments!$A192&lt;&gt;"",Compartments!$A192,"")</f>
        <v/>
      </c>
    </row>
    <row r="193" spans="1:1" x14ac:dyDescent="0.35">
      <c r="A193" s="3" t="str">
        <f>IF(Compartments!$A193&lt;&gt;"",Compartments!$A193,"")</f>
        <v/>
      </c>
    </row>
    <row r="194" spans="1:1" x14ac:dyDescent="0.35">
      <c r="A194" s="3" t="str">
        <f>IF(Compartments!$A194&lt;&gt;"",Compartments!$A194,"")</f>
        <v/>
      </c>
    </row>
    <row r="195" spans="1:1" x14ac:dyDescent="0.35">
      <c r="A195" s="3" t="str">
        <f>IF(Compartments!$A195&lt;&gt;"",Compartments!$A195,"")</f>
        <v/>
      </c>
    </row>
    <row r="196" spans="1:1" x14ac:dyDescent="0.35">
      <c r="A196" s="3" t="str">
        <f>IF(Compartments!$A196&lt;&gt;"",Compartments!$A196,"")</f>
        <v/>
      </c>
    </row>
    <row r="197" spans="1:1" x14ac:dyDescent="0.35">
      <c r="A197" s="3" t="str">
        <f>IF(Compartments!$A197&lt;&gt;"",Compartments!$A197,"")</f>
        <v/>
      </c>
    </row>
    <row r="198" spans="1:1" x14ac:dyDescent="0.35">
      <c r="A198" s="3" t="str">
        <f>IF(Compartments!$A198&lt;&gt;"",Compartments!$A198,"")</f>
        <v/>
      </c>
    </row>
    <row r="199" spans="1:1" x14ac:dyDescent="0.35">
      <c r="A199" s="3" t="str">
        <f>IF(Compartments!$A199&lt;&gt;"",Compartments!$A199,"")</f>
        <v/>
      </c>
    </row>
    <row r="200" spans="1:1" x14ac:dyDescent="0.35">
      <c r="A200" s="3" t="str">
        <f>IF(Compartments!$A200&lt;&gt;"",Compartments!$A200,"")</f>
        <v/>
      </c>
    </row>
    <row r="201" spans="1:1" x14ac:dyDescent="0.35">
      <c r="A201" s="3" t="str">
        <f>IF(Compartments!$A201&lt;&gt;"",Compartments!$A201,"")</f>
        <v/>
      </c>
    </row>
    <row r="202" spans="1:1" x14ac:dyDescent="0.35">
      <c r="A202" s="3" t="str">
        <f>IF(Compartments!$A202&lt;&gt;"",Compartments!$A202,"")</f>
        <v/>
      </c>
    </row>
    <row r="203" spans="1:1" x14ac:dyDescent="0.35">
      <c r="A203" s="3" t="str">
        <f>IF(Compartments!$A203&lt;&gt;"",Compartments!$A203,"")</f>
        <v/>
      </c>
    </row>
    <row r="204" spans="1:1" x14ac:dyDescent="0.35">
      <c r="A204" s="3" t="str">
        <f>IF(Compartments!$A204&lt;&gt;"",Compartments!$A204,"")</f>
        <v/>
      </c>
    </row>
    <row r="205" spans="1:1" x14ac:dyDescent="0.35">
      <c r="A205" s="3" t="str">
        <f>IF(Compartments!$A205&lt;&gt;"",Compartments!$A205,"")</f>
        <v/>
      </c>
    </row>
    <row r="206" spans="1:1" x14ac:dyDescent="0.35">
      <c r="A206" s="3" t="str">
        <f>IF(Compartments!$A206&lt;&gt;"",Compartments!$A206,"")</f>
        <v/>
      </c>
    </row>
    <row r="207" spans="1:1" x14ac:dyDescent="0.35">
      <c r="A207" s="3" t="str">
        <f>IF(Compartments!$A207&lt;&gt;"",Compartments!$A207,"")</f>
        <v/>
      </c>
    </row>
    <row r="208" spans="1:1" x14ac:dyDescent="0.35">
      <c r="A208" s="3" t="str">
        <f>IF(Compartments!$A208&lt;&gt;"",Compartments!$A208,"")</f>
        <v/>
      </c>
    </row>
    <row r="209" spans="1:1" x14ac:dyDescent="0.35">
      <c r="A209" s="3" t="str">
        <f>IF(Compartments!$A209&lt;&gt;"",Compartments!$A209,"")</f>
        <v/>
      </c>
    </row>
    <row r="210" spans="1:1" x14ac:dyDescent="0.35">
      <c r="A210" s="3" t="str">
        <f>IF(Compartments!$A210&lt;&gt;"",Compartments!$A210,"")</f>
        <v/>
      </c>
    </row>
    <row r="211" spans="1:1" x14ac:dyDescent="0.35">
      <c r="A211" s="3" t="str">
        <f>IF(Compartments!$A211&lt;&gt;"",Compartments!$A211,"")</f>
        <v/>
      </c>
    </row>
    <row r="212" spans="1:1" x14ac:dyDescent="0.35">
      <c r="A212" s="3" t="str">
        <f>IF(Compartments!$A212&lt;&gt;"",Compartments!$A212,"")</f>
        <v/>
      </c>
    </row>
    <row r="213" spans="1:1" x14ac:dyDescent="0.35">
      <c r="A213" s="3" t="str">
        <f>IF(Compartments!$A213&lt;&gt;"",Compartments!$A213,"")</f>
        <v/>
      </c>
    </row>
    <row r="214" spans="1:1" x14ac:dyDescent="0.35">
      <c r="A214" s="3" t="str">
        <f>IF(Compartments!$A214&lt;&gt;"",Compartments!$A214,"")</f>
        <v/>
      </c>
    </row>
    <row r="215" spans="1:1" x14ac:dyDescent="0.35">
      <c r="A215" s="3" t="str">
        <f>IF(Compartments!$A215&lt;&gt;"",Compartments!$A215,"")</f>
        <v/>
      </c>
    </row>
    <row r="216" spans="1:1" x14ac:dyDescent="0.35">
      <c r="A216" s="3" t="str">
        <f>IF(Compartments!$A216&lt;&gt;"",Compartments!$A216,"")</f>
        <v/>
      </c>
    </row>
    <row r="217" spans="1:1" x14ac:dyDescent="0.35">
      <c r="A217" s="3" t="str">
        <f>IF(Compartments!$A217&lt;&gt;"",Compartments!$A217,"")</f>
        <v/>
      </c>
    </row>
    <row r="218" spans="1:1" x14ac:dyDescent="0.35">
      <c r="A218" s="3" t="str">
        <f>IF(Compartments!$A218&lt;&gt;"",Compartments!$A218,"")</f>
        <v/>
      </c>
    </row>
    <row r="219" spans="1:1" x14ac:dyDescent="0.35">
      <c r="A219" s="3" t="str">
        <f>IF(Compartments!$A219&lt;&gt;"",Compartments!$A219,"")</f>
        <v/>
      </c>
    </row>
    <row r="220" spans="1:1" x14ac:dyDescent="0.35">
      <c r="A220" s="3" t="str">
        <f>IF(Compartments!$A220&lt;&gt;"",Compartments!$A220,"")</f>
        <v/>
      </c>
    </row>
    <row r="221" spans="1:1" x14ac:dyDescent="0.35">
      <c r="A221" s="3" t="str">
        <f>IF(Compartments!$A221&lt;&gt;"",Compartments!$A221,"")</f>
        <v/>
      </c>
    </row>
    <row r="222" spans="1:1" x14ac:dyDescent="0.35">
      <c r="A222" s="3" t="str">
        <f>IF(Compartments!$A222&lt;&gt;"",Compartments!$A222,"")</f>
        <v/>
      </c>
    </row>
    <row r="223" spans="1:1" x14ac:dyDescent="0.35">
      <c r="A223" s="3" t="str">
        <f>IF(Compartments!$A223&lt;&gt;"",Compartments!$A223,"")</f>
        <v/>
      </c>
    </row>
    <row r="224" spans="1:1" x14ac:dyDescent="0.35">
      <c r="A224" s="3" t="str">
        <f>IF(Compartments!$A224&lt;&gt;"",Compartments!$A224,"")</f>
        <v/>
      </c>
    </row>
    <row r="225" spans="1:1" x14ac:dyDescent="0.35">
      <c r="A225" s="3" t="str">
        <f>IF(Compartments!$A225&lt;&gt;"",Compartments!$A225,"")</f>
        <v/>
      </c>
    </row>
    <row r="226" spans="1:1" x14ac:dyDescent="0.35">
      <c r="A226" s="3" t="str">
        <f>IF(Compartments!$A226&lt;&gt;"",Compartments!$A226,"")</f>
        <v/>
      </c>
    </row>
    <row r="227" spans="1:1" x14ac:dyDescent="0.35">
      <c r="A227" s="3" t="str">
        <f>IF(Compartments!$A227&lt;&gt;"",Compartments!$A227,"")</f>
        <v/>
      </c>
    </row>
    <row r="228" spans="1:1" x14ac:dyDescent="0.35">
      <c r="A228" s="3" t="str">
        <f>IF(Compartments!$A228&lt;&gt;"",Compartments!$A228,"")</f>
        <v/>
      </c>
    </row>
    <row r="229" spans="1:1" x14ac:dyDescent="0.35">
      <c r="A229" s="3" t="str">
        <f>IF(Compartments!$A229&lt;&gt;"",Compartments!$A229,"")</f>
        <v/>
      </c>
    </row>
    <row r="230" spans="1:1" x14ac:dyDescent="0.35">
      <c r="A230" s="3" t="str">
        <f>IF(Compartments!$A230&lt;&gt;"",Compartments!$A230,"")</f>
        <v/>
      </c>
    </row>
    <row r="231" spans="1:1" x14ac:dyDescent="0.35">
      <c r="A231" s="3" t="str">
        <f>IF(Compartments!$A231&lt;&gt;"",Compartments!$A231,"")</f>
        <v/>
      </c>
    </row>
    <row r="232" spans="1:1" x14ac:dyDescent="0.35">
      <c r="A232" s="3" t="str">
        <f>IF(Compartments!$A232&lt;&gt;"",Compartments!$A232,"")</f>
        <v/>
      </c>
    </row>
    <row r="233" spans="1:1" x14ac:dyDescent="0.35">
      <c r="A233" s="3" t="str">
        <f>IF(Compartments!$A233&lt;&gt;"",Compartments!$A233,"")</f>
        <v/>
      </c>
    </row>
    <row r="234" spans="1:1" x14ac:dyDescent="0.35">
      <c r="A234" s="3" t="str">
        <f>IF(Compartments!$A234&lt;&gt;"",Compartments!$A234,"")</f>
        <v/>
      </c>
    </row>
    <row r="235" spans="1:1" x14ac:dyDescent="0.35">
      <c r="A235" s="3" t="str">
        <f>IF(Compartments!$A235&lt;&gt;"",Compartments!$A235,"")</f>
        <v/>
      </c>
    </row>
    <row r="236" spans="1:1" x14ac:dyDescent="0.35">
      <c r="A236" s="3" t="str">
        <f>IF(Compartments!$A236&lt;&gt;"",Compartments!$A236,"")</f>
        <v/>
      </c>
    </row>
    <row r="237" spans="1:1" x14ac:dyDescent="0.35">
      <c r="A237" s="3" t="str">
        <f>IF(Compartments!$A237&lt;&gt;"",Compartments!$A237,"")</f>
        <v/>
      </c>
    </row>
    <row r="238" spans="1:1" x14ac:dyDescent="0.35">
      <c r="A238" s="3" t="str">
        <f>IF(Compartments!$A238&lt;&gt;"",Compartments!$A238,"")</f>
        <v/>
      </c>
    </row>
    <row r="239" spans="1:1" x14ac:dyDescent="0.35">
      <c r="A239" s="3" t="str">
        <f>IF(Compartments!$A239&lt;&gt;"",Compartments!$A239,"")</f>
        <v/>
      </c>
    </row>
    <row r="240" spans="1:1" x14ac:dyDescent="0.35">
      <c r="A240" s="3" t="str">
        <f>IF(Compartments!$A240&lt;&gt;"",Compartments!$A240,"")</f>
        <v/>
      </c>
    </row>
    <row r="241" spans="1:1" x14ac:dyDescent="0.35">
      <c r="A241" s="3" t="str">
        <f>IF(Compartments!$A241&lt;&gt;"",Compartments!$A241,"")</f>
        <v/>
      </c>
    </row>
    <row r="242" spans="1:1" x14ac:dyDescent="0.35">
      <c r="A242" s="3" t="str">
        <f>IF(Compartments!$A242&lt;&gt;"",Compartments!$A242,"")</f>
        <v/>
      </c>
    </row>
    <row r="243" spans="1:1" x14ac:dyDescent="0.35">
      <c r="A243" s="3" t="str">
        <f>IF(Compartments!$A243&lt;&gt;"",Compartments!$A243,"")</f>
        <v/>
      </c>
    </row>
    <row r="244" spans="1:1" x14ac:dyDescent="0.35">
      <c r="A244" s="3" t="str">
        <f>IF(Compartments!$A244&lt;&gt;"",Compartments!$A244,"")</f>
        <v/>
      </c>
    </row>
    <row r="245" spans="1:1" x14ac:dyDescent="0.35">
      <c r="A245" s="3" t="str">
        <f>IF(Compartments!$A245&lt;&gt;"",Compartments!$A245,"")</f>
        <v/>
      </c>
    </row>
    <row r="246" spans="1:1" x14ac:dyDescent="0.35">
      <c r="A246" s="3" t="str">
        <f>IF(Compartments!$A246&lt;&gt;"",Compartments!$A246,"")</f>
        <v/>
      </c>
    </row>
    <row r="247" spans="1:1" x14ac:dyDescent="0.35">
      <c r="A247" s="3" t="str">
        <f>IF(Compartments!$A247&lt;&gt;"",Compartments!$A247,"")</f>
        <v/>
      </c>
    </row>
    <row r="248" spans="1:1" x14ac:dyDescent="0.35">
      <c r="A248" s="3" t="str">
        <f>IF(Compartments!$A248&lt;&gt;"",Compartments!$A248,"")</f>
        <v/>
      </c>
    </row>
    <row r="249" spans="1:1" x14ac:dyDescent="0.35">
      <c r="A249" s="3" t="str">
        <f>IF(Compartments!$A249&lt;&gt;"",Compartments!$A249,"")</f>
        <v/>
      </c>
    </row>
    <row r="250" spans="1:1" x14ac:dyDescent="0.35">
      <c r="A250" s="3" t="str">
        <f>IF(Compartments!$A250&lt;&gt;"",Compartments!$A250,"")</f>
        <v/>
      </c>
    </row>
    <row r="251" spans="1:1" x14ac:dyDescent="0.35">
      <c r="A251" s="3" t="str">
        <f>IF(Compartments!$A251&lt;&gt;"",Compartments!$A251,"")</f>
        <v/>
      </c>
    </row>
    <row r="252" spans="1:1" x14ac:dyDescent="0.35">
      <c r="A252" s="3" t="str">
        <f>IF(Compartments!$A252&lt;&gt;"",Compartments!$A252,"")</f>
        <v/>
      </c>
    </row>
    <row r="253" spans="1:1" x14ac:dyDescent="0.35">
      <c r="A253" s="3" t="str">
        <f>IF(Compartments!$A253&lt;&gt;"",Compartments!$A253,"")</f>
        <v/>
      </c>
    </row>
    <row r="254" spans="1:1" x14ac:dyDescent="0.35">
      <c r="A254" s="3" t="str">
        <f>IF(Compartments!$A254&lt;&gt;"",Compartments!$A254,"")</f>
        <v/>
      </c>
    </row>
    <row r="255" spans="1:1" x14ac:dyDescent="0.35">
      <c r="A255" s="3" t="str">
        <f>IF(Compartments!$A255&lt;&gt;"",Compartments!$A255,"")</f>
        <v/>
      </c>
    </row>
    <row r="256" spans="1:1" x14ac:dyDescent="0.35">
      <c r="A256" s="3" t="str">
        <f>IF(Compartments!$A256&lt;&gt;"",Compartments!$A256,"")</f>
        <v/>
      </c>
    </row>
    <row r="257" spans="1:1" x14ac:dyDescent="0.35">
      <c r="A257" s="3" t="str">
        <f>IF(Compartments!$A257&lt;&gt;"",Compartments!$A257,"")</f>
        <v/>
      </c>
    </row>
    <row r="258" spans="1:1" x14ac:dyDescent="0.35">
      <c r="A258" s="3" t="str">
        <f>IF(Compartments!$A258&lt;&gt;"",Compartments!$A258,"")</f>
        <v/>
      </c>
    </row>
    <row r="259" spans="1:1" x14ac:dyDescent="0.35">
      <c r="A259" s="3" t="str">
        <f>IF(Compartments!$A259&lt;&gt;"",Compartments!$A259,"")</f>
        <v/>
      </c>
    </row>
    <row r="260" spans="1:1" x14ac:dyDescent="0.35">
      <c r="A260" s="3" t="str">
        <f>IF(Compartments!$A260&lt;&gt;"",Compartments!$A260,"")</f>
        <v/>
      </c>
    </row>
    <row r="261" spans="1:1" x14ac:dyDescent="0.35">
      <c r="A261" s="3" t="str">
        <f>IF(Compartments!$A261&lt;&gt;"",Compartments!$A261,"")</f>
        <v/>
      </c>
    </row>
    <row r="262" spans="1:1" x14ac:dyDescent="0.35">
      <c r="A262" s="3" t="str">
        <f>IF(Compartments!$A262&lt;&gt;"",Compartments!$A262,"")</f>
        <v/>
      </c>
    </row>
    <row r="263" spans="1:1" x14ac:dyDescent="0.35">
      <c r="A263" s="3" t="str">
        <f>IF(Compartments!$A263&lt;&gt;"",Compartments!$A263,"")</f>
        <v/>
      </c>
    </row>
    <row r="264" spans="1:1" x14ac:dyDescent="0.35">
      <c r="A264" s="3" t="str">
        <f>IF(Compartments!$A264&lt;&gt;"",Compartments!$A264,"")</f>
        <v/>
      </c>
    </row>
    <row r="265" spans="1:1" x14ac:dyDescent="0.35">
      <c r="A265" s="3" t="str">
        <f>IF(Compartments!$A265&lt;&gt;"",Compartments!$A265,"")</f>
        <v/>
      </c>
    </row>
    <row r="266" spans="1:1" x14ac:dyDescent="0.35">
      <c r="A266" s="3" t="str">
        <f>IF(Compartments!$A266&lt;&gt;"",Compartments!$A266,"")</f>
        <v/>
      </c>
    </row>
    <row r="267" spans="1:1" x14ac:dyDescent="0.35">
      <c r="A267" s="3" t="str">
        <f>IF(Compartments!$A267&lt;&gt;"",Compartments!$A267,"")</f>
        <v/>
      </c>
    </row>
    <row r="268" spans="1:1" x14ac:dyDescent="0.35">
      <c r="A268" s="3" t="str">
        <f>IF(Compartments!$A268&lt;&gt;"",Compartments!$A268,"")</f>
        <v/>
      </c>
    </row>
    <row r="269" spans="1:1" x14ac:dyDescent="0.35">
      <c r="A269" s="3" t="str">
        <f>IF(Compartments!$A269&lt;&gt;"",Compartments!$A269,"")</f>
        <v/>
      </c>
    </row>
    <row r="270" spans="1:1" x14ac:dyDescent="0.35">
      <c r="A270" s="3" t="str">
        <f>IF(Compartments!$A270&lt;&gt;"",Compartments!$A270,"")</f>
        <v/>
      </c>
    </row>
    <row r="271" spans="1:1" x14ac:dyDescent="0.35">
      <c r="A271" s="3" t="str">
        <f>IF(Compartments!$A271&lt;&gt;"",Compartments!$A271,"")</f>
        <v/>
      </c>
    </row>
    <row r="272" spans="1:1" x14ac:dyDescent="0.35">
      <c r="A272" s="3" t="str">
        <f>IF(Compartments!$A272&lt;&gt;"",Compartments!$A272,"")</f>
        <v/>
      </c>
    </row>
    <row r="273" spans="1:1" x14ac:dyDescent="0.35">
      <c r="A273" s="3" t="str">
        <f>IF(Compartments!$A273&lt;&gt;"",Compartments!$A273,"")</f>
        <v/>
      </c>
    </row>
    <row r="274" spans="1:1" x14ac:dyDescent="0.35">
      <c r="A274" s="3" t="str">
        <f>IF(Compartments!$A274&lt;&gt;"",Compartments!$A274,"")</f>
        <v/>
      </c>
    </row>
    <row r="275" spans="1:1" x14ac:dyDescent="0.35">
      <c r="A275" s="3" t="str">
        <f>IF(Compartments!$A275&lt;&gt;"",Compartments!$A275,"")</f>
        <v/>
      </c>
    </row>
    <row r="276" spans="1:1" x14ac:dyDescent="0.35">
      <c r="A276" s="3" t="str">
        <f>IF(Compartments!$A276&lt;&gt;"",Compartments!$A276,"")</f>
        <v/>
      </c>
    </row>
    <row r="277" spans="1:1" x14ac:dyDescent="0.35">
      <c r="A277" s="3" t="str">
        <f>IF(Compartments!$A277&lt;&gt;"",Compartments!$A277,"")</f>
        <v/>
      </c>
    </row>
    <row r="278" spans="1:1" x14ac:dyDescent="0.35">
      <c r="A278" s="3" t="str">
        <f>IF(Compartments!$A278&lt;&gt;"",Compartments!$A278,"")</f>
        <v/>
      </c>
    </row>
    <row r="279" spans="1:1" x14ac:dyDescent="0.35">
      <c r="A279" s="3" t="str">
        <f>IF(Compartments!$A279&lt;&gt;"",Compartments!$A279,"")</f>
        <v/>
      </c>
    </row>
    <row r="280" spans="1:1" x14ac:dyDescent="0.35">
      <c r="A280" s="3" t="str">
        <f>IF(Compartments!$A280&lt;&gt;"",Compartments!$A280,"")</f>
        <v/>
      </c>
    </row>
    <row r="281" spans="1:1" x14ac:dyDescent="0.35">
      <c r="A281" s="3" t="str">
        <f>IF(Compartments!$A281&lt;&gt;"",Compartments!$A281,"")</f>
        <v/>
      </c>
    </row>
    <row r="282" spans="1:1" x14ac:dyDescent="0.35">
      <c r="A282" s="3" t="str">
        <f>IF(Compartments!$A282&lt;&gt;"",Compartments!$A282,"")</f>
        <v/>
      </c>
    </row>
    <row r="283" spans="1:1" x14ac:dyDescent="0.35">
      <c r="A283" s="3" t="str">
        <f>IF(Compartments!$A283&lt;&gt;"",Compartments!$A283,"")</f>
        <v/>
      </c>
    </row>
    <row r="284" spans="1:1" x14ac:dyDescent="0.35">
      <c r="A284" s="3" t="str">
        <f>IF(Compartments!$A284&lt;&gt;"",Compartments!$A284,"")</f>
        <v/>
      </c>
    </row>
    <row r="285" spans="1:1" x14ac:dyDescent="0.35">
      <c r="A285" s="3" t="str">
        <f>IF(Compartments!$A285&lt;&gt;"",Compartments!$A285,"")</f>
        <v/>
      </c>
    </row>
    <row r="286" spans="1:1" x14ac:dyDescent="0.35">
      <c r="A286" s="3" t="str">
        <f>IF(Compartments!$A286&lt;&gt;"",Compartments!$A286,"")</f>
        <v/>
      </c>
    </row>
    <row r="287" spans="1:1" x14ac:dyDescent="0.35">
      <c r="A287" s="3" t="str">
        <f>IF(Compartments!$A287&lt;&gt;"",Compartments!$A287,"")</f>
        <v/>
      </c>
    </row>
    <row r="288" spans="1:1" x14ac:dyDescent="0.35">
      <c r="A288" s="3" t="str">
        <f>IF(Compartments!$A288&lt;&gt;"",Compartments!$A288,"")</f>
        <v/>
      </c>
    </row>
    <row r="289" spans="1:1" x14ac:dyDescent="0.35">
      <c r="A289" s="3" t="str">
        <f>IF(Compartments!$A289&lt;&gt;"",Compartments!$A289,"")</f>
        <v/>
      </c>
    </row>
    <row r="290" spans="1:1" x14ac:dyDescent="0.35">
      <c r="A290" s="3" t="str">
        <f>IF(Compartments!$A290&lt;&gt;"",Compartments!$A290,"")</f>
        <v/>
      </c>
    </row>
    <row r="291" spans="1:1" x14ac:dyDescent="0.35">
      <c r="A291" s="3" t="str">
        <f>IF(Compartments!$A291&lt;&gt;"",Compartments!$A291,"")</f>
        <v/>
      </c>
    </row>
    <row r="292" spans="1:1" x14ac:dyDescent="0.35">
      <c r="A292" s="3" t="str">
        <f>IF(Compartments!$A292&lt;&gt;"",Compartments!$A292,"")</f>
        <v/>
      </c>
    </row>
    <row r="293" spans="1:1" x14ac:dyDescent="0.35">
      <c r="A293" s="3" t="str">
        <f>IF(Compartments!$A293&lt;&gt;"",Compartments!$A293,"")</f>
        <v/>
      </c>
    </row>
    <row r="294" spans="1:1" x14ac:dyDescent="0.35">
      <c r="A294" s="3" t="str">
        <f>IF(Compartments!$A294&lt;&gt;"",Compartments!$A294,"")</f>
        <v/>
      </c>
    </row>
    <row r="295" spans="1:1" x14ac:dyDescent="0.35">
      <c r="A295" s="3" t="str">
        <f>IF(Compartments!$A295&lt;&gt;"",Compartments!$A295,"")</f>
        <v/>
      </c>
    </row>
    <row r="296" spans="1:1" x14ac:dyDescent="0.35">
      <c r="A296" s="3" t="str">
        <f>IF(Compartments!$A296&lt;&gt;"",Compartments!$A296,"")</f>
        <v/>
      </c>
    </row>
    <row r="297" spans="1:1" x14ac:dyDescent="0.35">
      <c r="A297" s="3" t="str">
        <f>IF(Compartments!$A297&lt;&gt;"",Compartments!$A297,"")</f>
        <v/>
      </c>
    </row>
    <row r="298" spans="1:1" x14ac:dyDescent="0.35">
      <c r="A298" s="3" t="str">
        <f>IF(Compartments!$A298&lt;&gt;"",Compartments!$A298,"")</f>
        <v/>
      </c>
    </row>
    <row r="299" spans="1:1" x14ac:dyDescent="0.35">
      <c r="A299" s="3" t="str">
        <f>IF(Compartments!$A299&lt;&gt;"",Compartments!$A299,"")</f>
        <v/>
      </c>
    </row>
    <row r="300" spans="1:1" x14ac:dyDescent="0.35">
      <c r="A300" s="3" t="str">
        <f>IF(Compartments!$A300&lt;&gt;"",Compartments!$A300,"")</f>
        <v/>
      </c>
    </row>
    <row r="301" spans="1:1" x14ac:dyDescent="0.35">
      <c r="A301" s="3" t="str">
        <f>IF(Compartments!$A301&lt;&gt;"",Compartments!$A301,"")</f>
        <v/>
      </c>
    </row>
    <row r="302" spans="1:1" x14ac:dyDescent="0.35">
      <c r="A302" s="3" t="str">
        <f>IF(Compartments!$A302&lt;&gt;"",Compartments!$A302,"")</f>
        <v/>
      </c>
    </row>
    <row r="303" spans="1:1" x14ac:dyDescent="0.35">
      <c r="A303" s="3" t="str">
        <f>IF(Compartments!$A303&lt;&gt;"",Compartments!$A303,"")</f>
        <v/>
      </c>
    </row>
    <row r="304" spans="1:1" x14ac:dyDescent="0.35">
      <c r="A304" s="3" t="str">
        <f>IF(Compartments!$A304&lt;&gt;"",Compartments!$A304,"")</f>
        <v/>
      </c>
    </row>
    <row r="305" spans="1:1" x14ac:dyDescent="0.35">
      <c r="A305" s="3" t="str">
        <f>IF(Compartments!$A305&lt;&gt;"",Compartments!$A305,"")</f>
        <v/>
      </c>
    </row>
    <row r="306" spans="1:1" x14ac:dyDescent="0.35">
      <c r="A306" s="3" t="str">
        <f>IF(Compartments!$A306&lt;&gt;"",Compartments!$A306,"")</f>
        <v/>
      </c>
    </row>
    <row r="307" spans="1:1" x14ac:dyDescent="0.35">
      <c r="A307" s="3" t="str">
        <f>IF(Compartments!$A307&lt;&gt;"",Compartments!$A307,"")</f>
        <v/>
      </c>
    </row>
    <row r="308" spans="1:1" x14ac:dyDescent="0.35">
      <c r="A308" s="3" t="str">
        <f>IF(Compartments!$A308&lt;&gt;"",Compartments!$A308,"")</f>
        <v/>
      </c>
    </row>
    <row r="309" spans="1:1" x14ac:dyDescent="0.35">
      <c r="A309" s="3" t="str">
        <f>IF(Compartments!$A309&lt;&gt;"",Compartments!$A309,"")</f>
        <v/>
      </c>
    </row>
    <row r="310" spans="1:1" x14ac:dyDescent="0.35">
      <c r="A310" s="3" t="str">
        <f>IF(Compartments!$A310&lt;&gt;"",Compartments!$A310,"")</f>
        <v/>
      </c>
    </row>
    <row r="311" spans="1:1" x14ac:dyDescent="0.35">
      <c r="A311" s="3" t="str">
        <f>IF(Compartments!$A311&lt;&gt;"",Compartments!$A311,"")</f>
        <v/>
      </c>
    </row>
    <row r="312" spans="1:1" x14ac:dyDescent="0.35">
      <c r="A312" s="3" t="str">
        <f>IF(Compartments!$A312&lt;&gt;"",Compartments!$A312,"")</f>
        <v/>
      </c>
    </row>
    <row r="313" spans="1:1" x14ac:dyDescent="0.35">
      <c r="A313" s="3" t="str">
        <f>IF(Compartments!$A313&lt;&gt;"",Compartments!$A313,"")</f>
        <v/>
      </c>
    </row>
    <row r="314" spans="1:1" x14ac:dyDescent="0.35">
      <c r="A314" s="3" t="str">
        <f>IF(Compartments!$A314&lt;&gt;"",Compartments!$A314,"")</f>
        <v/>
      </c>
    </row>
    <row r="315" spans="1:1" x14ac:dyDescent="0.35">
      <c r="A315" s="3" t="str">
        <f>IF(Compartments!$A315&lt;&gt;"",Compartments!$A315,"")</f>
        <v/>
      </c>
    </row>
    <row r="316" spans="1:1" x14ac:dyDescent="0.35">
      <c r="A316" s="3" t="str">
        <f>IF(Compartments!$A316&lt;&gt;"",Compartments!$A316,"")</f>
        <v/>
      </c>
    </row>
    <row r="317" spans="1:1" x14ac:dyDescent="0.35">
      <c r="A317" s="3" t="str">
        <f>IF(Compartments!$A317&lt;&gt;"",Compartments!$A317,"")</f>
        <v/>
      </c>
    </row>
    <row r="318" spans="1:1" x14ac:dyDescent="0.35">
      <c r="A318" s="3" t="str">
        <f>IF(Compartments!$A318&lt;&gt;"",Compartments!$A318,"")</f>
        <v/>
      </c>
    </row>
    <row r="319" spans="1:1" x14ac:dyDescent="0.35">
      <c r="A319" s="3" t="str">
        <f>IF(Compartments!$A319&lt;&gt;"",Compartments!$A319,"")</f>
        <v/>
      </c>
    </row>
    <row r="320" spans="1:1" x14ac:dyDescent="0.35">
      <c r="A320" s="3" t="str">
        <f>IF(Compartments!$A320&lt;&gt;"",Compartments!$A320,"")</f>
        <v/>
      </c>
    </row>
    <row r="321" spans="1:1" x14ac:dyDescent="0.35">
      <c r="A321" s="3" t="str">
        <f>IF(Compartments!$A321&lt;&gt;"",Compartments!$A321,"")</f>
        <v/>
      </c>
    </row>
    <row r="322" spans="1:1" x14ac:dyDescent="0.35">
      <c r="A322" s="3" t="str">
        <f>IF(Compartments!$A322&lt;&gt;"",Compartments!$A322,"")</f>
        <v/>
      </c>
    </row>
    <row r="323" spans="1:1" x14ac:dyDescent="0.35">
      <c r="A323" s="3" t="str">
        <f>IF(Compartments!$A323&lt;&gt;"",Compartments!$A323,"")</f>
        <v/>
      </c>
    </row>
    <row r="324" spans="1:1" x14ac:dyDescent="0.35">
      <c r="A324" s="3" t="str">
        <f>IF(Compartments!$A324&lt;&gt;"",Compartments!$A324,"")</f>
        <v/>
      </c>
    </row>
    <row r="325" spans="1:1" x14ac:dyDescent="0.35">
      <c r="A325" s="3" t="str">
        <f>IF(Compartments!$A325&lt;&gt;"",Compartments!$A325,"")</f>
        <v/>
      </c>
    </row>
    <row r="326" spans="1:1" x14ac:dyDescent="0.35">
      <c r="A326" s="3" t="str">
        <f>IF(Compartments!$A326&lt;&gt;"",Compartments!$A326,"")</f>
        <v/>
      </c>
    </row>
    <row r="327" spans="1:1" x14ac:dyDescent="0.35">
      <c r="A327" s="3" t="str">
        <f>IF(Compartments!$A327&lt;&gt;"",Compartments!$A327,"")</f>
        <v/>
      </c>
    </row>
    <row r="328" spans="1:1" x14ac:dyDescent="0.35">
      <c r="A328" s="3" t="str">
        <f>IF(Compartments!$A328&lt;&gt;"",Compartments!$A328,"")</f>
        <v/>
      </c>
    </row>
    <row r="329" spans="1:1" x14ac:dyDescent="0.35">
      <c r="A329" s="3" t="str">
        <f>IF(Compartments!$A329&lt;&gt;"",Compartments!$A329,"")</f>
        <v/>
      </c>
    </row>
    <row r="330" spans="1:1" x14ac:dyDescent="0.35">
      <c r="A330" s="3" t="str">
        <f>IF(Compartments!$A330&lt;&gt;"",Compartments!$A330,"")</f>
        <v/>
      </c>
    </row>
    <row r="331" spans="1:1" x14ac:dyDescent="0.35">
      <c r="A331" s="3" t="str">
        <f>IF(Compartments!$A331&lt;&gt;"",Compartments!$A331,"")</f>
        <v/>
      </c>
    </row>
    <row r="332" spans="1:1" x14ac:dyDescent="0.35">
      <c r="A332" s="3" t="str">
        <f>IF(Compartments!$A332&lt;&gt;"",Compartments!$A332,"")</f>
        <v/>
      </c>
    </row>
    <row r="333" spans="1:1" x14ac:dyDescent="0.35">
      <c r="A333" s="3" t="str">
        <f>IF(Compartments!$A333&lt;&gt;"",Compartments!$A333,"")</f>
        <v/>
      </c>
    </row>
    <row r="334" spans="1:1" x14ac:dyDescent="0.35">
      <c r="A334" s="3" t="str">
        <f>IF(Compartments!$A334&lt;&gt;"",Compartments!$A334,"")</f>
        <v/>
      </c>
    </row>
    <row r="335" spans="1:1" x14ac:dyDescent="0.35">
      <c r="A335" s="3" t="str">
        <f>IF(Compartments!$A335&lt;&gt;"",Compartments!$A335,"")</f>
        <v/>
      </c>
    </row>
    <row r="336" spans="1:1" x14ac:dyDescent="0.35">
      <c r="A336" s="3" t="str">
        <f>IF(Compartments!$A336&lt;&gt;"",Compartments!$A336,"")</f>
        <v/>
      </c>
    </row>
    <row r="337" spans="1:1" x14ac:dyDescent="0.35">
      <c r="A337" s="3" t="str">
        <f>IF(Compartments!$A337&lt;&gt;"",Compartments!$A337,"")</f>
        <v/>
      </c>
    </row>
    <row r="338" spans="1:1" x14ac:dyDescent="0.35">
      <c r="A338" s="3" t="str">
        <f>IF(Compartments!$A338&lt;&gt;"",Compartments!$A338,"")</f>
        <v/>
      </c>
    </row>
    <row r="339" spans="1:1" x14ac:dyDescent="0.35">
      <c r="A339" s="3" t="str">
        <f>IF(Compartments!$A339&lt;&gt;"",Compartments!$A339,"")</f>
        <v/>
      </c>
    </row>
    <row r="340" spans="1:1" x14ac:dyDescent="0.35">
      <c r="A340" s="3" t="str">
        <f>IF(Compartments!$A340&lt;&gt;"",Compartments!$A340,"")</f>
        <v/>
      </c>
    </row>
    <row r="341" spans="1:1" x14ac:dyDescent="0.35">
      <c r="A341" s="3" t="str">
        <f>IF(Compartments!$A341&lt;&gt;"",Compartments!$A341,"")</f>
        <v/>
      </c>
    </row>
    <row r="342" spans="1:1" x14ac:dyDescent="0.35">
      <c r="A342" s="3" t="str">
        <f>IF(Compartments!$A342&lt;&gt;"",Compartments!$A342,"")</f>
        <v/>
      </c>
    </row>
    <row r="343" spans="1:1" x14ac:dyDescent="0.35">
      <c r="A343" s="3" t="str">
        <f>IF(Compartments!$A343&lt;&gt;"",Compartments!$A343,"")</f>
        <v/>
      </c>
    </row>
    <row r="344" spans="1:1" x14ac:dyDescent="0.35">
      <c r="A344" s="3" t="str">
        <f>IF(Compartments!$A344&lt;&gt;"",Compartments!$A344,"")</f>
        <v/>
      </c>
    </row>
    <row r="345" spans="1:1" x14ac:dyDescent="0.35">
      <c r="A345" s="3" t="str">
        <f>IF(Compartments!$A345&lt;&gt;"",Compartments!$A345,"")</f>
        <v/>
      </c>
    </row>
    <row r="346" spans="1:1" x14ac:dyDescent="0.35">
      <c r="A346" s="3" t="str">
        <f>IF(Compartments!$A346&lt;&gt;"",Compartments!$A346,"")</f>
        <v/>
      </c>
    </row>
    <row r="347" spans="1:1" x14ac:dyDescent="0.35">
      <c r="A347" s="3" t="str">
        <f>IF(Compartments!$A347&lt;&gt;"",Compartments!$A347,"")</f>
        <v/>
      </c>
    </row>
    <row r="348" spans="1:1" x14ac:dyDescent="0.35">
      <c r="A348" s="3" t="str">
        <f>IF(Compartments!$A348&lt;&gt;"",Compartments!$A348,"")</f>
        <v/>
      </c>
    </row>
    <row r="349" spans="1:1" x14ac:dyDescent="0.35">
      <c r="A349" s="3" t="str">
        <f>IF(Compartments!$A349&lt;&gt;"",Compartments!$A349,"")</f>
        <v/>
      </c>
    </row>
    <row r="350" spans="1:1" x14ac:dyDescent="0.35">
      <c r="A350" s="3" t="str">
        <f>IF(Compartments!$A350&lt;&gt;"",Compartments!$A350,"")</f>
        <v/>
      </c>
    </row>
    <row r="351" spans="1:1" x14ac:dyDescent="0.35">
      <c r="A351" s="3" t="str">
        <f>IF(Compartments!$A351&lt;&gt;"",Compartments!$A351,"")</f>
        <v/>
      </c>
    </row>
    <row r="352" spans="1:1" x14ac:dyDescent="0.35">
      <c r="A352" s="3" t="str">
        <f>IF(Compartments!$A352&lt;&gt;"",Compartments!$A352,"")</f>
        <v/>
      </c>
    </row>
    <row r="353" spans="1:1" x14ac:dyDescent="0.35">
      <c r="A353" s="3" t="str">
        <f>IF(Compartments!$A353&lt;&gt;"",Compartments!$A353,"")</f>
        <v/>
      </c>
    </row>
    <row r="354" spans="1:1" x14ac:dyDescent="0.35">
      <c r="A354" s="3" t="str">
        <f>IF(Compartments!$A354&lt;&gt;"",Compartments!$A354,"")</f>
        <v/>
      </c>
    </row>
    <row r="355" spans="1:1" x14ac:dyDescent="0.35">
      <c r="A355" s="3" t="str">
        <f>IF(Compartments!$A355&lt;&gt;"",Compartments!$A355,"")</f>
        <v/>
      </c>
    </row>
    <row r="356" spans="1:1" x14ac:dyDescent="0.35">
      <c r="A356" s="3" t="str">
        <f>IF(Compartments!$A356&lt;&gt;"",Compartments!$A356,"")</f>
        <v/>
      </c>
    </row>
    <row r="357" spans="1:1" x14ac:dyDescent="0.35">
      <c r="A357" s="3" t="str">
        <f>IF(Compartments!$A357&lt;&gt;"",Compartments!$A357,"")</f>
        <v/>
      </c>
    </row>
    <row r="358" spans="1:1" x14ac:dyDescent="0.35">
      <c r="A358" s="3" t="str">
        <f>IF(Compartments!$A358&lt;&gt;"",Compartments!$A358,"")</f>
        <v/>
      </c>
    </row>
    <row r="359" spans="1:1" x14ac:dyDescent="0.35">
      <c r="A359" s="3" t="str">
        <f>IF(Compartments!$A359&lt;&gt;"",Compartments!$A359,"")</f>
        <v/>
      </c>
    </row>
    <row r="360" spans="1:1" x14ac:dyDescent="0.35">
      <c r="A360" s="3" t="str">
        <f>IF(Compartments!$A360&lt;&gt;"",Compartments!$A360,"")</f>
        <v/>
      </c>
    </row>
    <row r="361" spans="1:1" x14ac:dyDescent="0.35">
      <c r="A361" s="3" t="str">
        <f>IF(Compartments!$A361&lt;&gt;"",Compartments!$A361,"")</f>
        <v/>
      </c>
    </row>
    <row r="362" spans="1:1" x14ac:dyDescent="0.35">
      <c r="A362" s="3" t="str">
        <f>IF(Compartments!$A362&lt;&gt;"",Compartments!$A362,"")</f>
        <v/>
      </c>
    </row>
    <row r="363" spans="1:1" x14ac:dyDescent="0.35">
      <c r="A363" s="3" t="str">
        <f>IF(Compartments!$A363&lt;&gt;"",Compartments!$A363,"")</f>
        <v/>
      </c>
    </row>
    <row r="364" spans="1:1" x14ac:dyDescent="0.35">
      <c r="A364" s="3" t="str">
        <f>IF(Compartments!$A364&lt;&gt;"",Compartments!$A364,"")</f>
        <v/>
      </c>
    </row>
    <row r="365" spans="1:1" x14ac:dyDescent="0.35">
      <c r="A365" s="3" t="str">
        <f>IF(Compartments!$A365&lt;&gt;"",Compartments!$A365,"")</f>
        <v/>
      </c>
    </row>
    <row r="366" spans="1:1" x14ac:dyDescent="0.35">
      <c r="A366" s="3" t="str">
        <f>IF(Compartments!$A366&lt;&gt;"",Compartments!$A366,"")</f>
        <v/>
      </c>
    </row>
    <row r="367" spans="1:1" x14ac:dyDescent="0.35">
      <c r="A367" s="3" t="str">
        <f>IF(Compartments!$A367&lt;&gt;"",Compartments!$A367,"")</f>
        <v/>
      </c>
    </row>
    <row r="368" spans="1:1" x14ac:dyDescent="0.35">
      <c r="A368" s="3" t="str">
        <f>IF(Compartments!$A368&lt;&gt;"",Compartments!$A368,"")</f>
        <v/>
      </c>
    </row>
    <row r="369" spans="1:1" x14ac:dyDescent="0.35">
      <c r="A369" s="3" t="str">
        <f>IF(Compartments!$A369&lt;&gt;"",Compartments!$A369,"")</f>
        <v/>
      </c>
    </row>
    <row r="370" spans="1:1" x14ac:dyDescent="0.35">
      <c r="A370" s="3" t="str">
        <f>IF(Compartments!$A370&lt;&gt;"",Compartments!$A370,"")</f>
        <v/>
      </c>
    </row>
    <row r="371" spans="1:1" x14ac:dyDescent="0.35">
      <c r="A371" s="3" t="str">
        <f>IF(Compartments!$A371&lt;&gt;"",Compartments!$A371,"")</f>
        <v/>
      </c>
    </row>
    <row r="372" spans="1:1" x14ac:dyDescent="0.35">
      <c r="A372" s="3" t="str">
        <f>IF(Compartments!$A372&lt;&gt;"",Compartments!$A372,"")</f>
        <v/>
      </c>
    </row>
    <row r="373" spans="1:1" x14ac:dyDescent="0.35">
      <c r="A373" s="3" t="str">
        <f>IF(Compartments!$A373&lt;&gt;"",Compartments!$A373,"")</f>
        <v/>
      </c>
    </row>
    <row r="374" spans="1:1" x14ac:dyDescent="0.35">
      <c r="A374" s="3" t="str">
        <f>IF(Compartments!$A374&lt;&gt;"",Compartments!$A374,"")</f>
        <v/>
      </c>
    </row>
    <row r="375" spans="1:1" x14ac:dyDescent="0.35">
      <c r="A375" s="3" t="str">
        <f>IF(Compartments!$A375&lt;&gt;"",Compartments!$A375,"")</f>
        <v/>
      </c>
    </row>
    <row r="376" spans="1:1" x14ac:dyDescent="0.35">
      <c r="A376" s="3" t="str">
        <f>IF(Compartments!$A376&lt;&gt;"",Compartments!$A376,"")</f>
        <v/>
      </c>
    </row>
    <row r="377" spans="1:1" x14ac:dyDescent="0.35">
      <c r="A377" s="3" t="str">
        <f>IF(Compartments!$A377&lt;&gt;"",Compartments!$A377,"")</f>
        <v/>
      </c>
    </row>
    <row r="378" spans="1:1" x14ac:dyDescent="0.35">
      <c r="A378" s="3" t="str">
        <f>IF(Compartments!$A378&lt;&gt;"",Compartments!$A378,"")</f>
        <v/>
      </c>
    </row>
    <row r="379" spans="1:1" x14ac:dyDescent="0.35">
      <c r="A379" s="3" t="str">
        <f>IF(Compartments!$A379&lt;&gt;"",Compartments!$A379,"")</f>
        <v/>
      </c>
    </row>
    <row r="380" spans="1:1" x14ac:dyDescent="0.35">
      <c r="A380" s="3" t="str">
        <f>IF(Compartments!$A380&lt;&gt;"",Compartments!$A380,"")</f>
        <v/>
      </c>
    </row>
    <row r="381" spans="1:1" x14ac:dyDescent="0.35">
      <c r="A381" s="3" t="str">
        <f>IF(Compartments!$A381&lt;&gt;"",Compartments!$A381,"")</f>
        <v/>
      </c>
    </row>
    <row r="382" spans="1:1" x14ac:dyDescent="0.35">
      <c r="A382" s="3" t="str">
        <f>IF(Compartments!$A382&lt;&gt;"",Compartments!$A382,"")</f>
        <v/>
      </c>
    </row>
    <row r="383" spans="1:1" x14ac:dyDescent="0.35">
      <c r="A383" s="3" t="str">
        <f>IF(Compartments!$A383&lt;&gt;"",Compartments!$A383,"")</f>
        <v/>
      </c>
    </row>
    <row r="384" spans="1:1" x14ac:dyDescent="0.35">
      <c r="A384" s="3" t="str">
        <f>IF(Compartments!$A384&lt;&gt;"",Compartments!$A384,"")</f>
        <v/>
      </c>
    </row>
    <row r="385" spans="1:1" x14ac:dyDescent="0.35">
      <c r="A385" s="3" t="str">
        <f>IF(Compartments!$A385&lt;&gt;"",Compartments!$A385,"")</f>
        <v/>
      </c>
    </row>
    <row r="386" spans="1:1" x14ac:dyDescent="0.35">
      <c r="A386" s="3" t="str">
        <f>IF(Compartments!$A386&lt;&gt;"",Compartments!$A386,"")</f>
        <v/>
      </c>
    </row>
    <row r="387" spans="1:1" x14ac:dyDescent="0.35">
      <c r="A387" s="3" t="str">
        <f>IF(Compartments!$A387&lt;&gt;"",Compartments!$A387,"")</f>
        <v/>
      </c>
    </row>
    <row r="388" spans="1:1" x14ac:dyDescent="0.35">
      <c r="A388" s="3" t="str">
        <f>IF(Compartments!$A388&lt;&gt;"",Compartments!$A388,"")</f>
        <v/>
      </c>
    </row>
    <row r="389" spans="1:1" x14ac:dyDescent="0.35">
      <c r="A389" s="3" t="str">
        <f>IF(Compartments!$A389&lt;&gt;"",Compartments!$A389,"")</f>
        <v/>
      </c>
    </row>
    <row r="390" spans="1:1" x14ac:dyDescent="0.35">
      <c r="A390" s="3" t="str">
        <f>IF(Compartments!$A390&lt;&gt;"",Compartments!$A390,"")</f>
        <v/>
      </c>
    </row>
    <row r="391" spans="1:1" x14ac:dyDescent="0.35">
      <c r="A391" s="3" t="str">
        <f>IF(Compartments!$A391&lt;&gt;"",Compartments!$A391,"")</f>
        <v/>
      </c>
    </row>
    <row r="392" spans="1:1" x14ac:dyDescent="0.35">
      <c r="A392" s="3" t="str">
        <f>IF(Compartments!$A392&lt;&gt;"",Compartments!$A392,"")</f>
        <v/>
      </c>
    </row>
    <row r="393" spans="1:1" x14ac:dyDescent="0.35">
      <c r="A393" s="3" t="str">
        <f>IF(Compartments!$A393&lt;&gt;"",Compartments!$A393,"")</f>
        <v/>
      </c>
    </row>
    <row r="394" spans="1:1" x14ac:dyDescent="0.35">
      <c r="A394" s="3" t="str">
        <f>IF(Compartments!$A394&lt;&gt;"",Compartments!$A394,"")</f>
        <v/>
      </c>
    </row>
    <row r="395" spans="1:1" x14ac:dyDescent="0.35">
      <c r="A395" s="3" t="str">
        <f>IF(Compartments!$A395&lt;&gt;"",Compartments!$A395,"")</f>
        <v/>
      </c>
    </row>
    <row r="396" spans="1:1" x14ac:dyDescent="0.35">
      <c r="A396" s="3" t="str">
        <f>IF(Compartments!$A396&lt;&gt;"",Compartments!$A396,"")</f>
        <v/>
      </c>
    </row>
    <row r="397" spans="1:1" x14ac:dyDescent="0.35">
      <c r="A397" s="3" t="str">
        <f>IF(Compartments!$A397&lt;&gt;"",Compartments!$A397,"")</f>
        <v/>
      </c>
    </row>
    <row r="398" spans="1:1" x14ac:dyDescent="0.35">
      <c r="A398" s="3" t="str">
        <f>IF(Compartments!$A398&lt;&gt;"",Compartments!$A398,"")</f>
        <v/>
      </c>
    </row>
  </sheetData>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expression" priority="1" id="{51D293C8-E19A-4195-82DA-432679B2823C}">
            <xm:f>AND(B2&lt;&gt;"",ISERROR(MATCH(B2,Parameters!$A:$A,0)))</xm:f>
            <x14:dxf>
              <fill>
                <patternFill>
                  <bgColor rgb="FFFF0000"/>
                </patternFill>
              </fill>
            </x14:dxf>
          </x14:cfRule>
          <xm:sqref>B2:XFD11 B12:I12 K12:XFD12 B13:XFD1048576</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79998168889431442"/>
  </sheetPr>
  <dimension ref="A1:Q86"/>
  <sheetViews>
    <sheetView workbookViewId="0">
      <selection activeCell="Q4" sqref="Q4"/>
    </sheetView>
    <sheetView tabSelected="1" topLeftCell="A79" zoomScaleNormal="100" workbookViewId="1">
      <selection activeCell="H86" sqref="H86"/>
    </sheetView>
  </sheetViews>
  <sheetFormatPr defaultColWidth="8.81640625" defaultRowHeight="14.5" x14ac:dyDescent="0.35"/>
  <cols>
    <col min="1" max="1" width="13.36328125" style="4" bestFit="1" customWidth="1"/>
    <col min="2" max="2" width="96.6328125" bestFit="1" customWidth="1"/>
    <col min="3" max="3" width="9.90625" style="2" bestFit="1" customWidth="1"/>
    <col min="4" max="4" width="9.81640625" bestFit="1" customWidth="1"/>
    <col min="5" max="7" width="14.7265625" customWidth="1"/>
    <col min="8" max="8" width="61.453125" customWidth="1"/>
    <col min="9" max="9" width="10.7265625" style="2" customWidth="1"/>
    <col min="10" max="10" width="14.7265625" style="2" customWidth="1"/>
    <col min="11" max="11" width="14.7265625" customWidth="1"/>
    <col min="12" max="12" width="15.7265625" customWidth="1"/>
    <col min="14" max="14" width="14.7265625" customWidth="1"/>
    <col min="15" max="15" width="10.7265625" style="2" customWidth="1"/>
    <col min="16" max="16" width="11.81640625" style="2" bestFit="1" customWidth="1"/>
    <col min="17" max="17" width="10.26953125" bestFit="1" customWidth="1"/>
  </cols>
  <sheetData>
    <row r="1" spans="1:17" s="2" customFormat="1" x14ac:dyDescent="0.35">
      <c r="A1" s="1" t="s">
        <v>2</v>
      </c>
      <c r="B1" s="1" t="s">
        <v>3</v>
      </c>
      <c r="C1" s="1" t="s">
        <v>15</v>
      </c>
      <c r="D1" s="1" t="s">
        <v>40</v>
      </c>
      <c r="E1" s="1" t="s">
        <v>9</v>
      </c>
      <c r="F1" s="1" t="s">
        <v>16</v>
      </c>
      <c r="G1" s="1" t="s">
        <v>17</v>
      </c>
      <c r="H1" s="1" t="s">
        <v>18</v>
      </c>
      <c r="I1" s="1" t="s">
        <v>36</v>
      </c>
      <c r="J1" s="1" t="s">
        <v>35</v>
      </c>
      <c r="K1" s="1" t="s">
        <v>11</v>
      </c>
      <c r="L1" s="1" t="s">
        <v>12</v>
      </c>
      <c r="M1" s="1" t="s">
        <v>39</v>
      </c>
      <c r="N1" s="1" t="s">
        <v>44</v>
      </c>
      <c r="O1" s="1" t="s">
        <v>47</v>
      </c>
      <c r="P1" s="1" t="s">
        <v>48</v>
      </c>
      <c r="Q1" s="1" t="s">
        <v>50</v>
      </c>
    </row>
    <row r="2" spans="1:17" s="122" customFormat="1" x14ac:dyDescent="0.35">
      <c r="A2" s="121" t="s">
        <v>186</v>
      </c>
      <c r="B2" s="122" t="s">
        <v>187</v>
      </c>
      <c r="C2" s="123"/>
      <c r="D2" s="123"/>
      <c r="E2" s="123"/>
      <c r="F2" s="123"/>
      <c r="G2" s="123"/>
      <c r="I2" s="123"/>
      <c r="J2" s="123"/>
      <c r="K2" s="123"/>
      <c r="L2" s="123"/>
      <c r="N2" s="123"/>
      <c r="O2" s="123"/>
      <c r="P2" s="123"/>
    </row>
    <row r="3" spans="1:17" x14ac:dyDescent="0.35">
      <c r="A3" s="129" t="s">
        <v>188</v>
      </c>
      <c r="B3" s="130" t="s">
        <v>189</v>
      </c>
    </row>
    <row r="4" spans="1:17" x14ac:dyDescent="0.35">
      <c r="A4" s="129" t="s">
        <v>143</v>
      </c>
      <c r="B4" s="130" t="s">
        <v>190</v>
      </c>
    </row>
    <row r="5" spans="1:17" x14ac:dyDescent="0.35">
      <c r="A5" s="129" t="s">
        <v>191</v>
      </c>
      <c r="B5" s="130" t="s">
        <v>192</v>
      </c>
    </row>
    <row r="6" spans="1:17" x14ac:dyDescent="0.35">
      <c r="A6" s="129" t="s">
        <v>144</v>
      </c>
      <c r="B6" s="130" t="s">
        <v>193</v>
      </c>
      <c r="C6" s="2" t="s">
        <v>194</v>
      </c>
    </row>
    <row r="7" spans="1:17" s="122" customFormat="1" x14ac:dyDescent="0.35">
      <c r="A7" s="121" t="s">
        <v>186</v>
      </c>
      <c r="B7" s="122" t="s">
        <v>195</v>
      </c>
      <c r="C7" s="123"/>
      <c r="D7" s="123"/>
      <c r="E7" s="123"/>
      <c r="F7" s="123"/>
      <c r="G7" s="123"/>
      <c r="I7" s="123"/>
      <c r="J7" s="123"/>
      <c r="K7" s="123"/>
      <c r="L7" s="123"/>
      <c r="N7" s="123"/>
      <c r="O7" s="123"/>
      <c r="P7" s="123"/>
    </row>
    <row r="8" spans="1:17" x14ac:dyDescent="0.35">
      <c r="A8" s="129" t="s">
        <v>196</v>
      </c>
      <c r="B8" s="130" t="s">
        <v>197</v>
      </c>
    </row>
    <row r="9" spans="1:17" x14ac:dyDescent="0.35">
      <c r="A9" s="4" t="s">
        <v>198</v>
      </c>
      <c r="B9" t="s">
        <v>199</v>
      </c>
      <c r="H9" s="2" t="s">
        <v>200</v>
      </c>
    </row>
    <row r="10" spans="1:17" x14ac:dyDescent="0.35">
      <c r="A10" s="129" t="s">
        <v>201</v>
      </c>
      <c r="B10" s="130" t="s">
        <v>203</v>
      </c>
    </row>
    <row r="11" spans="1:17" x14ac:dyDescent="0.35">
      <c r="A11" s="129" t="s">
        <v>202</v>
      </c>
      <c r="B11" s="130" t="s">
        <v>204</v>
      </c>
    </row>
    <row r="12" spans="1:17" x14ac:dyDescent="0.35">
      <c r="A12" s="129" t="s">
        <v>205</v>
      </c>
      <c r="B12" s="130" t="s">
        <v>206</v>
      </c>
      <c r="H12" s="2" t="s">
        <v>207</v>
      </c>
    </row>
    <row r="13" spans="1:17" x14ac:dyDescent="0.35">
      <c r="A13" s="4" t="s">
        <v>152</v>
      </c>
      <c r="B13" s="3" t="s">
        <v>209</v>
      </c>
      <c r="C13" s="2" t="s">
        <v>212</v>
      </c>
      <c r="H13" s="2" t="s">
        <v>211</v>
      </c>
    </row>
    <row r="14" spans="1:17" x14ac:dyDescent="0.35">
      <c r="A14" s="4" t="s">
        <v>158</v>
      </c>
      <c r="B14" s="3" t="s">
        <v>208</v>
      </c>
      <c r="C14" s="2" t="s">
        <v>212</v>
      </c>
      <c r="H14" s="2" t="s">
        <v>213</v>
      </c>
    </row>
    <row r="15" spans="1:17" x14ac:dyDescent="0.35">
      <c r="A15" s="4" t="s">
        <v>151</v>
      </c>
      <c r="B15" s="3" t="s">
        <v>210</v>
      </c>
      <c r="C15" s="2" t="s">
        <v>212</v>
      </c>
      <c r="H15" s="2" t="s">
        <v>214</v>
      </c>
    </row>
    <row r="16" spans="1:17" x14ac:dyDescent="0.35">
      <c r="A16" s="4" t="s">
        <v>215</v>
      </c>
      <c r="B16" s="124" t="s">
        <v>216</v>
      </c>
      <c r="H16" s="2" t="s">
        <v>217</v>
      </c>
    </row>
    <row r="17" spans="1:16" x14ac:dyDescent="0.35">
      <c r="A17" s="4" t="s">
        <v>153</v>
      </c>
      <c r="B17" s="3" t="s">
        <v>218</v>
      </c>
      <c r="C17" s="2" t="s">
        <v>212</v>
      </c>
      <c r="H17" s="2" t="s">
        <v>223</v>
      </c>
    </row>
    <row r="18" spans="1:16" x14ac:dyDescent="0.35">
      <c r="A18" s="4" t="s">
        <v>154</v>
      </c>
      <c r="B18" s="3" t="s">
        <v>219</v>
      </c>
      <c r="C18" s="2" t="s">
        <v>212</v>
      </c>
      <c r="H18" s="2" t="s">
        <v>224</v>
      </c>
    </row>
    <row r="19" spans="1:16" x14ac:dyDescent="0.35">
      <c r="A19" s="4" t="s">
        <v>156</v>
      </c>
      <c r="B19" s="3" t="s">
        <v>220</v>
      </c>
      <c r="C19" s="2" t="s">
        <v>212</v>
      </c>
      <c r="H19" s="2" t="s">
        <v>225</v>
      </c>
    </row>
    <row r="20" spans="1:16" x14ac:dyDescent="0.35">
      <c r="A20" s="4" t="s">
        <v>155</v>
      </c>
      <c r="B20" s="3" t="s">
        <v>221</v>
      </c>
      <c r="C20" s="2" t="s">
        <v>212</v>
      </c>
      <c r="H20" s="2" t="s">
        <v>226</v>
      </c>
    </row>
    <row r="21" spans="1:16" x14ac:dyDescent="0.35">
      <c r="A21" s="4" t="s">
        <v>157</v>
      </c>
      <c r="B21" s="3" t="s">
        <v>222</v>
      </c>
      <c r="C21" s="2" t="s">
        <v>212</v>
      </c>
      <c r="H21" s="2" t="s">
        <v>227</v>
      </c>
    </row>
    <row r="22" spans="1:16" s="122" customFormat="1" x14ac:dyDescent="0.35">
      <c r="A22" s="121" t="s">
        <v>186</v>
      </c>
      <c r="B22" s="122" t="s">
        <v>185</v>
      </c>
      <c r="C22" s="123"/>
      <c r="D22" s="123"/>
      <c r="E22" s="123"/>
      <c r="F22" s="123"/>
      <c r="G22" s="123"/>
      <c r="I22" s="123"/>
      <c r="J22" s="123"/>
      <c r="K22" s="123"/>
      <c r="L22" s="123"/>
      <c r="N22" s="123"/>
      <c r="O22" s="123"/>
      <c r="P22" s="123"/>
    </row>
    <row r="23" spans="1:16" x14ac:dyDescent="0.35">
      <c r="A23" s="129" t="s">
        <v>234</v>
      </c>
      <c r="B23" s="130" t="s">
        <v>245</v>
      </c>
      <c r="H23" s="2"/>
      <c r="K23" s="2" t="s">
        <v>184</v>
      </c>
    </row>
    <row r="24" spans="1:16" x14ac:dyDescent="0.35">
      <c r="A24" s="129" t="s">
        <v>235</v>
      </c>
      <c r="B24" s="130" t="s">
        <v>246</v>
      </c>
      <c r="H24" s="2"/>
      <c r="K24" s="2" t="s">
        <v>184</v>
      </c>
    </row>
    <row r="25" spans="1:16" x14ac:dyDescent="0.35">
      <c r="A25" s="129" t="s">
        <v>236</v>
      </c>
      <c r="B25" s="130" t="s">
        <v>247</v>
      </c>
      <c r="H25" s="2"/>
      <c r="K25" s="2" t="s">
        <v>184</v>
      </c>
    </row>
    <row r="26" spans="1:16" x14ac:dyDescent="0.35">
      <c r="A26" s="129" t="s">
        <v>237</v>
      </c>
      <c r="B26" s="130" t="s">
        <v>248</v>
      </c>
      <c r="H26" s="2"/>
      <c r="K26" s="2" t="s">
        <v>184</v>
      </c>
    </row>
    <row r="27" spans="1:16" x14ac:dyDescent="0.35">
      <c r="A27" s="129" t="s">
        <v>238</v>
      </c>
      <c r="B27" s="130" t="s">
        <v>249</v>
      </c>
      <c r="H27" s="2"/>
      <c r="K27" s="2" t="s">
        <v>184</v>
      </c>
    </row>
    <row r="28" spans="1:16" x14ac:dyDescent="0.35">
      <c r="A28" s="4" t="s">
        <v>239</v>
      </c>
      <c r="B28" t="s">
        <v>250</v>
      </c>
      <c r="H28" s="2" t="s">
        <v>260</v>
      </c>
      <c r="K28" s="2"/>
    </row>
    <row r="29" spans="1:16" x14ac:dyDescent="0.35">
      <c r="A29" s="4" t="s">
        <v>135</v>
      </c>
      <c r="B29" t="s">
        <v>242</v>
      </c>
      <c r="C29" s="2" t="s">
        <v>244</v>
      </c>
      <c r="H29" s="2" t="s">
        <v>261</v>
      </c>
      <c r="K29" s="2"/>
    </row>
    <row r="30" spans="1:16" x14ac:dyDescent="0.35">
      <c r="A30" s="4" t="s">
        <v>136</v>
      </c>
      <c r="B30" t="s">
        <v>243</v>
      </c>
      <c r="C30" s="2" t="s">
        <v>244</v>
      </c>
      <c r="H30" s="2" t="s">
        <v>262</v>
      </c>
      <c r="K30" s="2"/>
    </row>
    <row r="31" spans="1:16" x14ac:dyDescent="0.35">
      <c r="A31" s="4" t="s">
        <v>137</v>
      </c>
      <c r="B31" t="s">
        <v>251</v>
      </c>
      <c r="C31" s="2" t="s">
        <v>244</v>
      </c>
      <c r="H31" s="2" t="s">
        <v>263</v>
      </c>
      <c r="K31" s="2"/>
    </row>
    <row r="32" spans="1:16" x14ac:dyDescent="0.35">
      <c r="A32" s="129" t="s">
        <v>240</v>
      </c>
      <c r="B32" s="130" t="s">
        <v>259</v>
      </c>
      <c r="H32" s="2"/>
      <c r="K32" s="2" t="s">
        <v>184</v>
      </c>
    </row>
    <row r="33" spans="1:16" x14ac:dyDescent="0.35">
      <c r="A33" s="129" t="s">
        <v>241</v>
      </c>
      <c r="B33" s="130" t="s">
        <v>258</v>
      </c>
      <c r="H33" s="2"/>
      <c r="K33" s="2" t="s">
        <v>184</v>
      </c>
    </row>
    <row r="34" spans="1:16" x14ac:dyDescent="0.35">
      <c r="A34" s="4" t="s">
        <v>131</v>
      </c>
      <c r="B34" t="s">
        <v>252</v>
      </c>
      <c r="C34" s="2" t="s">
        <v>244</v>
      </c>
      <c r="H34" s="2" t="s">
        <v>264</v>
      </c>
      <c r="K34" s="2"/>
    </row>
    <row r="35" spans="1:16" x14ac:dyDescent="0.35">
      <c r="A35" s="4" t="s">
        <v>132</v>
      </c>
      <c r="B35" t="s">
        <v>253</v>
      </c>
      <c r="C35" s="2" t="s">
        <v>244</v>
      </c>
      <c r="H35" s="2" t="s">
        <v>265</v>
      </c>
      <c r="K35" s="2"/>
    </row>
    <row r="36" spans="1:16" x14ac:dyDescent="0.35">
      <c r="A36" s="4" t="s">
        <v>133</v>
      </c>
      <c r="B36" t="s">
        <v>254</v>
      </c>
      <c r="C36" s="2" t="s">
        <v>244</v>
      </c>
      <c r="H36" s="2" t="s">
        <v>266</v>
      </c>
      <c r="K36" s="2"/>
    </row>
    <row r="37" spans="1:16" x14ac:dyDescent="0.35">
      <c r="A37" s="4" t="s">
        <v>134</v>
      </c>
      <c r="B37" t="s">
        <v>255</v>
      </c>
      <c r="C37" s="2" t="s">
        <v>244</v>
      </c>
      <c r="H37" s="2" t="s">
        <v>267</v>
      </c>
      <c r="K37" s="2"/>
    </row>
    <row r="38" spans="1:16" x14ac:dyDescent="0.35">
      <c r="A38" s="129" t="s">
        <v>159</v>
      </c>
      <c r="B38" s="130" t="s">
        <v>256</v>
      </c>
      <c r="C38" s="2" t="s">
        <v>244</v>
      </c>
      <c r="H38" s="2"/>
      <c r="K38" s="2" t="s">
        <v>184</v>
      </c>
    </row>
    <row r="39" spans="1:16" x14ac:dyDescent="0.35">
      <c r="A39" s="4" t="s">
        <v>130</v>
      </c>
      <c r="B39" t="s">
        <v>257</v>
      </c>
      <c r="C39" s="2" t="s">
        <v>244</v>
      </c>
      <c r="H39" s="2" t="s">
        <v>268</v>
      </c>
      <c r="K39" s="2"/>
    </row>
    <row r="40" spans="1:16" s="122" customFormat="1" x14ac:dyDescent="0.35">
      <c r="A40" s="121" t="s">
        <v>186</v>
      </c>
      <c r="B40" s="122" t="s">
        <v>269</v>
      </c>
      <c r="C40" s="123"/>
      <c r="D40" s="123"/>
      <c r="E40" s="123"/>
      <c r="F40" s="123"/>
      <c r="G40" s="123"/>
      <c r="I40" s="123"/>
      <c r="J40" s="123"/>
      <c r="K40" s="123"/>
      <c r="L40" s="123"/>
      <c r="N40" s="123"/>
      <c r="O40" s="123"/>
      <c r="P40" s="123"/>
    </row>
    <row r="41" spans="1:16" x14ac:dyDescent="0.35">
      <c r="A41" s="129" t="s">
        <v>270</v>
      </c>
      <c r="B41" s="131" t="s">
        <v>328</v>
      </c>
    </row>
    <row r="42" spans="1:16" x14ac:dyDescent="0.35">
      <c r="A42" s="129" t="s">
        <v>271</v>
      </c>
      <c r="B42" s="131" t="s">
        <v>329</v>
      </c>
    </row>
    <row r="43" spans="1:16" x14ac:dyDescent="0.35">
      <c r="A43" s="129" t="s">
        <v>272</v>
      </c>
      <c r="B43" s="131" t="s">
        <v>330</v>
      </c>
    </row>
    <row r="44" spans="1:16" x14ac:dyDescent="0.35">
      <c r="A44" s="129" t="s">
        <v>273</v>
      </c>
      <c r="B44" s="131" t="s">
        <v>331</v>
      </c>
    </row>
    <row r="45" spans="1:16" x14ac:dyDescent="0.35">
      <c r="A45" s="129" t="s">
        <v>274</v>
      </c>
      <c r="B45" s="131" t="s">
        <v>332</v>
      </c>
    </row>
    <row r="46" spans="1:16" x14ac:dyDescent="0.35">
      <c r="A46" s="129" t="s">
        <v>275</v>
      </c>
      <c r="B46" s="131" t="s">
        <v>333</v>
      </c>
    </row>
    <row r="47" spans="1:16" x14ac:dyDescent="0.35">
      <c r="A47" s="129" t="s">
        <v>276</v>
      </c>
      <c r="B47" s="131" t="s">
        <v>334</v>
      </c>
    </row>
    <row r="48" spans="1:16" x14ac:dyDescent="0.35">
      <c r="A48" s="129" t="s">
        <v>278</v>
      </c>
      <c r="B48" s="131" t="s">
        <v>335</v>
      </c>
    </row>
    <row r="49" spans="1:16" x14ac:dyDescent="0.35">
      <c r="A49" s="129" t="s">
        <v>172</v>
      </c>
      <c r="B49" s="131" t="s">
        <v>336</v>
      </c>
      <c r="C49" s="2" t="s">
        <v>279</v>
      </c>
    </row>
    <row r="50" spans="1:16" x14ac:dyDescent="0.35">
      <c r="A50" s="129" t="s">
        <v>277</v>
      </c>
      <c r="B50" s="131" t="s">
        <v>337</v>
      </c>
    </row>
    <row r="51" spans="1:16" s="122" customFormat="1" x14ac:dyDescent="0.35">
      <c r="A51" s="121" t="s">
        <v>186</v>
      </c>
      <c r="B51" s="122" t="s">
        <v>280</v>
      </c>
      <c r="C51" s="123"/>
      <c r="D51" s="123"/>
      <c r="E51" s="123"/>
      <c r="F51" s="123"/>
      <c r="G51" s="123"/>
      <c r="I51" s="123"/>
      <c r="J51" s="123"/>
      <c r="K51" s="123"/>
      <c r="L51" s="123"/>
      <c r="N51" s="123"/>
      <c r="O51" s="123"/>
      <c r="P51" s="123"/>
    </row>
    <row r="52" spans="1:16" x14ac:dyDescent="0.35">
      <c r="A52" s="129" t="s">
        <v>176</v>
      </c>
      <c r="B52" s="130" t="s">
        <v>283</v>
      </c>
    </row>
    <row r="53" spans="1:16" x14ac:dyDescent="0.35">
      <c r="A53" s="129" t="s">
        <v>281</v>
      </c>
      <c r="B53" s="130" t="s">
        <v>284</v>
      </c>
    </row>
    <row r="54" spans="1:16" x14ac:dyDescent="0.35">
      <c r="A54" s="129" t="s">
        <v>282</v>
      </c>
      <c r="B54" s="130" t="s">
        <v>285</v>
      </c>
    </row>
    <row r="55" spans="1:16" s="122" customFormat="1" x14ac:dyDescent="0.35">
      <c r="A55" s="121" t="s">
        <v>186</v>
      </c>
      <c r="B55" s="122" t="s">
        <v>289</v>
      </c>
      <c r="C55" s="123"/>
      <c r="D55" s="123"/>
      <c r="E55" s="123"/>
      <c r="F55" s="123"/>
      <c r="G55" s="123"/>
      <c r="I55" s="123"/>
      <c r="J55" s="123"/>
      <c r="K55" s="123"/>
      <c r="L55" s="123"/>
      <c r="N55" s="123"/>
      <c r="O55" s="123"/>
      <c r="P55" s="123"/>
    </row>
    <row r="56" spans="1:16" x14ac:dyDescent="0.35">
      <c r="A56" s="129" t="s">
        <v>146</v>
      </c>
      <c r="B56" s="131" t="s">
        <v>338</v>
      </c>
      <c r="C56" s="132" t="s">
        <v>279</v>
      </c>
      <c r="D56">
        <v>0.5</v>
      </c>
    </row>
    <row r="57" spans="1:16" x14ac:dyDescent="0.35">
      <c r="A57" s="129" t="s">
        <v>147</v>
      </c>
      <c r="B57" s="131" t="s">
        <v>339</v>
      </c>
      <c r="C57" s="132" t="s">
        <v>279</v>
      </c>
      <c r="D57">
        <v>0.5</v>
      </c>
    </row>
    <row r="58" spans="1:16" x14ac:dyDescent="0.35">
      <c r="A58" s="4" t="s">
        <v>145</v>
      </c>
      <c r="B58" s="3" t="s">
        <v>287</v>
      </c>
      <c r="C58" s="2" t="s">
        <v>286</v>
      </c>
      <c r="D58">
        <v>0.5</v>
      </c>
      <c r="H58" s="2" t="s">
        <v>288</v>
      </c>
    </row>
    <row r="59" spans="1:16" x14ac:dyDescent="0.35">
      <c r="A59" s="129" t="s">
        <v>173</v>
      </c>
      <c r="B59" s="131" t="s">
        <v>340</v>
      </c>
      <c r="C59" s="132" t="s">
        <v>279</v>
      </c>
    </row>
    <row r="60" spans="1:16" x14ac:dyDescent="0.35">
      <c r="A60" s="129" t="s">
        <v>181</v>
      </c>
      <c r="B60" s="131" t="s">
        <v>341</v>
      </c>
      <c r="C60" s="132" t="s">
        <v>279</v>
      </c>
    </row>
    <row r="61" spans="1:16" x14ac:dyDescent="0.35">
      <c r="A61" s="129" t="s">
        <v>182</v>
      </c>
      <c r="B61" s="131" t="s">
        <v>342</v>
      </c>
      <c r="C61" s="132" t="s">
        <v>279</v>
      </c>
    </row>
    <row r="62" spans="1:16" x14ac:dyDescent="0.35">
      <c r="A62" s="129" t="s">
        <v>290</v>
      </c>
      <c r="B62" s="131" t="s">
        <v>343</v>
      </c>
      <c r="C62" s="132"/>
    </row>
    <row r="63" spans="1:16" x14ac:dyDescent="0.35">
      <c r="A63" s="129" t="s">
        <v>291</v>
      </c>
      <c r="B63" s="131" t="s">
        <v>344</v>
      </c>
      <c r="C63" s="132"/>
    </row>
    <row r="64" spans="1:16" x14ac:dyDescent="0.35">
      <c r="A64" s="4" t="s">
        <v>177</v>
      </c>
      <c r="B64" s="3" t="s">
        <v>326</v>
      </c>
      <c r="C64" s="2" t="s">
        <v>279</v>
      </c>
      <c r="H64" s="2" t="s">
        <v>324</v>
      </c>
    </row>
    <row r="65" spans="1:16" x14ac:dyDescent="0.35">
      <c r="A65" s="4" t="s">
        <v>179</v>
      </c>
      <c r="B65" s="3" t="s">
        <v>327</v>
      </c>
      <c r="C65" s="2" t="s">
        <v>279</v>
      </c>
      <c r="H65" s="2" t="s">
        <v>325</v>
      </c>
    </row>
    <row r="66" spans="1:16" x14ac:dyDescent="0.35">
      <c r="A66" s="129" t="s">
        <v>170</v>
      </c>
      <c r="B66" s="131" t="s">
        <v>345</v>
      </c>
      <c r="C66" s="132" t="s">
        <v>279</v>
      </c>
    </row>
    <row r="67" spans="1:16" x14ac:dyDescent="0.35">
      <c r="A67" s="129" t="s">
        <v>292</v>
      </c>
      <c r="B67" s="131" t="s">
        <v>346</v>
      </c>
      <c r="C67" s="132"/>
    </row>
    <row r="68" spans="1:16" x14ac:dyDescent="0.35">
      <c r="A68" s="129" t="s">
        <v>294</v>
      </c>
      <c r="B68" s="131" t="s">
        <v>347</v>
      </c>
      <c r="C68" s="132"/>
    </row>
    <row r="69" spans="1:16" x14ac:dyDescent="0.35">
      <c r="A69" s="129" t="s">
        <v>293</v>
      </c>
      <c r="B69" s="131" t="s">
        <v>348</v>
      </c>
      <c r="C69" s="132"/>
    </row>
    <row r="70" spans="1:16" x14ac:dyDescent="0.35">
      <c r="A70" s="129" t="s">
        <v>295</v>
      </c>
      <c r="B70" s="131" t="s">
        <v>349</v>
      </c>
      <c r="C70" s="132"/>
    </row>
    <row r="71" spans="1:16" x14ac:dyDescent="0.35">
      <c r="A71" s="4" t="s">
        <v>163</v>
      </c>
      <c r="B71" t="s">
        <v>350</v>
      </c>
      <c r="C71" s="2" t="s">
        <v>279</v>
      </c>
      <c r="H71" s="2" t="s">
        <v>320</v>
      </c>
    </row>
    <row r="72" spans="1:16" x14ac:dyDescent="0.35">
      <c r="A72" s="4" t="s">
        <v>164</v>
      </c>
      <c r="B72" t="s">
        <v>351</v>
      </c>
      <c r="C72" s="2" t="s">
        <v>279</v>
      </c>
      <c r="H72" s="2" t="s">
        <v>321</v>
      </c>
    </row>
    <row r="73" spans="1:16" x14ac:dyDescent="0.35">
      <c r="A73" s="4" t="s">
        <v>166</v>
      </c>
      <c r="B73" t="s">
        <v>352</v>
      </c>
      <c r="C73" s="2" t="s">
        <v>279</v>
      </c>
      <c r="H73" s="2" t="s">
        <v>322</v>
      </c>
    </row>
    <row r="74" spans="1:16" x14ac:dyDescent="0.35">
      <c r="A74" s="4" t="s">
        <v>168</v>
      </c>
      <c r="B74" t="s">
        <v>353</v>
      </c>
      <c r="C74" s="2" t="s">
        <v>279</v>
      </c>
      <c r="H74" s="2" t="s">
        <v>323</v>
      </c>
    </row>
    <row r="75" spans="1:16" x14ac:dyDescent="0.35">
      <c r="A75" s="4" t="s">
        <v>148</v>
      </c>
      <c r="B75" s="3" t="s">
        <v>364</v>
      </c>
      <c r="C75" s="2" t="s">
        <v>279</v>
      </c>
      <c r="H75" s="2"/>
    </row>
    <row r="76" spans="1:16" x14ac:dyDescent="0.35">
      <c r="A76" s="4" t="s">
        <v>150</v>
      </c>
      <c r="B76" s="3" t="s">
        <v>365</v>
      </c>
      <c r="C76" s="2" t="s">
        <v>279</v>
      </c>
      <c r="H76" s="2"/>
    </row>
    <row r="77" spans="1:16" s="122" customFormat="1" x14ac:dyDescent="0.35">
      <c r="A77" s="121" t="s">
        <v>186</v>
      </c>
      <c r="B77" s="122" t="s">
        <v>296</v>
      </c>
      <c r="C77" s="123"/>
      <c r="D77" s="123"/>
      <c r="E77" s="123"/>
      <c r="F77" s="123"/>
      <c r="G77" s="123"/>
      <c r="I77" s="123"/>
      <c r="J77" s="123"/>
      <c r="K77" s="123"/>
      <c r="L77" s="123"/>
      <c r="N77" s="123"/>
      <c r="O77" s="123"/>
      <c r="P77" s="123"/>
    </row>
    <row r="78" spans="1:16" x14ac:dyDescent="0.35">
      <c r="A78" s="4" t="s">
        <v>178</v>
      </c>
      <c r="B78" s="3" t="s">
        <v>355</v>
      </c>
      <c r="C78" s="2" t="s">
        <v>279</v>
      </c>
      <c r="H78" s="2" t="s">
        <v>360</v>
      </c>
    </row>
    <row r="79" spans="1:16" x14ac:dyDescent="0.35">
      <c r="A79" s="4" t="s">
        <v>180</v>
      </c>
      <c r="B79" s="3" t="s">
        <v>354</v>
      </c>
      <c r="C79" s="2" t="s">
        <v>279</v>
      </c>
      <c r="H79" s="2" t="s">
        <v>361</v>
      </c>
    </row>
    <row r="80" spans="1:16" x14ac:dyDescent="0.35">
      <c r="A80" s="129" t="s">
        <v>183</v>
      </c>
      <c r="B80" s="131" t="s">
        <v>362</v>
      </c>
      <c r="C80" s="132" t="s">
        <v>279</v>
      </c>
      <c r="H80" s="2"/>
    </row>
    <row r="81" spans="1:16" x14ac:dyDescent="0.35">
      <c r="A81" s="4" t="s">
        <v>171</v>
      </c>
      <c r="B81" s="3" t="s">
        <v>356</v>
      </c>
      <c r="C81" s="2" t="s">
        <v>279</v>
      </c>
      <c r="H81" s="2" t="s">
        <v>363</v>
      </c>
    </row>
    <row r="82" spans="1:16" x14ac:dyDescent="0.35">
      <c r="A82" s="4" t="s">
        <v>167</v>
      </c>
      <c r="B82" s="3" t="s">
        <v>357</v>
      </c>
      <c r="C82" s="2" t="s">
        <v>279</v>
      </c>
      <c r="H82" s="2" t="s">
        <v>367</v>
      </c>
    </row>
    <row r="83" spans="1:16" x14ac:dyDescent="0.35">
      <c r="A83" s="4" t="s">
        <v>165</v>
      </c>
      <c r="B83" s="3" t="s">
        <v>358</v>
      </c>
      <c r="C83" s="2" t="s">
        <v>279</v>
      </c>
      <c r="H83" s="2" t="s">
        <v>368</v>
      </c>
    </row>
    <row r="84" spans="1:16" x14ac:dyDescent="0.35">
      <c r="A84" s="4" t="s">
        <v>169</v>
      </c>
      <c r="B84" s="3" t="s">
        <v>359</v>
      </c>
      <c r="C84" s="2" t="s">
        <v>279</v>
      </c>
      <c r="H84" s="2" t="s">
        <v>370</v>
      </c>
    </row>
    <row r="85" spans="1:16" x14ac:dyDescent="0.35">
      <c r="A85" s="4" t="s">
        <v>149</v>
      </c>
      <c r="B85" s="3" t="s">
        <v>366</v>
      </c>
      <c r="C85" s="2" t="s">
        <v>279</v>
      </c>
      <c r="H85" s="2" t="s">
        <v>369</v>
      </c>
    </row>
    <row r="86" spans="1:16" s="122" customFormat="1" x14ac:dyDescent="0.35">
      <c r="A86" s="121" t="s">
        <v>186</v>
      </c>
      <c r="B86" s="122" t="s">
        <v>297</v>
      </c>
      <c r="C86" s="123"/>
      <c r="D86" s="123"/>
      <c r="E86" s="123"/>
      <c r="F86" s="123"/>
      <c r="G86" s="123"/>
      <c r="I86" s="123"/>
      <c r="J86" s="123"/>
      <c r="K86" s="123"/>
      <c r="L86" s="123"/>
      <c r="N86" s="123"/>
      <c r="O86" s="123"/>
      <c r="P86" s="123"/>
    </row>
  </sheetData>
  <conditionalFormatting sqref="B1:B1048576">
    <cfRule type="expression" dxfId="6" priority="4">
      <formula>AND(A1&lt;&gt;"",NOT(B1&lt;&gt;""))</formula>
    </cfRule>
  </conditionalFormatting>
  <conditionalFormatting sqref="K2:K1048576">
    <cfRule type="expression" dxfId="4" priority="2">
      <formula>AND(L2&lt;&gt;"",NOT(K2&lt;&gt;""))</formula>
    </cfRule>
  </conditionalFormatting>
  <dataValidations count="5">
    <dataValidation operator="greaterThanOrEqual" allowBlank="1" showInputMessage="1" showErrorMessage="1" sqref="D1" xr:uid="{3C5E5528-F961-4CFC-83ED-CB90A50DF965}"/>
    <dataValidation type="list" allowBlank="1" showInputMessage="1" showErrorMessage="1" sqref="I2:I1048576 O2:P1048576" xr:uid="{7CB7BECB-8CCA-402C-8209-B57AEC65D6EC}">
      <formula1>"n,y"</formula1>
    </dataValidation>
    <dataValidation type="decimal" operator="greaterThanOrEqual" allowBlank="1" showInputMessage="1" showErrorMessage="1" sqref="D2:D1048576" xr:uid="{7B357739-ECEB-45D0-9FF6-C94815526279}">
      <formula1>0</formula1>
    </dataValidation>
    <dataValidation type="list" allowBlank="1" showInputMessage="1" showErrorMessage="1" sqref="C2:C1048576" xr:uid="{23A69AD6-56EA-4510-BE84-B964156BC5E6}">
      <formula1>"rate, probability, number, proportion, duration"</formula1>
    </dataValidation>
    <dataValidation type="custom" allowBlank="1" showInputMessage="1" showErrorMessage="1" errorTitle="Code names must be unique" error="Parameter code names must be unique" sqref="A1:A1048576" xr:uid="{E6E68E87-C2E4-4D80-BD6F-D69CE5F2A8E2}">
      <formula1>COUNTIF(A:A,A1)&lt;2</formula1>
    </dataValidation>
  </dataValidation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expression" priority="1" id="{BE3DBFB1-F6C9-4726-B787-A3DD602656FE}">
            <xm:f>AND(K2&lt;&gt;"",ISERROR(MATCH(K2,'Databook Pages'!$A:$A,0)))</xm:f>
            <x14:dxf>
              <fill>
                <patternFill>
                  <bgColor rgb="FFFF0000"/>
                </patternFill>
              </fill>
            </x14:dxf>
          </x14:cfRule>
          <xm:sqref>K2:K1048576</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B0E7D17F-9C98-4BBD-89E8-B63866BAA65B}">
          <x14:formula1>
            <xm:f>'Databook Pages'!$A$2:$A$9999</xm:f>
          </x14:formula1>
          <xm:sqref>K1:K1048576</xm:sqref>
        </x14:dataValidation>
        <x14:dataValidation type="list" allowBlank="1" showInputMessage="1" showErrorMessage="1" xr:uid="{A5BACFCF-5A80-4E38-B286-225138198031}">
          <x14:formula1>
            <xm:f>'Population types'!$A$2:$A$9999</xm:f>
          </x14:formula1>
          <xm:sqref>N1:N1048576</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79998168889431442"/>
  </sheetPr>
  <dimension ref="A1:L8"/>
  <sheetViews>
    <sheetView workbookViewId="0">
      <selection activeCell="L7" sqref="L7"/>
    </sheetView>
    <sheetView workbookViewId="1">
      <selection activeCell="C9" sqref="C9"/>
    </sheetView>
  </sheetViews>
  <sheetFormatPr defaultColWidth="8.81640625" defaultRowHeight="14.5" x14ac:dyDescent="0.35"/>
  <cols>
    <col min="1" max="1" width="11.54296875" bestFit="1" customWidth="1"/>
    <col min="2" max="2" width="18" bestFit="1" customWidth="1"/>
    <col min="3" max="3" width="110" customWidth="1"/>
    <col min="4" max="4" width="12.7265625" customWidth="1"/>
    <col min="5" max="5" width="14.7265625" customWidth="1"/>
    <col min="6" max="6" width="13.7265625" customWidth="1"/>
    <col min="7" max="7" width="14.7265625" style="2" customWidth="1"/>
    <col min="8" max="8" width="14.7265625" customWidth="1"/>
    <col min="9" max="9" width="15.7265625" customWidth="1"/>
    <col min="10" max="11" width="14.7265625" customWidth="1"/>
    <col min="12" max="12" width="10.26953125" bestFit="1" customWidth="1"/>
  </cols>
  <sheetData>
    <row r="1" spans="1:12" s="2" customFormat="1" x14ac:dyDescent="0.35">
      <c r="A1" s="1" t="s">
        <v>2</v>
      </c>
      <c r="B1" s="1" t="s">
        <v>3</v>
      </c>
      <c r="C1" s="1" t="s">
        <v>13</v>
      </c>
      <c r="D1" s="1" t="s">
        <v>14</v>
      </c>
      <c r="E1" s="1" t="s">
        <v>9</v>
      </c>
      <c r="F1" s="1" t="s">
        <v>10</v>
      </c>
      <c r="G1" s="1" t="s">
        <v>35</v>
      </c>
      <c r="H1" s="1" t="s">
        <v>11</v>
      </c>
      <c r="I1" s="1" t="s">
        <v>12</v>
      </c>
      <c r="J1" s="1" t="s">
        <v>39</v>
      </c>
      <c r="K1" s="1" t="s">
        <v>44</v>
      </c>
      <c r="L1" s="1" t="s">
        <v>50</v>
      </c>
    </row>
    <row r="2" spans="1:12" s="126" customFormat="1" ht="29" x14ac:dyDescent="0.35">
      <c r="A2" s="125" t="s">
        <v>231</v>
      </c>
      <c r="B2" s="126" t="s">
        <v>232</v>
      </c>
      <c r="C2" s="127" t="s">
        <v>233</v>
      </c>
      <c r="D2" s="128"/>
      <c r="E2" s="128"/>
      <c r="F2" s="128">
        <v>0</v>
      </c>
      <c r="G2" s="128"/>
      <c r="H2" s="128" t="s">
        <v>228</v>
      </c>
      <c r="I2" s="128"/>
      <c r="J2" s="128"/>
      <c r="K2" s="128"/>
    </row>
    <row r="3" spans="1:12" ht="31.5" customHeight="1" x14ac:dyDescent="0.35">
      <c r="A3" s="126" t="s">
        <v>298</v>
      </c>
      <c r="B3" s="126" t="s">
        <v>299</v>
      </c>
      <c r="C3" s="127" t="s">
        <v>300</v>
      </c>
      <c r="D3" s="2"/>
      <c r="F3" s="128">
        <v>0</v>
      </c>
    </row>
    <row r="4" spans="1:12" x14ac:dyDescent="0.35">
      <c r="A4" t="s">
        <v>301</v>
      </c>
      <c r="B4" t="s">
        <v>302</v>
      </c>
      <c r="C4" s="128" t="s">
        <v>298</v>
      </c>
      <c r="D4" s="2" t="s">
        <v>231</v>
      </c>
      <c r="F4" s="128">
        <v>0</v>
      </c>
    </row>
    <row r="5" spans="1:12" x14ac:dyDescent="0.35">
      <c r="A5" t="s">
        <v>303</v>
      </c>
      <c r="B5" t="s">
        <v>307</v>
      </c>
      <c r="C5" s="127" t="s">
        <v>311</v>
      </c>
    </row>
    <row r="6" spans="1:12" x14ac:dyDescent="0.35">
      <c r="A6" t="s">
        <v>304</v>
      </c>
      <c r="B6" t="s">
        <v>308</v>
      </c>
      <c r="C6" s="127" t="s">
        <v>312</v>
      </c>
    </row>
    <row r="7" spans="1:12" x14ac:dyDescent="0.35">
      <c r="A7" t="s">
        <v>305</v>
      </c>
      <c r="B7" t="s">
        <v>310</v>
      </c>
      <c r="C7" s="127" t="s">
        <v>313</v>
      </c>
    </row>
    <row r="8" spans="1:12" x14ac:dyDescent="0.35">
      <c r="A8" t="s">
        <v>306</v>
      </c>
      <c r="B8" t="s">
        <v>309</v>
      </c>
      <c r="C8" s="127" t="s">
        <v>314</v>
      </c>
    </row>
  </sheetData>
  <conditionalFormatting sqref="B2:B1048576">
    <cfRule type="expression" dxfId="3" priority="6">
      <formula>AND(A2&lt;&gt;"",NOT(B2&lt;&gt;""))</formula>
    </cfRule>
  </conditionalFormatting>
  <conditionalFormatting sqref="H2:H1048576">
    <cfRule type="expression" dxfId="1" priority="5">
      <formula>AND(I2&lt;&gt;"",NOT(H2&lt;&gt;""))</formula>
    </cfRule>
  </conditionalFormatting>
  <pageMargins left="0.7" right="0.7" top="0.75" bottom="0.75" header="0.3" footer="0.3"/>
  <pageSetup paperSize="0"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1" id="{B070FBDA-10C1-45BC-AA32-DA4BD51EB2DD}">
            <xm:f>AND(H2&lt;&gt;"",ISERROR(MATCH(H2,'Databook Pages'!$A:$A,0)))</xm:f>
            <x14:dxf>
              <fill>
                <patternFill>
                  <bgColor rgb="FFFF0000"/>
                </patternFill>
              </fill>
            </x14:dxf>
          </x14:cfRule>
          <xm:sqref>H2:H1048576</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5D0F4671-09BF-4759-B6D1-63C49CDF0760}">
          <x14:formula1>
            <xm:f>'Databook Pages'!$A$2:$A$9999</xm:f>
          </x14:formula1>
          <xm:sqref>H1:H1048576</xm:sqref>
        </x14:dataValidation>
        <x14:dataValidation type="list" allowBlank="1" showInputMessage="1" showErrorMessage="1" xr:uid="{339EBB5E-6F02-46D2-A8F3-78461064F325}">
          <x14:formula1>
            <xm:f>'Population types'!$A$2:$A$9999</xm:f>
          </x14:formula1>
          <xm:sqref>K1:K1048576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79998168889431442"/>
  </sheetPr>
  <dimension ref="A1:E2"/>
  <sheetViews>
    <sheetView workbookViewId="0">
      <selection activeCell="F9" sqref="F9"/>
    </sheetView>
    <sheetView workbookViewId="1">
      <selection activeCell="D11" sqref="D11"/>
    </sheetView>
  </sheetViews>
  <sheetFormatPr defaultColWidth="8.81640625" defaultRowHeight="14.5" x14ac:dyDescent="0.35"/>
  <cols>
    <col min="1" max="1" width="12.7265625" bestFit="1" customWidth="1"/>
    <col min="2" max="2" width="16.81640625" customWidth="1"/>
    <col min="3" max="3" width="14.7265625" customWidth="1"/>
    <col min="4" max="4" width="20.453125" bestFit="1" customWidth="1"/>
    <col min="5" max="5" width="18" bestFit="1" customWidth="1"/>
  </cols>
  <sheetData>
    <row r="1" spans="1:5" x14ac:dyDescent="0.35">
      <c r="A1" s="1" t="s">
        <v>2</v>
      </c>
      <c r="B1" s="1" t="s">
        <v>3</v>
      </c>
      <c r="C1" s="1" t="s">
        <v>9</v>
      </c>
      <c r="D1" s="1" t="s">
        <v>45</v>
      </c>
      <c r="E1" s="1" t="s">
        <v>46</v>
      </c>
    </row>
    <row r="2" spans="1:5" x14ac:dyDescent="0.35">
      <c r="A2" t="s">
        <v>30</v>
      </c>
      <c r="B2" t="s">
        <v>31</v>
      </c>
      <c r="C2">
        <v>1</v>
      </c>
      <c r="D2" s="2"/>
      <c r="E2" s="2"/>
    </row>
  </sheetData>
  <sheetProtection formatCells="0" formatColumns="0" formatRows="0" insertColumns="0" insertRows="0" insertHyperlinks="0" deleteColumns="0" deleteRows="0" sort="0" autoFilter="0" pivotTables="0"/>
  <conditionalFormatting sqref="B1:B1048576">
    <cfRule type="expression" dxfId="0" priority="1">
      <formula>AND(A1&lt;&gt;"",NOT(B1&lt;&gt;""))</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5D21E9BC-CAFE-4623-8C20-70DED145EE08}">
          <x14:formula1>
            <xm:f>'Population types'!$A$2:$A$9999</xm:f>
          </x14:formula1>
          <xm:sqref>D2:D1048576 E2:E1048576</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EAFB5-C4B0-491C-B03B-D10386E1B6D4}">
  <dimension ref="A1:B4"/>
  <sheetViews>
    <sheetView workbookViewId="0">
      <selection sqref="A1:B1"/>
    </sheetView>
    <sheetView workbookViewId="1">
      <selection activeCell="B9" sqref="B9"/>
    </sheetView>
  </sheetViews>
  <sheetFormatPr defaultColWidth="8.81640625" defaultRowHeight="14.5" x14ac:dyDescent="0.35"/>
  <cols>
    <col min="1" max="1" width="55.81640625" bestFit="1" customWidth="1"/>
    <col min="2" max="2" width="21.6328125" bestFit="1" customWidth="1"/>
  </cols>
  <sheetData>
    <row r="1" spans="1:2" x14ac:dyDescent="0.35">
      <c r="A1" s="3" t="s">
        <v>38</v>
      </c>
      <c r="B1" s="3" t="s">
        <v>25</v>
      </c>
    </row>
    <row r="2" spans="1:2" x14ac:dyDescent="0.35">
      <c r="A2" t="s">
        <v>315</v>
      </c>
      <c r="B2" s="4" t="s">
        <v>318</v>
      </c>
    </row>
    <row r="3" spans="1:2" x14ac:dyDescent="0.35">
      <c r="A3" t="s">
        <v>316</v>
      </c>
      <c r="B3" s="4" t="s">
        <v>319</v>
      </c>
    </row>
    <row r="4" spans="1:2" x14ac:dyDescent="0.35">
      <c r="A4" t="s">
        <v>317</v>
      </c>
      <c r="B4" t="s">
        <v>306</v>
      </c>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2575B-90FD-4432-ABB5-1D1C9A3EC31C}">
  <dimension ref="A1:F4"/>
  <sheetViews>
    <sheetView workbookViewId="0">
      <selection activeCell="F6" sqref="F6"/>
    </sheetView>
    <sheetView workbookViewId="1"/>
  </sheetViews>
  <sheetFormatPr defaultColWidth="8.81640625" defaultRowHeight="14.5" x14ac:dyDescent="0.35"/>
  <cols>
    <col min="1" max="1" width="12.453125" bestFit="1" customWidth="1"/>
    <col min="2" max="2" width="14.7265625" bestFit="1" customWidth="1"/>
    <col min="3" max="3" width="12" customWidth="1"/>
    <col min="4" max="4" width="22.1796875" bestFit="1" customWidth="1"/>
    <col min="5" max="5" width="18" customWidth="1"/>
    <col min="6" max="6" width="14" customWidth="1"/>
  </cols>
  <sheetData>
    <row r="1" spans="1:6" x14ac:dyDescent="0.35">
      <c r="A1" s="3" t="s">
        <v>2</v>
      </c>
      <c r="B1" s="1" t="s">
        <v>3</v>
      </c>
      <c r="C1" s="3" t="s">
        <v>19</v>
      </c>
      <c r="D1" s="3" t="s">
        <v>20</v>
      </c>
      <c r="E1" s="3" t="s">
        <v>21</v>
      </c>
      <c r="F1" s="3" t="s">
        <v>22</v>
      </c>
    </row>
    <row r="2" spans="1:6" x14ac:dyDescent="0.35">
      <c r="A2" t="s">
        <v>24</v>
      </c>
      <c r="B2" t="s">
        <v>4</v>
      </c>
      <c r="C2" t="s">
        <v>26</v>
      </c>
      <c r="D2" t="s">
        <v>27</v>
      </c>
    </row>
    <row r="3" spans="1:6" x14ac:dyDescent="0.35">
      <c r="A3" t="s">
        <v>23</v>
      </c>
      <c r="B3" t="s">
        <v>5</v>
      </c>
      <c r="C3" t="s">
        <v>26</v>
      </c>
      <c r="D3" t="s">
        <v>27</v>
      </c>
    </row>
    <row r="4" spans="1:6" x14ac:dyDescent="0.35">
      <c r="A4" t="s">
        <v>28</v>
      </c>
      <c r="D4" t="s">
        <v>29</v>
      </c>
    </row>
  </sheetData>
  <dataValidations count="1">
    <dataValidation type="list" allowBlank="1" showInputMessage="1" showErrorMessage="1" sqref="E2:E1048576" xr:uid="{B6FB0777-9CB4-4E7A-978E-F88EC2A52ADA}">
      <formula1>"n,y"</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About</vt:lpstr>
      <vt:lpstr>Databook Pages</vt:lpstr>
      <vt:lpstr>Population types</vt:lpstr>
      <vt:lpstr>Compartments</vt:lpstr>
      <vt:lpstr>Transitions</vt:lpstr>
      <vt:lpstr>Parameters</vt:lpstr>
      <vt:lpstr>Characteristics</vt:lpstr>
      <vt:lpstr>Interactions</vt:lpstr>
      <vt:lpstr>Cascades</vt:lpstr>
      <vt:lpstr>Plots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Chris Seaman</cp:lastModifiedBy>
  <dcterms:created xsi:type="dcterms:W3CDTF">2018-07-24T07:13:41Z</dcterms:created>
  <dcterms:modified xsi:type="dcterms:W3CDTF">2026-09-11T01:21:15Z</dcterms:modified>
  <cp:category>atomica:framework</cp:category>
</cp:coreProperties>
</file>