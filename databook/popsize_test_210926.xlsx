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ris.seaman\Desktop\GitRepos\burnet-hbv\databook\"/>
    </mc:Choice>
  </mc:AlternateContent>
  <xr:revisionPtr revIDLastSave="0" documentId="13_ncr:1_{6EFBD26D-574A-41C8-ADEF-71CDDF11F6E2}" xr6:coauthVersionLast="47" xr6:coauthVersionMax="47" xr10:uidLastSave="{00000000-0000-0000-0000-000000000000}"/>
  <bookViews>
    <workbookView xWindow="-110" yWindow="-110" windowWidth="25820" windowHeight="13900" activeTab="1" xr2:uid="{00000000-000D-0000-FFFF-FFFF00000000}"/>
  </bookViews>
  <sheets>
    <sheet name="Population Definitions" sheetId="1" r:id="rId1"/>
    <sheet name="Demographics" sheetId="2" r:id="rId2"/>
    <sheet name="Transfer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82" i="3" l="1"/>
  <c r="G557" i="3"/>
  <c r="G507" i="3"/>
  <c r="G482" i="3"/>
  <c r="G432" i="3"/>
  <c r="G407" i="3"/>
  <c r="G357" i="3"/>
  <c r="G332" i="3"/>
  <c r="G282" i="3"/>
  <c r="G257" i="3"/>
  <c r="G207" i="3"/>
  <c r="G182" i="3"/>
  <c r="H606" i="3"/>
  <c r="C606" i="3"/>
  <c r="B606" i="3"/>
  <c r="A606" i="3"/>
  <c r="H605" i="3"/>
  <c r="C605" i="3"/>
  <c r="B605" i="3"/>
  <c r="A605" i="3"/>
  <c r="H604" i="3"/>
  <c r="C604" i="3"/>
  <c r="B604" i="3"/>
  <c r="A604" i="3"/>
  <c r="H603" i="3"/>
  <c r="C603" i="3"/>
  <c r="B603" i="3"/>
  <c r="A603" i="3"/>
  <c r="H602" i="3"/>
  <c r="C602" i="3"/>
  <c r="B602" i="3"/>
  <c r="A602" i="3"/>
  <c r="H601" i="3"/>
  <c r="C601" i="3"/>
  <c r="B601" i="3"/>
  <c r="A601" i="3"/>
  <c r="H600" i="3"/>
  <c r="C600" i="3"/>
  <c r="B600" i="3"/>
  <c r="A600" i="3"/>
  <c r="H599" i="3"/>
  <c r="C599" i="3"/>
  <c r="B599" i="3"/>
  <c r="A599" i="3"/>
  <c r="H598" i="3"/>
  <c r="C598" i="3"/>
  <c r="B598" i="3"/>
  <c r="A598" i="3"/>
  <c r="H597" i="3"/>
  <c r="C597" i="3"/>
  <c r="B597" i="3"/>
  <c r="A597" i="3"/>
  <c r="H596" i="3"/>
  <c r="C596" i="3"/>
  <c r="B596" i="3"/>
  <c r="A596" i="3"/>
  <c r="H595" i="3"/>
  <c r="C595" i="3"/>
  <c r="B595" i="3"/>
  <c r="A595" i="3"/>
  <c r="H594" i="3"/>
  <c r="C594" i="3"/>
  <c r="B594" i="3"/>
  <c r="A594" i="3"/>
  <c r="H593" i="3"/>
  <c r="C593" i="3"/>
  <c r="B593" i="3"/>
  <c r="A593" i="3"/>
  <c r="H592" i="3"/>
  <c r="C592" i="3"/>
  <c r="B592" i="3"/>
  <c r="A592" i="3"/>
  <c r="H591" i="3"/>
  <c r="C591" i="3"/>
  <c r="B591" i="3"/>
  <c r="A591" i="3"/>
  <c r="H590" i="3"/>
  <c r="C590" i="3"/>
  <c r="B590" i="3"/>
  <c r="A590" i="3"/>
  <c r="H589" i="3"/>
  <c r="C589" i="3"/>
  <c r="B589" i="3"/>
  <c r="A589" i="3"/>
  <c r="H588" i="3"/>
  <c r="C588" i="3"/>
  <c r="B588" i="3"/>
  <c r="A588" i="3"/>
  <c r="H587" i="3"/>
  <c r="C587" i="3"/>
  <c r="B587" i="3"/>
  <c r="A587" i="3"/>
  <c r="H586" i="3"/>
  <c r="C586" i="3"/>
  <c r="B586" i="3"/>
  <c r="A586" i="3"/>
  <c r="H585" i="3"/>
  <c r="C585" i="3"/>
  <c r="B585" i="3"/>
  <c r="A585" i="3"/>
  <c r="H584" i="3"/>
  <c r="C584" i="3"/>
  <c r="B584" i="3"/>
  <c r="A584" i="3"/>
  <c r="H583" i="3"/>
  <c r="C583" i="3"/>
  <c r="B583" i="3"/>
  <c r="A583" i="3"/>
  <c r="H582" i="3"/>
  <c r="C582" i="3"/>
  <c r="B582" i="3"/>
  <c r="A582" i="3"/>
  <c r="H581" i="3"/>
  <c r="C581" i="3"/>
  <c r="B581" i="3"/>
  <c r="A581" i="3"/>
  <c r="H580" i="3"/>
  <c r="C580" i="3"/>
  <c r="B580" i="3"/>
  <c r="A580" i="3"/>
  <c r="H579" i="3"/>
  <c r="C579" i="3"/>
  <c r="B579" i="3"/>
  <c r="A579" i="3"/>
  <c r="H578" i="3"/>
  <c r="C578" i="3"/>
  <c r="B578" i="3"/>
  <c r="A578" i="3"/>
  <c r="H577" i="3"/>
  <c r="C577" i="3"/>
  <c r="B577" i="3"/>
  <c r="A577" i="3"/>
  <c r="H576" i="3"/>
  <c r="C576" i="3"/>
  <c r="B576" i="3"/>
  <c r="A576" i="3"/>
  <c r="H575" i="3"/>
  <c r="C575" i="3"/>
  <c r="B575" i="3"/>
  <c r="A575" i="3"/>
  <c r="H574" i="3"/>
  <c r="C574" i="3"/>
  <c r="B574" i="3"/>
  <c r="A574" i="3"/>
  <c r="H573" i="3"/>
  <c r="C573" i="3"/>
  <c r="B573" i="3"/>
  <c r="A573" i="3"/>
  <c r="H572" i="3"/>
  <c r="C572" i="3"/>
  <c r="B572" i="3"/>
  <c r="A572" i="3"/>
  <c r="H571" i="3"/>
  <c r="C571" i="3"/>
  <c r="B571" i="3"/>
  <c r="A571" i="3"/>
  <c r="H570" i="3"/>
  <c r="C570" i="3"/>
  <c r="B570" i="3"/>
  <c r="A570" i="3"/>
  <c r="H569" i="3"/>
  <c r="C569" i="3"/>
  <c r="B569" i="3"/>
  <c r="A569" i="3"/>
  <c r="H568" i="3"/>
  <c r="C568" i="3"/>
  <c r="B568" i="3"/>
  <c r="A568" i="3"/>
  <c r="H567" i="3"/>
  <c r="C567" i="3"/>
  <c r="B567" i="3"/>
  <c r="A567" i="3"/>
  <c r="H566" i="3"/>
  <c r="C566" i="3"/>
  <c r="B566" i="3"/>
  <c r="A566" i="3"/>
  <c r="H565" i="3"/>
  <c r="C565" i="3"/>
  <c r="B565" i="3"/>
  <c r="A565" i="3"/>
  <c r="H564" i="3"/>
  <c r="C564" i="3"/>
  <c r="B564" i="3"/>
  <c r="A564" i="3"/>
  <c r="H563" i="3"/>
  <c r="C563" i="3"/>
  <c r="B563" i="3"/>
  <c r="A563" i="3"/>
  <c r="H562" i="3"/>
  <c r="C562" i="3"/>
  <c r="B562" i="3"/>
  <c r="A562" i="3"/>
  <c r="H561" i="3"/>
  <c r="C561" i="3"/>
  <c r="B561" i="3"/>
  <c r="A561" i="3"/>
  <c r="H560" i="3"/>
  <c r="C560" i="3"/>
  <c r="B560" i="3"/>
  <c r="A560" i="3"/>
  <c r="H559" i="3"/>
  <c r="C559" i="3"/>
  <c r="B559" i="3"/>
  <c r="A559" i="3"/>
  <c r="H558" i="3"/>
  <c r="C558" i="3"/>
  <c r="B558" i="3"/>
  <c r="A558" i="3"/>
  <c r="H557" i="3"/>
  <c r="C557" i="3"/>
  <c r="B557" i="3"/>
  <c r="A557" i="3"/>
  <c r="H556" i="3"/>
  <c r="C556" i="3"/>
  <c r="B556" i="3"/>
  <c r="A556" i="3"/>
  <c r="H555" i="3"/>
  <c r="C555" i="3"/>
  <c r="B555" i="3"/>
  <c r="A555" i="3"/>
  <c r="H554" i="3"/>
  <c r="C554" i="3"/>
  <c r="B554" i="3"/>
  <c r="A554" i="3"/>
  <c r="H553" i="3"/>
  <c r="C553" i="3"/>
  <c r="B553" i="3"/>
  <c r="A553" i="3"/>
  <c r="H552" i="3"/>
  <c r="C552" i="3"/>
  <c r="B552" i="3"/>
  <c r="A552" i="3"/>
  <c r="H551" i="3"/>
  <c r="C551" i="3"/>
  <c r="B551" i="3"/>
  <c r="A551" i="3"/>
  <c r="H550" i="3"/>
  <c r="C550" i="3"/>
  <c r="B550" i="3"/>
  <c r="A550" i="3"/>
  <c r="H549" i="3"/>
  <c r="C549" i="3"/>
  <c r="B549" i="3"/>
  <c r="A549" i="3"/>
  <c r="H548" i="3"/>
  <c r="C548" i="3"/>
  <c r="B548" i="3"/>
  <c r="A548" i="3"/>
  <c r="H547" i="3"/>
  <c r="C547" i="3"/>
  <c r="B547" i="3"/>
  <c r="A547" i="3"/>
  <c r="H546" i="3"/>
  <c r="C546" i="3"/>
  <c r="B546" i="3"/>
  <c r="A546" i="3"/>
  <c r="H545" i="3"/>
  <c r="C545" i="3"/>
  <c r="B545" i="3"/>
  <c r="A545" i="3"/>
  <c r="H544" i="3"/>
  <c r="C544" i="3"/>
  <c r="B544" i="3"/>
  <c r="A544" i="3"/>
  <c r="H543" i="3"/>
  <c r="C543" i="3"/>
  <c r="B543" i="3"/>
  <c r="A543" i="3"/>
  <c r="H542" i="3"/>
  <c r="C542" i="3"/>
  <c r="B542" i="3"/>
  <c r="A542" i="3"/>
  <c r="H541" i="3"/>
  <c r="C541" i="3"/>
  <c r="B541" i="3"/>
  <c r="A541" i="3"/>
  <c r="H540" i="3"/>
  <c r="C540" i="3"/>
  <c r="B540" i="3"/>
  <c r="A540" i="3"/>
  <c r="H539" i="3"/>
  <c r="C539" i="3"/>
  <c r="B539" i="3"/>
  <c r="A539" i="3"/>
  <c r="H538" i="3"/>
  <c r="C538" i="3"/>
  <c r="B538" i="3"/>
  <c r="A538" i="3"/>
  <c r="H537" i="3"/>
  <c r="C537" i="3"/>
  <c r="B537" i="3"/>
  <c r="A537" i="3"/>
  <c r="H536" i="3"/>
  <c r="C536" i="3"/>
  <c r="B536" i="3"/>
  <c r="A536" i="3"/>
  <c r="H535" i="3"/>
  <c r="C535" i="3"/>
  <c r="B535" i="3"/>
  <c r="A535" i="3"/>
  <c r="H534" i="3"/>
  <c r="C534" i="3"/>
  <c r="B534" i="3"/>
  <c r="A534" i="3"/>
  <c r="H533" i="3"/>
  <c r="C533" i="3"/>
  <c r="B533" i="3"/>
  <c r="A533" i="3"/>
  <c r="H532" i="3"/>
  <c r="C532" i="3"/>
  <c r="B532" i="3"/>
  <c r="A532" i="3"/>
  <c r="H531" i="3"/>
  <c r="C531" i="3"/>
  <c r="B531" i="3"/>
  <c r="A531" i="3"/>
  <c r="H530" i="3"/>
  <c r="C530" i="3"/>
  <c r="B530" i="3"/>
  <c r="A530" i="3"/>
  <c r="H529" i="3"/>
  <c r="C529" i="3"/>
  <c r="B529" i="3"/>
  <c r="A529" i="3"/>
  <c r="H528" i="3"/>
  <c r="C528" i="3"/>
  <c r="B528" i="3"/>
  <c r="A528" i="3"/>
  <c r="H527" i="3"/>
  <c r="C527" i="3"/>
  <c r="B527" i="3"/>
  <c r="A527" i="3"/>
  <c r="H526" i="3"/>
  <c r="C526" i="3"/>
  <c r="B526" i="3"/>
  <c r="A526" i="3"/>
  <c r="H525" i="3"/>
  <c r="C525" i="3"/>
  <c r="B525" i="3"/>
  <c r="A525" i="3"/>
  <c r="H524" i="3"/>
  <c r="C524" i="3"/>
  <c r="B524" i="3"/>
  <c r="A524" i="3"/>
  <c r="H523" i="3"/>
  <c r="C523" i="3"/>
  <c r="B523" i="3"/>
  <c r="A523" i="3"/>
  <c r="H522" i="3"/>
  <c r="C522" i="3"/>
  <c r="B522" i="3"/>
  <c r="A522" i="3"/>
  <c r="H521" i="3"/>
  <c r="C521" i="3"/>
  <c r="B521" i="3"/>
  <c r="A521" i="3"/>
  <c r="H520" i="3"/>
  <c r="C520" i="3"/>
  <c r="B520" i="3"/>
  <c r="A520" i="3"/>
  <c r="H519" i="3"/>
  <c r="C519" i="3"/>
  <c r="B519" i="3"/>
  <c r="A519" i="3"/>
  <c r="H518" i="3"/>
  <c r="C518" i="3"/>
  <c r="B518" i="3"/>
  <c r="A518" i="3"/>
  <c r="H517" i="3"/>
  <c r="C517" i="3"/>
  <c r="B517" i="3"/>
  <c r="A517" i="3"/>
  <c r="H516" i="3"/>
  <c r="C516" i="3"/>
  <c r="B516" i="3"/>
  <c r="A516" i="3"/>
  <c r="H515" i="3"/>
  <c r="C515" i="3"/>
  <c r="B515" i="3"/>
  <c r="A515" i="3"/>
  <c r="H514" i="3"/>
  <c r="C514" i="3"/>
  <c r="B514" i="3"/>
  <c r="A514" i="3"/>
  <c r="H513" i="3"/>
  <c r="C513" i="3"/>
  <c r="B513" i="3"/>
  <c r="A513" i="3"/>
  <c r="H512" i="3"/>
  <c r="C512" i="3"/>
  <c r="B512" i="3"/>
  <c r="A512" i="3"/>
  <c r="H511" i="3"/>
  <c r="C511" i="3"/>
  <c r="B511" i="3"/>
  <c r="A511" i="3"/>
  <c r="H510" i="3"/>
  <c r="C510" i="3"/>
  <c r="B510" i="3"/>
  <c r="A510" i="3"/>
  <c r="H509" i="3"/>
  <c r="C509" i="3"/>
  <c r="B509" i="3"/>
  <c r="A509" i="3"/>
  <c r="H508" i="3"/>
  <c r="C508" i="3"/>
  <c r="B508" i="3"/>
  <c r="A508" i="3"/>
  <c r="H507" i="3"/>
  <c r="C507" i="3"/>
  <c r="B507" i="3"/>
  <c r="A507" i="3"/>
  <c r="H506" i="3"/>
  <c r="C506" i="3"/>
  <c r="B506" i="3"/>
  <c r="A506" i="3"/>
  <c r="H505" i="3"/>
  <c r="C505" i="3"/>
  <c r="B505" i="3"/>
  <c r="A505" i="3"/>
  <c r="H504" i="3"/>
  <c r="C504" i="3"/>
  <c r="B504" i="3"/>
  <c r="A504" i="3"/>
  <c r="H503" i="3"/>
  <c r="C503" i="3"/>
  <c r="B503" i="3"/>
  <c r="A503" i="3"/>
  <c r="H502" i="3"/>
  <c r="C502" i="3"/>
  <c r="B502" i="3"/>
  <c r="A502" i="3"/>
  <c r="H501" i="3"/>
  <c r="C501" i="3"/>
  <c r="B501" i="3"/>
  <c r="A501" i="3"/>
  <c r="H500" i="3"/>
  <c r="C500" i="3"/>
  <c r="B500" i="3"/>
  <c r="A500" i="3"/>
  <c r="H499" i="3"/>
  <c r="C499" i="3"/>
  <c r="B499" i="3"/>
  <c r="A499" i="3"/>
  <c r="H498" i="3"/>
  <c r="C498" i="3"/>
  <c r="B498" i="3"/>
  <c r="A498" i="3"/>
  <c r="H497" i="3"/>
  <c r="C497" i="3"/>
  <c r="B497" i="3"/>
  <c r="A497" i="3"/>
  <c r="H496" i="3"/>
  <c r="C496" i="3"/>
  <c r="B496" i="3"/>
  <c r="A496" i="3"/>
  <c r="H495" i="3"/>
  <c r="C495" i="3"/>
  <c r="B495" i="3"/>
  <c r="A495" i="3"/>
  <c r="H494" i="3"/>
  <c r="C494" i="3"/>
  <c r="B494" i="3"/>
  <c r="A494" i="3"/>
  <c r="H493" i="3"/>
  <c r="C493" i="3"/>
  <c r="B493" i="3"/>
  <c r="A493" i="3"/>
  <c r="H492" i="3"/>
  <c r="C492" i="3"/>
  <c r="B492" i="3"/>
  <c r="A492" i="3"/>
  <c r="H491" i="3"/>
  <c r="C491" i="3"/>
  <c r="B491" i="3"/>
  <c r="A491" i="3"/>
  <c r="H490" i="3"/>
  <c r="C490" i="3"/>
  <c r="B490" i="3"/>
  <c r="A490" i="3"/>
  <c r="H489" i="3"/>
  <c r="C489" i="3"/>
  <c r="B489" i="3"/>
  <c r="A489" i="3"/>
  <c r="H488" i="3"/>
  <c r="C488" i="3"/>
  <c r="B488" i="3"/>
  <c r="A488" i="3"/>
  <c r="H487" i="3"/>
  <c r="C487" i="3"/>
  <c r="B487" i="3"/>
  <c r="A487" i="3"/>
  <c r="H486" i="3"/>
  <c r="C486" i="3"/>
  <c r="B486" i="3"/>
  <c r="A486" i="3"/>
  <c r="H485" i="3"/>
  <c r="C485" i="3"/>
  <c r="B485" i="3"/>
  <c r="A485" i="3"/>
  <c r="H484" i="3"/>
  <c r="C484" i="3"/>
  <c r="B484" i="3"/>
  <c r="A484" i="3"/>
  <c r="H483" i="3"/>
  <c r="C483" i="3"/>
  <c r="B483" i="3"/>
  <c r="A483" i="3"/>
  <c r="H482" i="3"/>
  <c r="C482" i="3"/>
  <c r="B482" i="3"/>
  <c r="A482" i="3"/>
  <c r="H481" i="3"/>
  <c r="C481" i="3"/>
  <c r="B481" i="3"/>
  <c r="A481" i="3"/>
  <c r="H480" i="3"/>
  <c r="C480" i="3"/>
  <c r="B480" i="3"/>
  <c r="A480" i="3"/>
  <c r="H479" i="3"/>
  <c r="C479" i="3"/>
  <c r="B479" i="3"/>
  <c r="A479" i="3"/>
  <c r="H478" i="3"/>
  <c r="C478" i="3"/>
  <c r="B478" i="3"/>
  <c r="A478" i="3"/>
  <c r="H477" i="3"/>
  <c r="C477" i="3"/>
  <c r="B477" i="3"/>
  <c r="A477" i="3"/>
  <c r="H476" i="3"/>
  <c r="C476" i="3"/>
  <c r="B476" i="3"/>
  <c r="A476" i="3"/>
  <c r="H475" i="3"/>
  <c r="C475" i="3"/>
  <c r="B475" i="3"/>
  <c r="A475" i="3"/>
  <c r="H474" i="3"/>
  <c r="C474" i="3"/>
  <c r="B474" i="3"/>
  <c r="A474" i="3"/>
  <c r="H473" i="3"/>
  <c r="C473" i="3"/>
  <c r="B473" i="3"/>
  <c r="A473" i="3"/>
  <c r="H472" i="3"/>
  <c r="C472" i="3"/>
  <c r="B472" i="3"/>
  <c r="A472" i="3"/>
  <c r="H471" i="3"/>
  <c r="C471" i="3"/>
  <c r="B471" i="3"/>
  <c r="A471" i="3"/>
  <c r="H470" i="3"/>
  <c r="C470" i="3"/>
  <c r="B470" i="3"/>
  <c r="A470" i="3"/>
  <c r="H469" i="3"/>
  <c r="C469" i="3"/>
  <c r="B469" i="3"/>
  <c r="A469" i="3"/>
  <c r="H468" i="3"/>
  <c r="C468" i="3"/>
  <c r="B468" i="3"/>
  <c r="A468" i="3"/>
  <c r="H467" i="3"/>
  <c r="C467" i="3"/>
  <c r="B467" i="3"/>
  <c r="A467" i="3"/>
  <c r="H466" i="3"/>
  <c r="C466" i="3"/>
  <c r="B466" i="3"/>
  <c r="A466" i="3"/>
  <c r="H465" i="3"/>
  <c r="C465" i="3"/>
  <c r="B465" i="3"/>
  <c r="A465" i="3"/>
  <c r="H464" i="3"/>
  <c r="C464" i="3"/>
  <c r="B464" i="3"/>
  <c r="A464" i="3"/>
  <c r="H463" i="3"/>
  <c r="C463" i="3"/>
  <c r="B463" i="3"/>
  <c r="A463" i="3"/>
  <c r="H462" i="3"/>
  <c r="C462" i="3"/>
  <c r="B462" i="3"/>
  <c r="A462" i="3"/>
  <c r="H461" i="3"/>
  <c r="C461" i="3"/>
  <c r="B461" i="3"/>
  <c r="A461" i="3"/>
  <c r="H460" i="3"/>
  <c r="C460" i="3"/>
  <c r="B460" i="3"/>
  <c r="A460" i="3"/>
  <c r="H459" i="3"/>
  <c r="C459" i="3"/>
  <c r="B459" i="3"/>
  <c r="A459" i="3"/>
  <c r="H458" i="3"/>
  <c r="C458" i="3"/>
  <c r="B458" i="3"/>
  <c r="A458" i="3"/>
  <c r="H457" i="3"/>
  <c r="C457" i="3"/>
  <c r="B457" i="3"/>
  <c r="A457" i="3"/>
  <c r="H456" i="3"/>
  <c r="C456" i="3"/>
  <c r="B456" i="3"/>
  <c r="A456" i="3"/>
  <c r="H455" i="3"/>
  <c r="C455" i="3"/>
  <c r="B455" i="3"/>
  <c r="A455" i="3"/>
  <c r="H454" i="3"/>
  <c r="C454" i="3"/>
  <c r="B454" i="3"/>
  <c r="A454" i="3"/>
  <c r="H453" i="3"/>
  <c r="C453" i="3"/>
  <c r="B453" i="3"/>
  <c r="A453" i="3"/>
  <c r="H452" i="3"/>
  <c r="C452" i="3"/>
  <c r="B452" i="3"/>
  <c r="A452" i="3"/>
  <c r="H451" i="3"/>
  <c r="C451" i="3"/>
  <c r="B451" i="3"/>
  <c r="A451" i="3"/>
  <c r="H450" i="3"/>
  <c r="C450" i="3"/>
  <c r="B450" i="3"/>
  <c r="A450" i="3"/>
  <c r="H449" i="3"/>
  <c r="C449" i="3"/>
  <c r="B449" i="3"/>
  <c r="A449" i="3"/>
  <c r="H448" i="3"/>
  <c r="C448" i="3"/>
  <c r="B448" i="3"/>
  <c r="A448" i="3"/>
  <c r="H447" i="3"/>
  <c r="C447" i="3"/>
  <c r="B447" i="3"/>
  <c r="A447" i="3"/>
  <c r="H446" i="3"/>
  <c r="C446" i="3"/>
  <c r="B446" i="3"/>
  <c r="A446" i="3"/>
  <c r="H445" i="3"/>
  <c r="C445" i="3"/>
  <c r="B445" i="3"/>
  <c r="A445" i="3"/>
  <c r="H444" i="3"/>
  <c r="C444" i="3"/>
  <c r="B444" i="3"/>
  <c r="A444" i="3"/>
  <c r="H443" i="3"/>
  <c r="C443" i="3"/>
  <c r="B443" i="3"/>
  <c r="A443" i="3"/>
  <c r="H442" i="3"/>
  <c r="C442" i="3"/>
  <c r="B442" i="3"/>
  <c r="A442" i="3"/>
  <c r="H441" i="3"/>
  <c r="C441" i="3"/>
  <c r="B441" i="3"/>
  <c r="A441" i="3"/>
  <c r="H440" i="3"/>
  <c r="C440" i="3"/>
  <c r="B440" i="3"/>
  <c r="A440" i="3"/>
  <c r="H439" i="3"/>
  <c r="C439" i="3"/>
  <c r="B439" i="3"/>
  <c r="A439" i="3"/>
  <c r="H438" i="3"/>
  <c r="C438" i="3"/>
  <c r="B438" i="3"/>
  <c r="A438" i="3"/>
  <c r="H437" i="3"/>
  <c r="C437" i="3"/>
  <c r="B437" i="3"/>
  <c r="A437" i="3"/>
  <c r="H436" i="3"/>
  <c r="C436" i="3"/>
  <c r="B436" i="3"/>
  <c r="A436" i="3"/>
  <c r="H435" i="3"/>
  <c r="C435" i="3"/>
  <c r="B435" i="3"/>
  <c r="A435" i="3"/>
  <c r="H434" i="3"/>
  <c r="C434" i="3"/>
  <c r="B434" i="3"/>
  <c r="A434" i="3"/>
  <c r="H433" i="3"/>
  <c r="C433" i="3"/>
  <c r="B433" i="3"/>
  <c r="A433" i="3"/>
  <c r="H432" i="3"/>
  <c r="C432" i="3"/>
  <c r="B432" i="3"/>
  <c r="A432" i="3"/>
  <c r="H431" i="3"/>
  <c r="C431" i="3"/>
  <c r="B431" i="3"/>
  <c r="A431" i="3"/>
  <c r="H430" i="3"/>
  <c r="C430" i="3"/>
  <c r="B430" i="3"/>
  <c r="A430" i="3"/>
  <c r="H429" i="3"/>
  <c r="C429" i="3"/>
  <c r="B429" i="3"/>
  <c r="A429" i="3"/>
  <c r="H428" i="3"/>
  <c r="C428" i="3"/>
  <c r="B428" i="3"/>
  <c r="A428" i="3"/>
  <c r="H427" i="3"/>
  <c r="C427" i="3"/>
  <c r="B427" i="3"/>
  <c r="A427" i="3"/>
  <c r="H426" i="3"/>
  <c r="C426" i="3"/>
  <c r="B426" i="3"/>
  <c r="A426" i="3"/>
  <c r="H425" i="3"/>
  <c r="C425" i="3"/>
  <c r="B425" i="3"/>
  <c r="A425" i="3"/>
  <c r="H424" i="3"/>
  <c r="C424" i="3"/>
  <c r="B424" i="3"/>
  <c r="A424" i="3"/>
  <c r="H423" i="3"/>
  <c r="C423" i="3"/>
  <c r="B423" i="3"/>
  <c r="A423" i="3"/>
  <c r="H422" i="3"/>
  <c r="C422" i="3"/>
  <c r="B422" i="3"/>
  <c r="A422" i="3"/>
  <c r="H421" i="3"/>
  <c r="C421" i="3"/>
  <c r="B421" i="3"/>
  <c r="A421" i="3"/>
  <c r="H420" i="3"/>
  <c r="C420" i="3"/>
  <c r="B420" i="3"/>
  <c r="A420" i="3"/>
  <c r="H419" i="3"/>
  <c r="C419" i="3"/>
  <c r="B419" i="3"/>
  <c r="A419" i="3"/>
  <c r="H418" i="3"/>
  <c r="C418" i="3"/>
  <c r="B418" i="3"/>
  <c r="A418" i="3"/>
  <c r="H417" i="3"/>
  <c r="C417" i="3"/>
  <c r="B417" i="3"/>
  <c r="A417" i="3"/>
  <c r="H416" i="3"/>
  <c r="C416" i="3"/>
  <c r="B416" i="3"/>
  <c r="A416" i="3"/>
  <c r="H415" i="3"/>
  <c r="C415" i="3"/>
  <c r="B415" i="3"/>
  <c r="A415" i="3"/>
  <c r="H414" i="3"/>
  <c r="C414" i="3"/>
  <c r="B414" i="3"/>
  <c r="A414" i="3"/>
  <c r="H413" i="3"/>
  <c r="C413" i="3"/>
  <c r="B413" i="3"/>
  <c r="A413" i="3"/>
  <c r="H412" i="3"/>
  <c r="C412" i="3"/>
  <c r="B412" i="3"/>
  <c r="A412" i="3"/>
  <c r="H411" i="3"/>
  <c r="C411" i="3"/>
  <c r="B411" i="3"/>
  <c r="A411" i="3"/>
  <c r="H410" i="3"/>
  <c r="C410" i="3"/>
  <c r="B410" i="3"/>
  <c r="A410" i="3"/>
  <c r="H409" i="3"/>
  <c r="C409" i="3"/>
  <c r="B409" i="3"/>
  <c r="A409" i="3"/>
  <c r="H408" i="3"/>
  <c r="C408" i="3"/>
  <c r="B408" i="3"/>
  <c r="A408" i="3"/>
  <c r="H407" i="3"/>
  <c r="C407" i="3"/>
  <c r="B407" i="3"/>
  <c r="A407" i="3"/>
  <c r="H406" i="3"/>
  <c r="C406" i="3"/>
  <c r="B406" i="3"/>
  <c r="A406" i="3"/>
  <c r="H405" i="3"/>
  <c r="C405" i="3"/>
  <c r="B405" i="3"/>
  <c r="A405" i="3"/>
  <c r="H404" i="3"/>
  <c r="C404" i="3"/>
  <c r="B404" i="3"/>
  <c r="A404" i="3"/>
  <c r="H403" i="3"/>
  <c r="C403" i="3"/>
  <c r="B403" i="3"/>
  <c r="A403" i="3"/>
  <c r="H402" i="3"/>
  <c r="C402" i="3"/>
  <c r="B402" i="3"/>
  <c r="A402" i="3"/>
  <c r="H401" i="3"/>
  <c r="C401" i="3"/>
  <c r="B401" i="3"/>
  <c r="A401" i="3"/>
  <c r="H400" i="3"/>
  <c r="C400" i="3"/>
  <c r="B400" i="3"/>
  <c r="A400" i="3"/>
  <c r="H399" i="3"/>
  <c r="C399" i="3"/>
  <c r="B399" i="3"/>
  <c r="A399" i="3"/>
  <c r="H398" i="3"/>
  <c r="C398" i="3"/>
  <c r="B398" i="3"/>
  <c r="A398" i="3"/>
  <c r="H397" i="3"/>
  <c r="C397" i="3"/>
  <c r="B397" i="3"/>
  <c r="A397" i="3"/>
  <c r="H396" i="3"/>
  <c r="C396" i="3"/>
  <c r="B396" i="3"/>
  <c r="A396" i="3"/>
  <c r="H395" i="3"/>
  <c r="C395" i="3"/>
  <c r="B395" i="3"/>
  <c r="A395" i="3"/>
  <c r="H394" i="3"/>
  <c r="C394" i="3"/>
  <c r="B394" i="3"/>
  <c r="A394" i="3"/>
  <c r="H393" i="3"/>
  <c r="C393" i="3"/>
  <c r="B393" i="3"/>
  <c r="A393" i="3"/>
  <c r="H392" i="3"/>
  <c r="C392" i="3"/>
  <c r="B392" i="3"/>
  <c r="A392" i="3"/>
  <c r="H391" i="3"/>
  <c r="C391" i="3"/>
  <c r="B391" i="3"/>
  <c r="A391" i="3"/>
  <c r="H390" i="3"/>
  <c r="C390" i="3"/>
  <c r="B390" i="3"/>
  <c r="A390" i="3"/>
  <c r="H389" i="3"/>
  <c r="C389" i="3"/>
  <c r="B389" i="3"/>
  <c r="A389" i="3"/>
  <c r="H388" i="3"/>
  <c r="C388" i="3"/>
  <c r="B388" i="3"/>
  <c r="A388" i="3"/>
  <c r="H387" i="3"/>
  <c r="C387" i="3"/>
  <c r="B387" i="3"/>
  <c r="A387" i="3"/>
  <c r="H386" i="3"/>
  <c r="C386" i="3"/>
  <c r="B386" i="3"/>
  <c r="A386" i="3"/>
  <c r="H385" i="3"/>
  <c r="C385" i="3"/>
  <c r="B385" i="3"/>
  <c r="A385" i="3"/>
  <c r="H384" i="3"/>
  <c r="C384" i="3"/>
  <c r="B384" i="3"/>
  <c r="A384" i="3"/>
  <c r="H383" i="3"/>
  <c r="C383" i="3"/>
  <c r="B383" i="3"/>
  <c r="A383" i="3"/>
  <c r="H382" i="3"/>
  <c r="C382" i="3"/>
  <c r="B382" i="3"/>
  <c r="A382" i="3"/>
  <c r="H381" i="3"/>
  <c r="C381" i="3"/>
  <c r="B381" i="3"/>
  <c r="A381" i="3"/>
  <c r="H380" i="3"/>
  <c r="C380" i="3"/>
  <c r="B380" i="3"/>
  <c r="A380" i="3"/>
  <c r="H379" i="3"/>
  <c r="C379" i="3"/>
  <c r="B379" i="3"/>
  <c r="A379" i="3"/>
  <c r="H378" i="3"/>
  <c r="C378" i="3"/>
  <c r="B378" i="3"/>
  <c r="A378" i="3"/>
  <c r="H377" i="3"/>
  <c r="C377" i="3"/>
  <c r="B377" i="3"/>
  <c r="A377" i="3"/>
  <c r="H376" i="3"/>
  <c r="C376" i="3"/>
  <c r="B376" i="3"/>
  <c r="A376" i="3"/>
  <c r="H375" i="3"/>
  <c r="C375" i="3"/>
  <c r="B375" i="3"/>
  <c r="A375" i="3"/>
  <c r="H374" i="3"/>
  <c r="C374" i="3"/>
  <c r="B374" i="3"/>
  <c r="A374" i="3"/>
  <c r="H373" i="3"/>
  <c r="C373" i="3"/>
  <c r="B373" i="3"/>
  <c r="A373" i="3"/>
  <c r="H372" i="3"/>
  <c r="C372" i="3"/>
  <c r="B372" i="3"/>
  <c r="A372" i="3"/>
  <c r="H371" i="3"/>
  <c r="C371" i="3"/>
  <c r="B371" i="3"/>
  <c r="A371" i="3"/>
  <c r="H370" i="3"/>
  <c r="C370" i="3"/>
  <c r="B370" i="3"/>
  <c r="A370" i="3"/>
  <c r="H369" i="3"/>
  <c r="C369" i="3"/>
  <c r="B369" i="3"/>
  <c r="A369" i="3"/>
  <c r="H368" i="3"/>
  <c r="C368" i="3"/>
  <c r="B368" i="3"/>
  <c r="A368" i="3"/>
  <c r="H367" i="3"/>
  <c r="C367" i="3"/>
  <c r="B367" i="3"/>
  <c r="A367" i="3"/>
  <c r="H366" i="3"/>
  <c r="C366" i="3"/>
  <c r="B366" i="3"/>
  <c r="A366" i="3"/>
  <c r="H365" i="3"/>
  <c r="C365" i="3"/>
  <c r="B365" i="3"/>
  <c r="A365" i="3"/>
  <c r="H364" i="3"/>
  <c r="C364" i="3"/>
  <c r="B364" i="3"/>
  <c r="A364" i="3"/>
  <c r="H363" i="3"/>
  <c r="C363" i="3"/>
  <c r="B363" i="3"/>
  <c r="A363" i="3"/>
  <c r="H362" i="3"/>
  <c r="C362" i="3"/>
  <c r="B362" i="3"/>
  <c r="A362" i="3"/>
  <c r="H361" i="3"/>
  <c r="C361" i="3"/>
  <c r="B361" i="3"/>
  <c r="A361" i="3"/>
  <c r="H360" i="3"/>
  <c r="C360" i="3"/>
  <c r="B360" i="3"/>
  <c r="A360" i="3"/>
  <c r="H359" i="3"/>
  <c r="C359" i="3"/>
  <c r="B359" i="3"/>
  <c r="A359" i="3"/>
  <c r="H358" i="3"/>
  <c r="C358" i="3"/>
  <c r="B358" i="3"/>
  <c r="A358" i="3"/>
  <c r="H357" i="3"/>
  <c r="C357" i="3"/>
  <c r="B357" i="3"/>
  <c r="A357" i="3"/>
  <c r="H356" i="3"/>
  <c r="C356" i="3"/>
  <c r="B356" i="3"/>
  <c r="A356" i="3"/>
  <c r="H355" i="3"/>
  <c r="C355" i="3"/>
  <c r="B355" i="3"/>
  <c r="A355" i="3"/>
  <c r="H354" i="3"/>
  <c r="C354" i="3"/>
  <c r="B354" i="3"/>
  <c r="A354" i="3"/>
  <c r="H353" i="3"/>
  <c r="C353" i="3"/>
  <c r="B353" i="3"/>
  <c r="A353" i="3"/>
  <c r="H352" i="3"/>
  <c r="C352" i="3"/>
  <c r="B352" i="3"/>
  <c r="A352" i="3"/>
  <c r="H351" i="3"/>
  <c r="C351" i="3"/>
  <c r="B351" i="3"/>
  <c r="A351" i="3"/>
  <c r="H350" i="3"/>
  <c r="C350" i="3"/>
  <c r="B350" i="3"/>
  <c r="A350" i="3"/>
  <c r="H349" i="3"/>
  <c r="C349" i="3"/>
  <c r="B349" i="3"/>
  <c r="A349" i="3"/>
  <c r="H348" i="3"/>
  <c r="C348" i="3"/>
  <c r="B348" i="3"/>
  <c r="A348" i="3"/>
  <c r="H347" i="3"/>
  <c r="C347" i="3"/>
  <c r="B347" i="3"/>
  <c r="A347" i="3"/>
  <c r="H346" i="3"/>
  <c r="C346" i="3"/>
  <c r="B346" i="3"/>
  <c r="A346" i="3"/>
  <c r="H345" i="3"/>
  <c r="C345" i="3"/>
  <c r="B345" i="3"/>
  <c r="A345" i="3"/>
  <c r="H344" i="3"/>
  <c r="C344" i="3"/>
  <c r="B344" i="3"/>
  <c r="A344" i="3"/>
  <c r="H343" i="3"/>
  <c r="C343" i="3"/>
  <c r="B343" i="3"/>
  <c r="A343" i="3"/>
  <c r="H342" i="3"/>
  <c r="C342" i="3"/>
  <c r="B342" i="3"/>
  <c r="A342" i="3"/>
  <c r="H341" i="3"/>
  <c r="C341" i="3"/>
  <c r="B341" i="3"/>
  <c r="A341" i="3"/>
  <c r="H340" i="3"/>
  <c r="C340" i="3"/>
  <c r="B340" i="3"/>
  <c r="A340" i="3"/>
  <c r="H339" i="3"/>
  <c r="C339" i="3"/>
  <c r="B339" i="3"/>
  <c r="A339" i="3"/>
  <c r="H338" i="3"/>
  <c r="C338" i="3"/>
  <c r="B338" i="3"/>
  <c r="A338" i="3"/>
  <c r="H337" i="3"/>
  <c r="C337" i="3"/>
  <c r="B337" i="3"/>
  <c r="A337" i="3"/>
  <c r="H336" i="3"/>
  <c r="C336" i="3"/>
  <c r="B336" i="3"/>
  <c r="A336" i="3"/>
  <c r="H335" i="3"/>
  <c r="C335" i="3"/>
  <c r="B335" i="3"/>
  <c r="A335" i="3"/>
  <c r="H334" i="3"/>
  <c r="C334" i="3"/>
  <c r="B334" i="3"/>
  <c r="A334" i="3"/>
  <c r="H333" i="3"/>
  <c r="C333" i="3"/>
  <c r="B333" i="3"/>
  <c r="A333" i="3"/>
  <c r="H332" i="3"/>
  <c r="C332" i="3"/>
  <c r="B332" i="3"/>
  <c r="A332" i="3"/>
  <c r="H331" i="3"/>
  <c r="C331" i="3"/>
  <c r="B331" i="3"/>
  <c r="A331" i="3"/>
  <c r="H330" i="3"/>
  <c r="C330" i="3"/>
  <c r="B330" i="3"/>
  <c r="A330" i="3"/>
  <c r="H329" i="3"/>
  <c r="C329" i="3"/>
  <c r="B329" i="3"/>
  <c r="A329" i="3"/>
  <c r="H328" i="3"/>
  <c r="C328" i="3"/>
  <c r="B328" i="3"/>
  <c r="A328" i="3"/>
  <c r="H327" i="3"/>
  <c r="C327" i="3"/>
  <c r="B327" i="3"/>
  <c r="A327" i="3"/>
  <c r="H326" i="3"/>
  <c r="C326" i="3"/>
  <c r="B326" i="3"/>
  <c r="A326" i="3"/>
  <c r="H325" i="3"/>
  <c r="C325" i="3"/>
  <c r="B325" i="3"/>
  <c r="A325" i="3"/>
  <c r="H324" i="3"/>
  <c r="C324" i="3"/>
  <c r="B324" i="3"/>
  <c r="A324" i="3"/>
  <c r="H323" i="3"/>
  <c r="C323" i="3"/>
  <c r="B323" i="3"/>
  <c r="A323" i="3"/>
  <c r="H322" i="3"/>
  <c r="C322" i="3"/>
  <c r="B322" i="3"/>
  <c r="A322" i="3"/>
  <c r="H321" i="3"/>
  <c r="C321" i="3"/>
  <c r="B321" i="3"/>
  <c r="A321" i="3"/>
  <c r="H320" i="3"/>
  <c r="C320" i="3"/>
  <c r="B320" i="3"/>
  <c r="A320" i="3"/>
  <c r="H319" i="3"/>
  <c r="C319" i="3"/>
  <c r="B319" i="3"/>
  <c r="A319" i="3"/>
  <c r="H318" i="3"/>
  <c r="C318" i="3"/>
  <c r="B318" i="3"/>
  <c r="A318" i="3"/>
  <c r="H317" i="3"/>
  <c r="C317" i="3"/>
  <c r="B317" i="3"/>
  <c r="A317" i="3"/>
  <c r="H316" i="3"/>
  <c r="C316" i="3"/>
  <c r="B316" i="3"/>
  <c r="A316" i="3"/>
  <c r="H315" i="3"/>
  <c r="C315" i="3"/>
  <c r="B315" i="3"/>
  <c r="A315" i="3"/>
  <c r="H314" i="3"/>
  <c r="C314" i="3"/>
  <c r="B314" i="3"/>
  <c r="A314" i="3"/>
  <c r="H313" i="3"/>
  <c r="C313" i="3"/>
  <c r="B313" i="3"/>
  <c r="A313" i="3"/>
  <c r="H312" i="3"/>
  <c r="C312" i="3"/>
  <c r="B312" i="3"/>
  <c r="A312" i="3"/>
  <c r="H311" i="3"/>
  <c r="C311" i="3"/>
  <c r="B311" i="3"/>
  <c r="A311" i="3"/>
  <c r="H310" i="3"/>
  <c r="C310" i="3"/>
  <c r="B310" i="3"/>
  <c r="A310" i="3"/>
  <c r="H309" i="3"/>
  <c r="C309" i="3"/>
  <c r="B309" i="3"/>
  <c r="A309" i="3"/>
  <c r="H308" i="3"/>
  <c r="C308" i="3"/>
  <c r="B308" i="3"/>
  <c r="A308" i="3"/>
  <c r="H307" i="3"/>
  <c r="C307" i="3"/>
  <c r="B307" i="3"/>
  <c r="A307" i="3"/>
  <c r="H306" i="3"/>
  <c r="C306" i="3"/>
  <c r="B306" i="3"/>
  <c r="A306" i="3"/>
  <c r="H305" i="3"/>
  <c r="C305" i="3"/>
  <c r="B305" i="3"/>
  <c r="A305" i="3"/>
  <c r="H304" i="3"/>
  <c r="C304" i="3"/>
  <c r="B304" i="3"/>
  <c r="A304" i="3"/>
  <c r="H303" i="3"/>
  <c r="C303" i="3"/>
  <c r="B303" i="3"/>
  <c r="A303" i="3"/>
  <c r="H302" i="3"/>
  <c r="C302" i="3"/>
  <c r="B302" i="3"/>
  <c r="A302" i="3"/>
  <c r="H301" i="3"/>
  <c r="C301" i="3"/>
  <c r="B301" i="3"/>
  <c r="A301" i="3"/>
  <c r="H300" i="3"/>
  <c r="C300" i="3"/>
  <c r="B300" i="3"/>
  <c r="A300" i="3"/>
  <c r="H299" i="3"/>
  <c r="C299" i="3"/>
  <c r="B299" i="3"/>
  <c r="A299" i="3"/>
  <c r="H298" i="3"/>
  <c r="C298" i="3"/>
  <c r="B298" i="3"/>
  <c r="A298" i="3"/>
  <c r="H297" i="3"/>
  <c r="C297" i="3"/>
  <c r="B297" i="3"/>
  <c r="A297" i="3"/>
  <c r="H296" i="3"/>
  <c r="C296" i="3"/>
  <c r="B296" i="3"/>
  <c r="A296" i="3"/>
  <c r="H295" i="3"/>
  <c r="C295" i="3"/>
  <c r="B295" i="3"/>
  <c r="A295" i="3"/>
  <c r="H294" i="3"/>
  <c r="C294" i="3"/>
  <c r="B294" i="3"/>
  <c r="A294" i="3"/>
  <c r="H293" i="3"/>
  <c r="C293" i="3"/>
  <c r="B293" i="3"/>
  <c r="A293" i="3"/>
  <c r="H292" i="3"/>
  <c r="C292" i="3"/>
  <c r="B292" i="3"/>
  <c r="A292" i="3"/>
  <c r="H291" i="3"/>
  <c r="C291" i="3"/>
  <c r="B291" i="3"/>
  <c r="A291" i="3"/>
  <c r="H290" i="3"/>
  <c r="C290" i="3"/>
  <c r="B290" i="3"/>
  <c r="A290" i="3"/>
  <c r="H289" i="3"/>
  <c r="C289" i="3"/>
  <c r="B289" i="3"/>
  <c r="A289" i="3"/>
  <c r="H288" i="3"/>
  <c r="C288" i="3"/>
  <c r="B288" i="3"/>
  <c r="A288" i="3"/>
  <c r="H287" i="3"/>
  <c r="C287" i="3"/>
  <c r="B287" i="3"/>
  <c r="A287" i="3"/>
  <c r="H286" i="3"/>
  <c r="C286" i="3"/>
  <c r="B286" i="3"/>
  <c r="A286" i="3"/>
  <c r="H285" i="3"/>
  <c r="C285" i="3"/>
  <c r="B285" i="3"/>
  <c r="A285" i="3"/>
  <c r="H284" i="3"/>
  <c r="C284" i="3"/>
  <c r="B284" i="3"/>
  <c r="A284" i="3"/>
  <c r="H283" i="3"/>
  <c r="C283" i="3"/>
  <c r="B283" i="3"/>
  <c r="A283" i="3"/>
  <c r="H282" i="3"/>
  <c r="C282" i="3"/>
  <c r="B282" i="3"/>
  <c r="A282" i="3"/>
  <c r="H281" i="3"/>
  <c r="C281" i="3"/>
  <c r="B281" i="3"/>
  <c r="A281" i="3"/>
  <c r="H280" i="3"/>
  <c r="C280" i="3"/>
  <c r="B280" i="3"/>
  <c r="A280" i="3"/>
  <c r="H279" i="3"/>
  <c r="C279" i="3"/>
  <c r="B279" i="3"/>
  <c r="A279" i="3"/>
  <c r="H278" i="3"/>
  <c r="C278" i="3"/>
  <c r="B278" i="3"/>
  <c r="A278" i="3"/>
  <c r="H277" i="3"/>
  <c r="C277" i="3"/>
  <c r="B277" i="3"/>
  <c r="A277" i="3"/>
  <c r="H276" i="3"/>
  <c r="C276" i="3"/>
  <c r="B276" i="3"/>
  <c r="A276" i="3"/>
  <c r="H275" i="3"/>
  <c r="C275" i="3"/>
  <c r="B275" i="3"/>
  <c r="A275" i="3"/>
  <c r="H274" i="3"/>
  <c r="C274" i="3"/>
  <c r="B274" i="3"/>
  <c r="A274" i="3"/>
  <c r="H273" i="3"/>
  <c r="C273" i="3"/>
  <c r="B273" i="3"/>
  <c r="A273" i="3"/>
  <c r="H272" i="3"/>
  <c r="C272" i="3"/>
  <c r="B272" i="3"/>
  <c r="A272" i="3"/>
  <c r="H271" i="3"/>
  <c r="C271" i="3"/>
  <c r="B271" i="3"/>
  <c r="A271" i="3"/>
  <c r="H270" i="3"/>
  <c r="C270" i="3"/>
  <c r="B270" i="3"/>
  <c r="A270" i="3"/>
  <c r="H269" i="3"/>
  <c r="C269" i="3"/>
  <c r="B269" i="3"/>
  <c r="A269" i="3"/>
  <c r="H268" i="3"/>
  <c r="C268" i="3"/>
  <c r="B268" i="3"/>
  <c r="A268" i="3"/>
  <c r="H267" i="3"/>
  <c r="C267" i="3"/>
  <c r="B267" i="3"/>
  <c r="A267" i="3"/>
  <c r="H266" i="3"/>
  <c r="C266" i="3"/>
  <c r="B266" i="3"/>
  <c r="A266" i="3"/>
  <c r="H265" i="3"/>
  <c r="C265" i="3"/>
  <c r="B265" i="3"/>
  <c r="A265" i="3"/>
  <c r="H264" i="3"/>
  <c r="C264" i="3"/>
  <c r="B264" i="3"/>
  <c r="A264" i="3"/>
  <c r="H263" i="3"/>
  <c r="C263" i="3"/>
  <c r="B263" i="3"/>
  <c r="A263" i="3"/>
  <c r="H262" i="3"/>
  <c r="C262" i="3"/>
  <c r="B262" i="3"/>
  <c r="A262" i="3"/>
  <c r="H261" i="3"/>
  <c r="C261" i="3"/>
  <c r="B261" i="3"/>
  <c r="A261" i="3"/>
  <c r="H260" i="3"/>
  <c r="C260" i="3"/>
  <c r="B260" i="3"/>
  <c r="A260" i="3"/>
  <c r="H259" i="3"/>
  <c r="C259" i="3"/>
  <c r="B259" i="3"/>
  <c r="A259" i="3"/>
  <c r="H258" i="3"/>
  <c r="C258" i="3"/>
  <c r="B258" i="3"/>
  <c r="A258" i="3"/>
  <c r="H257" i="3"/>
  <c r="C257" i="3"/>
  <c r="B257" i="3"/>
  <c r="A257" i="3"/>
  <c r="H256" i="3"/>
  <c r="C256" i="3"/>
  <c r="B256" i="3"/>
  <c r="A256" i="3"/>
  <c r="H255" i="3"/>
  <c r="C255" i="3"/>
  <c r="B255" i="3"/>
  <c r="A255" i="3"/>
  <c r="H254" i="3"/>
  <c r="C254" i="3"/>
  <c r="B254" i="3"/>
  <c r="A254" i="3"/>
  <c r="H253" i="3"/>
  <c r="C253" i="3"/>
  <c r="B253" i="3"/>
  <c r="A253" i="3"/>
  <c r="H252" i="3"/>
  <c r="C252" i="3"/>
  <c r="B252" i="3"/>
  <c r="A252" i="3"/>
  <c r="H251" i="3"/>
  <c r="C251" i="3"/>
  <c r="B251" i="3"/>
  <c r="A251" i="3"/>
  <c r="H250" i="3"/>
  <c r="C250" i="3"/>
  <c r="B250" i="3"/>
  <c r="A250" i="3"/>
  <c r="H249" i="3"/>
  <c r="C249" i="3"/>
  <c r="B249" i="3"/>
  <c r="A249" i="3"/>
  <c r="H248" i="3"/>
  <c r="C248" i="3"/>
  <c r="B248" i="3"/>
  <c r="A248" i="3"/>
  <c r="H247" i="3"/>
  <c r="C247" i="3"/>
  <c r="B247" i="3"/>
  <c r="A247" i="3"/>
  <c r="H246" i="3"/>
  <c r="C246" i="3"/>
  <c r="B246" i="3"/>
  <c r="A246" i="3"/>
  <c r="H245" i="3"/>
  <c r="C245" i="3"/>
  <c r="B245" i="3"/>
  <c r="A245" i="3"/>
  <c r="H244" i="3"/>
  <c r="C244" i="3"/>
  <c r="B244" i="3"/>
  <c r="A244" i="3"/>
  <c r="H243" i="3"/>
  <c r="C243" i="3"/>
  <c r="B243" i="3"/>
  <c r="A243" i="3"/>
  <c r="H242" i="3"/>
  <c r="C242" i="3"/>
  <c r="B242" i="3"/>
  <c r="A242" i="3"/>
  <c r="H241" i="3"/>
  <c r="C241" i="3"/>
  <c r="B241" i="3"/>
  <c r="A241" i="3"/>
  <c r="H240" i="3"/>
  <c r="C240" i="3"/>
  <c r="B240" i="3"/>
  <c r="A240" i="3"/>
  <c r="H239" i="3"/>
  <c r="C239" i="3"/>
  <c r="B239" i="3"/>
  <c r="A239" i="3"/>
  <c r="H238" i="3"/>
  <c r="C238" i="3"/>
  <c r="B238" i="3"/>
  <c r="A238" i="3"/>
  <c r="H237" i="3"/>
  <c r="C237" i="3"/>
  <c r="B237" i="3"/>
  <c r="A237" i="3"/>
  <c r="H236" i="3"/>
  <c r="C236" i="3"/>
  <c r="B236" i="3"/>
  <c r="A236" i="3"/>
  <c r="H235" i="3"/>
  <c r="C235" i="3"/>
  <c r="B235" i="3"/>
  <c r="A235" i="3"/>
  <c r="H234" i="3"/>
  <c r="C234" i="3"/>
  <c r="B234" i="3"/>
  <c r="A234" i="3"/>
  <c r="H233" i="3"/>
  <c r="C233" i="3"/>
  <c r="B233" i="3"/>
  <c r="A233" i="3"/>
  <c r="H232" i="3"/>
  <c r="C232" i="3"/>
  <c r="B232" i="3"/>
  <c r="A232" i="3"/>
  <c r="H231" i="3"/>
  <c r="C231" i="3"/>
  <c r="B231" i="3"/>
  <c r="A231" i="3"/>
  <c r="H230" i="3"/>
  <c r="C230" i="3"/>
  <c r="B230" i="3"/>
  <c r="A230" i="3"/>
  <c r="H229" i="3"/>
  <c r="C229" i="3"/>
  <c r="B229" i="3"/>
  <c r="A229" i="3"/>
  <c r="H228" i="3"/>
  <c r="C228" i="3"/>
  <c r="B228" i="3"/>
  <c r="A228" i="3"/>
  <c r="H227" i="3"/>
  <c r="C227" i="3"/>
  <c r="B227" i="3"/>
  <c r="A227" i="3"/>
  <c r="H226" i="3"/>
  <c r="C226" i="3"/>
  <c r="B226" i="3"/>
  <c r="A226" i="3"/>
  <c r="H225" i="3"/>
  <c r="C225" i="3"/>
  <c r="B225" i="3"/>
  <c r="A225" i="3"/>
  <c r="H224" i="3"/>
  <c r="C224" i="3"/>
  <c r="B224" i="3"/>
  <c r="A224" i="3"/>
  <c r="H223" i="3"/>
  <c r="C223" i="3"/>
  <c r="B223" i="3"/>
  <c r="A223" i="3"/>
  <c r="H222" i="3"/>
  <c r="C222" i="3"/>
  <c r="B222" i="3"/>
  <c r="A222" i="3"/>
  <c r="H221" i="3"/>
  <c r="C221" i="3"/>
  <c r="B221" i="3"/>
  <c r="A221" i="3"/>
  <c r="H220" i="3"/>
  <c r="C220" i="3"/>
  <c r="B220" i="3"/>
  <c r="A220" i="3"/>
  <c r="H219" i="3"/>
  <c r="C219" i="3"/>
  <c r="B219" i="3"/>
  <c r="A219" i="3"/>
  <c r="H218" i="3"/>
  <c r="C218" i="3"/>
  <c r="B218" i="3"/>
  <c r="A218" i="3"/>
  <c r="H217" i="3"/>
  <c r="C217" i="3"/>
  <c r="B217" i="3"/>
  <c r="A217" i="3"/>
  <c r="H216" i="3"/>
  <c r="C216" i="3"/>
  <c r="B216" i="3"/>
  <c r="A216" i="3"/>
  <c r="H215" i="3"/>
  <c r="C215" i="3"/>
  <c r="B215" i="3"/>
  <c r="A215" i="3"/>
  <c r="H214" i="3"/>
  <c r="C214" i="3"/>
  <c r="B214" i="3"/>
  <c r="A214" i="3"/>
  <c r="H213" i="3"/>
  <c r="C213" i="3"/>
  <c r="B213" i="3"/>
  <c r="A213" i="3"/>
  <c r="H212" i="3"/>
  <c r="C212" i="3"/>
  <c r="B212" i="3"/>
  <c r="A212" i="3"/>
  <c r="H211" i="3"/>
  <c r="C211" i="3"/>
  <c r="B211" i="3"/>
  <c r="A211" i="3"/>
  <c r="H210" i="3"/>
  <c r="C210" i="3"/>
  <c r="B210" i="3"/>
  <c r="A210" i="3"/>
  <c r="H209" i="3"/>
  <c r="C209" i="3"/>
  <c r="B209" i="3"/>
  <c r="A209" i="3"/>
  <c r="H208" i="3"/>
  <c r="C208" i="3"/>
  <c r="B208" i="3"/>
  <c r="A208" i="3"/>
  <c r="H207" i="3"/>
  <c r="C207" i="3"/>
  <c r="B207" i="3"/>
  <c r="A207" i="3"/>
  <c r="H206" i="3"/>
  <c r="C206" i="3"/>
  <c r="B206" i="3"/>
  <c r="A206" i="3"/>
  <c r="H205" i="3"/>
  <c r="C205" i="3"/>
  <c r="B205" i="3"/>
  <c r="A205" i="3"/>
  <c r="H204" i="3"/>
  <c r="C204" i="3"/>
  <c r="B204" i="3"/>
  <c r="A204" i="3"/>
  <c r="H203" i="3"/>
  <c r="C203" i="3"/>
  <c r="B203" i="3"/>
  <c r="A203" i="3"/>
  <c r="H202" i="3"/>
  <c r="C202" i="3"/>
  <c r="B202" i="3"/>
  <c r="A202" i="3"/>
  <c r="H201" i="3"/>
  <c r="C201" i="3"/>
  <c r="B201" i="3"/>
  <c r="A201" i="3"/>
  <c r="H200" i="3"/>
  <c r="C200" i="3"/>
  <c r="B200" i="3"/>
  <c r="A200" i="3"/>
  <c r="H199" i="3"/>
  <c r="C199" i="3"/>
  <c r="B199" i="3"/>
  <c r="A199" i="3"/>
  <c r="H198" i="3"/>
  <c r="C198" i="3"/>
  <c r="B198" i="3"/>
  <c r="A198" i="3"/>
  <c r="H197" i="3"/>
  <c r="C197" i="3"/>
  <c r="B197" i="3"/>
  <c r="A197" i="3"/>
  <c r="H196" i="3"/>
  <c r="C196" i="3"/>
  <c r="B196" i="3"/>
  <c r="A196" i="3"/>
  <c r="H195" i="3"/>
  <c r="C195" i="3"/>
  <c r="B195" i="3"/>
  <c r="A195" i="3"/>
  <c r="H194" i="3"/>
  <c r="C194" i="3"/>
  <c r="B194" i="3"/>
  <c r="A194" i="3"/>
  <c r="H193" i="3"/>
  <c r="C193" i="3"/>
  <c r="B193" i="3"/>
  <c r="A193" i="3"/>
  <c r="H192" i="3"/>
  <c r="C192" i="3"/>
  <c r="B192" i="3"/>
  <c r="A192" i="3"/>
  <c r="H191" i="3"/>
  <c r="C191" i="3"/>
  <c r="B191" i="3"/>
  <c r="A191" i="3"/>
  <c r="H190" i="3"/>
  <c r="C190" i="3"/>
  <c r="B190" i="3"/>
  <c r="A190" i="3"/>
  <c r="H189" i="3"/>
  <c r="C189" i="3"/>
  <c r="B189" i="3"/>
  <c r="A189" i="3"/>
  <c r="H188" i="3"/>
  <c r="C188" i="3"/>
  <c r="B188" i="3"/>
  <c r="A188" i="3"/>
  <c r="H187" i="3"/>
  <c r="C187" i="3"/>
  <c r="B187" i="3"/>
  <c r="A187" i="3"/>
  <c r="H186" i="3"/>
  <c r="C186" i="3"/>
  <c r="B186" i="3"/>
  <c r="A186" i="3"/>
  <c r="H185" i="3"/>
  <c r="C185" i="3"/>
  <c r="B185" i="3"/>
  <c r="A185" i="3"/>
  <c r="H184" i="3"/>
  <c r="C184" i="3"/>
  <c r="B184" i="3"/>
  <c r="A184" i="3"/>
  <c r="H183" i="3"/>
  <c r="C183" i="3"/>
  <c r="B183" i="3"/>
  <c r="A183" i="3"/>
  <c r="H182" i="3"/>
  <c r="C182" i="3"/>
  <c r="B182" i="3"/>
  <c r="A182" i="3"/>
  <c r="H181" i="3"/>
  <c r="C181" i="3"/>
  <c r="B181" i="3"/>
  <c r="A181" i="3"/>
  <c r="H180" i="3"/>
  <c r="C180" i="3"/>
  <c r="B180" i="3"/>
  <c r="A180" i="3"/>
  <c r="H179" i="3"/>
  <c r="C179" i="3"/>
  <c r="B179" i="3"/>
  <c r="A179" i="3"/>
  <c r="H178" i="3"/>
  <c r="C178" i="3"/>
  <c r="B178" i="3"/>
  <c r="A178" i="3"/>
  <c r="H177" i="3"/>
  <c r="C177" i="3"/>
  <c r="B177" i="3"/>
  <c r="A177" i="3"/>
  <c r="H176" i="3"/>
  <c r="C176" i="3"/>
  <c r="B176" i="3"/>
  <c r="A176" i="3"/>
  <c r="H175" i="3"/>
  <c r="C175" i="3"/>
  <c r="B175" i="3"/>
  <c r="A175" i="3"/>
  <c r="H174" i="3"/>
  <c r="C174" i="3"/>
  <c r="B174" i="3"/>
  <c r="A174" i="3"/>
  <c r="H173" i="3"/>
  <c r="C173" i="3"/>
  <c r="B173" i="3"/>
  <c r="A173" i="3"/>
  <c r="H172" i="3"/>
  <c r="C172" i="3"/>
  <c r="B172" i="3"/>
  <c r="A172" i="3"/>
  <c r="H171" i="3"/>
  <c r="C171" i="3"/>
  <c r="B171" i="3"/>
  <c r="A171" i="3"/>
  <c r="H170" i="3"/>
  <c r="C170" i="3"/>
  <c r="B170" i="3"/>
  <c r="A170" i="3"/>
  <c r="H169" i="3"/>
  <c r="C169" i="3"/>
  <c r="B169" i="3"/>
  <c r="A169" i="3"/>
  <c r="H168" i="3"/>
  <c r="C168" i="3"/>
  <c r="B168" i="3"/>
  <c r="A168" i="3"/>
  <c r="H167" i="3"/>
  <c r="C167" i="3"/>
  <c r="B167" i="3"/>
  <c r="A167" i="3"/>
  <c r="H166" i="3"/>
  <c r="C166" i="3"/>
  <c r="B166" i="3"/>
  <c r="A166" i="3"/>
  <c r="H165" i="3"/>
  <c r="C165" i="3"/>
  <c r="B165" i="3"/>
  <c r="A165" i="3"/>
  <c r="H164" i="3"/>
  <c r="C164" i="3"/>
  <c r="B164" i="3"/>
  <c r="A164" i="3"/>
  <c r="H163" i="3"/>
  <c r="C163" i="3"/>
  <c r="B163" i="3"/>
  <c r="A163" i="3"/>
  <c r="H162" i="3"/>
  <c r="C162" i="3"/>
  <c r="B162" i="3"/>
  <c r="A162" i="3"/>
  <c r="H161" i="3"/>
  <c r="C161" i="3"/>
  <c r="B161" i="3"/>
  <c r="A161" i="3"/>
  <c r="H160" i="3"/>
  <c r="C160" i="3"/>
  <c r="B160" i="3"/>
  <c r="A160" i="3"/>
  <c r="H159" i="3"/>
  <c r="C159" i="3"/>
  <c r="B159" i="3"/>
  <c r="A159" i="3"/>
  <c r="H158" i="3"/>
  <c r="C158" i="3"/>
  <c r="B158" i="3"/>
  <c r="A158" i="3"/>
  <c r="H157" i="3"/>
  <c r="C157" i="3"/>
  <c r="B157" i="3"/>
  <c r="A157" i="3"/>
  <c r="H156" i="3"/>
  <c r="C156" i="3"/>
  <c r="B156" i="3"/>
  <c r="A156" i="3"/>
  <c r="H155" i="3"/>
  <c r="C155" i="3"/>
  <c r="B155" i="3"/>
  <c r="A155" i="3"/>
  <c r="H154" i="3"/>
  <c r="C154" i="3"/>
  <c r="B154" i="3"/>
  <c r="A154" i="3"/>
  <c r="H153" i="3"/>
  <c r="C153" i="3"/>
  <c r="B153" i="3"/>
  <c r="A153" i="3"/>
  <c r="H152" i="3"/>
  <c r="C152" i="3"/>
  <c r="B152" i="3"/>
  <c r="A152" i="3"/>
  <c r="H151" i="3"/>
  <c r="C151" i="3"/>
  <c r="B151" i="3"/>
  <c r="A151" i="3"/>
  <c r="H150" i="3"/>
  <c r="C150" i="3"/>
  <c r="B150" i="3"/>
  <c r="A150" i="3"/>
  <c r="H149" i="3"/>
  <c r="C149" i="3"/>
  <c r="B149" i="3"/>
  <c r="A149" i="3"/>
  <c r="H148" i="3"/>
  <c r="C148" i="3"/>
  <c r="B148" i="3"/>
  <c r="A148" i="3"/>
  <c r="H147" i="3"/>
  <c r="C147" i="3"/>
  <c r="B147" i="3"/>
  <c r="A147" i="3"/>
  <c r="H146" i="3"/>
  <c r="C146" i="3"/>
  <c r="B146" i="3"/>
  <c r="A146" i="3"/>
  <c r="H145" i="3"/>
  <c r="C145" i="3"/>
  <c r="B145" i="3"/>
  <c r="A145" i="3"/>
  <c r="H144" i="3"/>
  <c r="C144" i="3"/>
  <c r="B144" i="3"/>
  <c r="A144" i="3"/>
  <c r="H143" i="3"/>
  <c r="C143" i="3"/>
  <c r="B143" i="3"/>
  <c r="A143" i="3"/>
  <c r="H142" i="3"/>
  <c r="C142" i="3"/>
  <c r="B142" i="3"/>
  <c r="A142" i="3"/>
  <c r="H141" i="3"/>
  <c r="C141" i="3"/>
  <c r="B141" i="3"/>
  <c r="A141" i="3"/>
  <c r="H140" i="3"/>
  <c r="C140" i="3"/>
  <c r="B140" i="3"/>
  <c r="A140" i="3"/>
  <c r="H139" i="3"/>
  <c r="C139" i="3"/>
  <c r="B139" i="3"/>
  <c r="A139" i="3"/>
  <c r="H138" i="3"/>
  <c r="C138" i="3"/>
  <c r="B138" i="3"/>
  <c r="A138" i="3"/>
  <c r="H137" i="3"/>
  <c r="C137" i="3"/>
  <c r="B137" i="3"/>
  <c r="A137" i="3"/>
  <c r="H136" i="3"/>
  <c r="C136" i="3"/>
  <c r="B136" i="3"/>
  <c r="A136" i="3"/>
  <c r="H135" i="3"/>
  <c r="C135" i="3"/>
  <c r="B135" i="3"/>
  <c r="A135" i="3"/>
  <c r="H134" i="3"/>
  <c r="C134" i="3"/>
  <c r="B134" i="3"/>
  <c r="A134" i="3"/>
  <c r="H133" i="3"/>
  <c r="C133" i="3"/>
  <c r="B133" i="3"/>
  <c r="A133" i="3"/>
  <c r="H132" i="3"/>
  <c r="C132" i="3"/>
  <c r="B132" i="3"/>
  <c r="A132" i="3"/>
  <c r="H131" i="3"/>
  <c r="C131" i="3"/>
  <c r="B131" i="3"/>
  <c r="A131" i="3"/>
  <c r="H130" i="3"/>
  <c r="C130" i="3"/>
  <c r="B130" i="3"/>
  <c r="A130" i="3"/>
  <c r="H129" i="3"/>
  <c r="C129" i="3"/>
  <c r="B129" i="3"/>
  <c r="A129" i="3"/>
  <c r="H128" i="3"/>
  <c r="C128" i="3"/>
  <c r="B128" i="3"/>
  <c r="A128" i="3"/>
  <c r="H127" i="3"/>
  <c r="C127" i="3"/>
  <c r="B127" i="3"/>
  <c r="A127" i="3"/>
  <c r="H126" i="3"/>
  <c r="C126" i="3"/>
  <c r="B126" i="3"/>
  <c r="A126" i="3"/>
  <c r="H125" i="3"/>
  <c r="C125" i="3"/>
  <c r="B125" i="3"/>
  <c r="A125" i="3"/>
  <c r="H124" i="3"/>
  <c r="C124" i="3"/>
  <c r="B124" i="3"/>
  <c r="A124" i="3"/>
  <c r="H123" i="3"/>
  <c r="C123" i="3"/>
  <c r="B123" i="3"/>
  <c r="A123" i="3"/>
  <c r="H122" i="3"/>
  <c r="C122" i="3"/>
  <c r="B122" i="3"/>
  <c r="A122" i="3"/>
  <c r="H121" i="3"/>
  <c r="C121" i="3"/>
  <c r="B121" i="3"/>
  <c r="A121" i="3"/>
  <c r="H120" i="3"/>
  <c r="C120" i="3"/>
  <c r="B120" i="3"/>
  <c r="A120" i="3"/>
  <c r="H119" i="3"/>
  <c r="C119" i="3"/>
  <c r="B119" i="3"/>
  <c r="A119" i="3"/>
  <c r="H118" i="3"/>
  <c r="C118" i="3"/>
  <c r="B118" i="3"/>
  <c r="A118" i="3"/>
  <c r="H117" i="3"/>
  <c r="C117" i="3"/>
  <c r="B117" i="3"/>
  <c r="A117" i="3"/>
  <c r="H116" i="3"/>
  <c r="C116" i="3"/>
  <c r="B116" i="3"/>
  <c r="A116" i="3"/>
  <c r="H115" i="3"/>
  <c r="C115" i="3"/>
  <c r="B115" i="3"/>
  <c r="A115" i="3"/>
  <c r="H114" i="3"/>
  <c r="C114" i="3"/>
  <c r="B114" i="3"/>
  <c r="A114" i="3"/>
  <c r="H113" i="3"/>
  <c r="C113" i="3"/>
  <c r="B113" i="3"/>
  <c r="A113" i="3"/>
  <c r="H112" i="3"/>
  <c r="C112" i="3"/>
  <c r="B112" i="3"/>
  <c r="A112" i="3"/>
  <c r="H111" i="3"/>
  <c r="C111" i="3"/>
  <c r="B111" i="3"/>
  <c r="A111" i="3"/>
  <c r="H110" i="3"/>
  <c r="C110" i="3"/>
  <c r="B110" i="3"/>
  <c r="A110" i="3"/>
  <c r="H109" i="3"/>
  <c r="C109" i="3"/>
  <c r="B109" i="3"/>
  <c r="A109" i="3"/>
  <c r="H108" i="3"/>
  <c r="C108" i="3"/>
  <c r="B108" i="3"/>
  <c r="A108" i="3"/>
  <c r="H107" i="3"/>
  <c r="C107" i="3"/>
  <c r="B107" i="3"/>
  <c r="A107" i="3"/>
  <c r="H106" i="3"/>
  <c r="C106" i="3"/>
  <c r="B106" i="3"/>
  <c r="A106" i="3"/>
  <c r="H105" i="3"/>
  <c r="C105" i="3"/>
  <c r="B105" i="3"/>
  <c r="A105" i="3"/>
  <c r="H104" i="3"/>
  <c r="C104" i="3"/>
  <c r="B104" i="3"/>
  <c r="A104" i="3"/>
  <c r="H103" i="3"/>
  <c r="C103" i="3"/>
  <c r="B103" i="3"/>
  <c r="A103" i="3"/>
  <c r="H102" i="3"/>
  <c r="C102" i="3"/>
  <c r="B102" i="3"/>
  <c r="A102" i="3"/>
  <c r="H101" i="3"/>
  <c r="C101" i="3"/>
  <c r="B101" i="3"/>
  <c r="A101" i="3"/>
  <c r="H100" i="3"/>
  <c r="C100" i="3"/>
  <c r="B100" i="3"/>
  <c r="A100" i="3"/>
  <c r="H99" i="3"/>
  <c r="C99" i="3"/>
  <c r="B99" i="3"/>
  <c r="A99" i="3"/>
  <c r="H98" i="3"/>
  <c r="C98" i="3"/>
  <c r="B98" i="3"/>
  <c r="A98" i="3"/>
  <c r="H97" i="3"/>
  <c r="C97" i="3"/>
  <c r="B97" i="3"/>
  <c r="A97" i="3"/>
  <c r="H96" i="3"/>
  <c r="C96" i="3"/>
  <c r="B96" i="3"/>
  <c r="A96" i="3"/>
  <c r="H95" i="3"/>
  <c r="C95" i="3"/>
  <c r="B95" i="3"/>
  <c r="A95" i="3"/>
  <c r="H94" i="3"/>
  <c r="C94" i="3"/>
  <c r="B94" i="3"/>
  <c r="A94" i="3"/>
  <c r="H93" i="3"/>
  <c r="C93" i="3"/>
  <c r="B93" i="3"/>
  <c r="A93" i="3"/>
  <c r="H92" i="3"/>
  <c r="C92" i="3"/>
  <c r="B92" i="3"/>
  <c r="A92" i="3"/>
  <c r="H91" i="3"/>
  <c r="C91" i="3"/>
  <c r="B91" i="3"/>
  <c r="A91" i="3"/>
  <c r="H90" i="3"/>
  <c r="C90" i="3"/>
  <c r="B90" i="3"/>
  <c r="A90" i="3"/>
  <c r="H89" i="3"/>
  <c r="C89" i="3"/>
  <c r="B89" i="3"/>
  <c r="A89" i="3"/>
  <c r="H88" i="3"/>
  <c r="C88" i="3"/>
  <c r="B88" i="3"/>
  <c r="A88" i="3"/>
  <c r="H87" i="3"/>
  <c r="C87" i="3"/>
  <c r="B87" i="3"/>
  <c r="A87" i="3"/>
  <c r="H86" i="3"/>
  <c r="C86" i="3"/>
  <c r="B86" i="3"/>
  <c r="A86" i="3"/>
  <c r="H85" i="3"/>
  <c r="C85" i="3"/>
  <c r="B85" i="3"/>
  <c r="A85" i="3"/>
  <c r="H84" i="3"/>
  <c r="C84" i="3"/>
  <c r="B84" i="3"/>
  <c r="A84" i="3"/>
  <c r="H83" i="3"/>
  <c r="C83" i="3"/>
  <c r="B83" i="3"/>
  <c r="A83" i="3"/>
  <c r="H82" i="3"/>
  <c r="C82" i="3"/>
  <c r="B82" i="3"/>
  <c r="A82" i="3"/>
  <c r="H81" i="3"/>
  <c r="C81" i="3"/>
  <c r="B81" i="3"/>
  <c r="A81" i="3"/>
  <c r="H80" i="3"/>
  <c r="C80" i="3"/>
  <c r="B80" i="3"/>
  <c r="A80" i="3"/>
  <c r="H79" i="3"/>
  <c r="C79" i="3"/>
  <c r="B79" i="3"/>
  <c r="A79" i="3"/>
  <c r="H78" i="3"/>
  <c r="C78" i="3"/>
  <c r="B78" i="3"/>
  <c r="A78" i="3"/>
  <c r="H77" i="3"/>
  <c r="C77" i="3"/>
  <c r="B77" i="3"/>
  <c r="A77" i="3"/>
  <c r="H76" i="3"/>
  <c r="C76" i="3"/>
  <c r="B76" i="3"/>
  <c r="A76" i="3"/>
  <c r="H75" i="3"/>
  <c r="C75" i="3"/>
  <c r="B75" i="3"/>
  <c r="A75" i="3"/>
  <c r="H74" i="3"/>
  <c r="C74" i="3"/>
  <c r="B74" i="3"/>
  <c r="A74" i="3"/>
  <c r="H73" i="3"/>
  <c r="C73" i="3"/>
  <c r="B73" i="3"/>
  <c r="A73" i="3"/>
  <c r="H72" i="3"/>
  <c r="C72" i="3"/>
  <c r="B72" i="3"/>
  <c r="A72" i="3"/>
  <c r="H71" i="3"/>
  <c r="C71" i="3"/>
  <c r="B71" i="3"/>
  <c r="A71" i="3"/>
  <c r="H70" i="3"/>
  <c r="C70" i="3"/>
  <c r="B70" i="3"/>
  <c r="A70" i="3"/>
  <c r="H69" i="3"/>
  <c r="C69" i="3"/>
  <c r="B69" i="3"/>
  <c r="A69" i="3"/>
  <c r="H68" i="3"/>
  <c r="C68" i="3"/>
  <c r="B68" i="3"/>
  <c r="A68" i="3"/>
  <c r="H67" i="3"/>
  <c r="C67" i="3"/>
  <c r="B67" i="3"/>
  <c r="A67" i="3"/>
  <c r="H66" i="3"/>
  <c r="C66" i="3"/>
  <c r="B66" i="3"/>
  <c r="A66" i="3"/>
  <c r="H65" i="3"/>
  <c r="C65" i="3"/>
  <c r="B65" i="3"/>
  <c r="A65" i="3"/>
  <c r="H64" i="3"/>
  <c r="C64" i="3"/>
  <c r="B64" i="3"/>
  <c r="A64" i="3"/>
  <c r="H63" i="3"/>
  <c r="C63" i="3"/>
  <c r="B63" i="3"/>
  <c r="A63" i="3"/>
  <c r="H62" i="3"/>
  <c r="C62" i="3"/>
  <c r="B62" i="3"/>
  <c r="A62" i="3"/>
  <c r="H61" i="3"/>
  <c r="C61" i="3"/>
  <c r="B61" i="3"/>
  <c r="A61" i="3"/>
  <c r="H60" i="3"/>
  <c r="C60" i="3"/>
  <c r="B60" i="3"/>
  <c r="A60" i="3"/>
  <c r="H59" i="3"/>
  <c r="C59" i="3"/>
  <c r="B59" i="3"/>
  <c r="A59" i="3"/>
  <c r="H58" i="3"/>
  <c r="C58" i="3"/>
  <c r="B58" i="3"/>
  <c r="A58" i="3"/>
  <c r="H57" i="3"/>
  <c r="C57" i="3"/>
  <c r="B57" i="3"/>
  <c r="A57" i="3"/>
  <c r="H56" i="3"/>
  <c r="C56" i="3"/>
  <c r="B56" i="3"/>
  <c r="A56" i="3"/>
  <c r="H55" i="3"/>
  <c r="C55" i="3"/>
  <c r="B55" i="3"/>
  <c r="A55" i="3"/>
  <c r="H54" i="3"/>
  <c r="C54" i="3"/>
  <c r="B54" i="3"/>
  <c r="A54" i="3"/>
  <c r="H53" i="3"/>
  <c r="C53" i="3"/>
  <c r="B53" i="3"/>
  <c r="A53" i="3"/>
  <c r="H52" i="3"/>
  <c r="C52" i="3"/>
  <c r="B52" i="3"/>
  <c r="A52" i="3"/>
  <c r="H51" i="3"/>
  <c r="C51" i="3"/>
  <c r="B51" i="3"/>
  <c r="A51" i="3"/>
  <c r="H50" i="3"/>
  <c r="C50" i="3"/>
  <c r="B50" i="3"/>
  <c r="A50" i="3"/>
  <c r="H49" i="3"/>
  <c r="C49" i="3"/>
  <c r="B49" i="3"/>
  <c r="A49" i="3"/>
  <c r="H48" i="3"/>
  <c r="C48" i="3"/>
  <c r="B48" i="3"/>
  <c r="A48" i="3"/>
  <c r="H47" i="3"/>
  <c r="C47" i="3"/>
  <c r="B47" i="3"/>
  <c r="A47" i="3"/>
  <c r="H46" i="3"/>
  <c r="C46" i="3"/>
  <c r="B46" i="3"/>
  <c r="A46" i="3"/>
  <c r="H45" i="3"/>
  <c r="C45" i="3"/>
  <c r="B45" i="3"/>
  <c r="A45" i="3"/>
  <c r="H44" i="3"/>
  <c r="C44" i="3"/>
  <c r="B44" i="3"/>
  <c r="A44" i="3"/>
  <c r="H43" i="3"/>
  <c r="C43" i="3"/>
  <c r="B43" i="3"/>
  <c r="A43" i="3"/>
  <c r="H42" i="3"/>
  <c r="C42" i="3"/>
  <c r="B42" i="3"/>
  <c r="A42" i="3"/>
  <c r="H41" i="3"/>
  <c r="C41" i="3"/>
  <c r="B41" i="3"/>
  <c r="A41" i="3"/>
  <c r="H40" i="3"/>
  <c r="C40" i="3"/>
  <c r="B40" i="3"/>
  <c r="A40" i="3"/>
  <c r="H39" i="3"/>
  <c r="C39" i="3"/>
  <c r="B39" i="3"/>
  <c r="A39" i="3"/>
  <c r="H38" i="3"/>
  <c r="C38" i="3"/>
  <c r="B38" i="3"/>
  <c r="A38" i="3"/>
  <c r="H37" i="3"/>
  <c r="C37" i="3"/>
  <c r="B37" i="3"/>
  <c r="A37" i="3"/>
  <c r="H36" i="3"/>
  <c r="C36" i="3"/>
  <c r="B36" i="3"/>
  <c r="A36" i="3"/>
  <c r="H35" i="3"/>
  <c r="C35" i="3"/>
  <c r="B35" i="3"/>
  <c r="A35" i="3"/>
  <c r="H34" i="3"/>
  <c r="C34" i="3"/>
  <c r="B34" i="3"/>
  <c r="A34" i="3"/>
  <c r="H33" i="3"/>
  <c r="C33" i="3"/>
  <c r="B33" i="3"/>
  <c r="A33" i="3"/>
  <c r="H32" i="3"/>
  <c r="C32" i="3"/>
  <c r="B32" i="3"/>
  <c r="A32" i="3"/>
  <c r="H31" i="3"/>
  <c r="C31" i="3"/>
  <c r="B31" i="3"/>
  <c r="A31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B4" i="3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<sst xmlns="http://schemas.openxmlformats.org/spreadsheetml/2006/main" count="868" uniqueCount="50">
  <si>
    <t>Abbreviation</t>
  </si>
  <si>
    <t>Full Name</t>
  </si>
  <si>
    <t>Population type</t>
  </si>
  <si>
    <t>atsi_0-14_M</t>
  </si>
  <si>
    <t>default</t>
  </si>
  <si>
    <t>atsi_15-64_M</t>
  </si>
  <si>
    <t>atsi_65+_M</t>
  </si>
  <si>
    <t>atsi_0-14_F</t>
  </si>
  <si>
    <t>atsi_15-64_F</t>
  </si>
  <si>
    <t>atsi_65+_F</t>
  </si>
  <si>
    <t>ausb_0-14_M</t>
  </si>
  <si>
    <t>ausb_15-64_M</t>
  </si>
  <si>
    <t>ausb_65+_M</t>
  </si>
  <si>
    <t>ausb_0-14_F</t>
  </si>
  <si>
    <t>ausb_15-64_F</t>
  </si>
  <si>
    <t>ausb_65+_F</t>
  </si>
  <si>
    <t>lros_0-14_M</t>
  </si>
  <si>
    <t>lros_15-64_M</t>
  </si>
  <si>
    <t>lros_65+_M</t>
  </si>
  <si>
    <t>lros_0-14_F</t>
  </si>
  <si>
    <t>lros_15-64_F</t>
  </si>
  <si>
    <t>lros_65+_F</t>
  </si>
  <si>
    <t>hros_0-14_M</t>
  </si>
  <si>
    <t>hros_15-64_M</t>
  </si>
  <si>
    <t>hros_65+_M</t>
  </si>
  <si>
    <t>hros_0-14_F</t>
  </si>
  <si>
    <t>hros_15-64_F</t>
  </si>
  <si>
    <t>hros_65+_F</t>
  </si>
  <si>
    <t>Total Population Size</t>
  </si>
  <si>
    <t>Provenance</t>
  </si>
  <si>
    <t>Units</t>
  </si>
  <si>
    <t>Uncertainty</t>
  </si>
  <si>
    <t>Number</t>
  </si>
  <si>
    <t>Annual Livebirths</t>
  </si>
  <si>
    <t>Constant</t>
  </si>
  <si>
    <t>Number (per year)</t>
  </si>
  <si>
    <t>OR</t>
  </si>
  <si>
    <t>Rate of Migration (neg = emig)</t>
  </si>
  <si>
    <t>N.A.</t>
  </si>
  <si>
    <t>All Cause (non HepB) Mortality Rate</t>
  </si>
  <si>
    <t>Probability (per year)</t>
  </si>
  <si>
    <t>age</t>
  </si>
  <si>
    <t>aging</t>
  </si>
  <si>
    <t>From population type</t>
  </si>
  <si>
    <t>To population type</t>
  </si>
  <si>
    <t>N</t>
  </si>
  <si>
    <t>From population</t>
  </si>
  <si>
    <t>To population</t>
  </si>
  <si>
    <t>Y</t>
  </si>
  <si>
    <t>Rate (per year)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</si>
</sst>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  <xf numFmtId="164" fontId="0" fillId="0" borderId="0" xfId="1" applyNumberFormat="1" applyFont="1"/>
    <xf numFmtId="10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676"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C25"/>
  <sheetViews>
    <sheetView topLeftCell="A4" workbookViewId="0"/>
  </sheetViews>
  <sheetFormatPr defaultRowHeight="14.5" x14ac:dyDescent="0.35"/>
  <cols>
    <col min="1" max="2" width="14.81640625" customWidth="1"/>
    <col min="3" max="3" width="18.26953125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3</v>
      </c>
      <c r="B2" s="2" t="s">
        <v>3</v>
      </c>
      <c r="C2" s="3" t="s">
        <v>4</v>
      </c>
    </row>
    <row r="3" spans="1:3" x14ac:dyDescent="0.35">
      <c r="A3" s="2" t="s">
        <v>5</v>
      </c>
      <c r="B3" s="2" t="s">
        <v>5</v>
      </c>
      <c r="C3" s="3" t="s">
        <v>4</v>
      </c>
    </row>
    <row r="4" spans="1:3" x14ac:dyDescent="0.35">
      <c r="A4" s="2" t="s">
        <v>6</v>
      </c>
      <c r="B4" s="2" t="s">
        <v>6</v>
      </c>
      <c r="C4" s="3" t="s">
        <v>4</v>
      </c>
    </row>
    <row r="5" spans="1:3" x14ac:dyDescent="0.35">
      <c r="A5" s="2" t="s">
        <v>7</v>
      </c>
      <c r="B5" s="2" t="s">
        <v>7</v>
      </c>
      <c r="C5" s="3" t="s">
        <v>4</v>
      </c>
    </row>
    <row r="6" spans="1:3" x14ac:dyDescent="0.35">
      <c r="A6" s="2" t="s">
        <v>8</v>
      </c>
      <c r="B6" s="2" t="s">
        <v>8</v>
      </c>
      <c r="C6" s="3" t="s">
        <v>4</v>
      </c>
    </row>
    <row r="7" spans="1:3" x14ac:dyDescent="0.35">
      <c r="A7" s="2" t="s">
        <v>9</v>
      </c>
      <c r="B7" s="2" t="s">
        <v>9</v>
      </c>
      <c r="C7" s="3" t="s">
        <v>4</v>
      </c>
    </row>
    <row r="8" spans="1:3" x14ac:dyDescent="0.35">
      <c r="A8" s="2" t="s">
        <v>10</v>
      </c>
      <c r="B8" s="2" t="s">
        <v>10</v>
      </c>
      <c r="C8" s="3" t="s">
        <v>4</v>
      </c>
    </row>
    <row r="9" spans="1:3" x14ac:dyDescent="0.35">
      <c r="A9" s="2" t="s">
        <v>11</v>
      </c>
      <c r="B9" s="2" t="s">
        <v>11</v>
      </c>
      <c r="C9" s="3" t="s">
        <v>4</v>
      </c>
    </row>
    <row r="10" spans="1:3" x14ac:dyDescent="0.35">
      <c r="A10" s="2" t="s">
        <v>12</v>
      </c>
      <c r="B10" s="2" t="s">
        <v>12</v>
      </c>
      <c r="C10" s="3" t="s">
        <v>4</v>
      </c>
    </row>
    <row r="11" spans="1:3" x14ac:dyDescent="0.35">
      <c r="A11" s="2" t="s">
        <v>13</v>
      </c>
      <c r="B11" s="2" t="s">
        <v>13</v>
      </c>
      <c r="C11" s="3" t="s">
        <v>4</v>
      </c>
    </row>
    <row r="12" spans="1:3" x14ac:dyDescent="0.35">
      <c r="A12" s="2" t="s">
        <v>14</v>
      </c>
      <c r="B12" s="2" t="s">
        <v>14</v>
      </c>
      <c r="C12" s="3" t="s">
        <v>4</v>
      </c>
    </row>
    <row r="13" spans="1:3" x14ac:dyDescent="0.35">
      <c r="A13" s="2" t="s">
        <v>15</v>
      </c>
      <c r="B13" s="2" t="s">
        <v>15</v>
      </c>
      <c r="C13" s="3" t="s">
        <v>4</v>
      </c>
    </row>
    <row r="14" spans="1:3" x14ac:dyDescent="0.35">
      <c r="A14" s="2" t="s">
        <v>16</v>
      </c>
      <c r="B14" s="2" t="s">
        <v>16</v>
      </c>
      <c r="C14" s="3" t="s">
        <v>4</v>
      </c>
    </row>
    <row r="15" spans="1:3" x14ac:dyDescent="0.35">
      <c r="A15" s="2" t="s">
        <v>17</v>
      </c>
      <c r="B15" s="2" t="s">
        <v>17</v>
      </c>
      <c r="C15" s="3" t="s">
        <v>4</v>
      </c>
    </row>
    <row r="16" spans="1:3" x14ac:dyDescent="0.35">
      <c r="A16" s="2" t="s">
        <v>18</v>
      </c>
      <c r="B16" s="2" t="s">
        <v>18</v>
      </c>
      <c r="C16" s="3" t="s">
        <v>4</v>
      </c>
    </row>
    <row r="17" spans="1:3" x14ac:dyDescent="0.35">
      <c r="A17" s="2" t="s">
        <v>19</v>
      </c>
      <c r="B17" s="2" t="s">
        <v>19</v>
      </c>
      <c r="C17" s="3" t="s">
        <v>4</v>
      </c>
    </row>
    <row r="18" spans="1:3" x14ac:dyDescent="0.35">
      <c r="A18" s="2" t="s">
        <v>20</v>
      </c>
      <c r="B18" s="2" t="s">
        <v>20</v>
      </c>
      <c r="C18" s="3" t="s">
        <v>4</v>
      </c>
    </row>
    <row r="19" spans="1:3" x14ac:dyDescent="0.35">
      <c r="A19" s="2" t="s">
        <v>21</v>
      </c>
      <c r="B19" s="2" t="s">
        <v>21</v>
      </c>
      <c r="C19" s="3" t="s">
        <v>4</v>
      </c>
    </row>
    <row r="20" spans="1:3" x14ac:dyDescent="0.35">
      <c r="A20" s="2" t="s">
        <v>22</v>
      </c>
      <c r="B20" s="2" t="s">
        <v>22</v>
      </c>
      <c r="C20" s="3" t="s">
        <v>4</v>
      </c>
    </row>
    <row r="21" spans="1:3" x14ac:dyDescent="0.35">
      <c r="A21" s="2" t="s">
        <v>23</v>
      </c>
      <c r="B21" s="2" t="s">
        <v>23</v>
      </c>
      <c r="C21" s="3" t="s">
        <v>4</v>
      </c>
    </row>
    <row r="22" spans="1:3" x14ac:dyDescent="0.35">
      <c r="A22" s="2" t="s">
        <v>24</v>
      </c>
      <c r="B22" s="2" t="s">
        <v>24</v>
      </c>
      <c r="C22" s="3" t="s">
        <v>4</v>
      </c>
    </row>
    <row r="23" spans="1:3" x14ac:dyDescent="0.35">
      <c r="A23" s="2" t="s">
        <v>25</v>
      </c>
      <c r="B23" s="2" t="s">
        <v>25</v>
      </c>
      <c r="C23" s="3" t="s">
        <v>4</v>
      </c>
    </row>
    <row r="24" spans="1:3" x14ac:dyDescent="0.35">
      <c r="A24" s="2" t="s">
        <v>26</v>
      </c>
      <c r="B24" s="2" t="s">
        <v>26</v>
      </c>
      <c r="C24" s="3" t="s">
        <v>4</v>
      </c>
    </row>
    <row r="25" spans="1:3" x14ac:dyDescent="0.35">
      <c r="A25" s="2" t="s">
        <v>27</v>
      </c>
      <c r="B25" s="2" t="s">
        <v>27</v>
      </c>
      <c r="C25" s="3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T103"/>
  <sheetViews>
    <sheetView tabSelected="1" topLeftCell="A31" workbookViewId="0">
      <selection activeCell="G80" sqref="G80:CS103"/>
    </sheetView>
  </sheetViews>
  <sheetFormatPr defaultRowHeight="14.5" x14ac:dyDescent="0.35"/>
  <cols>
    <col min="1" max="1" width="40.26953125" customWidth="1"/>
    <col min="2" max="2" width="12.7265625" customWidth="1"/>
    <col min="3" max="3" width="25.81640625" customWidth="1"/>
    <col min="4" max="4" width="13.81640625" customWidth="1"/>
    <col min="5" max="5" width="10.54296875" customWidth="1"/>
    <col min="6" max="98" width="9.453125" customWidth="1"/>
  </cols>
  <sheetData>
    <row r="1" spans="1:96" x14ac:dyDescent="0.35">
      <c r="A1" s="1" t="s">
        <v>28</v>
      </c>
      <c r="B1" s="1" t="s">
        <v>29</v>
      </c>
      <c r="C1" s="1" t="s">
        <v>30</v>
      </c>
      <c r="D1" s="1" t="s">
        <v>31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  <c r="AZ1" s="1">
        <v>2027</v>
      </c>
      <c r="BA1" s="1">
        <v>2028</v>
      </c>
      <c r="BB1" s="1">
        <v>2029</v>
      </c>
      <c r="BC1" s="1">
        <v>2030</v>
      </c>
      <c r="BD1" s="1">
        <v>2031</v>
      </c>
      <c r="BE1" s="1">
        <v>2032</v>
      </c>
      <c r="BF1" s="1">
        <v>2033</v>
      </c>
      <c r="BG1" s="1">
        <v>2034</v>
      </c>
      <c r="BH1" s="1">
        <v>2035</v>
      </c>
      <c r="BI1" s="1">
        <v>2036</v>
      </c>
      <c r="BJ1" s="1">
        <v>2037</v>
      </c>
      <c r="BK1" s="1">
        <v>2038</v>
      </c>
      <c r="BL1" s="1">
        <v>2039</v>
      </c>
      <c r="BM1" s="1">
        <v>2040</v>
      </c>
      <c r="BN1" s="1">
        <v>2041</v>
      </c>
      <c r="BO1" s="1">
        <v>2042</v>
      </c>
      <c r="BP1" s="1">
        <v>2043</v>
      </c>
      <c r="BQ1" s="1">
        <v>2044</v>
      </c>
      <c r="BR1" s="1">
        <v>2045</v>
      </c>
      <c r="BS1" s="1">
        <v>2046</v>
      </c>
      <c r="BT1" s="1">
        <v>2047</v>
      </c>
      <c r="BU1" s="1">
        <v>2048</v>
      </c>
      <c r="BV1" s="1">
        <v>2049</v>
      </c>
      <c r="BW1" s="1">
        <v>2050</v>
      </c>
      <c r="BX1" s="1">
        <v>2051</v>
      </c>
      <c r="BY1" s="1">
        <v>2052</v>
      </c>
      <c r="BZ1" s="1">
        <v>2053</v>
      </c>
      <c r="CA1" s="1">
        <v>2054</v>
      </c>
      <c r="CB1" s="1">
        <v>2055</v>
      </c>
      <c r="CC1" s="1">
        <v>2056</v>
      </c>
      <c r="CD1" s="1">
        <v>2057</v>
      </c>
      <c r="CE1" s="1">
        <v>2058</v>
      </c>
      <c r="CF1" s="1">
        <v>2059</v>
      </c>
      <c r="CG1" s="1">
        <v>2060</v>
      </c>
      <c r="CH1" s="1">
        <v>2061</v>
      </c>
      <c r="CI1" s="1">
        <v>2062</v>
      </c>
      <c r="CJ1" s="1">
        <v>2063</v>
      </c>
      <c r="CK1" s="1">
        <v>2064</v>
      </c>
      <c r="CL1" s="1">
        <v>2065</v>
      </c>
      <c r="CM1" s="1">
        <v>2066</v>
      </c>
      <c r="CN1" s="1">
        <v>2067</v>
      </c>
      <c r="CO1" s="1">
        <v>2068</v>
      </c>
      <c r="CP1" s="1">
        <v>2069</v>
      </c>
      <c r="CQ1" s="1">
        <v>2070</v>
      </c>
      <c r="CR1" s="1">
        <v>2071</v>
      </c>
    </row>
    <row r="2" spans="1:96" x14ac:dyDescent="0.35">
      <c r="A2" s="1" t="str">
        <f>'Population Definitions'!$B$2</f>
        <v>atsi_0-14_M</v>
      </c>
      <c r="C2" t="s">
        <v>32</v>
      </c>
      <c r="D2" s="3"/>
      <c r="E2" s="6">
        <v>72972.052442571614</v>
      </c>
      <c r="F2" s="6">
        <v>74700.102051270718</v>
      </c>
      <c r="G2" s="6">
        <v>76469.073565688086</v>
      </c>
      <c r="H2" s="6">
        <v>78279.936056595325</v>
      </c>
      <c r="I2" s="6">
        <v>80133.68154330815</v>
      </c>
      <c r="J2" s="6">
        <v>82031.32553713044</v>
      </c>
      <c r="K2" s="6">
        <v>83973.90759766745</v>
      </c>
      <c r="L2" s="6">
        <v>85962.491902313181</v>
      </c>
      <c r="M2" s="6">
        <v>87998.167829223647</v>
      </c>
      <c r="N2" s="6">
        <v>90082.050554095607</v>
      </c>
      <c r="O2" s="6">
        <v>92215.281661077606</v>
      </c>
      <c r="P2" s="6">
        <v>94399.029768147913</v>
      </c>
      <c r="Q2" s="6">
        <v>96634.491167302083</v>
      </c>
      <c r="R2" s="6">
        <v>98922.8904799007</v>
      </c>
      <c r="S2" s="6">
        <v>101265.48132753663</v>
      </c>
      <c r="T2" s="6">
        <v>103663.54701878864</v>
      </c>
      <c r="U2" s="6">
        <v>106118.40125223857</v>
      </c>
      <c r="V2" s="6">
        <v>108631.38883613612</v>
      </c>
      <c r="W2" s="6">
        <v>111203.88642510632</v>
      </c>
      <c r="X2" s="6">
        <v>113837.30327430289</v>
      </c>
      <c r="Y2" s="6">
        <v>116533.08201142054</v>
      </c>
      <c r="Z2" s="6">
        <v>119292.69942698952</v>
      </c>
      <c r="AA2" s="6">
        <v>122117.66728338494</v>
      </c>
      <c r="AB2" s="6">
        <v>125009.53314299435</v>
      </c>
      <c r="AC2" s="6">
        <v>127969.88121599689</v>
      </c>
      <c r="AD2" s="6">
        <v>131000.33322821905</v>
      </c>
      <c r="AE2" s="6">
        <v>134102.54930954182</v>
      </c>
      <c r="AF2" s="6">
        <v>137278.22890334629</v>
      </c>
      <c r="AG2" s="6">
        <v>140529.1116974958</v>
      </c>
      <c r="AH2" s="6">
        <v>143856.97857736467</v>
      </c>
      <c r="AI2" s="6">
        <v>147263.65260143558</v>
      </c>
      <c r="AJ2" s="6">
        <v>150751</v>
      </c>
      <c r="AK2" s="6">
        <v>153528</v>
      </c>
      <c r="AL2" s="6">
        <v>156065</v>
      </c>
      <c r="AM2" s="6">
        <v>158412</v>
      </c>
      <c r="AN2" s="6">
        <v>160505</v>
      </c>
      <c r="AO2" s="6">
        <v>162419</v>
      </c>
      <c r="AP2" s="6">
        <v>164048</v>
      </c>
      <c r="AQ2" s="6">
        <v>165589</v>
      </c>
      <c r="AR2" s="6">
        <v>167029</v>
      </c>
      <c r="AS2" s="6">
        <v>167530</v>
      </c>
      <c r="AT2" s="6">
        <v>167662</v>
      </c>
      <c r="AU2" s="6">
        <v>168428</v>
      </c>
      <c r="AV2" s="6">
        <v>169111</v>
      </c>
      <c r="AW2" s="6">
        <v>170077</v>
      </c>
      <c r="AX2" s="6">
        <v>171277</v>
      </c>
      <c r="AY2" s="6">
        <v>172906</v>
      </c>
      <c r="AZ2" s="6">
        <v>174629</v>
      </c>
      <c r="BA2" s="6">
        <v>176402</v>
      </c>
      <c r="BB2" s="6">
        <v>178433</v>
      </c>
      <c r="BC2" s="6">
        <v>180768</v>
      </c>
      <c r="BD2" s="6">
        <v>183253</v>
      </c>
      <c r="BE2" s="6">
        <v>185949.16050506922</v>
      </c>
      <c r="BF2" s="6">
        <v>188652.36608364031</v>
      </c>
      <c r="BG2" s="6">
        <v>191431.4450659767</v>
      </c>
      <c r="BH2" s="6">
        <v>194280.37618578316</v>
      </c>
      <c r="BI2" s="6">
        <v>197206.37577149097</v>
      </c>
      <c r="BJ2" s="6">
        <v>200196.781319662</v>
      </c>
      <c r="BK2" s="6">
        <v>203241.86038576328</v>
      </c>
      <c r="BL2" s="6">
        <v>206360.52488091486</v>
      </c>
      <c r="BM2" s="6">
        <v>209534.8256641172</v>
      </c>
      <c r="BN2" s="6">
        <v>212763.74192727904</v>
      </c>
      <c r="BO2" s="6">
        <v>216036.40341658206</v>
      </c>
      <c r="BP2" s="6">
        <v>219341.0290584779</v>
      </c>
      <c r="BQ2" s="6">
        <v>222679.63328684086</v>
      </c>
      <c r="BR2" s="6">
        <v>226053.90778910072</v>
      </c>
      <c r="BS2" s="6">
        <v>229465.45748721936</v>
      </c>
      <c r="BT2" s="6">
        <v>232906.59498300671</v>
      </c>
      <c r="BU2" s="6">
        <v>236383.18366485741</v>
      </c>
      <c r="BV2" s="6">
        <v>239898.29719620483</v>
      </c>
      <c r="BW2" s="6">
        <v>243465.85362811774</v>
      </c>
      <c r="BX2" s="6">
        <v>247097.79433510092</v>
      </c>
      <c r="BY2" s="6">
        <v>250786.18654877861</v>
      </c>
      <c r="BZ2" s="6">
        <v>254527.7288804134</v>
      </c>
      <c r="CA2" s="6">
        <v>258340.91704207571</v>
      </c>
      <c r="CB2" s="6">
        <v>262232.44635079813</v>
      </c>
      <c r="CC2" s="6">
        <v>266201.53241420188</v>
      </c>
      <c r="CD2" s="6">
        <v>270253.42839980091</v>
      </c>
      <c r="CE2" s="6">
        <v>274387.82161658187</v>
      </c>
      <c r="CF2" s="6">
        <v>278595.64678256179</v>
      </c>
      <c r="CG2" s="6">
        <v>282873.37469545833</v>
      </c>
      <c r="CH2" s="6">
        <v>287226.785662618</v>
      </c>
      <c r="CI2" s="6">
        <v>291647.17322813731</v>
      </c>
      <c r="CJ2" s="6">
        <v>296143.43105657859</v>
      </c>
      <c r="CK2" s="6">
        <v>300712.87986600102</v>
      </c>
      <c r="CL2" s="6">
        <v>305353.79969508143</v>
      </c>
      <c r="CM2" s="6">
        <v>310065.13021137728</v>
      </c>
      <c r="CN2" s="6">
        <v>314858.61466163612</v>
      </c>
      <c r="CO2" s="6">
        <v>319716.23978924612</v>
      </c>
      <c r="CP2" s="6">
        <v>324641.80904867098</v>
      </c>
      <c r="CQ2" s="6">
        <v>329639.75650555047</v>
      </c>
      <c r="CR2" s="2"/>
    </row>
    <row r="3" spans="1:96" x14ac:dyDescent="0.35">
      <c r="A3" s="1" t="str">
        <f>'Population Definitions'!$B$3</f>
        <v>atsi_15-64_M</v>
      </c>
      <c r="C3" t="s">
        <v>32</v>
      </c>
      <c r="D3" s="3"/>
      <c r="E3" s="6">
        <v>116088.4472075628</v>
      </c>
      <c r="F3" s="6">
        <v>118837.53523587872</v>
      </c>
      <c r="G3" s="6">
        <v>121651.72435882737</v>
      </c>
      <c r="H3" s="6">
        <v>124532.5562340344</v>
      </c>
      <c r="I3" s="6">
        <v>127481.60902708666</v>
      </c>
      <c r="J3" s="6">
        <v>130500.49827607628</v>
      </c>
      <c r="K3" s="6">
        <v>133590.87777661841</v>
      </c>
      <c r="L3" s="6">
        <v>136754.44048782668</v>
      </c>
      <c r="M3" s="6">
        <v>139992.91945974313</v>
      </c>
      <c r="N3" s="6">
        <v>143308.08878273066</v>
      </c>
      <c r="O3" s="6">
        <v>146701.76455934808</v>
      </c>
      <c r="P3" s="6">
        <v>150175.8058992399</v>
      </c>
      <c r="Q3" s="6">
        <v>153732.11593758623</v>
      </c>
      <c r="R3" s="6">
        <v>157372.64287767059</v>
      </c>
      <c r="S3" s="6">
        <v>161099.38105813658</v>
      </c>
      <c r="T3" s="6">
        <v>164914.3720455186</v>
      </c>
      <c r="U3" s="6">
        <v>168819.70575264422</v>
      </c>
      <c r="V3" s="6">
        <v>172817.52158352194</v>
      </c>
      <c r="W3" s="6">
        <v>176910.00960534066</v>
      </c>
      <c r="X3" s="6">
        <v>181099.41174822339</v>
      </c>
      <c r="Y3" s="6">
        <v>185388.02303339232</v>
      </c>
      <c r="Z3" s="6">
        <v>189778.19283041795</v>
      </c>
      <c r="AA3" s="6">
        <v>194272.32614424126</v>
      </c>
      <c r="AB3" s="6">
        <v>198872.88493267362</v>
      </c>
      <c r="AC3" s="6">
        <v>203582.38945509645</v>
      </c>
      <c r="AD3" s="6">
        <v>208403.41965309955</v>
      </c>
      <c r="AE3" s="6">
        <v>213338.61656381426</v>
      </c>
      <c r="AF3" s="6">
        <v>218390.68376671546</v>
      </c>
      <c r="AG3" s="6">
        <v>223562.38886468569</v>
      </c>
      <c r="AH3" s="6">
        <v>228856.56500015195</v>
      </c>
      <c r="AI3" s="6">
        <v>234276.11240712626</v>
      </c>
      <c r="AJ3" s="6">
        <v>239824</v>
      </c>
      <c r="AK3" s="6">
        <v>245600</v>
      </c>
      <c r="AL3" s="6">
        <v>251606</v>
      </c>
      <c r="AM3" s="6">
        <v>257757</v>
      </c>
      <c r="AN3" s="6">
        <v>263785</v>
      </c>
      <c r="AO3" s="6">
        <v>269829</v>
      </c>
      <c r="AP3" s="6">
        <v>275900</v>
      </c>
      <c r="AQ3" s="6">
        <v>281863</v>
      </c>
      <c r="AR3" s="6">
        <v>287975</v>
      </c>
      <c r="AS3" s="6">
        <v>294421</v>
      </c>
      <c r="AT3" s="6">
        <v>301096</v>
      </c>
      <c r="AU3" s="6">
        <v>308211</v>
      </c>
      <c r="AV3" s="6">
        <v>315592</v>
      </c>
      <c r="AW3" s="6">
        <v>322713</v>
      </c>
      <c r="AX3" s="6">
        <v>329642</v>
      </c>
      <c r="AY3" s="6">
        <v>336071</v>
      </c>
      <c r="AZ3" s="6">
        <v>342580</v>
      </c>
      <c r="BA3" s="6">
        <v>349204</v>
      </c>
      <c r="BB3" s="6">
        <v>355675</v>
      </c>
      <c r="BC3" s="6">
        <v>361997</v>
      </c>
      <c r="BD3" s="6">
        <v>368298</v>
      </c>
      <c r="BE3" s="6">
        <v>374258.91681824089</v>
      </c>
      <c r="BF3" s="6">
        <v>380344.50590436306</v>
      </c>
      <c r="BG3" s="6">
        <v>386545.07182771608</v>
      </c>
      <c r="BH3" s="6">
        <v>392852.75150160323</v>
      </c>
      <c r="BI3" s="6">
        <v>399262.33289028751</v>
      </c>
      <c r="BJ3" s="6">
        <v>405770.4556176801</v>
      </c>
      <c r="BK3" s="6">
        <v>412375.27713269193</v>
      </c>
      <c r="BL3" s="6">
        <v>419075.86346520891</v>
      </c>
      <c r="BM3" s="6">
        <v>425871.80303709855</v>
      </c>
      <c r="BN3" s="6">
        <v>432763.45079371269</v>
      </c>
      <c r="BO3" s="6">
        <v>439751.42018867919</v>
      </c>
      <c r="BP3" s="6">
        <v>446836.52711892873</v>
      </c>
      <c r="BQ3" s="6">
        <v>454019.56470017333</v>
      </c>
      <c r="BR3" s="6">
        <v>461301.12216380588</v>
      </c>
      <c r="BS3" s="6">
        <v>468681.70505894226</v>
      </c>
      <c r="BT3" s="6">
        <v>476161.81115623598</v>
      </c>
      <c r="BU3" s="6">
        <v>483741.97954751417</v>
      </c>
      <c r="BV3" s="6">
        <v>491422.65233062918</v>
      </c>
      <c r="BW3" s="6">
        <v>499204.3220902367</v>
      </c>
      <c r="BX3" s="6">
        <v>507087.58321404993</v>
      </c>
      <c r="BY3" s="6">
        <v>515073.36496344308</v>
      </c>
      <c r="BZ3" s="6">
        <v>523163.05885876616</v>
      </c>
      <c r="CA3" s="6">
        <v>531358.2431446577</v>
      </c>
      <c r="CB3" s="6">
        <v>539660.57029338484</v>
      </c>
      <c r="CC3" s="6">
        <v>548072.08505703986</v>
      </c>
      <c r="CD3" s="6">
        <v>556595.23274533823</v>
      </c>
      <c r="CE3" s="6">
        <v>565232.72669121507</v>
      </c>
      <c r="CF3" s="6">
        <v>573987.56348678889</v>
      </c>
      <c r="CG3" s="6">
        <v>582862.93062434508</v>
      </c>
      <c r="CH3" s="6">
        <v>591861.97938860266</v>
      </c>
      <c r="CI3" s="6">
        <v>600987.7639878972</v>
      </c>
      <c r="CJ3" s="6">
        <v>610243.36802321055</v>
      </c>
      <c r="CK3" s="6">
        <v>619631.72802374861</v>
      </c>
      <c r="CL3" s="6">
        <v>629155.8298801647</v>
      </c>
      <c r="CM3" s="6">
        <v>638818.63561405893</v>
      </c>
      <c r="CN3" s="6">
        <v>648623.0483075059</v>
      </c>
      <c r="CO3" s="6">
        <v>658571.89872120018</v>
      </c>
      <c r="CP3" s="6">
        <v>668668.16991694621</v>
      </c>
      <c r="CQ3" s="6">
        <v>678914.61104713404</v>
      </c>
      <c r="CR3" s="2"/>
    </row>
    <row r="4" spans="1:96" x14ac:dyDescent="0.35">
      <c r="A4" s="1" t="str">
        <f>'Population Definitions'!$B$4</f>
        <v>atsi_65+_M</v>
      </c>
      <c r="C4" t="s">
        <v>32</v>
      </c>
      <c r="D4" s="3"/>
      <c r="E4" s="6">
        <v>5988.7512044331106</v>
      </c>
      <c r="F4" s="6">
        <v>6130.5706932512621</v>
      </c>
      <c r="G4" s="6">
        <v>6275.7486063421984</v>
      </c>
      <c r="H4" s="6">
        <v>6424.364474479089</v>
      </c>
      <c r="I4" s="6">
        <v>6576.4997118016354</v>
      </c>
      <c r="J4" s="6">
        <v>6732.2376604160354</v>
      </c>
      <c r="K4" s="6">
        <v>6891.6636360511156</v>
      </c>
      <c r="L4" s="6">
        <v>7054.8649747956479</v>
      </c>
      <c r="M4" s="6">
        <v>7221.9310809424478</v>
      </c>
      <c r="N4" s="6">
        <v>7392.9534759654734</v>
      </c>
      <c r="O4" s="6">
        <v>7568.0258486567409</v>
      </c>
      <c r="P4" s="6">
        <v>7747.2441064505456</v>
      </c>
      <c r="Q4" s="6">
        <v>7930.706427963074</v>
      </c>
      <c r="R4" s="6">
        <v>8118.5133167762178</v>
      </c>
      <c r="S4" s="6">
        <v>8310.7676564950361</v>
      </c>
      <c r="T4" s="6">
        <v>8507.5747671090285</v>
      </c>
      <c r="U4" s="6">
        <v>8709.0424626881122</v>
      </c>
      <c r="V4" s="6">
        <v>8915.2811104448792</v>
      </c>
      <c r="W4" s="6">
        <v>9126.4036911955172</v>
      </c>
      <c r="X4" s="6">
        <v>9342.5258612524976</v>
      </c>
      <c r="Y4" s="6">
        <v>9563.7660157829469</v>
      </c>
      <c r="Z4" s="6">
        <v>9790.245353667402</v>
      </c>
      <c r="AA4" s="6">
        <v>10022.08794389449</v>
      </c>
      <c r="AB4" s="6">
        <v>10259.42079352791</v>
      </c>
      <c r="AC4" s="6">
        <v>10502.37391728289</v>
      </c>
      <c r="AD4" s="6">
        <v>10751.08040875036</v>
      </c>
      <c r="AE4" s="6">
        <v>11005.676513307721</v>
      </c>
      <c r="AF4" s="6">
        <v>11266.3017027562</v>
      </c>
      <c r="AG4" s="6">
        <v>11533.098751725811</v>
      </c>
      <c r="AH4" s="6">
        <v>11806.21381588948</v>
      </c>
      <c r="AI4" s="6">
        <v>12085.79651202951</v>
      </c>
      <c r="AJ4" s="6">
        <v>12372</v>
      </c>
      <c r="AK4" s="6">
        <v>13381</v>
      </c>
      <c r="AL4" s="6">
        <v>14470</v>
      </c>
      <c r="AM4" s="6">
        <v>15454</v>
      </c>
      <c r="AN4" s="6">
        <v>16596</v>
      </c>
      <c r="AO4" s="6">
        <v>17808</v>
      </c>
      <c r="AP4" s="6">
        <v>19048</v>
      </c>
      <c r="AQ4" s="6">
        <v>20331</v>
      </c>
      <c r="AR4" s="6">
        <v>21620</v>
      </c>
      <c r="AS4" s="6">
        <v>23099</v>
      </c>
      <c r="AT4" s="6">
        <v>24600</v>
      </c>
      <c r="AU4" s="6">
        <v>26097</v>
      </c>
      <c r="AV4" s="6">
        <v>27565</v>
      </c>
      <c r="AW4" s="6">
        <v>29127</v>
      </c>
      <c r="AX4" s="6">
        <v>30761</v>
      </c>
      <c r="AY4" s="6">
        <v>32582</v>
      </c>
      <c r="AZ4" s="6">
        <v>34355</v>
      </c>
      <c r="BA4" s="6">
        <v>36088</v>
      </c>
      <c r="BB4" s="6">
        <v>37822</v>
      </c>
      <c r="BC4" s="6">
        <v>39487</v>
      </c>
      <c r="BD4" s="6">
        <v>41087</v>
      </c>
      <c r="BE4" s="6">
        <v>42708.592903993718</v>
      </c>
      <c r="BF4" s="6">
        <v>44291.721471276338</v>
      </c>
      <c r="BG4" s="6">
        <v>45842.722571871993</v>
      </c>
      <c r="BH4" s="6">
        <v>47367.237991135582</v>
      </c>
      <c r="BI4" s="6">
        <v>48870.287318469142</v>
      </c>
      <c r="BJ4" s="6">
        <v>50356.33314546859</v>
      </c>
      <c r="BK4" s="6">
        <v>51829.339491335333</v>
      </c>
      <c r="BL4" s="6">
        <v>53292.824365465072</v>
      </c>
      <c r="BM4" s="6">
        <v>54749.907181743198</v>
      </c>
      <c r="BN4" s="6">
        <v>56203.351623741473</v>
      </c>
      <c r="BO4" s="6">
        <v>57655.604429478837</v>
      </c>
      <c r="BP4" s="6">
        <v>59108.830478092037</v>
      </c>
      <c r="BQ4" s="6">
        <v>60564.944555929353</v>
      </c>
      <c r="BR4" s="6">
        <v>62025.640088758257</v>
      </c>
      <c r="BS4" s="6">
        <v>63492.415099942271</v>
      </c>
      <c r="BT4" s="6">
        <v>64966.595611389639</v>
      </c>
      <c r="BU4" s="6">
        <v>66449.356671908667</v>
      </c>
      <c r="BV4" s="6">
        <v>67941.741202837031</v>
      </c>
      <c r="BW4" s="6">
        <v>69444.676848146511</v>
      </c>
      <c r="BX4" s="6">
        <v>70958.991009074205</v>
      </c>
      <c r="BY4" s="6">
        <v>72485.424214987346</v>
      </c>
      <c r="BZ4" s="6">
        <v>74024.641989026379</v>
      </c>
      <c r="CA4" s="6">
        <v>75577.245360219124</v>
      </c>
      <c r="CB4" s="6">
        <v>77143.780186395248</v>
      </c>
      <c r="CC4" s="6">
        <v>78724.745448798683</v>
      </c>
      <c r="CD4" s="6">
        <v>80320.600630295681</v>
      </c>
      <c r="CE4" s="6">
        <v>81931.772266103173</v>
      </c>
      <c r="CF4" s="6">
        <v>83558.659783632218</v>
      </c>
      <c r="CG4" s="6">
        <v>85201.640734886227</v>
      </c>
      <c r="CH4" s="6">
        <v>86861.075497468075</v>
      </c>
      <c r="CI4" s="6">
        <v>88537.31151342651</v>
      </c>
      <c r="CJ4" s="6">
        <v>90230.687116997578</v>
      </c>
      <c r="CK4" s="6">
        <v>91941.534972247668</v>
      </c>
      <c r="CL4" s="6">
        <v>93670.185135459484</v>
      </c>
      <c r="CM4" s="6">
        <v>95416.967772599659</v>
      </c>
      <c r="CN4" s="6">
        <v>97182.215541152967</v>
      </c>
      <c r="CO4" s="6">
        <v>98966.265669520188</v>
      </c>
      <c r="CP4" s="6">
        <v>100769.46175649761</v>
      </c>
      <c r="CQ4" s="6">
        <v>102592.15530869769</v>
      </c>
      <c r="CR4" s="2"/>
    </row>
    <row r="5" spans="1:96" x14ac:dyDescent="0.35">
      <c r="A5" s="1" t="str">
        <f>'Population Definitions'!$B$5</f>
        <v>atsi_0-14_F</v>
      </c>
      <c r="C5" t="s">
        <v>32</v>
      </c>
      <c r="D5" s="3"/>
      <c r="E5" s="6">
        <v>69603.984961125985</v>
      </c>
      <c r="F5" s="6">
        <v>71252.275436039374</v>
      </c>
      <c r="G5" s="6">
        <v>72939.599042334637</v>
      </c>
      <c r="H5" s="6">
        <v>74666.880122758826</v>
      </c>
      <c r="I5" s="6">
        <v>76435.064909399691</v>
      </c>
      <c r="J5" s="6">
        <v>78245.122042046831</v>
      </c>
      <c r="K5" s="6">
        <v>80098.043098827853</v>
      </c>
      <c r="L5" s="6">
        <v>81994.843139410834</v>
      </c>
      <c r="M5" s="6">
        <v>83936.561261069961</v>
      </c>
      <c r="N5" s="6">
        <v>85924.261167919758</v>
      </c>
      <c r="O5" s="6">
        <v>87959.031753629068</v>
      </c>
      <c r="P5" s="6">
        <v>90041.987697934324</v>
      </c>
      <c r="Q5" s="6">
        <v>92174.270077278896</v>
      </c>
      <c r="R5" s="6">
        <v>94357.046989912953</v>
      </c>
      <c r="S5" s="6">
        <v>96591.514195796233</v>
      </c>
      <c r="T5" s="6">
        <v>98878.895771654439</v>
      </c>
      <c r="U5" s="6">
        <v>101220.44478154801</v>
      </c>
      <c r="V5" s="6">
        <v>103617.44396332049</v>
      </c>
      <c r="W5" s="6">
        <v>106071.20643130274</v>
      </c>
      <c r="X5" s="6">
        <v>108583.07639565799</v>
      </c>
      <c r="Y5" s="6">
        <v>111154.42989876153</v>
      </c>
      <c r="Z5" s="6">
        <v>113786.67556901849</v>
      </c>
      <c r="AA5" s="6">
        <v>116481.25539253323</v>
      </c>
      <c r="AB5" s="6">
        <v>119239.64550305199</v>
      </c>
      <c r="AC5" s="6">
        <v>122063.35699061264</v>
      </c>
      <c r="AD5" s="6">
        <v>124953.93672934378</v>
      </c>
      <c r="AE5" s="6">
        <v>127912.96822486716</v>
      </c>
      <c r="AF5" s="6">
        <v>130942.0724817671</v>
      </c>
      <c r="AG5" s="6">
        <v>134042.9088916028</v>
      </c>
      <c r="AH5" s="6">
        <v>137217.17614194928</v>
      </c>
      <c r="AI5" s="6">
        <v>140466.61314696568</v>
      </c>
      <c r="AJ5" s="6">
        <v>143793</v>
      </c>
      <c r="AK5" s="6">
        <v>146410</v>
      </c>
      <c r="AL5" s="6">
        <v>148655</v>
      </c>
      <c r="AM5" s="6">
        <v>150505</v>
      </c>
      <c r="AN5" s="6">
        <v>152390</v>
      </c>
      <c r="AO5" s="6">
        <v>153894</v>
      </c>
      <c r="AP5" s="6">
        <v>155421</v>
      </c>
      <c r="AQ5" s="6">
        <v>156575</v>
      </c>
      <c r="AR5" s="6">
        <v>157679</v>
      </c>
      <c r="AS5" s="6">
        <v>158204</v>
      </c>
      <c r="AT5" s="6">
        <v>158180</v>
      </c>
      <c r="AU5" s="6">
        <v>158701</v>
      </c>
      <c r="AV5" s="6">
        <v>159379</v>
      </c>
      <c r="AW5" s="6">
        <v>160203</v>
      </c>
      <c r="AX5" s="6">
        <v>161213</v>
      </c>
      <c r="AY5" s="6">
        <v>162600</v>
      </c>
      <c r="AZ5" s="6">
        <v>164081</v>
      </c>
      <c r="BA5" s="6">
        <v>166026</v>
      </c>
      <c r="BB5" s="6">
        <v>168376</v>
      </c>
      <c r="BC5" s="6">
        <v>170754</v>
      </c>
      <c r="BD5" s="6">
        <v>173343</v>
      </c>
      <c r="BE5" s="6">
        <v>176085.19645719026</v>
      </c>
      <c r="BF5" s="6">
        <v>178823.32163663156</v>
      </c>
      <c r="BG5" s="6">
        <v>181623.09751480364</v>
      </c>
      <c r="BH5" s="6">
        <v>184479.11545928245</v>
      </c>
      <c r="BI5" s="6">
        <v>187398.68570462096</v>
      </c>
      <c r="BJ5" s="6">
        <v>190370.25814550131</v>
      </c>
      <c r="BK5" s="6">
        <v>193385.11539086007</v>
      </c>
      <c r="BL5" s="6">
        <v>196461.83876739864</v>
      </c>
      <c r="BM5" s="6">
        <v>199583.90655400316</v>
      </c>
      <c r="BN5" s="6">
        <v>202750.9113239515</v>
      </c>
      <c r="BO5" s="6">
        <v>205953.04720273858</v>
      </c>
      <c r="BP5" s="6">
        <v>209179.61706779906</v>
      </c>
      <c r="BQ5" s="6">
        <v>212433.03392884653</v>
      </c>
      <c r="BR5" s="6">
        <v>215715.37284025911</v>
      </c>
      <c r="BS5" s="6">
        <v>219028.59591188066</v>
      </c>
      <c r="BT5" s="6">
        <v>222365.78574366373</v>
      </c>
      <c r="BU5" s="6">
        <v>225732.90123884211</v>
      </c>
      <c r="BV5" s="6">
        <v>229133.21593237168</v>
      </c>
      <c r="BW5" s="6">
        <v>232580.30500273261</v>
      </c>
      <c r="BX5" s="6">
        <v>236085.83698015378</v>
      </c>
      <c r="BY5" s="6">
        <v>239642.53140686327</v>
      </c>
      <c r="BZ5" s="6">
        <v>243247.49859727471</v>
      </c>
      <c r="CA5" s="6">
        <v>246918.58761041373</v>
      </c>
      <c r="CB5" s="6">
        <v>250662.39041373224</v>
      </c>
      <c r="CC5" s="6">
        <v>254478.35979899659</v>
      </c>
      <c r="CD5" s="6">
        <v>258371.68384525605</v>
      </c>
      <c r="CE5" s="6">
        <v>262342.2356041426</v>
      </c>
      <c r="CF5" s="6">
        <v>266381.53910312027</v>
      </c>
      <c r="CG5" s="6">
        <v>270486.37764099787</v>
      </c>
      <c r="CH5" s="6">
        <v>274662.38738327275</v>
      </c>
      <c r="CI5" s="6">
        <v>278901.39545794629</v>
      </c>
      <c r="CJ5" s="6">
        <v>283211.980107966</v>
      </c>
      <c r="CK5" s="6">
        <v>287591.68746169016</v>
      </c>
      <c r="CL5" s="6">
        <v>292038.96871775924</v>
      </c>
      <c r="CM5" s="6">
        <v>296552.89504962397</v>
      </c>
      <c r="CN5" s="6">
        <v>301144.7238195549</v>
      </c>
      <c r="CO5" s="6">
        <v>305797.36642061168</v>
      </c>
      <c r="CP5" s="6">
        <v>310514.5062743898</v>
      </c>
      <c r="CQ5" s="6">
        <v>315300.42057690088</v>
      </c>
      <c r="CR5" s="2"/>
    </row>
    <row r="6" spans="1:96" x14ac:dyDescent="0.35">
      <c r="A6" s="1" t="str">
        <f>'Population Definitions'!$B$6</f>
        <v>atsi_15-64_F</v>
      </c>
      <c r="C6" t="s">
        <v>32</v>
      </c>
      <c r="D6" s="3"/>
      <c r="E6" s="6">
        <v>118350.92887014931</v>
      </c>
      <c r="F6" s="6">
        <v>121153.59467818847</v>
      </c>
      <c r="G6" s="6">
        <v>124022.63035511279</v>
      </c>
      <c r="H6" s="6">
        <v>126959.60760436382</v>
      </c>
      <c r="I6" s="6">
        <v>129966.13534885849</v>
      </c>
      <c r="J6" s="6">
        <v>133043.86061238285</v>
      </c>
      <c r="K6" s="6">
        <v>136194.46942185794</v>
      </c>
      <c r="L6" s="6">
        <v>139419.6877309721</v>
      </c>
      <c r="M6" s="6">
        <v>142721.282365686</v>
      </c>
      <c r="N6" s="6">
        <v>146101.06199212791</v>
      </c>
      <c r="O6" s="6">
        <v>149560.87810740998</v>
      </c>
      <c r="P6" s="6">
        <v>153102.6260539077</v>
      </c>
      <c r="Q6" s="6">
        <v>156728.24605755869</v>
      </c>
      <c r="R6" s="6">
        <v>160439.72429074944</v>
      </c>
      <c r="S6" s="6">
        <v>164239.09396037212</v>
      </c>
      <c r="T6" s="6">
        <v>168128.43642164755</v>
      </c>
      <c r="U6" s="6">
        <v>172109.88231832511</v>
      </c>
      <c r="V6" s="6">
        <v>176185.612749883</v>
      </c>
      <c r="W6" s="6">
        <v>180357.8604663694</v>
      </c>
      <c r="X6" s="6">
        <v>184628.91109153847</v>
      </c>
      <c r="Y6" s="6">
        <v>189001.10437495142</v>
      </c>
      <c r="Z6" s="6">
        <v>193476.83547372877</v>
      </c>
      <c r="AA6" s="6">
        <v>198058.55626465532</v>
      </c>
      <c r="AB6" s="6">
        <v>202748.77668735755</v>
      </c>
      <c r="AC6" s="6">
        <v>207550.06611928818</v>
      </c>
      <c r="AD6" s="6">
        <v>212465.05478327244</v>
      </c>
      <c r="AE6" s="6">
        <v>217496.43518838586</v>
      </c>
      <c r="AF6" s="6">
        <v>222646.96360495361</v>
      </c>
      <c r="AG6" s="6">
        <v>227919.4615744793</v>
      </c>
      <c r="AH6" s="6">
        <v>233316.81745533034</v>
      </c>
      <c r="AI6" s="6">
        <v>238841.9880050268</v>
      </c>
      <c r="AJ6" s="6">
        <v>244498</v>
      </c>
      <c r="AK6" s="6">
        <v>250310</v>
      </c>
      <c r="AL6" s="6">
        <v>256242</v>
      </c>
      <c r="AM6" s="6">
        <v>262096</v>
      </c>
      <c r="AN6" s="6">
        <v>267841</v>
      </c>
      <c r="AO6" s="6">
        <v>273759</v>
      </c>
      <c r="AP6" s="6">
        <v>279406</v>
      </c>
      <c r="AQ6" s="6">
        <v>285023</v>
      </c>
      <c r="AR6" s="6">
        <v>290664</v>
      </c>
      <c r="AS6" s="6">
        <v>296816</v>
      </c>
      <c r="AT6" s="6">
        <v>303423</v>
      </c>
      <c r="AU6" s="6">
        <v>310376</v>
      </c>
      <c r="AV6" s="6">
        <v>317258</v>
      </c>
      <c r="AW6" s="6">
        <v>324011</v>
      </c>
      <c r="AX6" s="6">
        <v>330574</v>
      </c>
      <c r="AY6" s="6">
        <v>336560</v>
      </c>
      <c r="AZ6" s="6">
        <v>342629</v>
      </c>
      <c r="BA6" s="6">
        <v>348315</v>
      </c>
      <c r="BB6" s="6">
        <v>353806</v>
      </c>
      <c r="BC6" s="6">
        <v>359374</v>
      </c>
      <c r="BD6" s="6">
        <v>364846</v>
      </c>
      <c r="BE6" s="6">
        <v>370040.63597341045</v>
      </c>
      <c r="BF6" s="6">
        <v>375385.01234602177</v>
      </c>
      <c r="BG6" s="6">
        <v>380869.12923294288</v>
      </c>
      <c r="BH6" s="6">
        <v>386484.59878528747</v>
      </c>
      <c r="BI6" s="6">
        <v>392225.46254633222</v>
      </c>
      <c r="BJ6" s="6">
        <v>398087.46982863091</v>
      </c>
      <c r="BK6" s="6">
        <v>404067.78764638834</v>
      </c>
      <c r="BL6" s="6">
        <v>410164.44374654489</v>
      </c>
      <c r="BM6" s="6">
        <v>416375.97511952836</v>
      </c>
      <c r="BN6" s="6">
        <v>422701.66849824984</v>
      </c>
      <c r="BO6" s="6">
        <v>429141.0870707875</v>
      </c>
      <c r="BP6" s="6">
        <v>435694.02181518602</v>
      </c>
      <c r="BQ6" s="6">
        <v>442360.28117030975</v>
      </c>
      <c r="BR6" s="6">
        <v>449139.52092985285</v>
      </c>
      <c r="BS6" s="6">
        <v>456031.35795858694</v>
      </c>
      <c r="BT6" s="6">
        <v>463035.44152420852</v>
      </c>
      <c r="BU6" s="6">
        <v>470151.49891593441</v>
      </c>
      <c r="BV6" s="6">
        <v>477379.20356447523</v>
      </c>
      <c r="BW6" s="6">
        <v>484718.31305359345</v>
      </c>
      <c r="BX6" s="6">
        <v>492168.71625192068</v>
      </c>
      <c r="BY6" s="6">
        <v>499730.65233120398</v>
      </c>
      <c r="BZ6" s="6">
        <v>507404.83011230576</v>
      </c>
      <c r="CA6" s="6">
        <v>515192.16652791691</v>
      </c>
      <c r="CB6" s="6">
        <v>523093.67893780069</v>
      </c>
      <c r="CC6" s="6">
        <v>531110.78452034551</v>
      </c>
      <c r="CD6" s="6">
        <v>539245.30717216188</v>
      </c>
      <c r="CE6" s="6">
        <v>547499.35130290373</v>
      </c>
      <c r="CF6" s="6">
        <v>555875.31526361068</v>
      </c>
      <c r="CG6" s="6">
        <v>564375.80309986288</v>
      </c>
      <c r="CH6" s="6">
        <v>573003.40880961879</v>
      </c>
      <c r="CI6" s="6">
        <v>581760.65758201957</v>
      </c>
      <c r="CJ6" s="6">
        <v>590650.12418943539</v>
      </c>
      <c r="CK6" s="6">
        <v>599674.26511495095</v>
      </c>
      <c r="CL6" s="6">
        <v>608835.60316318751</v>
      </c>
      <c r="CM6" s="6">
        <v>618136.657355592</v>
      </c>
      <c r="CN6" s="6">
        <v>627579.90886762692</v>
      </c>
      <c r="CO6" s="6">
        <v>637167.78747867595</v>
      </c>
      <c r="CP6" s="6">
        <v>646902.88313426194</v>
      </c>
      <c r="CQ6" s="6">
        <v>656787.58016429737</v>
      </c>
      <c r="CR6" s="2"/>
    </row>
    <row r="7" spans="1:96" x14ac:dyDescent="0.35">
      <c r="A7" s="1" t="str">
        <f>'Population Definitions'!$B$7</f>
        <v>atsi_65+_F</v>
      </c>
      <c r="C7" t="s">
        <v>32</v>
      </c>
      <c r="D7" s="3"/>
      <c r="E7" s="6">
        <v>7189.212163614663</v>
      </c>
      <c r="F7" s="6">
        <v>7359.4597426582441</v>
      </c>
      <c r="G7" s="6">
        <v>7533.7389509694794</v>
      </c>
      <c r="H7" s="6">
        <v>7712.1452614745776</v>
      </c>
      <c r="I7" s="6">
        <v>7894.7764079920726</v>
      </c>
      <c r="J7" s="6">
        <v>8081.732438772955</v>
      </c>
      <c r="K7" s="6">
        <v>8273.1157713086977</v>
      </c>
      <c r="L7" s="6">
        <v>8469.0312484371971</v>
      </c>
      <c r="M7" s="6">
        <v>8669.5861957773413</v>
      </c>
      <c r="N7" s="6">
        <v>8874.8904805237016</v>
      </c>
      <c r="O7" s="6">
        <v>9085.0565716335223</v>
      </c>
      <c r="P7" s="6">
        <v>9300.1996014390188</v>
      </c>
      <c r="Q7" s="6">
        <v>9520.4374287186893</v>
      </c>
      <c r="R7" s="6">
        <v>9745.8907032622392</v>
      </c>
      <c r="S7" s="6">
        <v>9976.6829319644603</v>
      </c>
      <c r="T7" s="6">
        <v>10212.94054648426</v>
      </c>
      <c r="U7" s="6">
        <v>10454.792972505969</v>
      </c>
      <c r="V7" s="6">
        <v>10702.37270064075</v>
      </c>
      <c r="W7" s="6">
        <v>10955.8153590071</v>
      </c>
      <c r="X7" s="6">
        <v>11215.25978753008</v>
      </c>
      <c r="Y7" s="6">
        <v>11480.848114000029</v>
      </c>
      <c r="Z7" s="6">
        <v>11752.72583193245</v>
      </c>
      <c r="AA7" s="6">
        <v>12031.041880271659</v>
      </c>
      <c r="AB7" s="6">
        <v>12315.948724981939</v>
      </c>
      <c r="AC7" s="6">
        <v>12607.602442570769</v>
      </c>
      <c r="AD7" s="6">
        <v>12906.16280559008</v>
      </c>
      <c r="AE7" s="6">
        <v>13211.79337016216</v>
      </c>
      <c r="AF7" s="6">
        <v>13524.66156557833</v>
      </c>
      <c r="AG7" s="6">
        <v>13844.93878601938</v>
      </c>
      <c r="AH7" s="6">
        <v>14172.800484448</v>
      </c>
      <c r="AI7" s="6">
        <v>14508.42626872473</v>
      </c>
      <c r="AJ7" s="6">
        <v>14852</v>
      </c>
      <c r="AK7" s="6">
        <v>15950</v>
      </c>
      <c r="AL7" s="6">
        <v>16958</v>
      </c>
      <c r="AM7" s="6">
        <v>18137</v>
      </c>
      <c r="AN7" s="6">
        <v>19444</v>
      </c>
      <c r="AO7" s="6">
        <v>20806</v>
      </c>
      <c r="AP7" s="6">
        <v>22255</v>
      </c>
      <c r="AQ7" s="6">
        <v>23826</v>
      </c>
      <c r="AR7" s="6">
        <v>25447</v>
      </c>
      <c r="AS7" s="6">
        <v>27053</v>
      </c>
      <c r="AT7" s="6">
        <v>28748</v>
      </c>
      <c r="AU7" s="6">
        <v>30369</v>
      </c>
      <c r="AV7" s="6">
        <v>32051</v>
      </c>
      <c r="AW7" s="6">
        <v>33828</v>
      </c>
      <c r="AX7" s="6">
        <v>35718</v>
      </c>
      <c r="AY7" s="6">
        <v>37917</v>
      </c>
      <c r="AZ7" s="6">
        <v>40054</v>
      </c>
      <c r="BA7" s="6">
        <v>42224</v>
      </c>
      <c r="BB7" s="6">
        <v>44277</v>
      </c>
      <c r="BC7" s="6">
        <v>46300</v>
      </c>
      <c r="BD7" s="6">
        <v>48261</v>
      </c>
      <c r="BE7" s="6">
        <v>50284.705766738662</v>
      </c>
      <c r="BF7" s="6">
        <v>52249.019286518997</v>
      </c>
      <c r="BG7" s="6">
        <v>54161.453442464634</v>
      </c>
      <c r="BH7" s="6">
        <v>56028.79430883914</v>
      </c>
      <c r="BI7" s="6">
        <v>57857.173741246494</v>
      </c>
      <c r="BJ7" s="6">
        <v>59652.134390490137</v>
      </c>
      <c r="BK7" s="6">
        <v>61418.688027015669</v>
      </c>
      <c r="BL7" s="6">
        <v>63161.36806784269</v>
      </c>
      <c r="BM7" s="6">
        <v>64884.277010059472</v>
      </c>
      <c r="BN7" s="6">
        <v>66591.129364927445</v>
      </c>
      <c r="BO7" s="6">
        <v>68285.290558968278</v>
      </c>
      <c r="BP7" s="6">
        <v>69969.81218365884</v>
      </c>
      <c r="BQ7" s="6">
        <v>71647.463972006764</v>
      </c>
      <c r="BR7" s="6">
        <v>73320.76278928043</v>
      </c>
      <c r="BS7" s="6">
        <v>74991.998898178455</v>
      </c>
      <c r="BT7" s="6">
        <v>76663.259715006425</v>
      </c>
      <c r="BU7" s="6">
        <v>78336.451240439201</v>
      </c>
      <c r="BV7" s="6">
        <v>80013.317353234801</v>
      </c>
      <c r="BW7" s="6">
        <v>81695.457152198185</v>
      </c>
      <c r="BX7" s="6">
        <v>83384.340524191794</v>
      </c>
      <c r="BY7" s="6">
        <v>85081.322087079578</v>
      </c>
      <c r="BZ7" s="6">
        <v>86787.653663204052</v>
      </c>
      <c r="CA7" s="6">
        <v>88504.495432024196</v>
      </c>
      <c r="CB7" s="6">
        <v>90232.925923426883</v>
      </c>
      <c r="CC7" s="6">
        <v>91973.951010032717</v>
      </c>
      <c r="CD7" s="6">
        <v>93728.512007488112</v>
      </c>
      <c r="CE7" s="6">
        <v>95497.492968543607</v>
      </c>
      <c r="CF7" s="6">
        <v>97281.727284834458</v>
      </c>
      <c r="CG7" s="6">
        <v>99082.003697287189</v>
      </c>
      <c r="CH7" s="6">
        <v>100899.07178862509</v>
      </c>
      <c r="CI7" s="6">
        <v>102733.6470247188</v>
      </c>
      <c r="CJ7" s="6">
        <v>104586.41539330401</v>
      </c>
      <c r="CK7" s="6">
        <v>106458.037658239</v>
      </c>
      <c r="CL7" s="6">
        <v>108349.1532411901</v>
      </c>
      <c r="CM7" s="6">
        <v>110260.383758329</v>
      </c>
      <c r="CN7" s="6">
        <v>112192.3362184111</v>
      </c>
      <c r="CO7" s="6">
        <v>114145.6059128839</v>
      </c>
      <c r="CP7" s="6">
        <v>116120.7790180743</v>
      </c>
      <c r="CQ7" s="6">
        <v>118118.4349249589</v>
      </c>
      <c r="CR7" s="2"/>
    </row>
    <row r="8" spans="1:96" x14ac:dyDescent="0.35">
      <c r="A8" s="1" t="str">
        <f>'Population Definitions'!$B$8</f>
        <v>ausb_0-14_M</v>
      </c>
      <c r="C8" t="s">
        <v>32</v>
      </c>
      <c r="D8" s="3"/>
      <c r="E8" s="6">
        <v>1452404.642255713</v>
      </c>
      <c r="F8" s="6">
        <v>1452907.1709712911</v>
      </c>
      <c r="G8" s="6">
        <v>1460296.1575888437</v>
      </c>
      <c r="H8" s="6">
        <v>1460639.43870712</v>
      </c>
      <c r="I8" s="6">
        <v>1451565.9722177</v>
      </c>
      <c r="J8" s="6">
        <v>1446087.1981745928</v>
      </c>
      <c r="K8" s="6">
        <v>1433391.739090245</v>
      </c>
      <c r="L8" s="6">
        <v>1421970.8283809773</v>
      </c>
      <c r="M8" s="6">
        <v>1420052.3082540594</v>
      </c>
      <c r="N8" s="6">
        <v>1423456.5744666974</v>
      </c>
      <c r="O8" s="6">
        <v>1428942.0715860205</v>
      </c>
      <c r="P8" s="6">
        <v>1432689.7769296854</v>
      </c>
      <c r="Q8" s="6">
        <v>1430139.6822923447</v>
      </c>
      <c r="R8" s="6">
        <v>1436998.7243304765</v>
      </c>
      <c r="S8" s="6">
        <v>1442578.4593777969</v>
      </c>
      <c r="T8" s="6">
        <v>1448230.3643425514</v>
      </c>
      <c r="U8" s="6">
        <v>1449932.657239533</v>
      </c>
      <c r="V8" s="6">
        <v>1453241.5047626838</v>
      </c>
      <c r="W8" s="6">
        <v>1456370.0072255183</v>
      </c>
      <c r="X8" s="6">
        <v>1461501.9537820611</v>
      </c>
      <c r="Y8" s="6">
        <v>1466860.7168512063</v>
      </c>
      <c r="Z8" s="6">
        <v>1469754.5571406451</v>
      </c>
      <c r="AA8" s="6">
        <v>1465771.0031936436</v>
      </c>
      <c r="AB8" s="6">
        <v>1460362.6726787523</v>
      </c>
      <c r="AC8" s="6">
        <v>1456488.4145134105</v>
      </c>
      <c r="AD8" s="6">
        <v>1450403.9434130099</v>
      </c>
      <c r="AE8" s="6">
        <v>1447408.1458206053</v>
      </c>
      <c r="AF8" s="6">
        <v>1452428.4215513936</v>
      </c>
      <c r="AG8" s="6">
        <v>1457065.317120458</v>
      </c>
      <c r="AH8" s="6">
        <v>1464421.4237670596</v>
      </c>
      <c r="AI8" s="6">
        <v>1471121.7256431477</v>
      </c>
      <c r="AJ8" s="6">
        <v>1477734.0440000002</v>
      </c>
      <c r="AK8" s="6">
        <v>1494245.2660000001</v>
      </c>
      <c r="AL8" s="6">
        <v>1511954.2290000003</v>
      </c>
      <c r="AM8" s="6">
        <v>1526927.76</v>
      </c>
      <c r="AN8" s="6">
        <v>1541409.4679999999</v>
      </c>
      <c r="AO8" s="6">
        <v>1560190.6739999999</v>
      </c>
      <c r="AP8" s="6">
        <v>1574550.67</v>
      </c>
      <c r="AQ8" s="6">
        <v>1583932.18</v>
      </c>
      <c r="AR8" s="6">
        <v>1590745.338</v>
      </c>
      <c r="AS8" s="6">
        <v>1597559.3720000002</v>
      </c>
      <c r="AT8" s="6">
        <v>1608381.1660000002</v>
      </c>
      <c r="AU8" s="6">
        <v>1607657.3250000002</v>
      </c>
      <c r="AV8" s="6">
        <v>1639476.0521311995</v>
      </c>
      <c r="AW8" s="6">
        <v>1662179.9433468329</v>
      </c>
      <c r="AX8" s="6">
        <v>1687599.6962673296</v>
      </c>
      <c r="AY8" s="6">
        <v>1712156.753491075</v>
      </c>
      <c r="AZ8" s="6">
        <v>1733371.8899168945</v>
      </c>
      <c r="BA8" s="6">
        <v>1751603.2325038943</v>
      </c>
      <c r="BB8" s="6">
        <v>1769585.4840409381</v>
      </c>
      <c r="BC8" s="6">
        <v>1786800.6157376706</v>
      </c>
      <c r="BD8" s="6">
        <v>1801257.1238787374</v>
      </c>
      <c r="BE8" s="6">
        <v>1818143.3426806831</v>
      </c>
      <c r="BF8" s="6">
        <v>1837662.5211857541</v>
      </c>
      <c r="BG8" s="6">
        <v>1856454.6844894839</v>
      </c>
      <c r="BH8" s="6">
        <v>1878208.1661964345</v>
      </c>
      <c r="BI8" s="6">
        <v>1898091.0542112468</v>
      </c>
      <c r="BJ8" s="6">
        <v>1914808.6029189085</v>
      </c>
      <c r="BK8" s="6">
        <v>1935962.632061156</v>
      </c>
      <c r="BL8" s="6">
        <v>1957012.2589059356</v>
      </c>
      <c r="BM8" s="6">
        <v>1978487.3781112335</v>
      </c>
      <c r="BN8" s="6">
        <v>2000463.7348211308</v>
      </c>
      <c r="BO8" s="6">
        <v>2022931.1619361769</v>
      </c>
      <c r="BP8" s="6">
        <v>2045546.0597735422</v>
      </c>
      <c r="BQ8" s="6">
        <v>2067906.4780891333</v>
      </c>
      <c r="BR8" s="6">
        <v>2089809.1132669137</v>
      </c>
      <c r="BS8" s="6">
        <v>2111021.9630862111</v>
      </c>
      <c r="BT8" s="6">
        <v>2131343.9776462638</v>
      </c>
      <c r="BU8" s="6">
        <v>2150553.8607861316</v>
      </c>
      <c r="BV8" s="6">
        <v>2168408.5098311682</v>
      </c>
      <c r="BW8" s="6">
        <v>2184683.0178877464</v>
      </c>
      <c r="BX8" s="6">
        <v>2199204.8600759879</v>
      </c>
      <c r="BY8" s="6">
        <v>2211903.6716330037</v>
      </c>
      <c r="BZ8" s="6">
        <v>2222765.3302546381</v>
      </c>
      <c r="CA8" s="6">
        <v>2231825.7913802941</v>
      </c>
      <c r="CB8" s="6">
        <v>2239197.3715090537</v>
      </c>
      <c r="CC8" s="6">
        <v>2245061.7238278319</v>
      </c>
      <c r="CD8" s="6">
        <v>2249643.184846519</v>
      </c>
      <c r="CE8" s="6">
        <v>2253198.1051599211</v>
      </c>
      <c r="CF8" s="6">
        <v>2255993.4264463028</v>
      </c>
      <c r="CG8" s="6">
        <v>2258283.6907022223</v>
      </c>
      <c r="CH8" s="6">
        <v>2260313.5052053872</v>
      </c>
      <c r="CI8" s="6">
        <v>2262309.4499202208</v>
      </c>
      <c r="CJ8" s="6">
        <v>2264441.7924587079</v>
      </c>
      <c r="CK8" s="6">
        <v>2266870.1009326624</v>
      </c>
      <c r="CL8" s="6">
        <v>2269715.7937358329</v>
      </c>
      <c r="CM8" s="6">
        <v>2273069.8400744796</v>
      </c>
      <c r="CN8" s="6">
        <v>2276972.87585419</v>
      </c>
      <c r="CO8" s="6">
        <v>2281460.9698228831</v>
      </c>
      <c r="CP8" s="6">
        <v>2286514.1838275143</v>
      </c>
      <c r="CQ8" s="6">
        <v>2292106.2921308763</v>
      </c>
      <c r="CR8" s="2"/>
    </row>
    <row r="9" spans="1:96" x14ac:dyDescent="0.35">
      <c r="A9" s="1" t="str">
        <f>'Population Definitions'!$B$9</f>
        <v>ausb_15-64_M</v>
      </c>
      <c r="C9" t="s">
        <v>32</v>
      </c>
      <c r="D9" s="3"/>
      <c r="E9" s="6">
        <v>3764777.1640227805</v>
      </c>
      <c r="F9" s="6">
        <v>3821257.1730227121</v>
      </c>
      <c r="G9" s="6">
        <v>3901273.1668590908</v>
      </c>
      <c r="H9" s="6">
        <v>3962636.4189064107</v>
      </c>
      <c r="I9" s="6">
        <v>4021474.5576505475</v>
      </c>
      <c r="J9" s="6">
        <v>4089196.9813653477</v>
      </c>
      <c r="K9" s="6">
        <v>4161696.3066786951</v>
      </c>
      <c r="L9" s="6">
        <v>4219668.7328955932</v>
      </c>
      <c r="M9" s="6">
        <v>4279944.8782241018</v>
      </c>
      <c r="N9" s="6">
        <v>4338465.5505719045</v>
      </c>
      <c r="O9" s="6">
        <v>4385354.9764082683</v>
      </c>
      <c r="P9" s="6">
        <v>4406603.6504280893</v>
      </c>
      <c r="Q9" s="6">
        <v>4411653.7098439969</v>
      </c>
      <c r="R9" s="6">
        <v>4445719.2449841937</v>
      </c>
      <c r="S9" s="6">
        <v>4480532.6865852345</v>
      </c>
      <c r="T9" s="6">
        <v>4520147.8778969962</v>
      </c>
      <c r="U9" s="6">
        <v>4560124.3266877215</v>
      </c>
      <c r="V9" s="6">
        <v>4604314.4059454389</v>
      </c>
      <c r="W9" s="6">
        <v>4654699.0006230986</v>
      </c>
      <c r="X9" s="6">
        <v>4709954.7343656169</v>
      </c>
      <c r="Y9" s="6">
        <v>4770533.4422642877</v>
      </c>
      <c r="Z9" s="6">
        <v>4823250.9037134089</v>
      </c>
      <c r="AA9" s="6">
        <v>4873184.1048473679</v>
      </c>
      <c r="AB9" s="6">
        <v>4915304.8679114375</v>
      </c>
      <c r="AC9" s="6">
        <v>4959977.3372352161</v>
      </c>
      <c r="AD9" s="6">
        <v>4998830.03590295</v>
      </c>
      <c r="AE9" s="6">
        <v>5045991.4731108835</v>
      </c>
      <c r="AF9" s="6">
        <v>5108858.8308587307</v>
      </c>
      <c r="AG9" s="6">
        <v>5172294.7274624035</v>
      </c>
      <c r="AH9" s="6">
        <v>5240943.7121598879</v>
      </c>
      <c r="AI9" s="6">
        <v>5286656.132605576</v>
      </c>
      <c r="AJ9" s="6">
        <v>5326455.6230000006</v>
      </c>
      <c r="AK9" s="6">
        <v>5361127.7319999998</v>
      </c>
      <c r="AL9" s="6">
        <v>5395923.2430000007</v>
      </c>
      <c r="AM9" s="6">
        <v>5421777.8399999999</v>
      </c>
      <c r="AN9" s="6">
        <v>5446526.307</v>
      </c>
      <c r="AO9" s="6">
        <v>5476240.0559999999</v>
      </c>
      <c r="AP9" s="6">
        <v>5519376.7000000002</v>
      </c>
      <c r="AQ9" s="6">
        <v>5556150.1059999997</v>
      </c>
      <c r="AR9" s="6">
        <v>5594148.1439999994</v>
      </c>
      <c r="AS9" s="6">
        <v>5627564.9100000001</v>
      </c>
      <c r="AT9" s="6">
        <v>5646529.0280000009</v>
      </c>
      <c r="AU9" s="6">
        <v>5695902.9749999996</v>
      </c>
      <c r="AV9" s="6">
        <v>5723480.7889761981</v>
      </c>
      <c r="AW9" s="6">
        <v>5721845.801532249</v>
      </c>
      <c r="AX9" s="6">
        <v>5745541.0417404836</v>
      </c>
      <c r="AY9" s="6">
        <v>5766214.2191978395</v>
      </c>
      <c r="AZ9" s="6">
        <v>5789521.9103697371</v>
      </c>
      <c r="BA9" s="6">
        <v>5816039.6886392413</v>
      </c>
      <c r="BB9" s="6">
        <v>5845921.9417157853</v>
      </c>
      <c r="BC9" s="6">
        <v>5881302.1526527423</v>
      </c>
      <c r="BD9" s="6">
        <v>5922726.6797633506</v>
      </c>
      <c r="BE9" s="6">
        <v>5962143.3891946431</v>
      </c>
      <c r="BF9" s="6">
        <v>6002677.0033351211</v>
      </c>
      <c r="BG9" s="6">
        <v>6040228.4389973097</v>
      </c>
      <c r="BH9" s="6">
        <v>6074510.1635337416</v>
      </c>
      <c r="BI9" s="6">
        <v>6102903.993062879</v>
      </c>
      <c r="BJ9" s="6">
        <v>6137793.2014189642</v>
      </c>
      <c r="BK9" s="6">
        <v>6175371.6289315876</v>
      </c>
      <c r="BL9" s="6">
        <v>6218351.6251688302</v>
      </c>
      <c r="BM9" s="6">
        <v>6265062.6405310184</v>
      </c>
      <c r="BN9" s="6">
        <v>6313896.8179401336</v>
      </c>
      <c r="BO9" s="6">
        <v>6365032.5306525584</v>
      </c>
      <c r="BP9" s="6">
        <v>6416361.6112537719</v>
      </c>
      <c r="BQ9" s="6">
        <v>6464660.0214461787</v>
      </c>
      <c r="BR9" s="6">
        <v>6510033.8713002838</v>
      </c>
      <c r="BS9" s="6">
        <v>6547646.9794962555</v>
      </c>
      <c r="BT9" s="6">
        <v>6580697.7949907389</v>
      </c>
      <c r="BU9" s="6">
        <v>6608713.1923987065</v>
      </c>
      <c r="BV9" s="6">
        <v>6637113.3777870787</v>
      </c>
      <c r="BW9" s="6">
        <v>6665014.2475207001</v>
      </c>
      <c r="BX9" s="6">
        <v>6692394.1460701711</v>
      </c>
      <c r="BY9" s="6">
        <v>6721821.252266841</v>
      </c>
      <c r="BZ9" s="6">
        <v>6752320.0682724714</v>
      </c>
      <c r="CA9" s="6">
        <v>6781517.7981525566</v>
      </c>
      <c r="CB9" s="6">
        <v>6808842.2559069432</v>
      </c>
      <c r="CC9" s="6">
        <v>6837115.6037236825</v>
      </c>
      <c r="CD9" s="6">
        <v>6869108.8223764924</v>
      </c>
      <c r="CE9" s="6">
        <v>6900999.4313050807</v>
      </c>
      <c r="CF9" s="6">
        <v>6932045.2997651547</v>
      </c>
      <c r="CG9" s="6">
        <v>6961707.2855040459</v>
      </c>
      <c r="CH9" s="6">
        <v>6995157.2283816803</v>
      </c>
      <c r="CI9" s="6">
        <v>7032058.5491380477</v>
      </c>
      <c r="CJ9" s="6">
        <v>7070998.5250186902</v>
      </c>
      <c r="CK9" s="6">
        <v>7107141.8841529926</v>
      </c>
      <c r="CL9" s="6">
        <v>7136602.3722893521</v>
      </c>
      <c r="CM9" s="6">
        <v>7165391.7058849912</v>
      </c>
      <c r="CN9" s="6">
        <v>7198819.722817596</v>
      </c>
      <c r="CO9" s="6">
        <v>7229775.6724536307</v>
      </c>
      <c r="CP9" s="6">
        <v>7254147.5334942257</v>
      </c>
      <c r="CQ9" s="6">
        <v>7273395.1802509455</v>
      </c>
      <c r="CR9" s="2"/>
    </row>
    <row r="10" spans="1:96" x14ac:dyDescent="0.35">
      <c r="A10" s="1" t="str">
        <f>'Population Definitions'!$B$10</f>
        <v>ausb_65+_M</v>
      </c>
      <c r="C10" t="s">
        <v>32</v>
      </c>
      <c r="D10" s="3"/>
      <c r="E10" s="6">
        <v>468654.75004127121</v>
      </c>
      <c r="F10" s="6">
        <v>481223.09686955856</v>
      </c>
      <c r="G10" s="6">
        <v>495385.53360656428</v>
      </c>
      <c r="H10" s="6">
        <v>506071.69297173811</v>
      </c>
      <c r="I10" s="6">
        <v>517663.4762282531</v>
      </c>
      <c r="J10" s="6">
        <v>534179.25977295055</v>
      </c>
      <c r="K10" s="6">
        <v>555514.82006388356</v>
      </c>
      <c r="L10" s="6">
        <v>574485.20239986107</v>
      </c>
      <c r="M10" s="6">
        <v>590782.41910146025</v>
      </c>
      <c r="N10" s="6">
        <v>608880.09438179503</v>
      </c>
      <c r="O10" s="6">
        <v>623969.63186389639</v>
      </c>
      <c r="P10" s="6">
        <v>642098.93581750081</v>
      </c>
      <c r="Q10" s="6">
        <v>656224.83775689639</v>
      </c>
      <c r="R10" s="6">
        <v>675807.81474608229</v>
      </c>
      <c r="S10" s="6">
        <v>693499.90890449891</v>
      </c>
      <c r="T10" s="6">
        <v>709113.68300409324</v>
      </c>
      <c r="U10" s="6">
        <v>725489.16043111833</v>
      </c>
      <c r="V10" s="6">
        <v>742522.51338828879</v>
      </c>
      <c r="W10" s="6">
        <v>759384.26596516185</v>
      </c>
      <c r="X10" s="6">
        <v>777096.39661269693</v>
      </c>
      <c r="Y10" s="6">
        <v>794230.54016784718</v>
      </c>
      <c r="Z10" s="6">
        <v>814834.51832302986</v>
      </c>
      <c r="AA10" s="6">
        <v>831782.28654703288</v>
      </c>
      <c r="AB10" s="6">
        <v>846772.20251374459</v>
      </c>
      <c r="AC10" s="6">
        <v>863603.27107503056</v>
      </c>
      <c r="AD10" s="6">
        <v>880230.47105016722</v>
      </c>
      <c r="AE10" s="6">
        <v>896537.15790896595</v>
      </c>
      <c r="AF10" s="6">
        <v>918751.63602463563</v>
      </c>
      <c r="AG10" s="6">
        <v>936383.89272621938</v>
      </c>
      <c r="AH10" s="6">
        <v>961014.91463150526</v>
      </c>
      <c r="AI10" s="6">
        <v>993114.72815668234</v>
      </c>
      <c r="AJ10" s="6">
        <v>1028685.1300000001</v>
      </c>
      <c r="AK10" s="6">
        <v>1069268.692</v>
      </c>
      <c r="AL10" s="6">
        <v>1105871.8800000001</v>
      </c>
      <c r="AM10" s="6">
        <v>1141403.76</v>
      </c>
      <c r="AN10" s="6">
        <v>1176375.4469999999</v>
      </c>
      <c r="AO10" s="6">
        <v>1212399.132</v>
      </c>
      <c r="AP10" s="6">
        <v>1244732.24</v>
      </c>
      <c r="AQ10" s="6">
        <v>1277158.942</v>
      </c>
      <c r="AR10" s="6">
        <v>1309725.612</v>
      </c>
      <c r="AS10" s="6">
        <v>1357631.6070000001</v>
      </c>
      <c r="AT10" s="6">
        <v>1410118.57</v>
      </c>
      <c r="AU10" s="6">
        <v>1443209.73</v>
      </c>
      <c r="AV10" s="6">
        <v>1464418.8771783262</v>
      </c>
      <c r="AW10" s="6">
        <v>1484029.5092045586</v>
      </c>
      <c r="AX10" s="6">
        <v>1505133.6146565289</v>
      </c>
      <c r="AY10" s="6">
        <v>1530057.2622224402</v>
      </c>
      <c r="AZ10" s="6">
        <v>1553928.2462836816</v>
      </c>
      <c r="BA10" s="6">
        <v>1576236.1109002861</v>
      </c>
      <c r="BB10" s="6">
        <v>1594220.2517440787</v>
      </c>
      <c r="BC10" s="6">
        <v>1605788.0729304922</v>
      </c>
      <c r="BD10" s="6">
        <v>1613377.6797290507</v>
      </c>
      <c r="BE10" s="6">
        <v>1618790.8935497659</v>
      </c>
      <c r="BF10" s="6">
        <v>1624987.4534232209</v>
      </c>
      <c r="BG10" s="6">
        <v>1634625.870316742</v>
      </c>
      <c r="BH10" s="6">
        <v>1644489.855503941</v>
      </c>
      <c r="BI10" s="6">
        <v>1662195.8082686898</v>
      </c>
      <c r="BJ10" s="6">
        <v>1676498.0660170717</v>
      </c>
      <c r="BK10" s="6">
        <v>1683855.7675744989</v>
      </c>
      <c r="BL10" s="6">
        <v>1686260.0251071921</v>
      </c>
      <c r="BM10" s="6">
        <v>1684915.8607910471</v>
      </c>
      <c r="BN10" s="6">
        <v>1681336.9290802227</v>
      </c>
      <c r="BO10" s="6">
        <v>1675285.16456585</v>
      </c>
      <c r="BP10" s="6">
        <v>1669106.405091553</v>
      </c>
      <c r="BQ10" s="6">
        <v>1666265.200661167</v>
      </c>
      <c r="BR10" s="6">
        <v>1666690.724435112</v>
      </c>
      <c r="BS10" s="6">
        <v>1675222.5816917387</v>
      </c>
      <c r="BT10" s="6">
        <v>1688618.4220759538</v>
      </c>
      <c r="BU10" s="6">
        <v>1707412.3479503724</v>
      </c>
      <c r="BV10" s="6">
        <v>1726235.9394932925</v>
      </c>
      <c r="BW10" s="6">
        <v>1746128.4787848</v>
      </c>
      <c r="BX10" s="6">
        <v>1767274.8556313012</v>
      </c>
      <c r="BY10" s="6">
        <v>1787186.0865931704</v>
      </c>
      <c r="BZ10" s="6">
        <v>1806925.7975662611</v>
      </c>
      <c r="CA10" s="6">
        <v>1828880.632246143</v>
      </c>
      <c r="CB10" s="6">
        <v>1853574.3934813279</v>
      </c>
      <c r="CC10" s="6">
        <v>1877965.6629641103</v>
      </c>
      <c r="CD10" s="6">
        <v>1899147.4923842389</v>
      </c>
      <c r="CE10" s="6">
        <v>1920783.8207886978</v>
      </c>
      <c r="CF10" s="6">
        <v>1943398.6357314184</v>
      </c>
      <c r="CG10" s="6">
        <v>1967312.7259399118</v>
      </c>
      <c r="CH10" s="6">
        <v>1987125.5235778617</v>
      </c>
      <c r="CI10" s="6">
        <v>2003101.0093857581</v>
      </c>
      <c r="CJ10" s="6">
        <v>2016564.5949784699</v>
      </c>
      <c r="CK10" s="6">
        <v>2032256.4542488521</v>
      </c>
      <c r="CL10" s="6">
        <v>2053920.7351357946</v>
      </c>
      <c r="CM10" s="6">
        <v>2075345.1360614272</v>
      </c>
      <c r="CN10" s="6">
        <v>2091187.9433588437</v>
      </c>
      <c r="CO10" s="6">
        <v>2108581.4923516116</v>
      </c>
      <c r="CP10" s="6">
        <v>2131599.9242727412</v>
      </c>
      <c r="CQ10" s="6">
        <v>2158655.9699918297</v>
      </c>
      <c r="CR10" s="2"/>
    </row>
    <row r="11" spans="1:96" x14ac:dyDescent="0.35">
      <c r="A11" s="1" t="str">
        <f>'Population Definitions'!$B$11</f>
        <v>ausb_0-14_F</v>
      </c>
      <c r="C11" t="s">
        <v>32</v>
      </c>
      <c r="D11" s="3"/>
      <c r="E11" s="6">
        <v>1388056.0559709438</v>
      </c>
      <c r="F11" s="6">
        <v>1389285.4013037849</v>
      </c>
      <c r="G11" s="6">
        <v>1394592.2403603864</v>
      </c>
      <c r="H11" s="6">
        <v>1392632.5960626523</v>
      </c>
      <c r="I11" s="6">
        <v>1383189.1405917555</v>
      </c>
      <c r="J11" s="6">
        <v>1377602.327342699</v>
      </c>
      <c r="K11" s="6">
        <v>1363146.0859088271</v>
      </c>
      <c r="L11" s="6">
        <v>1351305.8636061442</v>
      </c>
      <c r="M11" s="6">
        <v>1348718.2644100601</v>
      </c>
      <c r="N11" s="6">
        <v>1351792.3657666869</v>
      </c>
      <c r="O11" s="6">
        <v>1355842.464263923</v>
      </c>
      <c r="P11" s="6">
        <v>1358154.184534101</v>
      </c>
      <c r="Q11" s="6">
        <v>1356924.1313105726</v>
      </c>
      <c r="R11" s="6">
        <v>1364242.0738177672</v>
      </c>
      <c r="S11" s="6">
        <v>1370165.3240692369</v>
      </c>
      <c r="T11" s="6">
        <v>1376330.1341515977</v>
      </c>
      <c r="U11" s="6">
        <v>1378185.9098525527</v>
      </c>
      <c r="V11" s="6">
        <v>1381699.5374801331</v>
      </c>
      <c r="W11" s="6">
        <v>1384650.8494607597</v>
      </c>
      <c r="X11" s="6">
        <v>1389666.7622517389</v>
      </c>
      <c r="Y11" s="6">
        <v>1394193.2389779538</v>
      </c>
      <c r="Z11" s="6">
        <v>1396426.5804874247</v>
      </c>
      <c r="AA11" s="6">
        <v>1392076.4251139271</v>
      </c>
      <c r="AB11" s="6">
        <v>1385858.0708356684</v>
      </c>
      <c r="AC11" s="6">
        <v>1381344.9459731532</v>
      </c>
      <c r="AD11" s="6">
        <v>1374993.0979591573</v>
      </c>
      <c r="AE11" s="6">
        <v>1372831.95195845</v>
      </c>
      <c r="AF11" s="6">
        <v>1377773.4617111564</v>
      </c>
      <c r="AG11" s="6">
        <v>1382067.0756024306</v>
      </c>
      <c r="AH11" s="6">
        <v>1389025.4383595253</v>
      </c>
      <c r="AI11" s="6">
        <v>1395617.6235632743</v>
      </c>
      <c r="AJ11" s="6">
        <v>1401725.3950000003</v>
      </c>
      <c r="AK11" s="6">
        <v>1416703.446</v>
      </c>
      <c r="AL11" s="6">
        <v>1432973.7090000003</v>
      </c>
      <c r="AM11" s="6">
        <v>1447251.8399999999</v>
      </c>
      <c r="AN11" s="6">
        <v>1460398.5060000001</v>
      </c>
      <c r="AO11" s="6">
        <v>1478796.102</v>
      </c>
      <c r="AP11" s="6">
        <v>1490059.25</v>
      </c>
      <c r="AQ11" s="6">
        <v>1496790.5999999999</v>
      </c>
      <c r="AR11" s="6">
        <v>1502635.9139999999</v>
      </c>
      <c r="AS11" s="6">
        <v>1508976.8060000001</v>
      </c>
      <c r="AT11" s="6">
        <v>1518708.1140000001</v>
      </c>
      <c r="AU11" s="6">
        <v>1520285.2650000001</v>
      </c>
      <c r="AV11" s="6">
        <v>1551086.594984713</v>
      </c>
      <c r="AW11" s="6">
        <v>1573399.2276696134</v>
      </c>
      <c r="AX11" s="6">
        <v>1597331.9251014539</v>
      </c>
      <c r="AY11" s="6">
        <v>1620819.5899981875</v>
      </c>
      <c r="AZ11" s="6">
        <v>1640767.8570295409</v>
      </c>
      <c r="BA11" s="6">
        <v>1658664.6797563008</v>
      </c>
      <c r="BB11" s="6">
        <v>1675678.3488592317</v>
      </c>
      <c r="BC11" s="6">
        <v>1692880.4096402982</v>
      </c>
      <c r="BD11" s="6">
        <v>1706655.8340411566</v>
      </c>
      <c r="BE11" s="6">
        <v>1722860.4925205007</v>
      </c>
      <c r="BF11" s="6">
        <v>1741509.4831425748</v>
      </c>
      <c r="BG11" s="6">
        <v>1760213.1777856066</v>
      </c>
      <c r="BH11" s="6">
        <v>1780538.9671041183</v>
      </c>
      <c r="BI11" s="6">
        <v>1798919.5316894553</v>
      </c>
      <c r="BJ11" s="6">
        <v>1813711.9390963123</v>
      </c>
      <c r="BK11" s="6">
        <v>1833338.1865763457</v>
      </c>
      <c r="BL11" s="6">
        <v>1852909.3367033356</v>
      </c>
      <c r="BM11" s="6">
        <v>1872918.7016207981</v>
      </c>
      <c r="BN11" s="6">
        <v>1893433.7115497775</v>
      </c>
      <c r="BO11" s="6">
        <v>1914441.4179908042</v>
      </c>
      <c r="BP11" s="6">
        <v>1935616.1633695019</v>
      </c>
      <c r="BQ11" s="6">
        <v>1956572.5111148092</v>
      </c>
      <c r="BR11" s="6">
        <v>1977116.8620277392</v>
      </c>
      <c r="BS11" s="6">
        <v>1997028.6364155146</v>
      </c>
      <c r="BT11" s="6">
        <v>2016114.1775728972</v>
      </c>
      <c r="BU11" s="6">
        <v>2034157.1362487562</v>
      </c>
      <c r="BV11" s="6">
        <v>2050923.1504005895</v>
      </c>
      <c r="BW11" s="6">
        <v>2066199.7605506415</v>
      </c>
      <c r="BX11" s="6">
        <v>2079824.3705406361</v>
      </c>
      <c r="BY11" s="6">
        <v>2091727.7192235016</v>
      </c>
      <c r="BZ11" s="6">
        <v>2101898.6704789996</v>
      </c>
      <c r="CA11" s="6">
        <v>2110368.5419848091</v>
      </c>
      <c r="CB11" s="6">
        <v>2117245.5653683837</v>
      </c>
      <c r="CC11" s="6">
        <v>2122697.8675025664</v>
      </c>
      <c r="CD11" s="6">
        <v>2126938.2257030178</v>
      </c>
      <c r="CE11" s="6">
        <v>2130207.6106251809</v>
      </c>
      <c r="CF11" s="6">
        <v>2132761.4773269165</v>
      </c>
      <c r="CG11" s="6">
        <v>2134842.2181988456</v>
      </c>
      <c r="CH11" s="6">
        <v>2136680.6238337145</v>
      </c>
      <c r="CI11" s="6">
        <v>2138487.5902367923</v>
      </c>
      <c r="CJ11" s="6">
        <v>2140430.4276162991</v>
      </c>
      <c r="CK11" s="6">
        <v>2142658.0624566628</v>
      </c>
      <c r="CL11" s="6">
        <v>2145289.3013012838</v>
      </c>
      <c r="CM11" s="6">
        <v>2148401.2550623217</v>
      </c>
      <c r="CN11" s="6">
        <v>2152034.1747483783</v>
      </c>
      <c r="CO11" s="6">
        <v>2156221.9396658735</v>
      </c>
      <c r="CP11" s="6">
        <v>2160946.8402316491</v>
      </c>
      <c r="CQ11" s="6">
        <v>2166183.1709762821</v>
      </c>
      <c r="CR11" s="2"/>
    </row>
    <row r="12" spans="1:96" x14ac:dyDescent="0.35">
      <c r="A12" s="1" t="str">
        <f>'Population Definitions'!$B$12</f>
        <v>ausb_15-64_F</v>
      </c>
      <c r="C12" t="s">
        <v>32</v>
      </c>
      <c r="D12" s="3"/>
      <c r="E12" s="6">
        <v>3667192.7526193615</v>
      </c>
      <c r="F12" s="6">
        <v>3723910.3438255182</v>
      </c>
      <c r="G12" s="6">
        <v>3796412.8374980404</v>
      </c>
      <c r="H12" s="6">
        <v>3852537.0511697396</v>
      </c>
      <c r="I12" s="6">
        <v>3908308.4288037042</v>
      </c>
      <c r="J12" s="6">
        <v>3971935.5503949928</v>
      </c>
      <c r="K12" s="6">
        <v>4038549.7946873107</v>
      </c>
      <c r="L12" s="6">
        <v>4102453.5380679946</v>
      </c>
      <c r="M12" s="6">
        <v>4165898.2233429365</v>
      </c>
      <c r="N12" s="6">
        <v>4227244.8395221569</v>
      </c>
      <c r="O12" s="6">
        <v>4277507.011954328</v>
      </c>
      <c r="P12" s="6">
        <v>4307893.5898082219</v>
      </c>
      <c r="Q12" s="6">
        <v>4318993.7237817375</v>
      </c>
      <c r="R12" s="6">
        <v>4357762.0822961237</v>
      </c>
      <c r="S12" s="6">
        <v>4397208.1276505142</v>
      </c>
      <c r="T12" s="6">
        <v>4440999.2723917533</v>
      </c>
      <c r="U12" s="6">
        <v>4488184.1932618441</v>
      </c>
      <c r="V12" s="6">
        <v>4544941.6330208397</v>
      </c>
      <c r="W12" s="6">
        <v>4603764.5871618288</v>
      </c>
      <c r="X12" s="6">
        <v>4667890.8193706069</v>
      </c>
      <c r="Y12" s="6">
        <v>4736510.9296312872</v>
      </c>
      <c r="Z12" s="6">
        <v>4798587.0415207027</v>
      </c>
      <c r="AA12" s="6">
        <v>4846703.2533450089</v>
      </c>
      <c r="AB12" s="6">
        <v>4893018.306610859</v>
      </c>
      <c r="AC12" s="6">
        <v>4937266.1736171022</v>
      </c>
      <c r="AD12" s="6">
        <v>4976984.7524742791</v>
      </c>
      <c r="AE12" s="6">
        <v>5022683.2078679577</v>
      </c>
      <c r="AF12" s="6">
        <v>5079873.0702598905</v>
      </c>
      <c r="AG12" s="6">
        <v>5135312.6515117362</v>
      </c>
      <c r="AH12" s="6">
        <v>5196179.2703528767</v>
      </c>
      <c r="AI12" s="6">
        <v>5248942.6407923149</v>
      </c>
      <c r="AJ12" s="6">
        <v>5298028.495000001</v>
      </c>
      <c r="AK12" s="6">
        <v>5340099.9840000002</v>
      </c>
      <c r="AL12" s="6">
        <v>5385436.1280000005</v>
      </c>
      <c r="AM12" s="6">
        <v>5431475.5199999996</v>
      </c>
      <c r="AN12" s="6">
        <v>5473776.6090000002</v>
      </c>
      <c r="AO12" s="6">
        <v>5521124.2379999999</v>
      </c>
      <c r="AP12" s="6">
        <v>5565995.2999999998</v>
      </c>
      <c r="AQ12" s="6">
        <v>5600369.0039999997</v>
      </c>
      <c r="AR12" s="6">
        <v>5632092.648</v>
      </c>
      <c r="AS12" s="6">
        <v>5667576.5880000005</v>
      </c>
      <c r="AT12" s="6">
        <v>5678049.9160000002</v>
      </c>
      <c r="AU12" s="6">
        <v>5723218.9050000003</v>
      </c>
      <c r="AV12" s="6">
        <v>5740966.7957627131</v>
      </c>
      <c r="AW12" s="6">
        <v>5727797.9172841441</v>
      </c>
      <c r="AX12" s="6">
        <v>5742791.0928444155</v>
      </c>
      <c r="AY12" s="6">
        <v>5754868.2697204482</v>
      </c>
      <c r="AZ12" s="6">
        <v>5770620.8098818818</v>
      </c>
      <c r="BA12" s="6">
        <v>5788190.1996104373</v>
      </c>
      <c r="BB12" s="6">
        <v>5809656.0136922449</v>
      </c>
      <c r="BC12" s="6">
        <v>5835828.3294078782</v>
      </c>
      <c r="BD12" s="6">
        <v>5868751.4306423757</v>
      </c>
      <c r="BE12" s="6">
        <v>5899301.3901439104</v>
      </c>
      <c r="BF12" s="6">
        <v>5930693.2947981087</v>
      </c>
      <c r="BG12" s="6">
        <v>5957273.3393811332</v>
      </c>
      <c r="BH12" s="6">
        <v>5982486.2807913981</v>
      </c>
      <c r="BI12" s="6">
        <v>6000064.5808044309</v>
      </c>
      <c r="BJ12" s="6">
        <v>6025298.141014019</v>
      </c>
      <c r="BK12" s="6">
        <v>6054269.0615846561</v>
      </c>
      <c r="BL12" s="6">
        <v>6089066.6609625155</v>
      </c>
      <c r="BM12" s="6">
        <v>6127822.8135870816</v>
      </c>
      <c r="BN12" s="6">
        <v>6169433.8630691338</v>
      </c>
      <c r="BO12" s="6">
        <v>6210770.4393621609</v>
      </c>
      <c r="BP12" s="6">
        <v>6251461.2201908771</v>
      </c>
      <c r="BQ12" s="6">
        <v>6288664.6807737704</v>
      </c>
      <c r="BR12" s="6">
        <v>6323378.4878342226</v>
      </c>
      <c r="BS12" s="6">
        <v>6351126.3234891165</v>
      </c>
      <c r="BT12" s="6">
        <v>6375472.9116793163</v>
      </c>
      <c r="BU12" s="6">
        <v>6394455.3566846987</v>
      </c>
      <c r="BV12" s="6">
        <v>6412997.1731771063</v>
      </c>
      <c r="BW12" s="6">
        <v>6429802.4638057183</v>
      </c>
      <c r="BX12" s="6">
        <v>6446416.3302800432</v>
      </c>
      <c r="BY12" s="6">
        <v>6463793.8174691787</v>
      </c>
      <c r="BZ12" s="6">
        <v>6480419.418179566</v>
      </c>
      <c r="CA12" s="6">
        <v>6496412.6507143416</v>
      </c>
      <c r="CB12" s="6">
        <v>6510061.529937488</v>
      </c>
      <c r="CC12" s="6">
        <v>6523944.966810476</v>
      </c>
      <c r="CD12" s="6">
        <v>6541014.4096423425</v>
      </c>
      <c r="CE12" s="6">
        <v>6559449.4053218104</v>
      </c>
      <c r="CF12" s="6">
        <v>6579151.9155112226</v>
      </c>
      <c r="CG12" s="6">
        <v>6599378.7555400301</v>
      </c>
      <c r="CH12" s="6">
        <v>6623888.1128345346</v>
      </c>
      <c r="CI12" s="6">
        <v>6651794.5997029319</v>
      </c>
      <c r="CJ12" s="6">
        <v>6683142.5485803913</v>
      </c>
      <c r="CK12" s="6">
        <v>6713857.963711231</v>
      </c>
      <c r="CL12" s="6">
        <v>6740367.1527471896</v>
      </c>
      <c r="CM12" s="6">
        <v>6767546.9523711391</v>
      </c>
      <c r="CN12" s="6">
        <v>6797551.0393462069</v>
      </c>
      <c r="CO12" s="6">
        <v>6824812.0908100586</v>
      </c>
      <c r="CP12" s="6">
        <v>6847267.0407018838</v>
      </c>
      <c r="CQ12" s="6">
        <v>6865537.2158176508</v>
      </c>
      <c r="CR12" s="2"/>
    </row>
    <row r="13" spans="1:96" x14ac:dyDescent="0.35">
      <c r="A13" s="1" t="str">
        <f>'Population Definitions'!$B$13</f>
        <v>ausb_65+_F</v>
      </c>
      <c r="C13" t="s">
        <v>32</v>
      </c>
      <c r="D13" s="3"/>
      <c r="E13" s="6">
        <v>645824.0831177627</v>
      </c>
      <c r="F13" s="6">
        <v>663335.02496432944</v>
      </c>
      <c r="G13" s="6">
        <v>683671.52527293027</v>
      </c>
      <c r="H13" s="6">
        <v>700575.73480765068</v>
      </c>
      <c r="I13" s="6">
        <v>717313.78508487029</v>
      </c>
      <c r="J13" s="6">
        <v>737943.04390849185</v>
      </c>
      <c r="K13" s="6">
        <v>763039.64042489487</v>
      </c>
      <c r="L13" s="6">
        <v>783840.12337623152</v>
      </c>
      <c r="M13" s="6">
        <v>802978.39483631484</v>
      </c>
      <c r="N13" s="6">
        <v>822357.54164423048</v>
      </c>
      <c r="O13" s="6">
        <v>838001.41593069746</v>
      </c>
      <c r="P13" s="6">
        <v>856493.4203088847</v>
      </c>
      <c r="Q13" s="6">
        <v>869776.34461731534</v>
      </c>
      <c r="R13" s="6">
        <v>890975.55415848806</v>
      </c>
      <c r="S13" s="6">
        <v>909284.0041423873</v>
      </c>
      <c r="T13" s="6">
        <v>924671.79171975364</v>
      </c>
      <c r="U13" s="6">
        <v>941259.49079008785</v>
      </c>
      <c r="V13" s="6">
        <v>958222.78513860865</v>
      </c>
      <c r="W13" s="6">
        <v>975083.66180428257</v>
      </c>
      <c r="X13" s="6">
        <v>992425.0602233893</v>
      </c>
      <c r="Y13" s="6">
        <v>1010045.30695222</v>
      </c>
      <c r="Z13" s="6">
        <v>1028863.766835244</v>
      </c>
      <c r="AA13" s="6">
        <v>1042471.0858778317</v>
      </c>
      <c r="AB13" s="6">
        <v>1054634.0431741138</v>
      </c>
      <c r="AC13" s="6">
        <v>1068635.960938761</v>
      </c>
      <c r="AD13" s="6">
        <v>1081641.6205933627</v>
      </c>
      <c r="AE13" s="6">
        <v>1093907.1257988978</v>
      </c>
      <c r="AF13" s="6">
        <v>1112400.8224873818</v>
      </c>
      <c r="AG13" s="6">
        <v>1126219.5174207736</v>
      </c>
      <c r="AH13" s="6">
        <v>1147321.1068434464</v>
      </c>
      <c r="AI13" s="6">
        <v>1176624.4815450248</v>
      </c>
      <c r="AJ13" s="6">
        <v>1208677.0670000003</v>
      </c>
      <c r="AK13" s="6">
        <v>1245878.8019999999</v>
      </c>
      <c r="AL13" s="6">
        <v>1279268.9700000002</v>
      </c>
      <c r="AM13" s="6">
        <v>1312757.28</v>
      </c>
      <c r="AN13" s="6">
        <v>1346219.841</v>
      </c>
      <c r="AO13" s="6">
        <v>1382017.686</v>
      </c>
      <c r="AP13" s="6">
        <v>1415607.94</v>
      </c>
      <c r="AQ13" s="6">
        <v>1450815.1739999999</v>
      </c>
      <c r="AR13" s="6">
        <v>1488509.568</v>
      </c>
      <c r="AS13" s="6">
        <v>1542860.3420000002</v>
      </c>
      <c r="AT13" s="6">
        <v>1602317.2270000002</v>
      </c>
      <c r="AU13" s="6">
        <v>1642395.4950000001</v>
      </c>
      <c r="AV13" s="6">
        <v>1674284.2430579008</v>
      </c>
      <c r="AW13" s="6">
        <v>1703687.9108906961</v>
      </c>
      <c r="AX13" s="6">
        <v>1735169.9810025541</v>
      </c>
      <c r="AY13" s="6">
        <v>1769653.8697537906</v>
      </c>
      <c r="AZ13" s="6">
        <v>1802272.2841261004</v>
      </c>
      <c r="BA13" s="6">
        <v>1833661.7033769407</v>
      </c>
      <c r="BB13" s="6">
        <v>1860671.5866053079</v>
      </c>
      <c r="BC13" s="6">
        <v>1880812.9344578609</v>
      </c>
      <c r="BD13" s="6">
        <v>1896655.5020020183</v>
      </c>
      <c r="BE13" s="6">
        <v>1910400.7106808473</v>
      </c>
      <c r="BF13" s="6">
        <v>1925457.6848350782</v>
      </c>
      <c r="BG13" s="6">
        <v>1944674.7704118844</v>
      </c>
      <c r="BH13" s="6">
        <v>1963100.8431117209</v>
      </c>
      <c r="BI13" s="6">
        <v>1990713.2860779089</v>
      </c>
      <c r="BJ13" s="6">
        <v>2013723.8381394665</v>
      </c>
      <c r="BK13" s="6">
        <v>2027777.5207490101</v>
      </c>
      <c r="BL13" s="6">
        <v>2035773.7965673916</v>
      </c>
      <c r="BM13" s="6">
        <v>2039116.1785132072</v>
      </c>
      <c r="BN13" s="6">
        <v>2038847.2917787137</v>
      </c>
      <c r="BO13" s="6">
        <v>2038058.1076875178</v>
      </c>
      <c r="BP13" s="6">
        <v>2037384.6771093905</v>
      </c>
      <c r="BQ13" s="6">
        <v>2039950.7734738083</v>
      </c>
      <c r="BR13" s="6">
        <v>2044800.1688313656</v>
      </c>
      <c r="BS13" s="6">
        <v>2056496.1034476263</v>
      </c>
      <c r="BT13" s="6">
        <v>2071477.6391048138</v>
      </c>
      <c r="BU13" s="6">
        <v>2091847.0491680801</v>
      </c>
      <c r="BV13" s="6">
        <v>2112768.5155907106</v>
      </c>
      <c r="BW13" s="6">
        <v>2135684.0029316288</v>
      </c>
      <c r="BX13" s="6">
        <v>2159182.6152620539</v>
      </c>
      <c r="BY13" s="6">
        <v>2182417.0585196214</v>
      </c>
      <c r="BZ13" s="6">
        <v>2207005.880902777</v>
      </c>
      <c r="CA13" s="6">
        <v>2232818.6303183762</v>
      </c>
      <c r="CB13" s="6">
        <v>2261538.4651350649</v>
      </c>
      <c r="CC13" s="6">
        <v>2290462.6618131101</v>
      </c>
      <c r="CD13" s="6">
        <v>2316505.087666499</v>
      </c>
      <c r="CE13" s="6">
        <v>2341398.1371857924</v>
      </c>
      <c r="CF13" s="6">
        <v>2365068.3285182547</v>
      </c>
      <c r="CG13" s="6">
        <v>2388133.4694879558</v>
      </c>
      <c r="CH13" s="6">
        <v>2406637.8294704515</v>
      </c>
      <c r="CI13" s="6">
        <v>2421361.3114941586</v>
      </c>
      <c r="CJ13" s="6">
        <v>2432185.2957084607</v>
      </c>
      <c r="CK13" s="6">
        <v>2443085.6823642715</v>
      </c>
      <c r="CL13" s="6">
        <v>2457549.2557661417</v>
      </c>
      <c r="CM13" s="6">
        <v>2470560.3557564435</v>
      </c>
      <c r="CN13" s="6">
        <v>2479950.4465232054</v>
      </c>
      <c r="CO13" s="6">
        <v>2491322.5575816021</v>
      </c>
      <c r="CP13" s="6">
        <v>2506697.6001597987</v>
      </c>
      <c r="CQ13" s="6">
        <v>2525367.0673702508</v>
      </c>
      <c r="CR13" s="2"/>
    </row>
    <row r="14" spans="1:96" x14ac:dyDescent="0.35">
      <c r="A14" s="1" t="str">
        <f>'Population Definitions'!$B$14</f>
        <v>lros_0-14_M</v>
      </c>
      <c r="C14" t="s">
        <v>32</v>
      </c>
      <c r="D14" s="3"/>
      <c r="E14" s="6">
        <v>196602.96565252179</v>
      </c>
      <c r="F14" s="6">
        <v>196896.36028674874</v>
      </c>
      <c r="G14" s="6">
        <v>195683.47746203004</v>
      </c>
      <c r="H14" s="6">
        <v>194699.33260151072</v>
      </c>
      <c r="I14" s="6">
        <v>192442.10955766492</v>
      </c>
      <c r="J14" s="6">
        <v>189496.19403253793</v>
      </c>
      <c r="K14" s="6">
        <v>186760.76762750896</v>
      </c>
      <c r="L14" s="6">
        <v>185809.04041336433</v>
      </c>
      <c r="M14" s="6">
        <v>186017.51907687137</v>
      </c>
      <c r="N14" s="6">
        <v>186846.22215877209</v>
      </c>
      <c r="O14" s="6">
        <v>187871.79930242937</v>
      </c>
      <c r="P14" s="6">
        <v>189677.40127840111</v>
      </c>
      <c r="Q14" s="6">
        <v>194175.49587313071</v>
      </c>
      <c r="R14" s="6">
        <v>192281.30216898274</v>
      </c>
      <c r="S14" s="6">
        <v>191292.63576881</v>
      </c>
      <c r="T14" s="6">
        <v>191375.96053879493</v>
      </c>
      <c r="U14" s="6">
        <v>191989.94491112884</v>
      </c>
      <c r="V14" s="6">
        <v>190297.84401141826</v>
      </c>
      <c r="W14" s="6">
        <v>188567.44133371007</v>
      </c>
      <c r="X14" s="6">
        <v>186273.72661900028</v>
      </c>
      <c r="Y14" s="6">
        <v>184453.95815298456</v>
      </c>
      <c r="Z14" s="6">
        <v>184071.18283719724</v>
      </c>
      <c r="AA14" s="6">
        <v>183242.68666847522</v>
      </c>
      <c r="AB14" s="6">
        <v>183842.52934094495</v>
      </c>
      <c r="AC14" s="6">
        <v>184410.48040156238</v>
      </c>
      <c r="AD14" s="6">
        <v>186676.87091357246</v>
      </c>
      <c r="AE14" s="6">
        <v>190246.5727140962</v>
      </c>
      <c r="AF14" s="6">
        <v>196402.09562592959</v>
      </c>
      <c r="AG14" s="6">
        <v>204786.53990243838</v>
      </c>
      <c r="AH14" s="6">
        <v>213170.30500780811</v>
      </c>
      <c r="AI14" s="6">
        <v>216885.51620904403</v>
      </c>
      <c r="AJ14" s="6">
        <v>219280.09730655051</v>
      </c>
      <c r="AK14" s="6">
        <v>226508.89508697559</v>
      </c>
      <c r="AL14" s="6">
        <v>233256.90833204394</v>
      </c>
      <c r="AM14" s="6">
        <v>239023.23824954341</v>
      </c>
      <c r="AN14" s="6">
        <v>244803.52354266576</v>
      </c>
      <c r="AO14" s="6">
        <v>251181.34245383422</v>
      </c>
      <c r="AP14" s="6">
        <v>258285.40591652796</v>
      </c>
      <c r="AQ14" s="6">
        <v>266389.59504814656</v>
      </c>
      <c r="AR14" s="6">
        <v>275961.11212432204</v>
      </c>
      <c r="AS14" s="6">
        <v>282722.63031488215</v>
      </c>
      <c r="AT14" s="6">
        <v>277263.3139255314</v>
      </c>
      <c r="AU14" s="6">
        <v>279821.83927865839</v>
      </c>
      <c r="AV14" s="6">
        <v>274191.16915031453</v>
      </c>
      <c r="AW14" s="6">
        <v>268939.88090850861</v>
      </c>
      <c r="AX14" s="6">
        <v>261492.41760838893</v>
      </c>
      <c r="AY14" s="6">
        <v>254216.8119381672</v>
      </c>
      <c r="AZ14" s="6">
        <v>247100.71463474326</v>
      </c>
      <c r="BA14" s="6">
        <v>240133.03283971018</v>
      </c>
      <c r="BB14" s="6">
        <v>233303.8240696092</v>
      </c>
      <c r="BC14" s="6">
        <v>226604.43136400453</v>
      </c>
      <c r="BD14" s="6">
        <v>219996.51994257941</v>
      </c>
      <c r="BE14" s="6">
        <v>213503.11365793558</v>
      </c>
      <c r="BF14" s="6">
        <v>207087.49600900876</v>
      </c>
      <c r="BG14" s="6">
        <v>201101.60250231932</v>
      </c>
      <c r="BH14" s="6">
        <v>195516.49258040363</v>
      </c>
      <c r="BI14" s="6">
        <v>190305.34156593718</v>
      </c>
      <c r="BJ14" s="6">
        <v>185443.31447943943</v>
      </c>
      <c r="BK14" s="6">
        <v>180906.65937328423</v>
      </c>
      <c r="BL14" s="6">
        <v>176673.74718810187</v>
      </c>
      <c r="BM14" s="6">
        <v>172724.26088097712</v>
      </c>
      <c r="BN14" s="6">
        <v>169039.24816665618</v>
      </c>
      <c r="BO14" s="6">
        <v>165600.93091007633</v>
      </c>
      <c r="BP14" s="6">
        <v>162392.93853143317</v>
      </c>
      <c r="BQ14" s="6">
        <v>159399.98372191348</v>
      </c>
      <c r="BR14" s="6">
        <v>156607.5026124946</v>
      </c>
      <c r="BS14" s="6">
        <v>154002.10274910781</v>
      </c>
      <c r="BT14" s="6">
        <v>151571.37913010881</v>
      </c>
      <c r="BU14" s="6">
        <v>149303.65022486201</v>
      </c>
      <c r="BV14" s="6">
        <v>147187.91562154004</v>
      </c>
      <c r="BW14" s="6">
        <v>145214.00101054489</v>
      </c>
      <c r="BX14" s="6">
        <v>143372.40805312002</v>
      </c>
      <c r="BY14" s="6">
        <v>141654.36050506763</v>
      </c>
      <c r="BZ14" s="6">
        <v>140051.56462018925</v>
      </c>
      <c r="CA14" s="6">
        <v>138556.20711006384</v>
      </c>
      <c r="CB14" s="6">
        <v>137161.08025721929</v>
      </c>
      <c r="CC14" s="6">
        <v>135859.46057402215</v>
      </c>
      <c r="CD14" s="6">
        <v>134645.16206850199</v>
      </c>
      <c r="CE14" s="6">
        <v>133512.2415945128</v>
      </c>
      <c r="CF14" s="6">
        <v>132455.24328990025</v>
      </c>
      <c r="CG14" s="6">
        <v>131469.07718670092</v>
      </c>
      <c r="CH14" s="6">
        <v>130548.92205555225</v>
      </c>
      <c r="CI14" s="6">
        <v>129690.58187161954</v>
      </c>
      <c r="CJ14" s="6">
        <v>128889.75980420923</v>
      </c>
      <c r="CK14" s="6">
        <v>128142.68487129374</v>
      </c>
      <c r="CL14" s="6">
        <v>127445.67585637915</v>
      </c>
      <c r="CM14" s="6">
        <v>126795.38130823438</v>
      </c>
      <c r="CN14" s="6">
        <v>126188.67424099319</v>
      </c>
      <c r="CO14" s="6">
        <v>125622.56860965451</v>
      </c>
      <c r="CP14" s="6">
        <v>125094.5664779073</v>
      </c>
      <c r="CQ14" s="6">
        <v>124602.04173150765</v>
      </c>
      <c r="CR14" s="2"/>
    </row>
    <row r="15" spans="1:96" x14ac:dyDescent="0.35">
      <c r="A15" s="1" t="str">
        <f>'Population Definitions'!$B$15</f>
        <v>lros_15-64_M</v>
      </c>
      <c r="C15" t="s">
        <v>32</v>
      </c>
      <c r="D15" s="3"/>
      <c r="E15" s="6">
        <v>509614.42419946077</v>
      </c>
      <c r="F15" s="6">
        <v>517852.51261773135</v>
      </c>
      <c r="G15" s="6">
        <v>522780.73584799364</v>
      </c>
      <c r="H15" s="6">
        <v>528208.84172922873</v>
      </c>
      <c r="I15" s="6">
        <v>533149.06950070208</v>
      </c>
      <c r="J15" s="6">
        <v>535850.9954283688</v>
      </c>
      <c r="K15" s="6">
        <v>542239.4839258577</v>
      </c>
      <c r="L15" s="6">
        <v>551384.44648285164</v>
      </c>
      <c r="M15" s="6">
        <v>560644.649077654</v>
      </c>
      <c r="N15" s="6">
        <v>569477.08320082841</v>
      </c>
      <c r="O15" s="6">
        <v>576569.57995731267</v>
      </c>
      <c r="P15" s="6">
        <v>583401.33526208415</v>
      </c>
      <c r="Q15" s="6">
        <v>598986.97822048399</v>
      </c>
      <c r="R15" s="6">
        <v>594870.87290320836</v>
      </c>
      <c r="S15" s="6">
        <v>594139.54346363421</v>
      </c>
      <c r="T15" s="6">
        <v>597313.56502985361</v>
      </c>
      <c r="U15" s="6">
        <v>603819.780109994</v>
      </c>
      <c r="V15" s="6">
        <v>602921.88306665129</v>
      </c>
      <c r="W15" s="6">
        <v>602679.7286207499</v>
      </c>
      <c r="X15" s="6">
        <v>600300.81951427611</v>
      </c>
      <c r="Y15" s="6">
        <v>599882.29681120371</v>
      </c>
      <c r="Z15" s="6">
        <v>604061.06220506132</v>
      </c>
      <c r="AA15" s="6">
        <v>609218.86574145081</v>
      </c>
      <c r="AB15" s="6">
        <v>618779.22265784966</v>
      </c>
      <c r="AC15" s="6">
        <v>627997.99464658683</v>
      </c>
      <c r="AD15" s="6">
        <v>643383.4888336485</v>
      </c>
      <c r="AE15" s="6">
        <v>663242.49070716603</v>
      </c>
      <c r="AF15" s="6">
        <v>690836.50922083436</v>
      </c>
      <c r="AG15" s="6">
        <v>726951.85874435573</v>
      </c>
      <c r="AH15" s="6">
        <v>762904.41502554028</v>
      </c>
      <c r="AI15" s="6">
        <v>779404.67083959095</v>
      </c>
      <c r="AJ15" s="6">
        <v>790389.65912222234</v>
      </c>
      <c r="AK15" s="6">
        <v>812679.91716392245</v>
      </c>
      <c r="AL15" s="6">
        <v>832456.66377854103</v>
      </c>
      <c r="AM15" s="6">
        <v>848717.88327852183</v>
      </c>
      <c r="AN15" s="6">
        <v>865006.25479577191</v>
      </c>
      <c r="AO15" s="6">
        <v>881641.80941998132</v>
      </c>
      <c r="AP15" s="6">
        <v>905384.93204904394</v>
      </c>
      <c r="AQ15" s="6">
        <v>934446.93873449601</v>
      </c>
      <c r="AR15" s="6">
        <v>970467.93495393032</v>
      </c>
      <c r="AS15" s="6">
        <v>995919.13859895838</v>
      </c>
      <c r="AT15" s="6">
        <v>973385.77668969671</v>
      </c>
      <c r="AU15" s="6">
        <v>991404.08968514611</v>
      </c>
      <c r="AV15" s="6">
        <v>1041220.6488165867</v>
      </c>
      <c r="AW15" s="6">
        <v>1089344.5771347894</v>
      </c>
      <c r="AX15" s="6">
        <v>1125529.5995195687</v>
      </c>
      <c r="AY15" s="6">
        <v>1158932.2149554105</v>
      </c>
      <c r="AZ15" s="6">
        <v>1189656.6017388797</v>
      </c>
      <c r="BA15" s="6">
        <v>1217765.6263826841</v>
      </c>
      <c r="BB15" s="6">
        <v>1243342.1870420785</v>
      </c>
      <c r="BC15" s="6">
        <v>1266460.4262881514</v>
      </c>
      <c r="BD15" s="6">
        <v>1287065.7983057909</v>
      </c>
      <c r="BE15" s="6">
        <v>1305351.876074451</v>
      </c>
      <c r="BF15" s="6">
        <v>1321258.4416722821</v>
      </c>
      <c r="BG15" s="6">
        <v>1336315.7989495015</v>
      </c>
      <c r="BH15" s="6">
        <v>1350577.6080803245</v>
      </c>
      <c r="BI15" s="6">
        <v>1364091.298611044</v>
      </c>
      <c r="BJ15" s="6">
        <v>1376910.6497259454</v>
      </c>
      <c r="BK15" s="6">
        <v>1389074.9964614979</v>
      </c>
      <c r="BL15" s="6">
        <v>1400615.2628518769</v>
      </c>
      <c r="BM15" s="6">
        <v>1411565.7483972402</v>
      </c>
      <c r="BN15" s="6">
        <v>1421956.4255677194</v>
      </c>
      <c r="BO15" s="6">
        <v>1431817.4270425937</v>
      </c>
      <c r="BP15" s="6">
        <v>1441177.3423628977</v>
      </c>
      <c r="BQ15" s="6">
        <v>1450063.8552792948</v>
      </c>
      <c r="BR15" s="6">
        <v>1458502.1814613994</v>
      </c>
      <c r="BS15" s="6">
        <v>1466521.3140886999</v>
      </c>
      <c r="BT15" s="6">
        <v>1474151.574817999</v>
      </c>
      <c r="BU15" s="6">
        <v>1481416.5362969399</v>
      </c>
      <c r="BV15" s="6">
        <v>1488341.6723061593</v>
      </c>
      <c r="BW15" s="6">
        <v>1494947.2373469505</v>
      </c>
      <c r="BX15" s="6">
        <v>1501250.7926904627</v>
      </c>
      <c r="BY15" s="6">
        <v>1507271.0223918194</v>
      </c>
      <c r="BZ15" s="6">
        <v>1513024.6393179158</v>
      </c>
      <c r="CA15" s="6">
        <v>1518524.7237206614</v>
      </c>
      <c r="CB15" s="6">
        <v>1523786.8987566878</v>
      </c>
      <c r="CC15" s="6">
        <v>1528827.6819502634</v>
      </c>
      <c r="CD15" s="6">
        <v>1533659.0198592693</v>
      </c>
      <c r="CE15" s="6">
        <v>1538287.2467744485</v>
      </c>
      <c r="CF15" s="6">
        <v>1542724.9129523435</v>
      </c>
      <c r="CG15" s="6">
        <v>1546984.0749784212</v>
      </c>
      <c r="CH15" s="6">
        <v>1551073.9623728753</v>
      </c>
      <c r="CI15" s="6">
        <v>1554999.1452570732</v>
      </c>
      <c r="CJ15" s="6">
        <v>1558766.6610794824</v>
      </c>
      <c r="CK15" s="6">
        <v>1562380.9891053487</v>
      </c>
      <c r="CL15" s="6">
        <v>1565849.8108103939</v>
      </c>
      <c r="CM15" s="6">
        <v>1569185.6721317025</v>
      </c>
      <c r="CN15" s="6">
        <v>1572393.4032350995</v>
      </c>
      <c r="CO15" s="6">
        <v>1575476.0763570403</v>
      </c>
      <c r="CP15" s="6">
        <v>1578440.0399333558</v>
      </c>
      <c r="CQ15" s="6">
        <v>1581292.9850358912</v>
      </c>
      <c r="CR15" s="2"/>
    </row>
    <row r="16" spans="1:96" x14ac:dyDescent="0.35">
      <c r="A16" s="1" t="str">
        <f>'Population Definitions'!$B$16</f>
        <v>lros_65+_M</v>
      </c>
      <c r="C16" t="s">
        <v>32</v>
      </c>
      <c r="D16" s="3"/>
      <c r="E16" s="6">
        <v>63438.873055483578</v>
      </c>
      <c r="F16" s="6">
        <v>65214.817679088897</v>
      </c>
      <c r="G16" s="6">
        <v>66382.948004585254</v>
      </c>
      <c r="H16" s="6">
        <v>67458.00384339146</v>
      </c>
      <c r="I16" s="6">
        <v>68629.503111125916</v>
      </c>
      <c r="J16" s="6">
        <v>69999.19284664822</v>
      </c>
      <c r="K16" s="6">
        <v>72379.637327501376</v>
      </c>
      <c r="L16" s="6">
        <v>75068.026754903563</v>
      </c>
      <c r="M16" s="6">
        <v>77388.613980425842</v>
      </c>
      <c r="N16" s="6">
        <v>79923.01797161474</v>
      </c>
      <c r="O16" s="6">
        <v>82037.123673062641</v>
      </c>
      <c r="P16" s="6">
        <v>85009.092317595161</v>
      </c>
      <c r="Q16" s="6">
        <v>89098.138352098904</v>
      </c>
      <c r="R16" s="6">
        <v>90428.199020075786</v>
      </c>
      <c r="S16" s="6">
        <v>91961.32426446311</v>
      </c>
      <c r="T16" s="6">
        <v>93705.611729607321</v>
      </c>
      <c r="U16" s="6">
        <v>96064.202188516516</v>
      </c>
      <c r="V16" s="6">
        <v>97231.212406643564</v>
      </c>
      <c r="W16" s="6">
        <v>98323.329450408288</v>
      </c>
      <c r="X16" s="6">
        <v>99043.75520310062</v>
      </c>
      <c r="Y16" s="6">
        <v>99872.445377377153</v>
      </c>
      <c r="Z16" s="6">
        <v>102049.38836596867</v>
      </c>
      <c r="AA16" s="6">
        <v>103984.87934202216</v>
      </c>
      <c r="AB16" s="6">
        <v>106598.68702353109</v>
      </c>
      <c r="AC16" s="6">
        <v>109343.46782875885</v>
      </c>
      <c r="AD16" s="6">
        <v>113291.65972326274</v>
      </c>
      <c r="AE16" s="6">
        <v>117840.37701840955</v>
      </c>
      <c r="AF16" s="6">
        <v>124236.58474147037</v>
      </c>
      <c r="AG16" s="6">
        <v>131606.19167762779</v>
      </c>
      <c r="AH16" s="6">
        <v>139891.31758402698</v>
      </c>
      <c r="AI16" s="6">
        <v>146413.58136214112</v>
      </c>
      <c r="AJ16" s="6">
        <v>152645.98952705832</v>
      </c>
      <c r="AK16" s="6">
        <v>162087.76128457588</v>
      </c>
      <c r="AL16" s="6">
        <v>170608.50837445891</v>
      </c>
      <c r="AM16" s="6">
        <v>178673.82466437356</v>
      </c>
      <c r="AN16" s="6">
        <v>186829.5611342894</v>
      </c>
      <c r="AO16" s="6">
        <v>195188.98980780816</v>
      </c>
      <c r="AP16" s="6">
        <v>204182.80465104949</v>
      </c>
      <c r="AQ16" s="6">
        <v>214795.72021290669</v>
      </c>
      <c r="AR16" s="6">
        <v>227210.05545717856</v>
      </c>
      <c r="AS16" s="6">
        <v>240262.23103629373</v>
      </c>
      <c r="AT16" s="6">
        <v>243085.50486106068</v>
      </c>
      <c r="AU16" s="6">
        <v>251198.80638335409</v>
      </c>
      <c r="AV16" s="6">
        <v>271988.0763008013</v>
      </c>
      <c r="AW16" s="6">
        <v>293365.03969170141</v>
      </c>
      <c r="AX16" s="6">
        <v>314380.29973632656</v>
      </c>
      <c r="AY16" s="6">
        <v>335516.15882791614</v>
      </c>
      <c r="AZ16" s="6">
        <v>356779.26290079945</v>
      </c>
      <c r="BA16" s="6">
        <v>377968.84821629291</v>
      </c>
      <c r="BB16" s="6">
        <v>399004.1503975786</v>
      </c>
      <c r="BC16" s="6">
        <v>419800.18847454648</v>
      </c>
      <c r="BD16" s="6">
        <v>440255.86313889228</v>
      </c>
      <c r="BE16" s="6">
        <v>460298.35633085872</v>
      </c>
      <c r="BF16" s="6">
        <v>479794.96262630593</v>
      </c>
      <c r="BG16" s="6">
        <v>498821.32879169559</v>
      </c>
      <c r="BH16" s="6">
        <v>517369.49072041397</v>
      </c>
      <c r="BI16" s="6">
        <v>535434.71838848444</v>
      </c>
      <c r="BJ16" s="6">
        <v>553057.83155526966</v>
      </c>
      <c r="BK16" s="6">
        <v>570181.79094168427</v>
      </c>
      <c r="BL16" s="6">
        <v>586780.27078776201</v>
      </c>
      <c r="BM16" s="6">
        <v>602842.78756786312</v>
      </c>
      <c r="BN16" s="6">
        <v>618358.72515509289</v>
      </c>
      <c r="BO16" s="6">
        <v>633328.56343414274</v>
      </c>
      <c r="BP16" s="6">
        <v>647752.90526427247</v>
      </c>
      <c r="BQ16" s="6">
        <v>661646.09315013629</v>
      </c>
      <c r="BR16" s="6">
        <v>675044.82641626848</v>
      </c>
      <c r="BS16" s="6">
        <v>687979.88344554382</v>
      </c>
      <c r="BT16" s="6">
        <v>700511.54421111906</v>
      </c>
      <c r="BU16" s="6">
        <v>712683.46129915677</v>
      </c>
      <c r="BV16" s="6">
        <v>724540.29038674932</v>
      </c>
      <c r="BW16" s="6">
        <v>736094.42714287702</v>
      </c>
      <c r="BX16" s="6">
        <v>747367.02602475963</v>
      </c>
      <c r="BY16" s="6">
        <v>758380.40515740099</v>
      </c>
      <c r="BZ16" s="6">
        <v>769144.75844398199</v>
      </c>
      <c r="CA16" s="6">
        <v>779675.99055311852</v>
      </c>
      <c r="CB16" s="6">
        <v>790002.59265003656</v>
      </c>
      <c r="CC16" s="6">
        <v>800154.74758441583</v>
      </c>
      <c r="CD16" s="6">
        <v>810140.36626472673</v>
      </c>
      <c r="CE16" s="6">
        <v>819944.13629638287</v>
      </c>
      <c r="CF16" s="6">
        <v>829569.9137783607</v>
      </c>
      <c r="CG16" s="6">
        <v>839023.25833522202</v>
      </c>
      <c r="CH16" s="6">
        <v>848316.79225930478</v>
      </c>
      <c r="CI16" s="6">
        <v>857412.37114511325</v>
      </c>
      <c r="CJ16" s="6">
        <v>866282.70752367971</v>
      </c>
      <c r="CK16" s="6">
        <v>874909.99640571536</v>
      </c>
      <c r="CL16" s="6">
        <v>883308.19982135529</v>
      </c>
      <c r="CM16" s="6">
        <v>891504.86420800863</v>
      </c>
      <c r="CN16" s="6">
        <v>899489.83766168472</v>
      </c>
      <c r="CO16" s="6">
        <v>907218.3870980494</v>
      </c>
      <c r="CP16" s="6">
        <v>914691.0085598015</v>
      </c>
      <c r="CQ16" s="6">
        <v>921925.8240980932</v>
      </c>
      <c r="CR16" s="2"/>
    </row>
    <row r="17" spans="1:98" x14ac:dyDescent="0.35">
      <c r="A17" s="1" t="str">
        <f>'Population Definitions'!$B$17</f>
        <v>lros_0-14_F</v>
      </c>
      <c r="C17" t="s">
        <v>32</v>
      </c>
      <c r="D17" s="3"/>
      <c r="E17" s="6">
        <v>187892.49852024624</v>
      </c>
      <c r="F17" s="6">
        <v>188274.40897917867</v>
      </c>
      <c r="G17" s="6">
        <v>186878.98192232326</v>
      </c>
      <c r="H17" s="6">
        <v>185634.20227274598</v>
      </c>
      <c r="I17" s="6">
        <v>183377.01573842749</v>
      </c>
      <c r="J17" s="6">
        <v>180521.89262952737</v>
      </c>
      <c r="K17" s="6">
        <v>177608.25770793605</v>
      </c>
      <c r="L17" s="6">
        <v>176575.24388702796</v>
      </c>
      <c r="M17" s="6">
        <v>176673.22817684381</v>
      </c>
      <c r="N17" s="6">
        <v>177439.41137171912</v>
      </c>
      <c r="O17" s="6">
        <v>178260.94451063193</v>
      </c>
      <c r="P17" s="6">
        <v>179809.446822386</v>
      </c>
      <c r="Q17" s="6">
        <v>184234.74246733577</v>
      </c>
      <c r="R17" s="6">
        <v>182545.91182717471</v>
      </c>
      <c r="S17" s="6">
        <v>181690.31609780053</v>
      </c>
      <c r="T17" s="6">
        <v>181874.72651239694</v>
      </c>
      <c r="U17" s="6">
        <v>182489.74225716281</v>
      </c>
      <c r="V17" s="6">
        <v>180929.62676357134</v>
      </c>
      <c r="W17" s="6">
        <v>179281.40961978238</v>
      </c>
      <c r="X17" s="6">
        <v>177118.07082660432</v>
      </c>
      <c r="Y17" s="6">
        <v>175316.20992049473</v>
      </c>
      <c r="Z17" s="6">
        <v>174887.63084068178</v>
      </c>
      <c r="AA17" s="6">
        <v>174029.79294168958</v>
      </c>
      <c r="AB17" s="6">
        <v>174463.27396375302</v>
      </c>
      <c r="AC17" s="6">
        <v>174896.33460097393</v>
      </c>
      <c r="AD17" s="6">
        <v>176970.98123628306</v>
      </c>
      <c r="AE17" s="6">
        <v>180444.31664050388</v>
      </c>
      <c r="AF17" s="6">
        <v>186307.00911844394</v>
      </c>
      <c r="AG17" s="6">
        <v>194245.74245239893</v>
      </c>
      <c r="AH17" s="6">
        <v>202195.19569511831</v>
      </c>
      <c r="AI17" s="6">
        <v>205754.04702464695</v>
      </c>
      <c r="AJ17" s="6">
        <v>208001.21798687</v>
      </c>
      <c r="AK17" s="6">
        <v>214754.52492373547</v>
      </c>
      <c r="AL17" s="6">
        <v>221072.17974681297</v>
      </c>
      <c r="AM17" s="6">
        <v>226550.87583148666</v>
      </c>
      <c r="AN17" s="6">
        <v>231937.5269629815</v>
      </c>
      <c r="AO17" s="6">
        <v>238077.30446404216</v>
      </c>
      <c r="AP17" s="6">
        <v>244425.64190451059</v>
      </c>
      <c r="AQ17" s="6">
        <v>251733.91060586472</v>
      </c>
      <c r="AR17" s="6">
        <v>260675.9661899994</v>
      </c>
      <c r="AS17" s="6">
        <v>267046.03231263801</v>
      </c>
      <c r="AT17" s="6">
        <v>261804.88398807435</v>
      </c>
      <c r="AU17" s="6">
        <v>264614.23865968612</v>
      </c>
      <c r="AV17" s="6">
        <v>259722.05217334631</v>
      </c>
      <c r="AW17" s="6">
        <v>255159.72076116089</v>
      </c>
      <c r="AX17" s="6">
        <v>248410.23202079034</v>
      </c>
      <c r="AY17" s="6">
        <v>241791.18033935156</v>
      </c>
      <c r="AZ17" s="6">
        <v>235294.07051628738</v>
      </c>
      <c r="BA17" s="6">
        <v>228910.80409807782</v>
      </c>
      <c r="BB17" s="6">
        <v>222634.15910552625</v>
      </c>
      <c r="BC17" s="6">
        <v>216456.15634680682</v>
      </c>
      <c r="BD17" s="6">
        <v>210342.00332895332</v>
      </c>
      <c r="BE17" s="6">
        <v>204316.59865781941</v>
      </c>
      <c r="BF17" s="6">
        <v>198344.66540452623</v>
      </c>
      <c r="BG17" s="6">
        <v>192772.53447780552</v>
      </c>
      <c r="BH17" s="6">
        <v>187573.08230974982</v>
      </c>
      <c r="BI17" s="6">
        <v>182721.70071856162</v>
      </c>
      <c r="BJ17" s="6">
        <v>178194.85229106338</v>
      </c>
      <c r="BK17" s="6">
        <v>173970.78868041624</v>
      </c>
      <c r="BL17" s="6">
        <v>170029.30035581617</v>
      </c>
      <c r="BM17" s="6">
        <v>166351.39361394415</v>
      </c>
      <c r="BN17" s="6">
        <v>162919.65963435144</v>
      </c>
      <c r="BO17" s="6">
        <v>159717.46018910737</v>
      </c>
      <c r="BP17" s="6">
        <v>156729.66679685964</v>
      </c>
      <c r="BQ17" s="6">
        <v>153941.87180468653</v>
      </c>
      <c r="BR17" s="6">
        <v>151340.72394508554</v>
      </c>
      <c r="BS17" s="6">
        <v>148913.76010976324</v>
      </c>
      <c r="BT17" s="6">
        <v>146649.34722112439</v>
      </c>
      <c r="BU17" s="6">
        <v>144536.62291521463</v>
      </c>
      <c r="BV17" s="6">
        <v>142565.44538945839</v>
      </c>
      <c r="BW17" s="6">
        <v>140726.43064837172</v>
      </c>
      <c r="BX17" s="6">
        <v>139010.64603060632</v>
      </c>
      <c r="BY17" s="6">
        <v>137409.8391537889</v>
      </c>
      <c r="BZ17" s="6">
        <v>135916.38340396906</v>
      </c>
      <c r="CA17" s="6">
        <v>134523.00289836654</v>
      </c>
      <c r="CB17" s="6">
        <v>133222.98719201837</v>
      </c>
      <c r="CC17" s="6">
        <v>132010.14951324914</v>
      </c>
      <c r="CD17" s="6">
        <v>130878.57140535608</v>
      </c>
      <c r="CE17" s="6">
        <v>129822.80596024482</v>
      </c>
      <c r="CF17" s="6">
        <v>128837.77285141317</v>
      </c>
      <c r="CG17" s="6">
        <v>127918.73244306352</v>
      </c>
      <c r="CH17" s="6">
        <v>127061.26270656391</v>
      </c>
      <c r="CI17" s="6">
        <v>126261.23989978719</v>
      </c>
      <c r="CJ17" s="6">
        <v>125514.89022043074</v>
      </c>
      <c r="CK17" s="6">
        <v>124818.62041007126</v>
      </c>
      <c r="CL17" s="6">
        <v>124168.93619885734</v>
      </c>
      <c r="CM17" s="6">
        <v>123562.78736799817</v>
      </c>
      <c r="CN17" s="6">
        <v>122997.40529954591</v>
      </c>
      <c r="CO17" s="6">
        <v>122469.91833878109</v>
      </c>
      <c r="CP17" s="6">
        <v>121977.79257530432</v>
      </c>
      <c r="CQ17" s="6">
        <v>121518.66460375741</v>
      </c>
      <c r="CR17" s="2"/>
    </row>
    <row r="18" spans="1:98" x14ac:dyDescent="0.35">
      <c r="A18" s="1" t="str">
        <f>'Population Definitions'!$B$18</f>
        <v>lros_15-64_F</v>
      </c>
      <c r="C18" t="s">
        <v>32</v>
      </c>
      <c r="D18" s="3"/>
      <c r="E18" s="6">
        <v>496405.03053243743</v>
      </c>
      <c r="F18" s="6">
        <v>504660.1788352711</v>
      </c>
      <c r="G18" s="6">
        <v>508729.17939449684</v>
      </c>
      <c r="H18" s="6">
        <v>513532.89032731915</v>
      </c>
      <c r="I18" s="6">
        <v>518146.01143611496</v>
      </c>
      <c r="J18" s="6">
        <v>520484.98229738977</v>
      </c>
      <c r="K18" s="6">
        <v>526194.36765864771</v>
      </c>
      <c r="L18" s="6">
        <v>536067.92772024137</v>
      </c>
      <c r="M18" s="6">
        <v>545705.28686071304</v>
      </c>
      <c r="N18" s="6">
        <v>554877.99387262482</v>
      </c>
      <c r="O18" s="6">
        <v>562390.14502012357</v>
      </c>
      <c r="P18" s="6">
        <v>570332.86218444805</v>
      </c>
      <c r="Q18" s="6">
        <v>586406.18002013129</v>
      </c>
      <c r="R18" s="6">
        <v>583101.53901974857</v>
      </c>
      <c r="S18" s="6">
        <v>583090.31809964869</v>
      </c>
      <c r="T18" s="6">
        <v>586854.49665453448</v>
      </c>
      <c r="U18" s="6">
        <v>594293.97062886332</v>
      </c>
      <c r="V18" s="6">
        <v>595147.18722738279</v>
      </c>
      <c r="W18" s="6">
        <v>596084.85782927962</v>
      </c>
      <c r="X18" s="6">
        <v>594939.62093220861</v>
      </c>
      <c r="Y18" s="6">
        <v>595604.05345150817</v>
      </c>
      <c r="Z18" s="6">
        <v>600972.17483601847</v>
      </c>
      <c r="AA18" s="6">
        <v>605908.37429088412</v>
      </c>
      <c r="AB18" s="6">
        <v>615973.60602818406</v>
      </c>
      <c r="AC18" s="6">
        <v>625122.4643288987</v>
      </c>
      <c r="AD18" s="6">
        <v>640571.85199743835</v>
      </c>
      <c r="AE18" s="6">
        <v>660178.86446519557</v>
      </c>
      <c r="AF18" s="6">
        <v>686916.96038768569</v>
      </c>
      <c r="AG18" s="6">
        <v>721754.12925113481</v>
      </c>
      <c r="AH18" s="6">
        <v>756388.22401751904</v>
      </c>
      <c r="AI18" s="6">
        <v>773844.62098281342</v>
      </c>
      <c r="AJ18" s="6">
        <v>786171.37409367098</v>
      </c>
      <c r="AK18" s="6">
        <v>809492.37354305654</v>
      </c>
      <c r="AL18" s="6">
        <v>830838.76293517975</v>
      </c>
      <c r="AM18" s="6">
        <v>850235.94519201259</v>
      </c>
      <c r="AN18" s="6">
        <v>869334.09245714126</v>
      </c>
      <c r="AO18" s="6">
        <v>888867.89356314426</v>
      </c>
      <c r="AP18" s="6">
        <v>913032.13213836215</v>
      </c>
      <c r="AQ18" s="6">
        <v>941883.78134709783</v>
      </c>
      <c r="AR18" s="6">
        <v>977050.51437296614</v>
      </c>
      <c r="AS18" s="6">
        <v>1003000.0690768725</v>
      </c>
      <c r="AT18" s="6">
        <v>978819.55448410497</v>
      </c>
      <c r="AU18" s="6">
        <v>996158.58161283785</v>
      </c>
      <c r="AV18" s="6">
        <v>1051763.446316496</v>
      </c>
      <c r="AW18" s="6">
        <v>1104428.6609795112</v>
      </c>
      <c r="AX18" s="6">
        <v>1143977.4917478908</v>
      </c>
      <c r="AY18" s="6">
        <v>1180576.077554947</v>
      </c>
      <c r="AZ18" s="6">
        <v>1214309.6468999863</v>
      </c>
      <c r="BA18" s="6">
        <v>1245270.9792959848</v>
      </c>
      <c r="BB18" s="6">
        <v>1273527.1133030206</v>
      </c>
      <c r="BC18" s="6">
        <v>1299156.8646168998</v>
      </c>
      <c r="BD18" s="6">
        <v>1322099.3464482618</v>
      </c>
      <c r="BE18" s="6">
        <v>1342558.4309652813</v>
      </c>
      <c r="BF18" s="6">
        <v>1360470.1021902496</v>
      </c>
      <c r="BG18" s="6">
        <v>1377515.8877731739</v>
      </c>
      <c r="BH18" s="6">
        <v>1393745.1880750905</v>
      </c>
      <c r="BI18" s="6">
        <v>1409206.7531853039</v>
      </c>
      <c r="BJ18" s="6">
        <v>1423944.9215252295</v>
      </c>
      <c r="BK18" s="6">
        <v>1438004.2624123816</v>
      </c>
      <c r="BL18" s="6">
        <v>1451421.144034161</v>
      </c>
      <c r="BM18" s="6">
        <v>1464225.1324756511</v>
      </c>
      <c r="BN18" s="6">
        <v>1476448.486332647</v>
      </c>
      <c r="BO18" s="6">
        <v>1488119.4410342185</v>
      </c>
      <c r="BP18" s="6">
        <v>1499264.5103833415</v>
      </c>
      <c r="BQ18" s="6">
        <v>1509911.3032033297</v>
      </c>
      <c r="BR18" s="6">
        <v>1520084.7456442183</v>
      </c>
      <c r="BS18" s="6">
        <v>1529811.647993668</v>
      </c>
      <c r="BT18" s="6">
        <v>1539115.4917878914</v>
      </c>
      <c r="BU18" s="6">
        <v>1548022.7316709296</v>
      </c>
      <c r="BV18" s="6">
        <v>1556553.3353598132</v>
      </c>
      <c r="BW18" s="6">
        <v>1564731.5281573688</v>
      </c>
      <c r="BX18" s="6">
        <v>1572574.7210343564</v>
      </c>
      <c r="BY18" s="6">
        <v>1580101.501649257</v>
      </c>
      <c r="BZ18" s="6">
        <v>1587328.789674168</v>
      </c>
      <c r="CA18" s="6">
        <v>1594271.3026593043</v>
      </c>
      <c r="CB18" s="6">
        <v>1600943.7509647461</v>
      </c>
      <c r="CC18" s="6">
        <v>1607362.5243470448</v>
      </c>
      <c r="CD18" s="6">
        <v>1613540.6259739946</v>
      </c>
      <c r="CE18" s="6">
        <v>1619491.3719596758</v>
      </c>
      <c r="CF18" s="6">
        <v>1625223.5263944364</v>
      </c>
      <c r="CG18" s="6">
        <v>1630747.8208020893</v>
      </c>
      <c r="CH18" s="6">
        <v>1636072.9388827705</v>
      </c>
      <c r="CI18" s="6">
        <v>1641209.4170838487</v>
      </c>
      <c r="CJ18" s="6">
        <v>1646162.8926093066</v>
      </c>
      <c r="CK18" s="6">
        <v>1650940.4812779061</v>
      </c>
      <c r="CL18" s="6">
        <v>1655547.2474240004</v>
      </c>
      <c r="CM18" s="6">
        <v>1659990.0912510473</v>
      </c>
      <c r="CN18" s="6">
        <v>1664277.0582220573</v>
      </c>
      <c r="CO18" s="6">
        <v>1668416.2466797149</v>
      </c>
      <c r="CP18" s="6">
        <v>1672411.6691776938</v>
      </c>
      <c r="CQ18" s="6">
        <v>1676266.4624108891</v>
      </c>
      <c r="CR18" s="2"/>
    </row>
    <row r="19" spans="1:98" x14ac:dyDescent="0.35">
      <c r="A19" s="1" t="str">
        <f>'Population Definitions'!$B$19</f>
        <v>lros_65+_F</v>
      </c>
      <c r="C19" t="s">
        <v>32</v>
      </c>
      <c r="D19" s="3"/>
      <c r="E19" s="6">
        <v>87421.181629918065</v>
      </c>
      <c r="F19" s="6">
        <v>89894.423178379948</v>
      </c>
      <c r="G19" s="6">
        <v>91613.7598609259</v>
      </c>
      <c r="H19" s="6">
        <v>93384.872672340003</v>
      </c>
      <c r="I19" s="6">
        <v>95098.24607256845</v>
      </c>
      <c r="J19" s="6">
        <v>96700.529822795652</v>
      </c>
      <c r="K19" s="6">
        <v>99418.648154354785</v>
      </c>
      <c r="L19" s="6">
        <v>102424.45080807895</v>
      </c>
      <c r="M19" s="6">
        <v>105184.89214205519</v>
      </c>
      <c r="N19" s="6">
        <v>107944.56443293094</v>
      </c>
      <c r="O19" s="6">
        <v>110177.198194004</v>
      </c>
      <c r="P19" s="6">
        <v>113393.31709645598</v>
      </c>
      <c r="Q19" s="6">
        <v>118092.83743814222</v>
      </c>
      <c r="R19" s="6">
        <v>119219.27059061601</v>
      </c>
      <c r="S19" s="6">
        <v>120575.30228881772</v>
      </c>
      <c r="T19" s="6">
        <v>122190.47237269489</v>
      </c>
      <c r="U19" s="6">
        <v>124635.00072335565</v>
      </c>
      <c r="V19" s="6">
        <v>125476.54983489569</v>
      </c>
      <c r="W19" s="6">
        <v>126251.59147778727</v>
      </c>
      <c r="X19" s="6">
        <v>126488.1746339856</v>
      </c>
      <c r="Y19" s="6">
        <v>127010.59660327766</v>
      </c>
      <c r="Z19" s="6">
        <v>128854.28360782756</v>
      </c>
      <c r="AA19" s="6">
        <v>130324.04252386498</v>
      </c>
      <c r="AB19" s="6">
        <v>132766.05438740028</v>
      </c>
      <c r="AC19" s="6">
        <v>135303.28766599862</v>
      </c>
      <c r="AD19" s="6">
        <v>139214.64713279362</v>
      </c>
      <c r="AE19" s="6">
        <v>143782.58278543764</v>
      </c>
      <c r="AF19" s="6">
        <v>150422.45763764734</v>
      </c>
      <c r="AG19" s="6">
        <v>158287.06883160764</v>
      </c>
      <c r="AH19" s="6">
        <v>167011.20751058959</v>
      </c>
      <c r="AI19" s="6">
        <v>173468.17983571402</v>
      </c>
      <c r="AJ19" s="6">
        <v>179354.88861482579</v>
      </c>
      <c r="AK19" s="6">
        <v>188859.64525003542</v>
      </c>
      <c r="AL19" s="6">
        <v>197359.36389071622</v>
      </c>
      <c r="AM19" s="6">
        <v>205497.27650590526</v>
      </c>
      <c r="AN19" s="6">
        <v>213803.90310399164</v>
      </c>
      <c r="AO19" s="6">
        <v>222496.55984318585</v>
      </c>
      <c r="AP19" s="6">
        <v>232212.8327579067</v>
      </c>
      <c r="AQ19" s="6">
        <v>244001.65081030576</v>
      </c>
      <c r="AR19" s="6">
        <v>258225.34002169379</v>
      </c>
      <c r="AS19" s="6">
        <v>273042.45572586992</v>
      </c>
      <c r="AT19" s="6">
        <v>276217.97227510432</v>
      </c>
      <c r="AU19" s="6">
        <v>285868.21400753583</v>
      </c>
      <c r="AV19" s="6">
        <v>307088.14241042355</v>
      </c>
      <c r="AW19" s="6">
        <v>329179.24902569107</v>
      </c>
      <c r="AX19" s="6">
        <v>351131.64038559585</v>
      </c>
      <c r="AY19" s="6">
        <v>373415.71700849576</v>
      </c>
      <c r="AZ19" s="6">
        <v>396001.8167654259</v>
      </c>
      <c r="BA19" s="6">
        <v>418695.84053587011</v>
      </c>
      <c r="BB19" s="6">
        <v>441404.48755252297</v>
      </c>
      <c r="BC19" s="6">
        <v>464021.97309096117</v>
      </c>
      <c r="BD19" s="6">
        <v>486422.76888142008</v>
      </c>
      <c r="BE19" s="6">
        <v>508521.87083432829</v>
      </c>
      <c r="BF19" s="6">
        <v>530184.57514498173</v>
      </c>
      <c r="BG19" s="6">
        <v>551468.03660268092</v>
      </c>
      <c r="BH19" s="6">
        <v>572353.87654552294</v>
      </c>
      <c r="BI19" s="6">
        <v>592801.44079284882</v>
      </c>
      <c r="BJ19" s="6">
        <v>612836.5905506023</v>
      </c>
      <c r="BK19" s="6">
        <v>632403.15430117364</v>
      </c>
      <c r="BL19" s="6">
        <v>651450.87438928557</v>
      </c>
      <c r="BM19" s="6">
        <v>669947.86364653998</v>
      </c>
      <c r="BN19" s="6">
        <v>687863.51716153778</v>
      </c>
      <c r="BO19" s="6">
        <v>705189.06009218399</v>
      </c>
      <c r="BP19" s="6">
        <v>721924.82583775895</v>
      </c>
      <c r="BQ19" s="6">
        <v>738092.6555957403</v>
      </c>
      <c r="BR19" s="6">
        <v>753728.40063943446</v>
      </c>
      <c r="BS19" s="6">
        <v>768856.18639088504</v>
      </c>
      <c r="BT19" s="6">
        <v>783531.01798182155</v>
      </c>
      <c r="BU19" s="6">
        <v>797789.26840685843</v>
      </c>
      <c r="BV19" s="6">
        <v>811672.74199481506</v>
      </c>
      <c r="BW19" s="6">
        <v>825198.65212826931</v>
      </c>
      <c r="BX19" s="6">
        <v>838395.30018899881</v>
      </c>
      <c r="BY19" s="6">
        <v>851279.23598146567</v>
      </c>
      <c r="BZ19" s="6">
        <v>863869.53697033261</v>
      </c>
      <c r="CA19" s="6">
        <v>876192.65137667814</v>
      </c>
      <c r="CB19" s="6">
        <v>888270.65783829987</v>
      </c>
      <c r="CC19" s="6">
        <v>900141.46506219485</v>
      </c>
      <c r="CD19" s="6">
        <v>911821.50847199711</v>
      </c>
      <c r="CE19" s="6">
        <v>923308.20307439531</v>
      </c>
      <c r="CF19" s="6">
        <v>934608.77228398831</v>
      </c>
      <c r="CG19" s="6">
        <v>945717.63222392253</v>
      </c>
      <c r="CH19" s="6">
        <v>956638.4179723307</v>
      </c>
      <c r="CI19" s="6">
        <v>967339.41528819455</v>
      </c>
      <c r="CJ19" s="6">
        <v>977790.85232804436</v>
      </c>
      <c r="CK19" s="6">
        <v>987970.4827331854</v>
      </c>
      <c r="CL19" s="6">
        <v>997868.364273099</v>
      </c>
      <c r="CM19" s="6">
        <v>1007504.41572565</v>
      </c>
      <c r="CN19" s="6">
        <v>1016866.7213342232</v>
      </c>
      <c r="CO19" s="6">
        <v>1025930.9335160477</v>
      </c>
      <c r="CP19" s="6">
        <v>1034702.0992833988</v>
      </c>
      <c r="CQ19" s="6">
        <v>1043186.6489944591</v>
      </c>
      <c r="CR19" s="2"/>
    </row>
    <row r="20" spans="1:98" x14ac:dyDescent="0.35">
      <c r="A20" s="1" t="str">
        <f>'Population Definitions'!$B$20</f>
        <v>hros_0-14_M</v>
      </c>
      <c r="C20" t="s">
        <v>32</v>
      </c>
      <c r="D20" s="3"/>
      <c r="E20" s="6">
        <v>175621.3396491936</v>
      </c>
      <c r="F20" s="6">
        <v>180054.36669068955</v>
      </c>
      <c r="G20" s="6">
        <v>183184.29138343825</v>
      </c>
      <c r="H20" s="6">
        <v>186577.292634774</v>
      </c>
      <c r="I20" s="6">
        <v>188777.23668132702</v>
      </c>
      <c r="J20" s="6">
        <v>190284.28225573897</v>
      </c>
      <c r="K20" s="6">
        <v>191973.58568457852</v>
      </c>
      <c r="L20" s="6">
        <v>196751.63930334526</v>
      </c>
      <c r="M20" s="6">
        <v>202914.00483984555</v>
      </c>
      <c r="N20" s="6">
        <v>209974.15282043509</v>
      </c>
      <c r="O20" s="6">
        <v>217514.84745047247</v>
      </c>
      <c r="P20" s="6">
        <v>226264.79202376559</v>
      </c>
      <c r="Q20" s="6">
        <v>235424.33066722253</v>
      </c>
      <c r="R20" s="6">
        <v>236952.08302064013</v>
      </c>
      <c r="S20" s="6">
        <v>239607.42352585663</v>
      </c>
      <c r="T20" s="6">
        <v>243658.12809986487</v>
      </c>
      <c r="U20" s="6">
        <v>248471.99659709958</v>
      </c>
      <c r="V20" s="6">
        <v>251169.26238976207</v>
      </c>
      <c r="W20" s="6">
        <v>251377.66501566526</v>
      </c>
      <c r="X20" s="6">
        <v>252747.01632463574</v>
      </c>
      <c r="Y20" s="6">
        <v>253699.24298438872</v>
      </c>
      <c r="Z20" s="6">
        <v>257428.56059516818</v>
      </c>
      <c r="AA20" s="6">
        <v>262030.64285449608</v>
      </c>
      <c r="AB20" s="6">
        <v>267264.26483730838</v>
      </c>
      <c r="AC20" s="6">
        <v>270503.22386903036</v>
      </c>
      <c r="AD20" s="6">
        <v>276380.85244519846</v>
      </c>
      <c r="AE20" s="6">
        <v>281984.7321557565</v>
      </c>
      <c r="AF20" s="6">
        <v>290326.25391933048</v>
      </c>
      <c r="AG20" s="6">
        <v>301848.03127960773</v>
      </c>
      <c r="AH20" s="6">
        <v>312111.29264776758</v>
      </c>
      <c r="AI20" s="6">
        <v>318980.10554637271</v>
      </c>
      <c r="AJ20" s="6">
        <v>324509.85869344941</v>
      </c>
      <c r="AK20" s="6">
        <v>334603.83891302446</v>
      </c>
      <c r="AL20" s="6">
        <v>346011.86266795604</v>
      </c>
      <c r="AM20" s="6">
        <v>354782.00175045669</v>
      </c>
      <c r="AN20" s="6">
        <v>363591.00845733425</v>
      </c>
      <c r="AO20" s="6">
        <v>373768.98354616587</v>
      </c>
      <c r="AP20" s="6">
        <v>384840.924083472</v>
      </c>
      <c r="AQ20" s="6">
        <v>393208.22495185339</v>
      </c>
      <c r="AR20" s="6">
        <v>399312.54987567797</v>
      </c>
      <c r="AS20" s="6">
        <v>398689.99768511788</v>
      </c>
      <c r="AT20" s="6">
        <v>389293.52007446851</v>
      </c>
      <c r="AU20" s="6">
        <v>392885.83572134154</v>
      </c>
      <c r="AV20" s="6">
        <v>386237.77871848602</v>
      </c>
      <c r="AW20" s="6">
        <v>380038.17574465845</v>
      </c>
      <c r="AX20" s="6">
        <v>370431.88612428139</v>
      </c>
      <c r="AY20" s="6">
        <v>360978.43457075779</v>
      </c>
      <c r="AZ20" s="6">
        <v>351666.39544836228</v>
      </c>
      <c r="BA20" s="6">
        <v>342485.73465639562</v>
      </c>
      <c r="BB20" s="6">
        <v>333427.69188945275</v>
      </c>
      <c r="BC20" s="6">
        <v>324484.95289832482</v>
      </c>
      <c r="BD20" s="6">
        <v>315605.35617868311</v>
      </c>
      <c r="BE20" s="6">
        <v>306828.38315631193</v>
      </c>
      <c r="BF20" s="6">
        <v>298103.61672159703</v>
      </c>
      <c r="BG20" s="6">
        <v>289963.26794222015</v>
      </c>
      <c r="BH20" s="6">
        <v>282367.96503737872</v>
      </c>
      <c r="BI20" s="6">
        <v>275281.22845132515</v>
      </c>
      <c r="BJ20" s="6">
        <v>268669.30128199008</v>
      </c>
      <c r="BK20" s="6">
        <v>262499.84817979624</v>
      </c>
      <c r="BL20" s="6">
        <v>256743.46902504767</v>
      </c>
      <c r="BM20" s="6">
        <v>251372.53534367247</v>
      </c>
      <c r="BN20" s="6">
        <v>246361.27508493385</v>
      </c>
      <c r="BO20" s="6">
        <v>241685.50373716472</v>
      </c>
      <c r="BP20" s="6">
        <v>237322.97263654682</v>
      </c>
      <c r="BQ20" s="6">
        <v>233252.90490211255</v>
      </c>
      <c r="BR20" s="6">
        <v>229455.47633149091</v>
      </c>
      <c r="BS20" s="6">
        <v>225912.47667746179</v>
      </c>
      <c r="BT20" s="6">
        <v>222607.04824062061</v>
      </c>
      <c r="BU20" s="6">
        <v>219523.305324149</v>
      </c>
      <c r="BV20" s="6">
        <v>216646.2773510869</v>
      </c>
      <c r="BW20" s="6">
        <v>213962.1274735909</v>
      </c>
      <c r="BX20" s="6">
        <v>211457.93753579119</v>
      </c>
      <c r="BY20" s="6">
        <v>209121.78131315002</v>
      </c>
      <c r="BZ20" s="6">
        <v>206942.37624475948</v>
      </c>
      <c r="CA20" s="6">
        <v>204909.08446756634</v>
      </c>
      <c r="CB20" s="6">
        <v>203012.10188292869</v>
      </c>
      <c r="CC20" s="6">
        <v>201242.28318394418</v>
      </c>
      <c r="CD20" s="6">
        <v>199591.22468517828</v>
      </c>
      <c r="CE20" s="6">
        <v>198050.83162898428</v>
      </c>
      <c r="CF20" s="6">
        <v>196613.68348123509</v>
      </c>
      <c r="CG20" s="6">
        <v>195272.85741561852</v>
      </c>
      <c r="CH20" s="6">
        <v>194021.78707644236</v>
      </c>
      <c r="CI20" s="6">
        <v>192854.7949800225</v>
      </c>
      <c r="CJ20" s="6">
        <v>191766.01668050405</v>
      </c>
      <c r="CK20" s="6">
        <v>190750.33433004274</v>
      </c>
      <c r="CL20" s="6">
        <v>189802.73071270625</v>
      </c>
      <c r="CM20" s="6">
        <v>188918.64840590869</v>
      </c>
      <c r="CN20" s="6">
        <v>188093.83524318042</v>
      </c>
      <c r="CO20" s="6">
        <v>187324.22177821631</v>
      </c>
      <c r="CP20" s="6">
        <v>186606.44064590763</v>
      </c>
      <c r="CQ20" s="6">
        <v>185936.90963206557</v>
      </c>
      <c r="CR20" s="2"/>
    </row>
    <row r="21" spans="1:98" x14ac:dyDescent="0.35">
      <c r="A21" s="1" t="str">
        <f>'Population Definitions'!$B$21</f>
        <v>hros_15-64_M</v>
      </c>
      <c r="C21" t="s">
        <v>32</v>
      </c>
      <c r="D21" s="3"/>
      <c r="E21" s="6">
        <v>455227.96457019635</v>
      </c>
      <c r="F21" s="6">
        <v>473556.7791236777</v>
      </c>
      <c r="G21" s="6">
        <v>489388.37293408788</v>
      </c>
      <c r="H21" s="6">
        <v>506174.18313032598</v>
      </c>
      <c r="I21" s="6">
        <v>522995.76382166398</v>
      </c>
      <c r="J21" s="6">
        <v>538079.52493020741</v>
      </c>
      <c r="K21" s="6">
        <v>557374.33161882905</v>
      </c>
      <c r="L21" s="6">
        <v>583856.3801337292</v>
      </c>
      <c r="M21" s="6">
        <v>611569.55323850119</v>
      </c>
      <c r="N21" s="6">
        <v>639967.27744453633</v>
      </c>
      <c r="O21" s="6">
        <v>667542.67907507136</v>
      </c>
      <c r="P21" s="6">
        <v>695935.20841058693</v>
      </c>
      <c r="Q21" s="6">
        <v>726230.19599793362</v>
      </c>
      <c r="R21" s="6">
        <v>733071.23923492746</v>
      </c>
      <c r="S21" s="6">
        <v>744201.38889299438</v>
      </c>
      <c r="T21" s="6">
        <v>760494.18502763158</v>
      </c>
      <c r="U21" s="6">
        <v>781459.18744963978</v>
      </c>
      <c r="V21" s="6">
        <v>795781.18940438831</v>
      </c>
      <c r="W21" s="6">
        <v>803427.26115081087</v>
      </c>
      <c r="X21" s="6">
        <v>814523.03437188442</v>
      </c>
      <c r="Y21" s="6">
        <v>825082.23789111595</v>
      </c>
      <c r="Z21" s="6">
        <v>844795.84125111206</v>
      </c>
      <c r="AA21" s="6">
        <v>871161.70326694124</v>
      </c>
      <c r="AB21" s="6">
        <v>899561.02449803951</v>
      </c>
      <c r="AC21" s="6">
        <v>921181.27866310033</v>
      </c>
      <c r="AD21" s="6">
        <v>952549.05561030132</v>
      </c>
      <c r="AE21" s="6">
        <v>983062.41961813578</v>
      </c>
      <c r="AF21" s="6">
        <v>1021210.9761537202</v>
      </c>
      <c r="AG21" s="6">
        <v>1071501.0249285556</v>
      </c>
      <c r="AH21" s="6">
        <v>1116999.3078144195</v>
      </c>
      <c r="AI21" s="6">
        <v>1146294.0841477064</v>
      </c>
      <c r="AJ21" s="6">
        <v>1169687.7178777773</v>
      </c>
      <c r="AK21" s="6">
        <v>1200508.3508360777</v>
      </c>
      <c r="AL21" s="6">
        <v>1234861.0932214588</v>
      </c>
      <c r="AM21" s="6">
        <v>1259751.2767214784</v>
      </c>
      <c r="AN21" s="6">
        <v>1284738.4382042286</v>
      </c>
      <c r="AO21" s="6">
        <v>1311922.1345800189</v>
      </c>
      <c r="AP21" s="6">
        <v>1349008.3679509559</v>
      </c>
      <c r="AQ21" s="6">
        <v>1379303.9552655038</v>
      </c>
      <c r="AR21" s="6">
        <v>1404255.9210460694</v>
      </c>
      <c r="AS21" s="6">
        <v>1404425.9514010414</v>
      </c>
      <c r="AT21" s="6">
        <v>1366689.1953103035</v>
      </c>
      <c r="AU21" s="6">
        <v>1391987.9353148537</v>
      </c>
      <c r="AV21" s="6">
        <v>1467490.5622072152</v>
      </c>
      <c r="AW21" s="6">
        <v>1540550.6213329614</v>
      </c>
      <c r="AX21" s="6">
        <v>1595788.3587399474</v>
      </c>
      <c r="AY21" s="6">
        <v>1646928.56584675</v>
      </c>
      <c r="AZ21" s="6">
        <v>1694117.4878913832</v>
      </c>
      <c r="BA21" s="6">
        <v>1737442.6849780746</v>
      </c>
      <c r="BB21" s="6">
        <v>1777020.871242136</v>
      </c>
      <c r="BC21" s="6">
        <v>1812956.4210591065</v>
      </c>
      <c r="BD21" s="6">
        <v>1845161.5219308583</v>
      </c>
      <c r="BE21" s="6">
        <v>1873920.8179126652</v>
      </c>
      <c r="BF21" s="6">
        <v>1899139.0490882334</v>
      </c>
      <c r="BG21" s="6">
        <v>1923106.6902254738</v>
      </c>
      <c r="BH21" s="6">
        <v>1945899.4768843306</v>
      </c>
      <c r="BI21" s="6">
        <v>1967584.37543579</v>
      </c>
      <c r="BJ21" s="6">
        <v>1988237.6932374113</v>
      </c>
      <c r="BK21" s="6">
        <v>2007915.0974742232</v>
      </c>
      <c r="BL21" s="6">
        <v>2026660.2485140846</v>
      </c>
      <c r="BM21" s="6">
        <v>2044521.8080346442</v>
      </c>
      <c r="BN21" s="6">
        <v>2061542.3056984334</v>
      </c>
      <c r="BO21" s="6">
        <v>2077764.6221161694</v>
      </c>
      <c r="BP21" s="6">
        <v>2093229.5192644012</v>
      </c>
      <c r="BQ21" s="6">
        <v>2107976.5585743533</v>
      </c>
      <c r="BR21" s="6">
        <v>2122041.8250745106</v>
      </c>
      <c r="BS21" s="6">
        <v>2135467.0013561025</v>
      </c>
      <c r="BT21" s="6">
        <v>2148295.8190350262</v>
      </c>
      <c r="BU21" s="6">
        <v>2160562.29175684</v>
      </c>
      <c r="BV21" s="6">
        <v>2172303.2975761327</v>
      </c>
      <c r="BW21" s="6">
        <v>2183548.1930421125</v>
      </c>
      <c r="BX21" s="6">
        <v>2194322.4780253158</v>
      </c>
      <c r="BY21" s="6">
        <v>2204653.3603778956</v>
      </c>
      <c r="BZ21" s="6">
        <v>2214565.233550848</v>
      </c>
      <c r="CA21" s="6">
        <v>2224077.234982125</v>
      </c>
      <c r="CB21" s="6">
        <v>2233212.2750429832</v>
      </c>
      <c r="CC21" s="6">
        <v>2241994.6292690136</v>
      </c>
      <c r="CD21" s="6">
        <v>2250441.9250189001</v>
      </c>
      <c r="CE21" s="6">
        <v>2258563.595229256</v>
      </c>
      <c r="CF21" s="6">
        <v>2266378.2237957139</v>
      </c>
      <c r="CG21" s="6">
        <v>2273903.7088931878</v>
      </c>
      <c r="CH21" s="6">
        <v>2281153.8298568428</v>
      </c>
      <c r="CI21" s="6">
        <v>2288135.5416169818</v>
      </c>
      <c r="CJ21" s="6">
        <v>2294859.4458786165</v>
      </c>
      <c r="CK21" s="6">
        <v>2301332.3987179101</v>
      </c>
      <c r="CL21" s="6">
        <v>2307565.9870200893</v>
      </c>
      <c r="CM21" s="6">
        <v>2313578.9863692462</v>
      </c>
      <c r="CN21" s="6">
        <v>2319378.8256397983</v>
      </c>
      <c r="CO21" s="6">
        <v>2324970.3524681292</v>
      </c>
      <c r="CP21" s="6">
        <v>2330363.2566554723</v>
      </c>
      <c r="CQ21" s="6">
        <v>2335569.2236660295</v>
      </c>
      <c r="CR21" s="2"/>
    </row>
    <row r="22" spans="1:98" x14ac:dyDescent="0.35">
      <c r="A22" s="1" t="str">
        <f>'Population Definitions'!$B$22</f>
        <v>hros_65+_M</v>
      </c>
      <c r="C22" t="s">
        <v>32</v>
      </c>
      <c r="D22" s="3"/>
      <c r="E22" s="6">
        <v>56668.625698812044</v>
      </c>
      <c r="F22" s="6">
        <v>59636.514758101366</v>
      </c>
      <c r="G22" s="6">
        <v>62142.769782508258</v>
      </c>
      <c r="H22" s="6">
        <v>64643.93871039134</v>
      </c>
      <c r="I22" s="6">
        <v>67322.520948819365</v>
      </c>
      <c r="J22" s="6">
        <v>70290.309719985264</v>
      </c>
      <c r="K22" s="6">
        <v>74399.878972563922</v>
      </c>
      <c r="L22" s="6">
        <v>79488.905870439761</v>
      </c>
      <c r="M22" s="6">
        <v>84418.035837171541</v>
      </c>
      <c r="N22" s="6">
        <v>89815.934170624809</v>
      </c>
      <c r="O22" s="6">
        <v>94981.218614384226</v>
      </c>
      <c r="P22" s="6">
        <v>101406.72775845347</v>
      </c>
      <c r="Q22" s="6">
        <v>108025.31746304163</v>
      </c>
      <c r="R22" s="6">
        <v>111436.47291706569</v>
      </c>
      <c r="S22" s="6">
        <v>115187.99917454306</v>
      </c>
      <c r="T22" s="6">
        <v>119305.13049919052</v>
      </c>
      <c r="U22" s="6">
        <v>124325.59491767718</v>
      </c>
      <c r="V22" s="6">
        <v>128332.99309462278</v>
      </c>
      <c r="W22" s="6">
        <v>131074.00089323433</v>
      </c>
      <c r="X22" s="6">
        <v>134388.32232295009</v>
      </c>
      <c r="Y22" s="6">
        <v>137365.24843899277</v>
      </c>
      <c r="Z22" s="6">
        <v>142718.84795733419</v>
      </c>
      <c r="AA22" s="6">
        <v>148694.74616705044</v>
      </c>
      <c r="AB22" s="6">
        <v>154969.68966919632</v>
      </c>
      <c r="AC22" s="6">
        <v>160390.88717892786</v>
      </c>
      <c r="AD22" s="6">
        <v>167731.78881781964</v>
      </c>
      <c r="AE22" s="6">
        <v>174663.78855931677</v>
      </c>
      <c r="AF22" s="6">
        <v>183649.47753113785</v>
      </c>
      <c r="AG22" s="6">
        <v>193982.81684442697</v>
      </c>
      <c r="AH22" s="6">
        <v>204820.5539685782</v>
      </c>
      <c r="AI22" s="6">
        <v>215334.893969147</v>
      </c>
      <c r="AJ22" s="6">
        <v>225898.88047294162</v>
      </c>
      <c r="AK22" s="6">
        <v>239439.54671542413</v>
      </c>
      <c r="AL22" s="6">
        <v>253079.61162554103</v>
      </c>
      <c r="AM22" s="6">
        <v>265205.41533562652</v>
      </c>
      <c r="AN22" s="6">
        <v>277485.99186571065</v>
      </c>
      <c r="AO22" s="6">
        <v>290449.87819219189</v>
      </c>
      <c r="AP22" s="6">
        <v>304228.95534895046</v>
      </c>
      <c r="AQ22" s="6">
        <v>317052.3377870933</v>
      </c>
      <c r="AR22" s="6">
        <v>328770.33254282136</v>
      </c>
      <c r="AS22" s="6">
        <v>338813.1619637062</v>
      </c>
      <c r="AT22" s="6">
        <v>341305.92513893923</v>
      </c>
      <c r="AU22" s="6">
        <v>352697.46361664589</v>
      </c>
      <c r="AV22" s="6">
        <v>382333.04652087233</v>
      </c>
      <c r="AW22" s="6">
        <v>412917.45110374014</v>
      </c>
      <c r="AX22" s="6">
        <v>443027.08560714463</v>
      </c>
      <c r="AY22" s="6">
        <v>473385.57894964371</v>
      </c>
      <c r="AZ22" s="6">
        <v>503995.49081551895</v>
      </c>
      <c r="BA22" s="6">
        <v>534567.04088342085</v>
      </c>
      <c r="BB22" s="6">
        <v>564979.59785834269</v>
      </c>
      <c r="BC22" s="6">
        <v>595106.73859496124</v>
      </c>
      <c r="BD22" s="6">
        <v>624798.45713205705</v>
      </c>
      <c r="BE22" s="6">
        <v>653946.15721538174</v>
      </c>
      <c r="BF22" s="6">
        <v>682354.86247919709</v>
      </c>
      <c r="BG22" s="6">
        <v>710136.07831969031</v>
      </c>
      <c r="BH22" s="6">
        <v>737275.41578450939</v>
      </c>
      <c r="BI22" s="6">
        <v>763763.18602435675</v>
      </c>
      <c r="BJ22" s="6">
        <v>789654.76928219013</v>
      </c>
      <c r="BK22" s="6">
        <v>814866.10199248162</v>
      </c>
      <c r="BL22" s="6">
        <v>839356.87973958091</v>
      </c>
      <c r="BM22" s="6">
        <v>863109.44445934671</v>
      </c>
      <c r="BN22" s="6">
        <v>886105.99414094305</v>
      </c>
      <c r="BO22" s="6">
        <v>908344.66757052846</v>
      </c>
      <c r="BP22" s="6">
        <v>929823.85916608246</v>
      </c>
      <c r="BQ22" s="6">
        <v>950561.76163276716</v>
      </c>
      <c r="BR22" s="6">
        <v>970608.80905986123</v>
      </c>
      <c r="BS22" s="6">
        <v>990007.11976277526</v>
      </c>
      <c r="BT22" s="6">
        <v>1008841.4381015373</v>
      </c>
      <c r="BU22" s="6">
        <v>1027172.8340785619</v>
      </c>
      <c r="BV22" s="6">
        <v>1045064.0289171215</v>
      </c>
      <c r="BW22" s="6">
        <v>1062531.4172241765</v>
      </c>
      <c r="BX22" s="6">
        <v>1079604.1273348648</v>
      </c>
      <c r="BY22" s="6">
        <v>1096313.084034441</v>
      </c>
      <c r="BZ22" s="6">
        <v>1112671.8020007305</v>
      </c>
      <c r="CA22" s="6">
        <v>1128702.1318405196</v>
      </c>
      <c r="CB22" s="6">
        <v>1144444.2336822404</v>
      </c>
      <c r="CC22" s="6">
        <v>1159940.844002675</v>
      </c>
      <c r="CD22" s="6">
        <v>1175202.5407207389</v>
      </c>
      <c r="CE22" s="6">
        <v>1190206.2706488164</v>
      </c>
      <c r="CF22" s="6">
        <v>1204956.7907065889</v>
      </c>
      <c r="CG22" s="6">
        <v>1219461.3749899799</v>
      </c>
      <c r="CH22" s="6">
        <v>1233737.6086653655</v>
      </c>
      <c r="CI22" s="6">
        <v>1247729.3079557021</v>
      </c>
      <c r="CJ22" s="6">
        <v>1261396.0103808525</v>
      </c>
      <c r="CK22" s="6">
        <v>1274711.0143731846</v>
      </c>
      <c r="CL22" s="6">
        <v>1287693.8799073908</v>
      </c>
      <c r="CM22" s="6">
        <v>1300384.0319579651</v>
      </c>
      <c r="CN22" s="6">
        <v>1312766.0034383184</v>
      </c>
      <c r="CO22" s="6">
        <v>1324773.8548808191</v>
      </c>
      <c r="CP22" s="6">
        <v>1336407.6054109596</v>
      </c>
      <c r="CQ22" s="6">
        <v>1347693.0506013797</v>
      </c>
      <c r="CR22" s="2"/>
    </row>
    <row r="23" spans="1:98" x14ac:dyDescent="0.35">
      <c r="A23" s="1" t="str">
        <f>'Population Definitions'!$B$23</f>
        <v>hros_0-14_F</v>
      </c>
      <c r="C23" t="s">
        <v>32</v>
      </c>
      <c r="D23" s="3"/>
      <c r="E23" s="6">
        <v>167840.46054768405</v>
      </c>
      <c r="F23" s="6">
        <v>172169.9142809973</v>
      </c>
      <c r="G23" s="6">
        <v>174942.17867495582</v>
      </c>
      <c r="H23" s="6">
        <v>177890.32154184289</v>
      </c>
      <c r="I23" s="6">
        <v>179884.77876041739</v>
      </c>
      <c r="J23" s="6">
        <v>181272.6579857269</v>
      </c>
      <c r="K23" s="6">
        <v>182565.61328440893</v>
      </c>
      <c r="L23" s="6">
        <v>186974.04936741688</v>
      </c>
      <c r="M23" s="6">
        <v>192720.94615202615</v>
      </c>
      <c r="N23" s="6">
        <v>199402.96169367436</v>
      </c>
      <c r="O23" s="6">
        <v>206387.55947181609</v>
      </c>
      <c r="P23" s="6">
        <v>214493.3809455788</v>
      </c>
      <c r="Q23" s="6">
        <v>223371.85614481283</v>
      </c>
      <c r="R23" s="6">
        <v>224954.96736514533</v>
      </c>
      <c r="S23" s="6">
        <v>227579.84563716632</v>
      </c>
      <c r="T23" s="6">
        <v>231561.24356435094</v>
      </c>
      <c r="U23" s="6">
        <v>236176.9031087365</v>
      </c>
      <c r="V23" s="6">
        <v>238804.39179297502</v>
      </c>
      <c r="W23" s="6">
        <v>238998.53448815536</v>
      </c>
      <c r="X23" s="6">
        <v>240324.09052599868</v>
      </c>
      <c r="Y23" s="6">
        <v>241131.12120279015</v>
      </c>
      <c r="Z23" s="6">
        <v>244585.11310287495</v>
      </c>
      <c r="AA23" s="6">
        <v>248856.52655185017</v>
      </c>
      <c r="AB23" s="6">
        <v>253629.00969752675</v>
      </c>
      <c r="AC23" s="6">
        <v>256547.36243526032</v>
      </c>
      <c r="AD23" s="6">
        <v>262010.98407521573</v>
      </c>
      <c r="AE23" s="6">
        <v>267455.76317617885</v>
      </c>
      <c r="AF23" s="6">
        <v>275403.45668863255</v>
      </c>
      <c r="AG23" s="6">
        <v>286311.27305356757</v>
      </c>
      <c r="AH23" s="6">
        <v>296042.18980340712</v>
      </c>
      <c r="AI23" s="6">
        <v>302608.71626511327</v>
      </c>
      <c r="AJ23" s="6">
        <v>307818.38701312989</v>
      </c>
      <c r="AK23" s="6">
        <v>317240.02907626453</v>
      </c>
      <c r="AL23" s="6">
        <v>327937.111253187</v>
      </c>
      <c r="AM23" s="6">
        <v>336269.28416851338</v>
      </c>
      <c r="AN23" s="6">
        <v>344481.96703701856</v>
      </c>
      <c r="AO23" s="6">
        <v>354269.59353595792</v>
      </c>
      <c r="AP23" s="6">
        <v>364190.10809548938</v>
      </c>
      <c r="AQ23" s="6">
        <v>371575.48939413531</v>
      </c>
      <c r="AR23" s="6">
        <v>377195.11981000059</v>
      </c>
      <c r="AS23" s="6">
        <v>376583.16168736201</v>
      </c>
      <c r="AT23" s="6">
        <v>367589.00201192556</v>
      </c>
      <c r="AU23" s="6">
        <v>371533.49634031387</v>
      </c>
      <c r="AV23" s="6">
        <v>365894.35284194065</v>
      </c>
      <c r="AW23" s="6">
        <v>360636.05156922567</v>
      </c>
      <c r="AX23" s="6">
        <v>351990.84287775587</v>
      </c>
      <c r="AY23" s="6">
        <v>343442.22966246103</v>
      </c>
      <c r="AZ23" s="6">
        <v>334984.07245417172</v>
      </c>
      <c r="BA23" s="6">
        <v>326610.51614562143</v>
      </c>
      <c r="BB23" s="6">
        <v>318316.49203524203</v>
      </c>
      <c r="BC23" s="6">
        <v>310095.43401289487</v>
      </c>
      <c r="BD23" s="6">
        <v>301900.16262989008</v>
      </c>
      <c r="BE23" s="6">
        <v>293772.71236448945</v>
      </c>
      <c r="BF23" s="6">
        <v>285664.52981626731</v>
      </c>
      <c r="BG23" s="6">
        <v>278099.1902217844</v>
      </c>
      <c r="BH23" s="6">
        <v>271039.83512684947</v>
      </c>
      <c r="BI23" s="6">
        <v>264453.081887362</v>
      </c>
      <c r="BJ23" s="6">
        <v>258306.95046712301</v>
      </c>
      <c r="BK23" s="6">
        <v>252571.90935237805</v>
      </c>
      <c r="BL23" s="6">
        <v>247220.52417344952</v>
      </c>
      <c r="BM23" s="6">
        <v>242226.99821125451</v>
      </c>
      <c r="BN23" s="6">
        <v>237567.71749191944</v>
      </c>
      <c r="BO23" s="6">
        <v>233220.07461734998</v>
      </c>
      <c r="BP23" s="6">
        <v>229163.55276583947</v>
      </c>
      <c r="BQ23" s="6">
        <v>225378.58315165795</v>
      </c>
      <c r="BR23" s="6">
        <v>221847.04118691615</v>
      </c>
      <c r="BS23" s="6">
        <v>218552.00756284178</v>
      </c>
      <c r="BT23" s="6">
        <v>215477.6894623148</v>
      </c>
      <c r="BU23" s="6">
        <v>212609.33959718721</v>
      </c>
      <c r="BV23" s="6">
        <v>209933.18827758054</v>
      </c>
      <c r="BW23" s="6">
        <v>207436.50379825407</v>
      </c>
      <c r="BX23" s="6">
        <v>205107.14644860369</v>
      </c>
      <c r="BY23" s="6">
        <v>202933.91021584638</v>
      </c>
      <c r="BZ23" s="6">
        <v>200906.44751975703</v>
      </c>
      <c r="CA23" s="6">
        <v>199014.86750641064</v>
      </c>
      <c r="CB23" s="6">
        <v>197250.05702586574</v>
      </c>
      <c r="CC23" s="6">
        <v>195603.62318518793</v>
      </c>
      <c r="CD23" s="6">
        <v>194067.51904636991</v>
      </c>
      <c r="CE23" s="6">
        <v>192634.34781043153</v>
      </c>
      <c r="CF23" s="6">
        <v>191297.21071854993</v>
      </c>
      <c r="CG23" s="6">
        <v>190049.67171709269</v>
      </c>
      <c r="CH23" s="6">
        <v>188885.72607644871</v>
      </c>
      <c r="CI23" s="6">
        <v>187799.77440547431</v>
      </c>
      <c r="CJ23" s="6">
        <v>186786.70205530417</v>
      </c>
      <c r="CK23" s="6">
        <v>185841.62967157591</v>
      </c>
      <c r="CL23" s="6">
        <v>184959.79378209921</v>
      </c>
      <c r="CM23" s="6">
        <v>184137.06252005597</v>
      </c>
      <c r="CN23" s="6">
        <v>183369.69613252088</v>
      </c>
      <c r="CO23" s="6">
        <v>182653.77557473382</v>
      </c>
      <c r="CP23" s="6">
        <v>181985.86091865634</v>
      </c>
      <c r="CQ23" s="6">
        <v>181362.74384305967</v>
      </c>
      <c r="CR23" s="2"/>
    </row>
    <row r="24" spans="1:98" x14ac:dyDescent="0.35">
      <c r="A24" s="1" t="str">
        <f>'Population Definitions'!$B$24</f>
        <v>hros_15-64_F</v>
      </c>
      <c r="C24" t="s">
        <v>32</v>
      </c>
      <c r="D24" s="3"/>
      <c r="E24" s="6">
        <v>443428.2879780521</v>
      </c>
      <c r="F24" s="6">
        <v>461492.88266102213</v>
      </c>
      <c r="G24" s="6">
        <v>476234.35275234992</v>
      </c>
      <c r="H24" s="6">
        <v>492110.4508985774</v>
      </c>
      <c r="I24" s="6">
        <v>508278.42441132263</v>
      </c>
      <c r="J24" s="6">
        <v>522649.60669523466</v>
      </c>
      <c r="K24" s="6">
        <v>540881.36823218386</v>
      </c>
      <c r="L24" s="6">
        <v>567637.8464807925</v>
      </c>
      <c r="M24" s="6">
        <v>595273.20743066445</v>
      </c>
      <c r="N24" s="6">
        <v>623561.10461309133</v>
      </c>
      <c r="O24" s="6">
        <v>651125.96491813892</v>
      </c>
      <c r="P24" s="6">
        <v>680345.9219534226</v>
      </c>
      <c r="Q24" s="6">
        <v>710976.85014057264</v>
      </c>
      <c r="R24" s="6">
        <v>718567.65439337911</v>
      </c>
      <c r="S24" s="6">
        <v>730361.46028946596</v>
      </c>
      <c r="T24" s="6">
        <v>747177.79453206505</v>
      </c>
      <c r="U24" s="6">
        <v>769130.953790967</v>
      </c>
      <c r="V24" s="6">
        <v>785519.56700189458</v>
      </c>
      <c r="W24" s="6">
        <v>794635.69454252266</v>
      </c>
      <c r="X24" s="6">
        <v>807248.6486056461</v>
      </c>
      <c r="Y24" s="6">
        <v>819197.91254225292</v>
      </c>
      <c r="Z24" s="6">
        <v>840475.94816955028</v>
      </c>
      <c r="AA24" s="6">
        <v>866427.81609945127</v>
      </c>
      <c r="AB24" s="6">
        <v>895482.3106735996</v>
      </c>
      <c r="AC24" s="6">
        <v>916963.29593471077</v>
      </c>
      <c r="AD24" s="6">
        <v>948386.34074500971</v>
      </c>
      <c r="AE24" s="6">
        <v>978521.49247846182</v>
      </c>
      <c r="AF24" s="6">
        <v>1015417.0057474711</v>
      </c>
      <c r="AG24" s="6">
        <v>1063839.7576626497</v>
      </c>
      <c r="AH24" s="6">
        <v>1107458.6881742741</v>
      </c>
      <c r="AI24" s="6">
        <v>1138116.7502198445</v>
      </c>
      <c r="AJ24" s="6">
        <v>1163445.1309063286</v>
      </c>
      <c r="AK24" s="6">
        <v>1195799.6424569434</v>
      </c>
      <c r="AL24" s="6">
        <v>1232461.10906482</v>
      </c>
      <c r="AM24" s="6">
        <v>1262004.5348079875</v>
      </c>
      <c r="AN24" s="6">
        <v>1291166.298542859</v>
      </c>
      <c r="AO24" s="6">
        <v>1322674.8684368557</v>
      </c>
      <c r="AP24" s="6">
        <v>1360402.5678616376</v>
      </c>
      <c r="AQ24" s="6">
        <v>1390281.214652902</v>
      </c>
      <c r="AR24" s="6">
        <v>1413780.8376270337</v>
      </c>
      <c r="AS24" s="6">
        <v>1414411.3429231273</v>
      </c>
      <c r="AT24" s="6">
        <v>1374318.5295158948</v>
      </c>
      <c r="AU24" s="6">
        <v>1398663.5133871618</v>
      </c>
      <c r="AV24" s="6">
        <v>1481140.7579207907</v>
      </c>
      <c r="AW24" s="6">
        <v>1561107.4217363447</v>
      </c>
      <c r="AX24" s="6">
        <v>1621474.4154076942</v>
      </c>
      <c r="AY24" s="6">
        <v>1677487.6527246048</v>
      </c>
      <c r="AZ24" s="6">
        <v>1729277.5432181316</v>
      </c>
      <c r="BA24" s="6">
        <v>1776944.8210935779</v>
      </c>
      <c r="BB24" s="6">
        <v>1820600.873004735</v>
      </c>
      <c r="BC24" s="6">
        <v>1860355.8059752225</v>
      </c>
      <c r="BD24" s="6">
        <v>1896109.2229093621</v>
      </c>
      <c r="BE24" s="6">
        <v>1928165.5429173973</v>
      </c>
      <c r="BF24" s="6">
        <v>1956418.5906656196</v>
      </c>
      <c r="BG24" s="6">
        <v>1983393.6436127496</v>
      </c>
      <c r="BH24" s="6">
        <v>2009163.9323482241</v>
      </c>
      <c r="BI24" s="6">
        <v>2033796.2034639337</v>
      </c>
      <c r="BJ24" s="6">
        <v>2057357.46763212</v>
      </c>
      <c r="BK24" s="6">
        <v>2079902.8883565734</v>
      </c>
      <c r="BL24" s="6">
        <v>2101477.7512567793</v>
      </c>
      <c r="BM24" s="6">
        <v>2122131.0788177401</v>
      </c>
      <c r="BN24" s="6">
        <v>2141905.9820999689</v>
      </c>
      <c r="BO24" s="6">
        <v>2160843.0325328331</v>
      </c>
      <c r="BP24" s="6">
        <v>2178984.2476105946</v>
      </c>
      <c r="BQ24" s="6">
        <v>2196367.7348525897</v>
      </c>
      <c r="BR24" s="6">
        <v>2213034.2455917071</v>
      </c>
      <c r="BS24" s="6">
        <v>2229019.6705586282</v>
      </c>
      <c r="BT24" s="6">
        <v>2244364.1550085852</v>
      </c>
      <c r="BU24" s="6">
        <v>2259098.4127284368</v>
      </c>
      <c r="BV24" s="6">
        <v>2273259.2878986057</v>
      </c>
      <c r="BW24" s="6">
        <v>2286873.6949833203</v>
      </c>
      <c r="BX24" s="6">
        <v>2299970.232433679</v>
      </c>
      <c r="BY24" s="6">
        <v>2312575.0285503608</v>
      </c>
      <c r="BZ24" s="6">
        <v>2324710.9620339596</v>
      </c>
      <c r="CA24" s="6">
        <v>2336400.880098437</v>
      </c>
      <c r="CB24" s="6">
        <v>2347670.0401599659</v>
      </c>
      <c r="CC24" s="6">
        <v>2358538.7243221342</v>
      </c>
      <c r="CD24" s="6">
        <v>2369027.6572115007</v>
      </c>
      <c r="CE24" s="6">
        <v>2379150.8714156104</v>
      </c>
      <c r="CF24" s="6">
        <v>2388925.242830731</v>
      </c>
      <c r="CG24" s="6">
        <v>2398364.6205580174</v>
      </c>
      <c r="CH24" s="6">
        <v>2407485.5394730759</v>
      </c>
      <c r="CI24" s="6">
        <v>2416297.3256311989</v>
      </c>
      <c r="CJ24" s="6">
        <v>2424811.4346208679</v>
      </c>
      <c r="CK24" s="6">
        <v>2433036.2898959108</v>
      </c>
      <c r="CL24" s="6">
        <v>2440982.9966656221</v>
      </c>
      <c r="CM24" s="6">
        <v>2448664.2990222224</v>
      </c>
      <c r="CN24" s="6">
        <v>2456092.9935641084</v>
      </c>
      <c r="CO24" s="6">
        <v>2463275.8750315499</v>
      </c>
      <c r="CP24" s="6">
        <v>2470218.4069861597</v>
      </c>
      <c r="CQ24" s="6">
        <v>2476936.7416071636</v>
      </c>
      <c r="CR24" s="2"/>
    </row>
    <row r="25" spans="1:98" x14ac:dyDescent="0.35">
      <c r="A25" s="1" t="str">
        <f>'Population Definitions'!$B$25</f>
        <v>hros_65+_F</v>
      </c>
      <c r="C25" t="s">
        <v>32</v>
      </c>
      <c r="D25" s="3"/>
      <c r="E25" s="6">
        <v>78091.523088704518</v>
      </c>
      <c r="F25" s="6">
        <v>82205.092114632484</v>
      </c>
      <c r="G25" s="6">
        <v>85761.975915174378</v>
      </c>
      <c r="H25" s="6">
        <v>89489.247258534757</v>
      </c>
      <c r="I25" s="6">
        <v>93287.192434569195</v>
      </c>
      <c r="J25" s="6">
        <v>97102.693829939584</v>
      </c>
      <c r="K25" s="6">
        <v>102193.59564944169</v>
      </c>
      <c r="L25" s="6">
        <v>108456.39456725234</v>
      </c>
      <c r="M25" s="6">
        <v>114739.12682585268</v>
      </c>
      <c r="N25" s="6">
        <v>121306.0034423149</v>
      </c>
      <c r="O25" s="6">
        <v>127561.32930366498</v>
      </c>
      <c r="P25" s="6">
        <v>135266.06299322023</v>
      </c>
      <c r="Q25" s="6">
        <v>143179.38051582378</v>
      </c>
      <c r="R25" s="6">
        <v>146916.2845476337</v>
      </c>
      <c r="S25" s="6">
        <v>151029.01063683047</v>
      </c>
      <c r="T25" s="6">
        <v>155571.79536106728</v>
      </c>
      <c r="U25" s="6">
        <v>161301.71551405048</v>
      </c>
      <c r="V25" s="6">
        <v>165613.29232585503</v>
      </c>
      <c r="W25" s="6">
        <v>168304.93135892306</v>
      </c>
      <c r="X25" s="6">
        <v>171626.50535509491</v>
      </c>
      <c r="Y25" s="6">
        <v>174691.24833050236</v>
      </c>
      <c r="Z25" s="6">
        <v>180206.22372499609</v>
      </c>
      <c r="AA25" s="6">
        <v>186358.82971803177</v>
      </c>
      <c r="AB25" s="6">
        <v>193010.95371350402</v>
      </c>
      <c r="AC25" s="6">
        <v>198470.14895266958</v>
      </c>
      <c r="AD25" s="6">
        <v>206111.56946825358</v>
      </c>
      <c r="AE25" s="6">
        <v>213115.49804550252</v>
      </c>
      <c r="AF25" s="6">
        <v>222358.05830939248</v>
      </c>
      <c r="AG25" s="6">
        <v>233309.47496159939</v>
      </c>
      <c r="AH25" s="6">
        <v>244527.88516151617</v>
      </c>
      <c r="AI25" s="6">
        <v>255124.91235053653</v>
      </c>
      <c r="AJ25" s="6">
        <v>265425.04438517417</v>
      </c>
      <c r="AK25" s="6">
        <v>278987.55274996458</v>
      </c>
      <c r="AL25" s="6">
        <v>292761.66610928375</v>
      </c>
      <c r="AM25" s="6">
        <v>305019.44349409477</v>
      </c>
      <c r="AN25" s="6">
        <v>317549.25589600846</v>
      </c>
      <c r="AO25" s="6">
        <v>331084.75415681413</v>
      </c>
      <c r="AP25" s="6">
        <v>345993.22724209324</v>
      </c>
      <c r="AQ25" s="6">
        <v>360162.17518969427</v>
      </c>
      <c r="AR25" s="6">
        <v>373649.09197830624</v>
      </c>
      <c r="AS25" s="6">
        <v>385039.20227413002</v>
      </c>
      <c r="AT25" s="6">
        <v>387825.80072489561</v>
      </c>
      <c r="AU25" s="6">
        <v>401375.29099246417</v>
      </c>
      <c r="AV25" s="6">
        <v>431627.61453167564</v>
      </c>
      <c r="AW25" s="6">
        <v>463199.84008361271</v>
      </c>
      <c r="AX25" s="6">
        <v>494624.37861185009</v>
      </c>
      <c r="AY25" s="6">
        <v>526607.41323771363</v>
      </c>
      <c r="AZ25" s="6">
        <v>559099.89910847368</v>
      </c>
      <c r="BA25" s="6">
        <v>591821.45608718926</v>
      </c>
      <c r="BB25" s="6">
        <v>624632.92584216909</v>
      </c>
      <c r="BC25" s="6">
        <v>657378.09245117789</v>
      </c>
      <c r="BD25" s="6">
        <v>689871.72911656159</v>
      </c>
      <c r="BE25" s="6">
        <v>721987.71271808562</v>
      </c>
      <c r="BF25" s="6">
        <v>753527.72073342116</v>
      </c>
      <c r="BG25" s="6">
        <v>784576.73954297008</v>
      </c>
      <c r="BH25" s="6">
        <v>815105.48603391682</v>
      </c>
      <c r="BI25" s="6">
        <v>845053.09938799567</v>
      </c>
      <c r="BJ25" s="6">
        <v>874453.43691944098</v>
      </c>
      <c r="BK25" s="6">
        <v>903223.63692280021</v>
      </c>
      <c r="BL25" s="6">
        <v>931288.9609754798</v>
      </c>
      <c r="BM25" s="6">
        <v>958600.68083019333</v>
      </c>
      <c r="BN25" s="6">
        <v>985112.06169482123</v>
      </c>
      <c r="BO25" s="6">
        <v>1010807.54166133</v>
      </c>
      <c r="BP25" s="6">
        <v>1035684.6848691916</v>
      </c>
      <c r="BQ25" s="6">
        <v>1059772.1069584445</v>
      </c>
      <c r="BR25" s="6">
        <v>1083118.6677399194</v>
      </c>
      <c r="BS25" s="6">
        <v>1105756.7112633104</v>
      </c>
      <c r="BT25" s="6">
        <v>1127763.0831983583</v>
      </c>
      <c r="BU25" s="6">
        <v>1149188.2311846225</v>
      </c>
      <c r="BV25" s="6">
        <v>1170090.4250612396</v>
      </c>
      <c r="BW25" s="6">
        <v>1190492.8877879039</v>
      </c>
      <c r="BX25" s="6">
        <v>1210434.7440247554</v>
      </c>
      <c r="BY25" s="6">
        <v>1229938.3834118336</v>
      </c>
      <c r="BZ25" s="6">
        <v>1249029.9284636865</v>
      </c>
      <c r="CA25" s="6">
        <v>1267746.2228729215</v>
      </c>
      <c r="CB25" s="6">
        <v>1286117.9511032086</v>
      </c>
      <c r="CC25" s="6">
        <v>1304198.9221146624</v>
      </c>
      <c r="CD25" s="6">
        <v>1322011.8918540159</v>
      </c>
      <c r="CE25" s="6">
        <v>1339552.1667712689</v>
      </c>
      <c r="CF25" s="6">
        <v>1356829.1719129221</v>
      </c>
      <c r="CG25" s="6">
        <v>1373833.8945908342</v>
      </c>
      <c r="CH25" s="6">
        <v>1390570.680768593</v>
      </c>
      <c r="CI25" s="6">
        <v>1406992.6261929281</v>
      </c>
      <c r="CJ25" s="6">
        <v>1423055.4365701908</v>
      </c>
      <c r="CK25" s="6">
        <v>1438725.7972443043</v>
      </c>
      <c r="CL25" s="6">
        <v>1453988.2267195692</v>
      </c>
      <c r="CM25" s="6">
        <v>1468870.8447595777</v>
      </c>
      <c r="CN25" s="6">
        <v>1483355.4959241604</v>
      </c>
      <c r="CO25" s="6">
        <v>1497405.9029894664</v>
      </c>
      <c r="CP25" s="6">
        <v>1511028.5215387284</v>
      </c>
      <c r="CQ25" s="6">
        <v>1524231.8487103311</v>
      </c>
      <c r="CR25" s="2"/>
    </row>
    <row r="27" spans="1:98" x14ac:dyDescent="0.35">
      <c r="A27" s="1" t="s">
        <v>33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2"/>
      <c r="F28" s="4" t="s">
        <v>36</v>
      </c>
      <c r="G28" s="6">
        <v>6835.2126375174594</v>
      </c>
      <c r="H28" s="6">
        <v>6926.9105652982471</v>
      </c>
      <c r="I28" s="6">
        <v>7119.9611765931986</v>
      </c>
      <c r="J28" s="6">
        <v>7131.436459956185</v>
      </c>
      <c r="K28" s="6">
        <v>7217.0018989622804</v>
      </c>
      <c r="L28" s="6">
        <v>7487.0766846319266</v>
      </c>
      <c r="M28" s="6">
        <v>7533.3926591535273</v>
      </c>
      <c r="N28" s="6">
        <v>7678.8913472363638</v>
      </c>
      <c r="O28" s="6">
        <v>7865.6839030841293</v>
      </c>
      <c r="P28" s="6">
        <v>7993.2614700093327</v>
      </c>
      <c r="Q28" s="6">
        <v>8097.0758119441671</v>
      </c>
      <c r="R28" s="6">
        <v>8167.5572060507329</v>
      </c>
      <c r="S28" s="6">
        <v>8345.0124932791441</v>
      </c>
      <c r="T28" s="6">
        <v>8444.1218073520649</v>
      </c>
      <c r="U28" s="6">
        <v>8625.7577383054158</v>
      </c>
      <c r="V28" s="6">
        <v>8759.5723771329867</v>
      </c>
      <c r="W28" s="6">
        <v>8965.5629923338274</v>
      </c>
      <c r="X28" s="6">
        <v>9104.818335690019</v>
      </c>
      <c r="Y28" s="6">
        <v>9253.8277208068248</v>
      </c>
      <c r="Z28" s="6">
        <v>9436.6887896481203</v>
      </c>
      <c r="AA28" s="6">
        <v>9563.9636325324173</v>
      </c>
      <c r="AB28" s="6">
        <v>9724.9750617312893</v>
      </c>
      <c r="AC28" s="6">
        <v>9925.7168621066012</v>
      </c>
      <c r="AD28" s="6">
        <v>10108.233303738691</v>
      </c>
      <c r="AE28" s="6">
        <v>10280.02030604368</v>
      </c>
      <c r="AF28" s="6">
        <v>10476.831170788089</v>
      </c>
      <c r="AG28" s="6">
        <v>10683.684313931721</v>
      </c>
      <c r="AH28" s="6">
        <v>10922.765650889251</v>
      </c>
      <c r="AI28" s="6">
        <v>11192.548068108121</v>
      </c>
      <c r="AJ28" s="6">
        <v>11392.03354345914</v>
      </c>
      <c r="AK28" s="6">
        <v>11616.58187745867</v>
      </c>
      <c r="AL28" s="6">
        <v>11844.871976349819</v>
      </c>
      <c r="AM28" s="6">
        <v>11909.13669775145</v>
      </c>
      <c r="AN28" s="6">
        <v>11829.87594564137</v>
      </c>
      <c r="AO28" s="6">
        <v>11679.642047594931</v>
      </c>
      <c r="AP28" s="6">
        <v>11732.473353991871</v>
      </c>
      <c r="AQ28" s="6">
        <v>11521.583080270049</v>
      </c>
      <c r="AR28" s="6">
        <v>11435.092304598629</v>
      </c>
      <c r="AS28" s="6">
        <v>11525.277212297729</v>
      </c>
      <c r="AT28" s="6">
        <v>11404.631984619589</v>
      </c>
      <c r="AU28" s="6">
        <v>11161.65175780324</v>
      </c>
      <c r="AV28" s="6">
        <v>12402.96997460481</v>
      </c>
      <c r="AW28" s="6">
        <v>12656.021596191</v>
      </c>
      <c r="AX28" s="6">
        <v>12865.09764815424</v>
      </c>
      <c r="AY28" s="6">
        <v>13075.786307281311</v>
      </c>
      <c r="AZ28" s="6">
        <v>13288.123529885101</v>
      </c>
      <c r="BA28" s="6">
        <v>13498.72006664436</v>
      </c>
      <c r="BB28" s="6">
        <v>13738.708496613841</v>
      </c>
      <c r="BC28" s="6">
        <v>13960.036141385161</v>
      </c>
      <c r="BD28" s="6">
        <v>14163.83189472658</v>
      </c>
      <c r="BE28" s="6">
        <v>14349.52737683956</v>
      </c>
      <c r="BF28" s="6">
        <v>14366.390362917609</v>
      </c>
      <c r="BG28" s="6">
        <v>14599.62652383589</v>
      </c>
      <c r="BH28" s="6">
        <v>14897.026173286151</v>
      </c>
      <c r="BI28" s="6">
        <v>15184.8567242959</v>
      </c>
      <c r="BJ28" s="6">
        <v>15478.79135770601</v>
      </c>
      <c r="BK28" s="6">
        <v>15749.41833021626</v>
      </c>
      <c r="BL28" s="6">
        <v>16022.114014900621</v>
      </c>
      <c r="BM28" s="6">
        <v>16324.007485022959</v>
      </c>
      <c r="BN28" s="6">
        <v>16611.812549840819</v>
      </c>
      <c r="BO28" s="6">
        <v>16905.252774143049</v>
      </c>
      <c r="BP28" s="6">
        <v>17193.207787309471</v>
      </c>
      <c r="BQ28" s="6">
        <v>17475.59646413516</v>
      </c>
      <c r="BR28" s="6">
        <v>17761.978671522389</v>
      </c>
      <c r="BS28" s="6">
        <v>18052.499306341459</v>
      </c>
      <c r="BT28" s="6">
        <v>18341.63221681735</v>
      </c>
      <c r="BU28" s="6">
        <v>18616.381250314302</v>
      </c>
      <c r="BV28" s="6">
        <v>18897.571802932729</v>
      </c>
      <c r="BW28" s="6">
        <v>19178.463493542691</v>
      </c>
      <c r="BX28" s="6">
        <v>19472.554395678118</v>
      </c>
      <c r="BY28" s="6">
        <v>19777.9987877729</v>
      </c>
      <c r="BZ28" s="6">
        <v>20074.761136446741</v>
      </c>
      <c r="CA28" s="6">
        <v>20369.802868293122</v>
      </c>
      <c r="CB28" s="6">
        <v>20687.569325158689</v>
      </c>
      <c r="CC28" s="6">
        <v>21008.972554585071</v>
      </c>
      <c r="CD28" s="6">
        <v>21324.51705573604</v>
      </c>
      <c r="CE28" s="6">
        <v>21646.8571145059</v>
      </c>
      <c r="CF28" s="6">
        <v>21977.79071648647</v>
      </c>
      <c r="CG28" s="6">
        <v>22301.394536419732</v>
      </c>
      <c r="CH28" s="6">
        <v>22624.07223913234</v>
      </c>
      <c r="CI28" s="6">
        <v>22957.624034509139</v>
      </c>
      <c r="CJ28" s="6">
        <v>23295.542620015101</v>
      </c>
      <c r="CK28" s="6">
        <v>23651.640924386898</v>
      </c>
      <c r="CL28" s="6">
        <v>24014.919104862031</v>
      </c>
      <c r="CM28" s="6">
        <v>24382.006239956321</v>
      </c>
      <c r="CN28" s="6">
        <v>24746.321881027059</v>
      </c>
      <c r="CO28" s="6">
        <v>25129.79867915067</v>
      </c>
      <c r="CP28" s="6">
        <v>25511.577435791511</v>
      </c>
      <c r="CQ28" s="6">
        <v>25902.752281646379</v>
      </c>
      <c r="CR28" s="6">
        <v>26302.74834053341</v>
      </c>
      <c r="CS28" s="6">
        <v>26699.917064308029</v>
      </c>
      <c r="CT28" s="2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2">
        <v>0</v>
      </c>
      <c r="F29" s="4" t="s">
        <v>36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2">
        <v>0</v>
      </c>
      <c r="F30" s="4" t="s">
        <v>36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2"/>
      <c r="F31" s="4" t="s">
        <v>36</v>
      </c>
      <c r="G31" s="6">
        <v>6173.4696957543638</v>
      </c>
      <c r="H31" s="6">
        <v>6273.1418468527854</v>
      </c>
      <c r="I31" s="6">
        <v>6468.9815498837452</v>
      </c>
      <c r="J31" s="6">
        <v>6542.4244349947876</v>
      </c>
      <c r="K31" s="6">
        <v>6643.545582626728</v>
      </c>
      <c r="L31" s="6">
        <v>6897.6582244036799</v>
      </c>
      <c r="M31" s="6">
        <v>6956.6832974118079</v>
      </c>
      <c r="N31" s="6">
        <v>7083.9449482471246</v>
      </c>
      <c r="O31" s="6">
        <v>7260.6641210734088</v>
      </c>
      <c r="P31" s="6">
        <v>7423.5842236607023</v>
      </c>
      <c r="Q31" s="6">
        <v>7514.7267542924528</v>
      </c>
      <c r="R31" s="6">
        <v>7635.9766392771999</v>
      </c>
      <c r="S31" s="6">
        <v>7823.7034932873139</v>
      </c>
      <c r="T31" s="6">
        <v>7932.5962759444737</v>
      </c>
      <c r="U31" s="6">
        <v>8128.1933788954848</v>
      </c>
      <c r="V31" s="6">
        <v>8288.7716030709707</v>
      </c>
      <c r="W31" s="6">
        <v>8472.1557024177528</v>
      </c>
      <c r="X31" s="6">
        <v>8670.6644354867894</v>
      </c>
      <c r="Y31" s="6">
        <v>8801.4369117677852</v>
      </c>
      <c r="Z31" s="6">
        <v>8990.9282723190991</v>
      </c>
      <c r="AA31" s="6">
        <v>9173.865956428257</v>
      </c>
      <c r="AB31" s="6">
        <v>9336.5047669935084</v>
      </c>
      <c r="AC31" s="6">
        <v>9598.5465897213508</v>
      </c>
      <c r="AD31" s="6">
        <v>9771.6710439666931</v>
      </c>
      <c r="AE31" s="6">
        <v>9957.5820267046511</v>
      </c>
      <c r="AF31" s="6">
        <v>10152.066290879029</v>
      </c>
      <c r="AG31" s="6">
        <v>10391.23008004956</v>
      </c>
      <c r="AH31" s="6">
        <v>10654.722374488851</v>
      </c>
      <c r="AI31" s="6">
        <v>10909.67036979644</v>
      </c>
      <c r="AJ31" s="6">
        <v>11106.93964935079</v>
      </c>
      <c r="AK31" s="6">
        <v>11328.262896104359</v>
      </c>
      <c r="AL31" s="6">
        <v>11574.934077465519</v>
      </c>
      <c r="AM31" s="6">
        <v>11270.197606902109</v>
      </c>
      <c r="AN31" s="6">
        <v>11021.95710705601</v>
      </c>
      <c r="AO31" s="6">
        <v>11249.569429522149</v>
      </c>
      <c r="AP31" s="6">
        <v>11216.67342729015</v>
      </c>
      <c r="AQ31" s="6">
        <v>11043.314084891959</v>
      </c>
      <c r="AR31" s="6">
        <v>10848.216399686909</v>
      </c>
      <c r="AS31" s="6">
        <v>10892.86243627353</v>
      </c>
      <c r="AT31" s="6">
        <v>11034.908591501469</v>
      </c>
      <c r="AU31" s="6">
        <v>10929.802313516189</v>
      </c>
      <c r="AV31" s="6">
        <v>11971.380906562281</v>
      </c>
      <c r="AW31" s="6">
        <v>12192.632138794501</v>
      </c>
      <c r="AX31" s="6">
        <v>12391.874136604571</v>
      </c>
      <c r="AY31" s="6">
        <v>12597.65522476437</v>
      </c>
      <c r="AZ31" s="6">
        <v>12809.37882715968</v>
      </c>
      <c r="BA31" s="6">
        <v>13023.290780397831</v>
      </c>
      <c r="BB31" s="6">
        <v>13267.81792152267</v>
      </c>
      <c r="BC31" s="6">
        <v>13496.99674888886</v>
      </c>
      <c r="BD31" s="6">
        <v>13711.259333287629</v>
      </c>
      <c r="BE31" s="6">
        <v>13911.73668301936</v>
      </c>
      <c r="BF31" s="6">
        <v>14001.97347280121</v>
      </c>
      <c r="BG31" s="6">
        <v>14257.02233966817</v>
      </c>
      <c r="BH31" s="6">
        <v>14574.95911468677</v>
      </c>
      <c r="BI31" s="6">
        <v>14884.91038851874</v>
      </c>
      <c r="BJ31" s="6">
        <v>15203.20279449187</v>
      </c>
      <c r="BK31" s="6">
        <v>15502.64946754224</v>
      </c>
      <c r="BL31" s="6">
        <v>15804.3027082793</v>
      </c>
      <c r="BM31" s="6">
        <v>16137.16878174472</v>
      </c>
      <c r="BN31" s="6">
        <v>16461.133794179379</v>
      </c>
      <c r="BO31" s="6">
        <v>16793.03240157929</v>
      </c>
      <c r="BP31" s="6">
        <v>17122.56014696999</v>
      </c>
      <c r="BQ31" s="6">
        <v>17444.777065334929</v>
      </c>
      <c r="BR31" s="6">
        <v>17770.609392038012</v>
      </c>
      <c r="BS31" s="6">
        <v>18094.46586255245</v>
      </c>
      <c r="BT31" s="6">
        <v>18418.842970310881</v>
      </c>
      <c r="BU31" s="6">
        <v>18728.44075957016</v>
      </c>
      <c r="BV31" s="6">
        <v>19041.94358534658</v>
      </c>
      <c r="BW31" s="6">
        <v>19352.97636455009</v>
      </c>
      <c r="BX31" s="6">
        <v>19677.053416181971</v>
      </c>
      <c r="BY31" s="6">
        <v>20009.273224807079</v>
      </c>
      <c r="BZ31" s="6">
        <v>20334.075826101591</v>
      </c>
      <c r="CA31" s="6">
        <v>20656.565425988239</v>
      </c>
      <c r="CB31" s="6">
        <v>20995.538369551341</v>
      </c>
      <c r="CC31" s="6">
        <v>21336.941267416489</v>
      </c>
      <c r="CD31" s="6">
        <v>21673.6103836332</v>
      </c>
      <c r="CE31" s="6">
        <v>22013.91554196451</v>
      </c>
      <c r="CF31" s="6">
        <v>22358.734631632</v>
      </c>
      <c r="CG31" s="6">
        <v>22697.682173905268</v>
      </c>
      <c r="CH31" s="6">
        <v>23041.005972132771</v>
      </c>
      <c r="CI31" s="6">
        <v>23391.572583192799</v>
      </c>
      <c r="CJ31" s="6">
        <v>23749.065886414519</v>
      </c>
      <c r="CK31" s="6">
        <v>24126.210477298609</v>
      </c>
      <c r="CL31" s="6">
        <v>24512.738216043119</v>
      </c>
      <c r="CM31" s="6">
        <v>24908.064118703089</v>
      </c>
      <c r="CN31" s="6">
        <v>25304.49267269998</v>
      </c>
      <c r="CO31" s="6">
        <v>25716.636684517271</v>
      </c>
      <c r="CP31" s="6">
        <v>26127.093662962059</v>
      </c>
      <c r="CQ31" s="6">
        <v>26551.632110115879</v>
      </c>
      <c r="CR31" s="6">
        <v>26982.57491452921</v>
      </c>
      <c r="CS31" s="6">
        <v>27413.81704964802</v>
      </c>
      <c r="CT31" s="2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2">
        <v>0</v>
      </c>
      <c r="F32" s="4" t="s">
        <v>36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2">
        <v>0</v>
      </c>
      <c r="F33" s="4" t="s">
        <v>36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2"/>
      <c r="F34" s="4" t="s">
        <v>36</v>
      </c>
      <c r="G34" s="6">
        <v>109133.44301795439</v>
      </c>
      <c r="H34" s="6">
        <v>114283.74515973797</v>
      </c>
      <c r="I34" s="6">
        <v>116104.22174683755</v>
      </c>
      <c r="J34" s="6">
        <v>117448.78844190473</v>
      </c>
      <c r="K34" s="6">
        <v>112557.07652873626</v>
      </c>
      <c r="L34" s="6">
        <v>119339.24153092792</v>
      </c>
      <c r="M34" s="6">
        <v>117391.38176864425</v>
      </c>
      <c r="N34" s="6">
        <v>117624.89089886443</v>
      </c>
      <c r="O34" s="6">
        <v>118359.72968054656</v>
      </c>
      <c r="P34" s="6">
        <v>120456.93919017809</v>
      </c>
      <c r="Q34" s="6">
        <v>127119.43270633736</v>
      </c>
      <c r="R34" s="6">
        <v>123816.70411185775</v>
      </c>
      <c r="S34" s="6">
        <v>127283.71951311867</v>
      </c>
      <c r="T34" s="6">
        <v>125088.40739434952</v>
      </c>
      <c r="U34" s="6">
        <v>124031.70234235695</v>
      </c>
      <c r="V34" s="6">
        <v>122632.82528718491</v>
      </c>
      <c r="W34" s="6">
        <v>121642.31779038873</v>
      </c>
      <c r="X34" s="6">
        <v>120045.33800360368</v>
      </c>
      <c r="Y34" s="6">
        <v>118720.50466513637</v>
      </c>
      <c r="Z34" s="6">
        <v>117915.69945100644</v>
      </c>
      <c r="AA34" s="6">
        <v>118633.47283145113</v>
      </c>
      <c r="AB34" s="6">
        <v>116585.18864424291</v>
      </c>
      <c r="AC34" s="6">
        <v>118698.03810388222</v>
      </c>
      <c r="AD34" s="6">
        <v>119098.14158546543</v>
      </c>
      <c r="AE34" s="6">
        <v>120279.04215244141</v>
      </c>
      <c r="AF34" s="6">
        <v>125355.90934466713</v>
      </c>
      <c r="AG34" s="6">
        <v>128715.28144600095</v>
      </c>
      <c r="AH34" s="6">
        <v>139075.59690643838</v>
      </c>
      <c r="AI34" s="6">
        <v>144044.46487302173</v>
      </c>
      <c r="AJ34" s="6">
        <v>143511.45988249843</v>
      </c>
      <c r="AK34" s="6">
        <v>143922.42067504794</v>
      </c>
      <c r="AL34" s="6">
        <v>143200.30081644899</v>
      </c>
      <c r="AM34" s="6">
        <v>147084.42214581699</v>
      </c>
      <c r="AN34" s="6">
        <v>146897.66075709995</v>
      </c>
      <c r="AO34" s="6">
        <v>141954.27397215035</v>
      </c>
      <c r="AP34" s="6">
        <v>145361.12807290279</v>
      </c>
      <c r="AQ34" s="6">
        <v>148111.84018121648</v>
      </c>
      <c r="AR34" s="6">
        <v>147759.65061551414</v>
      </c>
      <c r="AS34" s="6">
        <v>150563.79489829196</v>
      </c>
      <c r="AT34" s="6">
        <v>146096.75895559066</v>
      </c>
      <c r="AU34" s="6">
        <v>139770.74353359669</v>
      </c>
      <c r="AV34" s="6">
        <v>146511.67663931308</v>
      </c>
      <c r="AW34" s="6">
        <v>141640.42365928349</v>
      </c>
      <c r="AX34" s="6">
        <v>143454.7405856009</v>
      </c>
      <c r="AY34" s="6">
        <v>144312.72838126469</v>
      </c>
      <c r="AZ34" s="6">
        <v>144929.66828097022</v>
      </c>
      <c r="BA34" s="6">
        <v>145338.58727065873</v>
      </c>
      <c r="BB34" s="6">
        <v>145559.95579875476</v>
      </c>
      <c r="BC34" s="6">
        <v>146168.51762944047</v>
      </c>
      <c r="BD34" s="6">
        <v>146742.37010503627</v>
      </c>
      <c r="BE34" s="6">
        <v>147331.41798725931</v>
      </c>
      <c r="BF34" s="6">
        <v>148131.25588231423</v>
      </c>
      <c r="BG34" s="6">
        <v>148793.23026727658</v>
      </c>
      <c r="BH34" s="6">
        <v>149567.14732035287</v>
      </c>
      <c r="BI34" s="6">
        <v>150543.34722559139</v>
      </c>
      <c r="BJ34" s="6">
        <v>151682.19434348153</v>
      </c>
      <c r="BK34" s="6">
        <v>152971.1515776256</v>
      </c>
      <c r="BL34" s="6">
        <v>154333.37245645057</v>
      </c>
      <c r="BM34" s="6">
        <v>155712.82390916717</v>
      </c>
      <c r="BN34" s="6">
        <v>157073.45659703313</v>
      </c>
      <c r="BO34" s="6">
        <v>158335.02203143423</v>
      </c>
      <c r="BP34" s="6">
        <v>159457.25921597538</v>
      </c>
      <c r="BQ34" s="6">
        <v>160392.41313809503</v>
      </c>
      <c r="BR34" s="6">
        <v>161117.19575392385</v>
      </c>
      <c r="BS34" s="6">
        <v>161655.07623668801</v>
      </c>
      <c r="BT34" s="6">
        <v>162009.76068039669</v>
      </c>
      <c r="BU34" s="6">
        <v>162210.19730786822</v>
      </c>
      <c r="BV34" s="6">
        <v>162272.74239494815</v>
      </c>
      <c r="BW34" s="6">
        <v>162233.15121569004</v>
      </c>
      <c r="BX34" s="6">
        <v>162110.97069710691</v>
      </c>
      <c r="BY34" s="6">
        <v>161929.36642182319</v>
      </c>
      <c r="BZ34" s="6">
        <v>161746.35950531901</v>
      </c>
      <c r="CA34" s="6">
        <v>161573.08513451662</v>
      </c>
      <c r="CB34" s="6">
        <v>161417.21236253961</v>
      </c>
      <c r="CC34" s="6">
        <v>161299.40549816238</v>
      </c>
      <c r="CD34" s="6">
        <v>161228.65917413463</v>
      </c>
      <c r="CE34" s="6">
        <v>161199.57208500023</v>
      </c>
      <c r="CF34" s="6">
        <v>161208.41909416395</v>
      </c>
      <c r="CG34" s="6">
        <v>161263.2581795966</v>
      </c>
      <c r="CH34" s="6">
        <v>161382.92258448468</v>
      </c>
      <c r="CI34" s="6">
        <v>161545.70194904768</v>
      </c>
      <c r="CJ34" s="6">
        <v>161768.5983958749</v>
      </c>
      <c r="CK34" s="6">
        <v>162028.9974218774</v>
      </c>
      <c r="CL34" s="6">
        <v>162342.81228177471</v>
      </c>
      <c r="CM34" s="6">
        <v>162706.96433068969</v>
      </c>
      <c r="CN34" s="6">
        <v>163125.61018798311</v>
      </c>
      <c r="CO34" s="6">
        <v>163576.88805166652</v>
      </c>
      <c r="CP34" s="6">
        <v>164066.3449068144</v>
      </c>
      <c r="CQ34" s="6">
        <v>164574.86396039181</v>
      </c>
      <c r="CR34" s="6">
        <v>165092.05099798471</v>
      </c>
      <c r="CS34" s="6">
        <v>165612.34832749388</v>
      </c>
      <c r="CT34" s="2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2">
        <v>0</v>
      </c>
      <c r="F35" s="4" t="s">
        <v>36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2">
        <v>0</v>
      </c>
      <c r="F36" s="4" t="s">
        <v>36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2"/>
      <c r="F37" s="4" t="s">
        <v>36</v>
      </c>
      <c r="G37" s="6">
        <v>103425.05134877378</v>
      </c>
      <c r="H37" s="6">
        <v>108437.33362811095</v>
      </c>
      <c r="I37" s="6">
        <v>110151.79922668556</v>
      </c>
      <c r="J37" s="6">
        <v>111490.6324631443</v>
      </c>
      <c r="K37" s="6">
        <v>107534.49148967474</v>
      </c>
      <c r="L37" s="6">
        <v>113650.00066003646</v>
      </c>
      <c r="M37" s="6">
        <v>111547.53737479047</v>
      </c>
      <c r="N37" s="6">
        <v>111646.8029056521</v>
      </c>
      <c r="O37" s="6">
        <v>112711.62989529585</v>
      </c>
      <c r="P37" s="6">
        <v>114862.48611615186</v>
      </c>
      <c r="Q37" s="6">
        <v>119960.49312742606</v>
      </c>
      <c r="R37" s="6">
        <v>117664.30924281433</v>
      </c>
      <c r="S37" s="6">
        <v>120752.58650031482</v>
      </c>
      <c r="T37" s="6">
        <v>118686.97632235393</v>
      </c>
      <c r="U37" s="6">
        <v>117328.50474044218</v>
      </c>
      <c r="V37" s="6">
        <v>116431.63703261115</v>
      </c>
      <c r="W37" s="6">
        <v>114823.71631485966</v>
      </c>
      <c r="X37" s="6">
        <v>113964.94682521955</v>
      </c>
      <c r="Y37" s="6">
        <v>112758.98380228897</v>
      </c>
      <c r="Z37" s="6">
        <v>112517.67158702633</v>
      </c>
      <c r="AA37" s="6">
        <v>112279.17927958818</v>
      </c>
      <c r="AB37" s="6">
        <v>110771.06162703235</v>
      </c>
      <c r="AC37" s="6">
        <v>112767.17164428983</v>
      </c>
      <c r="AD37" s="6">
        <v>112208.95586682917</v>
      </c>
      <c r="AE37" s="6">
        <v>113649.66021481025</v>
      </c>
      <c r="AF37" s="6">
        <v>118480.43009366574</v>
      </c>
      <c r="AG37" s="6">
        <v>121066.50976001781</v>
      </c>
      <c r="AH37" s="6">
        <v>131439.25466818342</v>
      </c>
      <c r="AI37" s="6">
        <v>136189.61198907369</v>
      </c>
      <c r="AJ37" s="6">
        <v>135297.99052469162</v>
      </c>
      <c r="AK37" s="6">
        <v>136349.36775138901</v>
      </c>
      <c r="AL37" s="6">
        <v>135092.58172973566</v>
      </c>
      <c r="AM37" s="6">
        <v>139329.06774952947</v>
      </c>
      <c r="AN37" s="6">
        <v>138357.31119020269</v>
      </c>
      <c r="AO37" s="6">
        <v>134895.30335073257</v>
      </c>
      <c r="AP37" s="6">
        <v>137077.61424581523</v>
      </c>
      <c r="AQ37" s="6">
        <v>140615.29215362153</v>
      </c>
      <c r="AR37" s="6">
        <v>139048.06018020035</v>
      </c>
      <c r="AS37" s="6">
        <v>142167.1499531368</v>
      </c>
      <c r="AT37" s="6">
        <v>137345.01186828816</v>
      </c>
      <c r="AU37" s="6">
        <v>132486.12109508394</v>
      </c>
      <c r="AV37" s="6">
        <v>139105.38177951978</v>
      </c>
      <c r="AW37" s="6">
        <v>134059.92260573103</v>
      </c>
      <c r="AX37" s="6">
        <v>135778.58864420597</v>
      </c>
      <c r="AY37" s="6">
        <v>136585.7710203029</v>
      </c>
      <c r="AZ37" s="6">
        <v>137160.09208360364</v>
      </c>
      <c r="BA37" s="6">
        <v>137533.39863884679</v>
      </c>
      <c r="BB37" s="6">
        <v>137726.17667124374</v>
      </c>
      <c r="BC37" s="6">
        <v>138283.62293909746</v>
      </c>
      <c r="BD37" s="6">
        <v>138806.46768070557</v>
      </c>
      <c r="BE37" s="6">
        <v>139340.34423081842</v>
      </c>
      <c r="BF37" s="6">
        <v>140024.23149898252</v>
      </c>
      <c r="BG37" s="6">
        <v>140617.72343389812</v>
      </c>
      <c r="BH37" s="6">
        <v>141315.25272762505</v>
      </c>
      <c r="BI37" s="6">
        <v>142203.43458767774</v>
      </c>
      <c r="BJ37" s="6">
        <v>143243.22914976173</v>
      </c>
      <c r="BK37" s="6">
        <v>144422.061345578</v>
      </c>
      <c r="BL37" s="6">
        <v>145670.09205129524</v>
      </c>
      <c r="BM37" s="6">
        <v>146930.91784781939</v>
      </c>
      <c r="BN37" s="6">
        <v>148169.45307489546</v>
      </c>
      <c r="BO37" s="6">
        <v>149311.49348048447</v>
      </c>
      <c r="BP37" s="6">
        <v>150318.64080401091</v>
      </c>
      <c r="BQ37" s="6">
        <v>151150.49269981217</v>
      </c>
      <c r="BR37" s="6">
        <v>151783.11044250819</v>
      </c>
      <c r="BS37" s="6">
        <v>152244.46830145648</v>
      </c>
      <c r="BT37" s="6">
        <v>152530.34460998676</v>
      </c>
      <c r="BU37" s="6">
        <v>152671.15976951277</v>
      </c>
      <c r="BV37" s="6">
        <v>152683.4727159623</v>
      </c>
      <c r="BW37" s="6">
        <v>152601.16080059938</v>
      </c>
      <c r="BX37" s="6">
        <v>152440.03197982279</v>
      </c>
      <c r="BY37" s="6">
        <v>152225.19616817497</v>
      </c>
      <c r="BZ37" s="6">
        <v>152008.21862106971</v>
      </c>
      <c r="CA37" s="6">
        <v>151801.14832075083</v>
      </c>
      <c r="CB37" s="6">
        <v>151615.62910693994</v>
      </c>
      <c r="CC37" s="6">
        <v>151467.20854561424</v>
      </c>
      <c r="CD37" s="6">
        <v>151362.57561624417</v>
      </c>
      <c r="CE37" s="6">
        <v>151300.23535804125</v>
      </c>
      <c r="CF37" s="6">
        <v>151277.48319836837</v>
      </c>
      <c r="CG37" s="6">
        <v>151297.24931047042</v>
      </c>
      <c r="CH37" s="6">
        <v>151373.20713082171</v>
      </c>
      <c r="CI37" s="6">
        <v>151493.09659553401</v>
      </c>
      <c r="CJ37" s="6">
        <v>151667.18152201196</v>
      </c>
      <c r="CK37" s="6">
        <v>151874.39459025048</v>
      </c>
      <c r="CL37" s="6">
        <v>152129.66120256987</v>
      </c>
      <c r="CM37" s="6">
        <v>152427.4530098713</v>
      </c>
      <c r="CN37" s="6">
        <v>152773.16805621958</v>
      </c>
      <c r="CO37" s="6">
        <v>153152.26069066487</v>
      </c>
      <c r="CP37" s="6">
        <v>153567.61945799139</v>
      </c>
      <c r="CQ37" s="6">
        <v>153995.87143683972</v>
      </c>
      <c r="CR37" s="6">
        <v>154434.29649638839</v>
      </c>
      <c r="CS37" s="6">
        <v>154872.69043073288</v>
      </c>
      <c r="CT37" s="2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2">
        <v>0</v>
      </c>
      <c r="F38" s="4" t="s">
        <v>36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2">
        <v>0</v>
      </c>
      <c r="F39" s="4" t="s">
        <v>36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2">
        <v>0</v>
      </c>
      <c r="F40" s="4" t="s">
        <v>36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2">
        <v>0</v>
      </c>
      <c r="F41" s="4" t="s">
        <v>36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2">
        <v>0</v>
      </c>
      <c r="F42" s="4" t="s">
        <v>36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2">
        <v>0</v>
      </c>
      <c r="F43" s="4" t="s">
        <v>36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2">
        <v>0</v>
      </c>
      <c r="F44" s="4" t="s">
        <v>36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2">
        <v>0</v>
      </c>
      <c r="F45" s="4" t="s">
        <v>36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2">
        <v>0</v>
      </c>
      <c r="F46" s="4" t="s">
        <v>36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2">
        <v>0</v>
      </c>
      <c r="F47" s="4" t="s">
        <v>36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2">
        <v>0</v>
      </c>
      <c r="F48" s="4" t="s">
        <v>36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2">
        <v>0</v>
      </c>
      <c r="F49" s="4" t="s">
        <v>36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2">
        <v>0</v>
      </c>
      <c r="F50" s="4" t="s">
        <v>36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2">
        <v>0</v>
      </c>
      <c r="F51" s="4" t="s">
        <v>36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</row>
    <row r="53" spans="1:98" x14ac:dyDescent="0.35">
      <c r="A53" s="1" t="s">
        <v>37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38</v>
      </c>
      <c r="D54" s="3"/>
      <c r="E54" s="2"/>
      <c r="F54" s="4" t="s">
        <v>36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 s="2"/>
      <c r="CT54" s="2"/>
    </row>
    <row r="55" spans="1:98" x14ac:dyDescent="0.35">
      <c r="A55" s="1" t="str">
        <f>'Population Definitions'!$B$3</f>
        <v>atsi_15-64_M</v>
      </c>
      <c r="C55" t="s">
        <v>38</v>
      </c>
      <c r="D55" s="3"/>
      <c r="E55" s="2"/>
      <c r="F55" s="4" t="s">
        <v>36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 s="2"/>
      <c r="CT55" s="2"/>
    </row>
    <row r="56" spans="1:98" x14ac:dyDescent="0.35">
      <c r="A56" s="1" t="str">
        <f>'Population Definitions'!$B$4</f>
        <v>atsi_65+_M</v>
      </c>
      <c r="C56" t="s">
        <v>38</v>
      </c>
      <c r="D56" s="3"/>
      <c r="E56" s="2"/>
      <c r="F56" s="4" t="s">
        <v>36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 s="2"/>
      <c r="CT56" s="2"/>
    </row>
    <row r="57" spans="1:98" x14ac:dyDescent="0.35">
      <c r="A57" s="1" t="str">
        <f>'Population Definitions'!$B$5</f>
        <v>atsi_0-14_F</v>
      </c>
      <c r="C57" t="s">
        <v>38</v>
      </c>
      <c r="D57" s="3"/>
      <c r="E57" s="2"/>
      <c r="F57" s="4" t="s">
        <v>36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 s="2"/>
      <c r="CT57" s="2"/>
    </row>
    <row r="58" spans="1:98" x14ac:dyDescent="0.35">
      <c r="A58" s="1" t="str">
        <f>'Population Definitions'!$B$6</f>
        <v>atsi_15-64_F</v>
      </c>
      <c r="C58" t="s">
        <v>38</v>
      </c>
      <c r="D58" s="3"/>
      <c r="E58" s="2"/>
      <c r="F58" s="4" t="s">
        <v>36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 s="2"/>
      <c r="CT58" s="2"/>
    </row>
    <row r="59" spans="1:98" x14ac:dyDescent="0.35">
      <c r="A59" s="1" t="str">
        <f>'Population Definitions'!$B$7</f>
        <v>atsi_65+_F</v>
      </c>
      <c r="C59" t="s">
        <v>38</v>
      </c>
      <c r="D59" s="3"/>
      <c r="E59" s="2"/>
      <c r="F59" s="4" t="s">
        <v>36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 s="2"/>
      <c r="CT59" s="2"/>
    </row>
    <row r="60" spans="1:98" x14ac:dyDescent="0.35">
      <c r="A60" s="1" t="str">
        <f>'Population Definitions'!$B$8</f>
        <v>ausb_0-14_M</v>
      </c>
      <c r="C60" t="s">
        <v>38</v>
      </c>
      <c r="D60" s="3"/>
      <c r="E60" s="2"/>
      <c r="F60" s="4" t="s">
        <v>36</v>
      </c>
      <c r="G60">
        <v>-5.6634319267448155E-3</v>
      </c>
      <c r="H60">
        <v>-4.7119278776831721E-3</v>
      </c>
      <c r="I60">
        <v>-9.1778095950456016E-3</v>
      </c>
      <c r="J60">
        <v>-1.5090537646194955E-2</v>
      </c>
      <c r="K60">
        <v>-1.0900487899915507E-2</v>
      </c>
      <c r="L60">
        <v>-1.8750044920332016E-2</v>
      </c>
      <c r="M60">
        <v>-1.7656553304418794E-2</v>
      </c>
      <c r="N60">
        <v>-1.3037020357588278E-2</v>
      </c>
      <c r="O60">
        <v>-1.055233725720843E-2</v>
      </c>
      <c r="P60">
        <v>-1.0418744316470057E-2</v>
      </c>
      <c r="Q60">
        <v>-1.4690275702133692E-2</v>
      </c>
      <c r="R60">
        <v>-1.6155522699848403E-2</v>
      </c>
      <c r="S60">
        <v>-1.2948447041702128E-2</v>
      </c>
      <c r="T60">
        <v>-1.2214495091379172E-2</v>
      </c>
      <c r="U60">
        <v>-1.1398728961916699E-2</v>
      </c>
      <c r="V60">
        <v>-1.2519551613866156E-2</v>
      </c>
      <c r="W60">
        <v>-1.1022976089008761E-2</v>
      </c>
      <c r="X60">
        <v>-1.0178749988359138E-2</v>
      </c>
      <c r="Y60">
        <v>-8.3228742986607152E-3</v>
      </c>
      <c r="Z60">
        <v>-7.5678407256726254E-3</v>
      </c>
      <c r="AA60">
        <v>-9.0606317172418904E-3</v>
      </c>
      <c r="AB60">
        <v>-1.14569457670798E-2</v>
      </c>
      <c r="AC60">
        <v>-1.3462918193883469E-2</v>
      </c>
      <c r="AD60">
        <v>-1.3083072020620271E-2</v>
      </c>
      <c r="AE60">
        <v>-1.4989127386031732E-2</v>
      </c>
      <c r="AF60">
        <v>-1.6227589924871031E-2</v>
      </c>
      <c r="AG60">
        <v>-1.385994016641876E-2</v>
      </c>
      <c r="AH60">
        <v>-1.9107831620768245E-2</v>
      </c>
      <c r="AI60">
        <v>-1.9845703150911501E-2</v>
      </c>
      <c r="AJ60">
        <v>-1.9396036804676425E-2</v>
      </c>
      <c r="AK60">
        <v>-1.9252225227056521E-2</v>
      </c>
      <c r="AL60">
        <v>-1.3681478866716095E-2</v>
      </c>
      <c r="AM60">
        <v>-1.4248510983122267E-2</v>
      </c>
      <c r="AN60">
        <v>-1.4647755149307874E-2</v>
      </c>
      <c r="AO60">
        <v>-1.1882298954115649E-2</v>
      </c>
      <c r="AP60">
        <v>-1.0845075605626951E-2</v>
      </c>
      <c r="AQ60">
        <v>-1.3382629643749094E-2</v>
      </c>
      <c r="AR60">
        <v>-1.4837607127673383E-2</v>
      </c>
      <c r="AS60">
        <v>-1.6791142716807372E-2</v>
      </c>
      <c r="AT60">
        <v>-1.4442791356708493E-2</v>
      </c>
      <c r="AU60">
        <v>-9.6542836313223534E-3</v>
      </c>
      <c r="AV60">
        <v>-1.7587339335246241E-2</v>
      </c>
      <c r="AW60">
        <v>-1.3412696813974799E-3</v>
      </c>
      <c r="AX60">
        <v>-6.6901001065699526E-3</v>
      </c>
      <c r="AY60">
        <v>-4.5709118186808484E-3</v>
      </c>
      <c r="AZ60">
        <v>-4.3779013428213234E-3</v>
      </c>
      <c r="BA60">
        <v>-5.5507994625302488E-3</v>
      </c>
      <c r="BB60">
        <v>-6.5157245961427242E-3</v>
      </c>
      <c r="BC60">
        <v>-6.2418190189205969E-3</v>
      </c>
      <c r="BD60">
        <v>-6.2586240580694511E-3</v>
      </c>
      <c r="BE60">
        <v>-7.4284576898544325E-3</v>
      </c>
      <c r="BF60">
        <v>-5.9293889907090589E-3</v>
      </c>
      <c r="BG60">
        <v>-4.1693560852817339E-3</v>
      </c>
      <c r="BH60">
        <v>-4.2323773006645391E-3</v>
      </c>
      <c r="BI60">
        <v>-2.4434015024492042E-3</v>
      </c>
      <c r="BJ60">
        <v>-3.2429360763448476E-3</v>
      </c>
      <c r="BK60">
        <v>-4.8563812177183172E-3</v>
      </c>
      <c r="BL60">
        <v>-2.6239502141901087E-3</v>
      </c>
      <c r="BM60">
        <v>-2.6310483708210444E-3</v>
      </c>
      <c r="BN60">
        <v>-2.3614318265890465E-3</v>
      </c>
      <c r="BO60">
        <v>-1.9944978445216887E-3</v>
      </c>
      <c r="BP60">
        <v>-1.5532951301088732E-3</v>
      </c>
      <c r="BQ60">
        <v>-1.1834044576383702E-3</v>
      </c>
      <c r="BR60">
        <v>-9.1127576857898888E-4</v>
      </c>
      <c r="BS60">
        <v>-6.6038779147419154E-4</v>
      </c>
      <c r="BT60">
        <v>-4.5318715295129754E-4</v>
      </c>
      <c r="BU60">
        <v>-2.9521901202445689E-4</v>
      </c>
      <c r="BV60">
        <v>-2.0771421784045906E-4</v>
      </c>
      <c r="BW60">
        <v>-2.2156291256506186E-4</v>
      </c>
      <c r="BX60">
        <v>-3.4281836980816288E-4</v>
      </c>
      <c r="BY60">
        <v>-5.6260679397417731E-4</v>
      </c>
      <c r="BZ60">
        <v>-8.650564556303362E-4</v>
      </c>
      <c r="CA60">
        <v>-1.230317080468114E-3</v>
      </c>
      <c r="CB60">
        <v>-1.6390175420450826E-3</v>
      </c>
      <c r="CC60">
        <v>-2.0660228256984357E-3</v>
      </c>
      <c r="CD60">
        <v>-2.4817148520256144E-3</v>
      </c>
      <c r="CE60">
        <v>-2.8607144203942579E-3</v>
      </c>
      <c r="CF60">
        <v>-3.1799357813372931E-3</v>
      </c>
      <c r="CG60">
        <v>-3.4318060083358857E-3</v>
      </c>
      <c r="CH60">
        <v>-3.6224897782886024E-3</v>
      </c>
      <c r="CI60">
        <v>-3.7386789545721692E-3</v>
      </c>
      <c r="CJ60">
        <v>-3.7908288244333384E-3</v>
      </c>
      <c r="CK60">
        <v>-3.784042434207074E-3</v>
      </c>
      <c r="CL60">
        <v>-3.7267392522066247E-3</v>
      </c>
      <c r="CM60">
        <v>-3.6283235093891248E-3</v>
      </c>
      <c r="CN60">
        <v>-3.5010884996467687E-3</v>
      </c>
      <c r="CO60">
        <v>-3.3549288153520503E-3</v>
      </c>
      <c r="CP60">
        <v>-3.1926760723385169E-3</v>
      </c>
      <c r="CQ60">
        <v>-3.031878985139987E-3</v>
      </c>
      <c r="CR60">
        <v>-2.8691378374989924E-3</v>
      </c>
      <c r="CS60" s="2"/>
      <c r="CT60" s="2"/>
    </row>
    <row r="61" spans="1:98" x14ac:dyDescent="0.35">
      <c r="A61" s="1" t="str">
        <f>'Population Definitions'!$B$9</f>
        <v>ausb_15-64_M</v>
      </c>
      <c r="C61" t="s">
        <v>38</v>
      </c>
      <c r="D61" s="3"/>
      <c r="E61" s="2"/>
      <c r="F61" s="4" t="s">
        <v>36</v>
      </c>
      <c r="G61">
        <v>1.4719512840746064E-2</v>
      </c>
      <c r="H61">
        <v>1.9563199122505634E-2</v>
      </c>
      <c r="I61">
        <v>1.5711091889606208E-2</v>
      </c>
      <c r="J61">
        <v>1.512518164581763E-2</v>
      </c>
      <c r="K61">
        <v>1.6949416879016434E-2</v>
      </c>
      <c r="L61">
        <v>1.811806510732283E-2</v>
      </c>
      <c r="M61">
        <v>1.5425306664921236E-2</v>
      </c>
      <c r="N61">
        <v>1.5963123300881205E-2</v>
      </c>
      <c r="O61">
        <v>1.5687051961952525E-2</v>
      </c>
      <c r="P61">
        <v>1.3475242155012728E-2</v>
      </c>
      <c r="Q61">
        <v>8.7934309620826944E-3</v>
      </c>
      <c r="R61">
        <v>5.8121927567208265E-3</v>
      </c>
      <c r="S61">
        <v>1.0818552474226516E-2</v>
      </c>
      <c r="T61">
        <v>1.087840513243408E-2</v>
      </c>
      <c r="U61">
        <v>1.1692888650116589E-2</v>
      </c>
      <c r="V61">
        <v>1.1716457895744567E-2</v>
      </c>
      <c r="W61">
        <v>1.2435640235530862E-2</v>
      </c>
      <c r="X61">
        <v>1.349514454888349E-2</v>
      </c>
      <c r="Y61">
        <v>1.4320998019010163E-2</v>
      </c>
      <c r="Z61">
        <v>1.5189374910167886E-2</v>
      </c>
      <c r="AA61">
        <v>1.389204395216099E-2</v>
      </c>
      <c r="AB61">
        <v>1.344819714208942E-2</v>
      </c>
      <c r="AC61">
        <v>1.2261170872574226E-2</v>
      </c>
      <c r="AD61">
        <v>1.2728382461416476E-2</v>
      </c>
      <c r="AE61">
        <v>1.1856648698450665E-2</v>
      </c>
      <c r="AF61">
        <v>1.3169556197232077E-2</v>
      </c>
      <c r="AG61">
        <v>1.5509630926923867E-2</v>
      </c>
      <c r="AH61">
        <v>1.551848178854851E-2</v>
      </c>
      <c r="AI61">
        <v>1.6121124832522267E-2</v>
      </c>
      <c r="AJ61">
        <v>1.2732444513715257E-2</v>
      </c>
      <c r="AK61">
        <v>1.1826229252741233E-2</v>
      </c>
      <c r="AL61">
        <v>1.1077043559777547E-2</v>
      </c>
      <c r="AM61">
        <v>1.0868566218872118E-2</v>
      </c>
      <c r="AN61">
        <v>9.4952547254870054E-3</v>
      </c>
      <c r="AO61">
        <v>9.2829157331401572E-3</v>
      </c>
      <c r="AP61">
        <v>9.8355481342293737E-3</v>
      </c>
      <c r="AQ61">
        <v>1.13805181783199E-2</v>
      </c>
      <c r="AR61">
        <v>1.0400471550779361E-2</v>
      </c>
      <c r="AS61">
        <v>1.0457931400960531E-2</v>
      </c>
      <c r="AT61">
        <v>9.9465257025287031E-3</v>
      </c>
      <c r="AU61">
        <v>8.0047838017373949E-3</v>
      </c>
      <c r="AV61">
        <v>1.0431437646505793E-2</v>
      </c>
      <c r="AW61">
        <v>1.3018763303491734E-2</v>
      </c>
      <c r="AX61">
        <v>7.585061938168638E-3</v>
      </c>
      <c r="AY61">
        <v>1.1718272854779532E-2</v>
      </c>
      <c r="AZ61">
        <v>1.0934448749164572E-2</v>
      </c>
      <c r="BA61">
        <v>1.1127791999472055E-2</v>
      </c>
      <c r="BB61">
        <v>1.1480835171626343E-2</v>
      </c>
      <c r="BC61">
        <v>1.1899876319189706E-2</v>
      </c>
      <c r="BD61">
        <v>1.2693017721421321E-2</v>
      </c>
      <c r="BE61">
        <v>1.359722823852188E-2</v>
      </c>
      <c r="BF61">
        <v>1.3177240856661606E-2</v>
      </c>
      <c r="BG61">
        <v>1.3261513727286629E-2</v>
      </c>
      <c r="BH61">
        <v>1.2635750604637189E-2</v>
      </c>
      <c r="BI61">
        <v>1.1969853796952198E-2</v>
      </c>
      <c r="BJ61">
        <v>1.0840839231489107E-2</v>
      </c>
      <c r="BK61">
        <v>1.1751139808542229E-2</v>
      </c>
      <c r="BL61">
        <v>1.2084140994737759E-2</v>
      </c>
      <c r="BM61">
        <v>1.2816978865781894E-2</v>
      </c>
      <c r="BN61">
        <v>1.3286804778547419E-2</v>
      </c>
      <c r="BO61">
        <v>1.3500092634304182E-2</v>
      </c>
      <c r="BP61">
        <v>1.3739313133314415E-2</v>
      </c>
      <c r="BQ61">
        <v>1.3644557358542491E-2</v>
      </c>
      <c r="BR61">
        <v>1.304847373472388E-2</v>
      </c>
      <c r="BS61">
        <v>1.2475435454058796E-2</v>
      </c>
      <c r="BT61">
        <v>1.116355554566313E-2</v>
      </c>
      <c r="BU61">
        <v>1.0340789046680775E-2</v>
      </c>
      <c r="BV61">
        <v>9.451559502049494E-3</v>
      </c>
      <c r="BW61">
        <v>9.3854634949537882E-3</v>
      </c>
      <c r="BX61">
        <v>9.2006631728173988E-3</v>
      </c>
      <c r="BY61">
        <v>9.0289676234725433E-3</v>
      </c>
      <c r="BZ61">
        <v>9.2573320887798932E-3</v>
      </c>
      <c r="CA61">
        <v>9.3614626481667105E-3</v>
      </c>
      <c r="CB61">
        <v>9.1353069805468617E-3</v>
      </c>
      <c r="CC61">
        <v>8.8399829059705344E-3</v>
      </c>
      <c r="CD61">
        <v>8.9709184154583982E-3</v>
      </c>
      <c r="CE61">
        <v>9.5233619275853099E-3</v>
      </c>
      <c r="CF61">
        <v>9.5395541635155089E-3</v>
      </c>
      <c r="CG61">
        <v>9.456601515747013E-3</v>
      </c>
      <c r="CH61">
        <v>9.3005763144326115E-3</v>
      </c>
      <c r="CI61">
        <v>9.8903322045025832E-3</v>
      </c>
      <c r="CJ61">
        <v>1.0441023791641324E-2</v>
      </c>
      <c r="CK61">
        <v>1.0794548258663673E-2</v>
      </c>
      <c r="CL61">
        <v>1.0466035802982589E-2</v>
      </c>
      <c r="CM61">
        <v>9.5850104876598879E-3</v>
      </c>
      <c r="CN61">
        <v>9.531131147671559E-3</v>
      </c>
      <c r="CO61">
        <v>1.0213545408239207E-2</v>
      </c>
      <c r="CP61">
        <v>9.9098902554746945E-3</v>
      </c>
      <c r="CQ61">
        <v>9.028847092567658E-3</v>
      </c>
      <c r="CR61">
        <v>8.3332834964357817E-3</v>
      </c>
      <c r="CS61" s="2"/>
      <c r="CT61" s="2"/>
    </row>
    <row r="62" spans="1:98" x14ac:dyDescent="0.35">
      <c r="A62" s="1" t="str">
        <f>'Population Definitions'!$B$10</f>
        <v>ausb_65+_M</v>
      </c>
      <c r="C62" t="s">
        <v>38</v>
      </c>
      <c r="D62" s="3"/>
      <c r="E62" s="2"/>
      <c r="F62" s="4" t="s">
        <v>36</v>
      </c>
      <c r="G62">
        <v>-8.9104877005771813E-2</v>
      </c>
      <c r="H62">
        <v>-8.5467971527321759E-2</v>
      </c>
      <c r="I62">
        <v>-8.9103225332274424E-2</v>
      </c>
      <c r="J62">
        <v>-9.0377109965450522E-2</v>
      </c>
      <c r="K62">
        <v>-8.2744181605951594E-2</v>
      </c>
      <c r="L62">
        <v>-7.1936336927935829E-2</v>
      </c>
      <c r="M62">
        <v>-7.6305802773679335E-2</v>
      </c>
      <c r="N62">
        <v>-7.7595411930481861E-2</v>
      </c>
      <c r="O62">
        <v>-7.3741364137938942E-2</v>
      </c>
      <c r="P62">
        <v>-7.4806398700300425E-2</v>
      </c>
      <c r="Q62">
        <v>-7.2345067843941721E-2</v>
      </c>
      <c r="R62">
        <v>-7.5346337858012313E-2</v>
      </c>
      <c r="S62">
        <v>-6.5197951108388608E-2</v>
      </c>
      <c r="T62">
        <v>-6.6748048359755979E-2</v>
      </c>
      <c r="U62">
        <v>-6.6173761784051668E-2</v>
      </c>
      <c r="V62">
        <v>-6.5735222486143427E-2</v>
      </c>
      <c r="W62">
        <v>-6.3040319368526457E-2</v>
      </c>
      <c r="X62">
        <v>-6.3160991800210384E-2</v>
      </c>
      <c r="Y62">
        <v>-6.253052958057069E-2</v>
      </c>
      <c r="Z62">
        <v>-6.2856053818594007E-2</v>
      </c>
      <c r="AA62">
        <v>-5.958979476071824E-2</v>
      </c>
      <c r="AB62">
        <v>-6.2688484369439787E-2</v>
      </c>
      <c r="AC62">
        <v>-6.2726475004905038E-2</v>
      </c>
      <c r="AD62">
        <v>-6.1203193998731184E-2</v>
      </c>
      <c r="AE62">
        <v>-6.0845735741502704E-2</v>
      </c>
      <c r="AF62">
        <v>-6.146810610693338E-2</v>
      </c>
      <c r="AG62">
        <v>-5.5313418533676204E-2</v>
      </c>
      <c r="AH62">
        <v>-5.787441529294058E-2</v>
      </c>
      <c r="AI62">
        <v>-5.0677671672923287E-2</v>
      </c>
      <c r="AJ62">
        <v>-4.5595197508957873E-2</v>
      </c>
      <c r="AK62">
        <v>-4.1642506017440593E-2</v>
      </c>
      <c r="AL62">
        <v>-3.6308176905948973E-2</v>
      </c>
      <c r="AM62">
        <v>-3.8156824775645609E-2</v>
      </c>
      <c r="AN62">
        <v>-3.7714366204593008E-2</v>
      </c>
      <c r="AO62">
        <v>-3.6462448086109149E-2</v>
      </c>
      <c r="AP62">
        <v>-3.3989087897468878E-2</v>
      </c>
      <c r="AQ62">
        <v>-3.5168740407639724E-2</v>
      </c>
      <c r="AR62">
        <v>-3.4323964156397831E-2</v>
      </c>
      <c r="AS62">
        <v>-3.4049214282248046E-2</v>
      </c>
      <c r="AT62">
        <v>-2.3887860225360498E-2</v>
      </c>
      <c r="AU62">
        <v>-2.1926981350188612E-2</v>
      </c>
      <c r="AV62">
        <v>-5.4184770043770106E-2</v>
      </c>
      <c r="AW62">
        <v>-4.9547918706558933E-2</v>
      </c>
      <c r="AX62">
        <v>-5.0107079069044477E-2</v>
      </c>
      <c r="AY62">
        <v>-4.8133545319018201E-2</v>
      </c>
      <c r="AZ62">
        <v>-4.4982575840620063E-2</v>
      </c>
      <c r="BA62">
        <v>-4.5089883888187868E-2</v>
      </c>
      <c r="BB62">
        <v>-4.5221828261058833E-2</v>
      </c>
      <c r="BC62">
        <v>-4.7187662050454611E-2</v>
      </c>
      <c r="BD62">
        <v>-5.0626719295831887E-2</v>
      </c>
      <c r="BE62">
        <v>-5.2826674471685736E-2</v>
      </c>
      <c r="BF62">
        <v>-5.4139378008226338E-2</v>
      </c>
      <c r="BG62">
        <v>-5.3552695667288375E-2</v>
      </c>
      <c r="BH62">
        <v>-5.1322688296044319E-2</v>
      </c>
      <c r="BI62">
        <v>-5.0874770979523511E-2</v>
      </c>
      <c r="BJ62">
        <v>-4.5758431194456585E-2</v>
      </c>
      <c r="BK62">
        <v>-4.7116100115074215E-2</v>
      </c>
      <c r="BL62">
        <v>-5.0736342602624371E-2</v>
      </c>
      <c r="BM62">
        <v>-5.3493521610374378E-2</v>
      </c>
      <c r="BN62">
        <v>-5.5859836003442478E-2</v>
      </c>
      <c r="BO62">
        <v>-5.7581926533625892E-2</v>
      </c>
      <c r="BP62">
        <v>-5.9618923147057488E-2</v>
      </c>
      <c r="BQ62">
        <v>-6.0454336081597761E-2</v>
      </c>
      <c r="BR62">
        <v>-5.9258622819299549E-2</v>
      </c>
      <c r="BS62">
        <v>-5.7915890527320366E-2</v>
      </c>
      <c r="BT62">
        <v>-5.3479232892220979E-2</v>
      </c>
      <c r="BU62">
        <v>-5.0522274461889567E-2</v>
      </c>
      <c r="BV62">
        <v>-4.7018426505953115E-2</v>
      </c>
      <c r="BW62">
        <v>-4.643524245520568E-2</v>
      </c>
      <c r="BX62">
        <v>-4.5278852944128249E-2</v>
      </c>
      <c r="BY62">
        <v>-4.4006834110727686E-2</v>
      </c>
      <c r="BZ62">
        <v>-4.4131328882412342E-2</v>
      </c>
      <c r="CA62">
        <v>-4.3753234759708867E-2</v>
      </c>
      <c r="CB62">
        <v>-4.2101676990058692E-2</v>
      </c>
      <c r="CC62">
        <v>-4.0117837000038577E-2</v>
      </c>
      <c r="CD62">
        <v>-3.9717971383697787E-2</v>
      </c>
      <c r="CE62">
        <v>-4.0910163455925359E-2</v>
      </c>
      <c r="CF62">
        <v>-4.0307682855087477E-2</v>
      </c>
      <c r="CG62">
        <v>-3.9427912023910126E-2</v>
      </c>
      <c r="CH62">
        <v>-3.8357035515744695E-2</v>
      </c>
      <c r="CI62">
        <v>-4.0000828390015453E-2</v>
      </c>
      <c r="CJ62">
        <v>-4.1637844310374768E-2</v>
      </c>
      <c r="CK62">
        <v>-4.2744087648947077E-2</v>
      </c>
      <c r="CL62">
        <v>-4.1583644778272685E-2</v>
      </c>
      <c r="CM62">
        <v>-3.8485183198250526E-2</v>
      </c>
      <c r="CN62">
        <v>-3.8188470272190647E-2</v>
      </c>
      <c r="CO62">
        <v>-4.0456335219625272E-2</v>
      </c>
      <c r="CP62">
        <v>-3.9483417221673554E-2</v>
      </c>
      <c r="CQ62">
        <v>-3.6500410518414142E-2</v>
      </c>
      <c r="CR62">
        <v>-3.4056230595929236E-2</v>
      </c>
      <c r="CS62" s="2"/>
      <c r="CT62" s="2"/>
    </row>
    <row r="63" spans="1:98" x14ac:dyDescent="0.35">
      <c r="A63" s="1" t="str">
        <f>'Population Definitions'!$B$11</f>
        <v>ausb_0-14_F</v>
      </c>
      <c r="C63" t="s">
        <v>38</v>
      </c>
      <c r="D63" s="3"/>
      <c r="E63" s="2"/>
      <c r="F63" s="4" t="s">
        <v>36</v>
      </c>
      <c r="G63">
        <v>-4.9210937727474429E-3</v>
      </c>
      <c r="H63">
        <v>-5.4291686649020334E-3</v>
      </c>
      <c r="I63">
        <v>-1.02945727626494E-2</v>
      </c>
      <c r="J63">
        <v>-1.5417502204572161E-2</v>
      </c>
      <c r="K63">
        <v>-1.1451792172018652E-2</v>
      </c>
      <c r="L63">
        <v>-2.0258562390335237E-2</v>
      </c>
      <c r="M63">
        <v>-1.8337107704028455E-2</v>
      </c>
      <c r="N63">
        <v>-1.3589619200794305E-2</v>
      </c>
      <c r="O63">
        <v>-1.096237063122291E-2</v>
      </c>
      <c r="P63">
        <v>-1.1478891981898926E-2</v>
      </c>
      <c r="Q63">
        <v>-1.5169554850723032E-2</v>
      </c>
      <c r="R63">
        <v>-1.5752019306779923E-2</v>
      </c>
      <c r="S63">
        <v>-1.259629543180611E-2</v>
      </c>
      <c r="T63">
        <v>-1.1931698060850447E-2</v>
      </c>
      <c r="U63">
        <v>-1.0769022977865174E-2</v>
      </c>
      <c r="V63">
        <v>-1.2383438616125023E-2</v>
      </c>
      <c r="W63">
        <v>-1.0471735700267326E-2</v>
      </c>
      <c r="X63">
        <v>-1.0172484110984415E-2</v>
      </c>
      <c r="Y63">
        <v>-8.2576719854227914E-3</v>
      </c>
      <c r="Z63">
        <v>-8.1760947274674943E-3</v>
      </c>
      <c r="AA63">
        <v>-9.1496442442066898E-3</v>
      </c>
      <c r="AB63">
        <v>-1.1847994533826412E-2</v>
      </c>
      <c r="AC63">
        <v>-1.4142184891033771E-2</v>
      </c>
      <c r="AD63">
        <v>-1.3145256608689728E-2</v>
      </c>
      <c r="AE63">
        <v>-1.5144714182134903E-2</v>
      </c>
      <c r="AF63">
        <v>-1.5697908375026114E-2</v>
      </c>
      <c r="AG63">
        <v>-1.3260072006183643E-2</v>
      </c>
      <c r="AH63">
        <v>-1.8935410559118016E-2</v>
      </c>
      <c r="AI63">
        <v>-1.9677463252080429E-2</v>
      </c>
      <c r="AJ63">
        <v>-1.8890603811451492E-2</v>
      </c>
      <c r="AK63">
        <v>-1.9319072975733119E-2</v>
      </c>
      <c r="AL63">
        <v>-1.3684691118378738E-2</v>
      </c>
      <c r="AM63">
        <v>-1.4477602583471886E-2</v>
      </c>
      <c r="AN63">
        <v>-1.4190438856386567E-2</v>
      </c>
      <c r="AO63">
        <v>-1.2363954615575689E-2</v>
      </c>
      <c r="AP63">
        <v>-1.0270777887686686E-2</v>
      </c>
      <c r="AQ63">
        <v>-1.4678669164295707E-2</v>
      </c>
      <c r="AR63">
        <v>-1.5526400385693639E-2</v>
      </c>
      <c r="AS63">
        <v>-1.7065500809171921E-2</v>
      </c>
      <c r="AT63">
        <v>-1.4229086771649021E-2</v>
      </c>
      <c r="AU63">
        <v>-1.0127513410079947E-2</v>
      </c>
      <c r="AV63">
        <v>-1.688980466454558E-2</v>
      </c>
      <c r="AW63">
        <v>-9.9342681524753436E-4</v>
      </c>
      <c r="AX63">
        <v>-6.2348256743462891E-3</v>
      </c>
      <c r="AY63">
        <v>-4.6850359732159234E-3</v>
      </c>
      <c r="AZ63">
        <v>-4.2549705364760644E-3</v>
      </c>
      <c r="BA63">
        <v>-5.64423086380613E-3</v>
      </c>
      <c r="BB63">
        <v>-6.1314943448045507E-3</v>
      </c>
      <c r="BC63">
        <v>-6.2137349157181049E-3</v>
      </c>
      <c r="BD63">
        <v>-5.6714350880306434E-3</v>
      </c>
      <c r="BE63">
        <v>-7.2745862196588167E-3</v>
      </c>
      <c r="BF63">
        <v>-5.6541072125320677E-3</v>
      </c>
      <c r="BG63">
        <v>-3.8989534831767162E-3</v>
      </c>
      <c r="BH63">
        <v>-3.5115218766344275E-3</v>
      </c>
      <c r="BI63">
        <v>-2.3461392897884976E-3</v>
      </c>
      <c r="BJ63">
        <v>-3.233568568745022E-3</v>
      </c>
      <c r="BK63">
        <v>-5.1670261617134099E-3</v>
      </c>
      <c r="BL63">
        <v>-2.6021015558793854E-3</v>
      </c>
      <c r="BM63">
        <v>-2.576008181260251E-3</v>
      </c>
      <c r="BN63">
        <v>-2.2737342259324801E-3</v>
      </c>
      <c r="BO63">
        <v>-1.8754519265751627E-3</v>
      </c>
      <c r="BP63">
        <v>-1.4019318286346153E-3</v>
      </c>
      <c r="BQ63">
        <v>-1.0010511181830699E-3</v>
      </c>
      <c r="BR63">
        <v>-6.9890401772077437E-4</v>
      </c>
      <c r="BS63">
        <v>-4.2245173050749533E-4</v>
      </c>
      <c r="BT63">
        <v>-1.8884421738074662E-4</v>
      </c>
      <c r="BU63">
        <v>-5.7390171067644528E-6</v>
      </c>
      <c r="BV63">
        <v>1.0269513765722605E-4</v>
      </c>
      <c r="BW63">
        <v>1.0612341193645469E-4</v>
      </c>
      <c r="BX63">
        <v>2.0966984766120945E-6</v>
      </c>
      <c r="BY63">
        <v>-2.006585695692833E-4</v>
      </c>
      <c r="BZ63">
        <v>-4.8613744396830861E-4</v>
      </c>
      <c r="CA63">
        <v>-8.3414217265494119E-4</v>
      </c>
      <c r="CB63">
        <v>-1.2290115941342931E-3</v>
      </c>
      <c r="CC63">
        <v>-1.6414923873118983E-3</v>
      </c>
      <c r="CD63">
        <v>-2.044264831617717E-3</v>
      </c>
      <c r="CE63">
        <v>-2.4100101650609091E-3</v>
      </c>
      <c r="CF63">
        <v>-2.7188093352828683E-3</v>
      </c>
      <c r="CG63">
        <v>-2.9582170131536144E-3</v>
      </c>
      <c r="CH63">
        <v>-3.1330339757100274E-3</v>
      </c>
      <c r="CI63">
        <v>-3.2354003715063043E-3</v>
      </c>
      <c r="CJ63">
        <v>-3.272152512485554E-3</v>
      </c>
      <c r="CK63">
        <v>-3.247673525029136E-3</v>
      </c>
      <c r="CL63">
        <v>-3.1716437201162384E-3</v>
      </c>
      <c r="CM63">
        <v>-3.0497025444958191E-3</v>
      </c>
      <c r="CN63">
        <v>-2.9018026672981115E-3</v>
      </c>
      <c r="CO63">
        <v>-2.736649882568519E-3</v>
      </c>
      <c r="CP63">
        <v>-2.5551132915169871E-3</v>
      </c>
      <c r="CQ63">
        <v>-2.370573362722546E-3</v>
      </c>
      <c r="CR63">
        <v>-2.1862058571977512E-3</v>
      </c>
      <c r="CS63" s="2"/>
      <c r="CT63" s="2"/>
    </row>
    <row r="64" spans="1:98" x14ac:dyDescent="0.35">
      <c r="A64" s="1" t="str">
        <f>'Population Definitions'!$B$12</f>
        <v>ausb_15-64_F</v>
      </c>
      <c r="C64" t="s">
        <v>38</v>
      </c>
      <c r="D64" s="3"/>
      <c r="E64" s="2"/>
      <c r="F64" s="4" t="s">
        <v>36</v>
      </c>
      <c r="G64">
        <v>1.3747640064389497E-2</v>
      </c>
      <c r="H64">
        <v>1.7130346393609143E-2</v>
      </c>
      <c r="I64">
        <v>1.3746219208974784E-2</v>
      </c>
      <c r="J64">
        <v>1.3733404157188541E-2</v>
      </c>
      <c r="K64">
        <v>1.5475041082794863E-2</v>
      </c>
      <c r="L64">
        <v>1.6275508772901001E-2</v>
      </c>
      <c r="M64">
        <v>1.5914754407864048E-2</v>
      </c>
      <c r="N64">
        <v>1.5946926812699495E-2</v>
      </c>
      <c r="O64">
        <v>1.5599965520818234E-2</v>
      </c>
      <c r="P64">
        <v>1.348760159841395E-2</v>
      </c>
      <c r="Q64">
        <v>9.7796292905087401E-3</v>
      </c>
      <c r="R64">
        <v>6.2852987592160649E-3</v>
      </c>
      <c r="S64">
        <v>1.1196195303115462E-2</v>
      </c>
      <c r="T64">
        <v>1.1281165928959653E-2</v>
      </c>
      <c r="U64">
        <v>1.2038363415135318E-2</v>
      </c>
      <c r="V64">
        <v>1.2608025313061556E-2</v>
      </c>
      <c r="W64">
        <v>1.4263391204616437E-2</v>
      </c>
      <c r="X64">
        <v>1.4664050257672067E-2</v>
      </c>
      <c r="Y64">
        <v>1.5574466235836259E-2</v>
      </c>
      <c r="Z64">
        <v>1.6318139593970528E-2</v>
      </c>
      <c r="AA64">
        <v>1.5279553071404411E-2</v>
      </c>
      <c r="AB64">
        <v>1.3038227212414691E-2</v>
      </c>
      <c r="AC64">
        <v>1.2863316598659323E-2</v>
      </c>
      <c r="AD64">
        <v>1.2594844738316135E-2</v>
      </c>
      <c r="AE64">
        <v>1.1947946487243202E-2</v>
      </c>
      <c r="AF64">
        <v>1.2906211900086955E-2</v>
      </c>
      <c r="AG64">
        <v>1.4647006301252822E-2</v>
      </c>
      <c r="AH64">
        <v>1.4327151944290073E-2</v>
      </c>
      <c r="AI64">
        <v>1.49762861933987E-2</v>
      </c>
      <c r="AJ64">
        <v>1.3694530687237461E-2</v>
      </c>
      <c r="AK64">
        <v>1.3095913618574258E-2</v>
      </c>
      <c r="AL64">
        <v>1.2094203525242538E-2</v>
      </c>
      <c r="AM64">
        <v>1.2365277057022707E-2</v>
      </c>
      <c r="AN64">
        <v>1.2302477661212698E-2</v>
      </c>
      <c r="AO64">
        <v>1.1698149181472207E-2</v>
      </c>
      <c r="AP64">
        <v>1.2248734793349777E-2</v>
      </c>
      <c r="AQ64">
        <v>1.1761477480294574E-2</v>
      </c>
      <c r="AR64">
        <v>1.0291163142659793E-2</v>
      </c>
      <c r="AS64">
        <v>9.8929165944341407E-3</v>
      </c>
      <c r="AT64">
        <v>1.0334519886222478E-2</v>
      </c>
      <c r="AU64">
        <v>7.1720096716527066E-3</v>
      </c>
      <c r="AV64">
        <v>1.0692444168907463E-2</v>
      </c>
      <c r="AW64">
        <v>1.1555229002690846E-2</v>
      </c>
      <c r="AX64">
        <v>5.8417373152351163E-3</v>
      </c>
      <c r="AY64">
        <v>1.0439721696068641E-2</v>
      </c>
      <c r="AZ64">
        <v>9.6822940324974571E-3</v>
      </c>
      <c r="BA64">
        <v>1.0063508712096641E-2</v>
      </c>
      <c r="BB64">
        <v>1.0182363374099338E-2</v>
      </c>
      <c r="BC64">
        <v>1.0689018212822232E-2</v>
      </c>
      <c r="BD64">
        <v>1.1353583270005884E-2</v>
      </c>
      <c r="BE64">
        <v>1.2375810325556373E-2</v>
      </c>
      <c r="BF64">
        <v>1.1888734510683433E-2</v>
      </c>
      <c r="BG64">
        <v>1.1922354122869931E-2</v>
      </c>
      <c r="BH64">
        <v>1.0976707775001957E-2</v>
      </c>
      <c r="BI64">
        <v>1.0603818487051492E-2</v>
      </c>
      <c r="BJ64">
        <v>9.1641253042281309E-3</v>
      </c>
      <c r="BK64">
        <v>1.028026241422552E-2</v>
      </c>
      <c r="BL64">
        <v>1.0799094507398875E-2</v>
      </c>
      <c r="BM64">
        <v>1.1618753845671501E-2</v>
      </c>
      <c r="BN64">
        <v>1.2138325353920855E-2</v>
      </c>
      <c r="BO64">
        <v>1.2478014687341348E-2</v>
      </c>
      <c r="BP64">
        <v>1.2308994500115095E-2</v>
      </c>
      <c r="BQ64">
        <v>1.2076800800781143E-2</v>
      </c>
      <c r="BR64">
        <v>1.1390808156401836E-2</v>
      </c>
      <c r="BS64">
        <v>1.0864788050348424E-2</v>
      </c>
      <c r="BT64">
        <v>9.6350486984791948E-3</v>
      </c>
      <c r="BU64">
        <v>8.9642803541389801E-3</v>
      </c>
      <c r="BV64">
        <v>7.9909241640432928E-3</v>
      </c>
      <c r="BW64">
        <v>7.7866155122072803E-3</v>
      </c>
      <c r="BX64">
        <v>7.3938311776487404E-3</v>
      </c>
      <c r="BY64">
        <v>7.2528675272481493E-3</v>
      </c>
      <c r="BZ64">
        <v>7.2766865509574126E-3</v>
      </c>
      <c r="CA64">
        <v>7.0860633448774774E-3</v>
      </c>
      <c r="CB64">
        <v>6.9301258921264982E-3</v>
      </c>
      <c r="CC64">
        <v>6.5250949705374086E-3</v>
      </c>
      <c r="CD64">
        <v>6.5269779079393199E-3</v>
      </c>
      <c r="CE64">
        <v>6.995528107841713E-3</v>
      </c>
      <c r="CF64">
        <v>7.2065756448126926E-3</v>
      </c>
      <c r="CG64">
        <v>7.4151411890725806E-3</v>
      </c>
      <c r="CH64">
        <v>7.5210796107102185E-3</v>
      </c>
      <c r="CI64">
        <v>8.2013485509017329E-3</v>
      </c>
      <c r="CJ64">
        <v>8.7592298028252025E-3</v>
      </c>
      <c r="CK64">
        <v>9.3292685079943167E-3</v>
      </c>
      <c r="CL64">
        <v>9.293639509414784E-3</v>
      </c>
      <c r="CM64">
        <v>8.722043067405769E-3</v>
      </c>
      <c r="CN64">
        <v>8.8634965486989719E-3</v>
      </c>
      <c r="CO64">
        <v>9.3182376867489806E-3</v>
      </c>
      <c r="CP64">
        <v>8.9533894893886745E-3</v>
      </c>
      <c r="CQ64">
        <v>8.2787975636615715E-3</v>
      </c>
      <c r="CR64">
        <v>7.6794353945182428E-3</v>
      </c>
      <c r="CS64" s="2"/>
      <c r="CT64" s="2"/>
    </row>
    <row r="65" spans="1:98" x14ac:dyDescent="0.35">
      <c r="A65" s="1" t="str">
        <f>'Population Definitions'!$B$13</f>
        <v>ausb_65+_F</v>
      </c>
      <c r="C65" t="s">
        <v>38</v>
      </c>
      <c r="D65" s="3"/>
      <c r="E65" s="2"/>
      <c r="F65" s="4" t="s">
        <v>36</v>
      </c>
      <c r="G65">
        <v>-5.6218640866482747E-2</v>
      </c>
      <c r="H65">
        <v>-5.2677833010661049E-2</v>
      </c>
      <c r="I65">
        <v>-5.4755059585422095E-2</v>
      </c>
      <c r="J65">
        <v>-5.6561034364801491E-2</v>
      </c>
      <c r="K65">
        <v>-5.1822047578642005E-2</v>
      </c>
      <c r="L65">
        <v>-4.3840151170167298E-2</v>
      </c>
      <c r="M65">
        <v>-4.9648561018935909E-2</v>
      </c>
      <c r="N65">
        <v>-5.0610260343000493E-2</v>
      </c>
      <c r="O65">
        <v>-5.0039367761204961E-2</v>
      </c>
      <c r="P65">
        <v>-5.1830008218790288E-2</v>
      </c>
      <c r="Q65">
        <v>-5.0398091745615936E-2</v>
      </c>
      <c r="R65">
        <v>-5.4692191657087129E-2</v>
      </c>
      <c r="S65">
        <v>-4.5252152297236788E-2</v>
      </c>
      <c r="T65">
        <v>-4.7952133841855565E-2</v>
      </c>
      <c r="U65">
        <v>-4.8511313217645347E-2</v>
      </c>
      <c r="V65">
        <v>-4.7817147353388184E-2</v>
      </c>
      <c r="W65">
        <v>-4.6585440357973025E-2</v>
      </c>
      <c r="X65">
        <v>-4.6449086508537421E-2</v>
      </c>
      <c r="Y65">
        <v>-4.7195260219276711E-2</v>
      </c>
      <c r="Z65">
        <v>-4.6947026968624003E-2</v>
      </c>
      <c r="AA65">
        <v>-4.6214554015966629E-2</v>
      </c>
      <c r="AB65">
        <v>-5.0197366473712278E-2</v>
      </c>
      <c r="AC65">
        <v>-4.9914816949302825E-2</v>
      </c>
      <c r="AD65">
        <v>-4.9146114860887644E-2</v>
      </c>
      <c r="AE65">
        <v>-4.9769376567553529E-2</v>
      </c>
      <c r="AF65">
        <v>-5.0627523836907364E-2</v>
      </c>
      <c r="AG65">
        <v>-4.5596847635621787E-2</v>
      </c>
      <c r="AH65">
        <v>-4.8007334229421682E-2</v>
      </c>
      <c r="AI65">
        <v>-4.1849121375200179E-2</v>
      </c>
      <c r="AJ65">
        <v>-3.770045765399014E-2</v>
      </c>
      <c r="AK65">
        <v>-3.5054110239676306E-2</v>
      </c>
      <c r="AL65">
        <v>-3.1093338513477863E-2</v>
      </c>
      <c r="AM65">
        <v>-3.2618681389544643E-2</v>
      </c>
      <c r="AN65">
        <v>-3.2573314445644631E-2</v>
      </c>
      <c r="AO65">
        <v>-3.1199125040233526E-2</v>
      </c>
      <c r="AP65">
        <v>-2.8836877782919913E-2</v>
      </c>
      <c r="AQ65">
        <v>-3.0196820883047107E-2</v>
      </c>
      <c r="AR65">
        <v>-2.8684556618618282E-2</v>
      </c>
      <c r="AS65">
        <v>-2.7837588516541074E-2</v>
      </c>
      <c r="AT65">
        <v>-1.8264875364486042E-2</v>
      </c>
      <c r="AU65">
        <v>-1.6854087711733055E-2</v>
      </c>
      <c r="AV65">
        <v>-4.4950023363444815E-2</v>
      </c>
      <c r="AW65">
        <v>-3.8102772977395422E-2</v>
      </c>
      <c r="AX65">
        <v>-3.8917961462812956E-2</v>
      </c>
      <c r="AY65">
        <v>-3.6641910279888508E-2</v>
      </c>
      <c r="AZ65">
        <v>-3.4207529369419037E-2</v>
      </c>
      <c r="BA65">
        <v>-3.4589924076399554E-2</v>
      </c>
      <c r="BB65">
        <v>-3.4403099149851006E-2</v>
      </c>
      <c r="BC65">
        <v>-3.595612703921975E-2</v>
      </c>
      <c r="BD65">
        <v>-3.891581671675149E-2</v>
      </c>
      <c r="BE65">
        <v>-4.0640407030074086E-2</v>
      </c>
      <c r="BF65">
        <v>-4.135558363779275E-2</v>
      </c>
      <c r="BG65">
        <v>-4.0203089241592077E-2</v>
      </c>
      <c r="BH65">
        <v>-3.7537741055287455E-2</v>
      </c>
      <c r="BI65">
        <v>-3.7268082258454689E-2</v>
      </c>
      <c r="BJ65">
        <v>-3.1894058993842338E-2</v>
      </c>
      <c r="BK65">
        <v>-3.3259696059790643E-2</v>
      </c>
      <c r="BL65">
        <v>-3.6924262395609822E-2</v>
      </c>
      <c r="BM65">
        <v>-3.9378408809562546E-2</v>
      </c>
      <c r="BN65">
        <v>-4.1369581591375278E-2</v>
      </c>
      <c r="BO65">
        <v>-4.3027333022305228E-2</v>
      </c>
      <c r="BP65">
        <v>-4.3340057051477525E-2</v>
      </c>
      <c r="BQ65">
        <v>-4.3372956412815772E-2</v>
      </c>
      <c r="BR65">
        <v>-4.190317201080844E-2</v>
      </c>
      <c r="BS65">
        <v>-4.0798233259509695E-2</v>
      </c>
      <c r="BT65">
        <v>-3.7388980424739711E-2</v>
      </c>
      <c r="BU65">
        <v>-3.5489007876666791E-2</v>
      </c>
      <c r="BV65">
        <v>-3.2492545389703399E-2</v>
      </c>
      <c r="BW65">
        <v>-3.1671814340306879E-2</v>
      </c>
      <c r="BX65">
        <v>-3.0180787394668094E-2</v>
      </c>
      <c r="BY65">
        <v>-2.9331195096834208E-2</v>
      </c>
      <c r="BZ65">
        <v>-2.8889501205244729E-2</v>
      </c>
      <c r="CA65">
        <v>-2.7751489461621055E-2</v>
      </c>
      <c r="CB65">
        <v>-2.6677866115463071E-2</v>
      </c>
      <c r="CC65">
        <v>-2.485643050345572E-2</v>
      </c>
      <c r="CD65">
        <v>-2.421168006986411E-2</v>
      </c>
      <c r="CE65">
        <v>-2.4944997125604149E-2</v>
      </c>
      <c r="CF65">
        <v>-2.5018203265065347E-2</v>
      </c>
      <c r="CG65">
        <v>-2.5171626499673593E-2</v>
      </c>
      <c r="CH65">
        <v>-2.5097740953471573E-2</v>
      </c>
      <c r="CI65">
        <v>-2.6704400573441159E-2</v>
      </c>
      <c r="CJ65">
        <v>-2.8084854089636197E-2</v>
      </c>
      <c r="CK65">
        <v>-2.9594324139482493E-2</v>
      </c>
      <c r="CL65">
        <v>-2.9564735258829095E-2</v>
      </c>
      <c r="CM65">
        <v>-2.8084994132886062E-2</v>
      </c>
      <c r="CN65">
        <v>-2.8542552966984172E-2</v>
      </c>
      <c r="CO65">
        <v>-2.9900252084355743E-2</v>
      </c>
      <c r="CP65">
        <v>-2.9080274635392877E-2</v>
      </c>
      <c r="CQ65">
        <v>-2.7376702314051236E-2</v>
      </c>
      <c r="CR65">
        <v>-2.5826819942582725E-2</v>
      </c>
      <c r="CS65" s="2"/>
      <c r="CT65" s="2"/>
    </row>
    <row r="66" spans="1:98" x14ac:dyDescent="0.35">
      <c r="A66" s="1" t="str">
        <f>'Population Definitions'!$B$14</f>
        <v>lros_0-14_M</v>
      </c>
      <c r="C66" t="s">
        <v>38</v>
      </c>
      <c r="D66" s="3"/>
      <c r="E66" s="2"/>
      <c r="F66" s="4" t="s">
        <v>36</v>
      </c>
      <c r="G66">
        <v>6.9171292043718108E-2</v>
      </c>
      <c r="H66">
        <v>6.1478588944009593E-2</v>
      </c>
      <c r="I66">
        <v>6.2684012092335983E-2</v>
      </c>
      <c r="J66">
        <v>5.5998080902141138E-2</v>
      </c>
      <c r="K66">
        <v>5.2244911765223036E-2</v>
      </c>
      <c r="L66">
        <v>5.3195241857719636E-2</v>
      </c>
      <c r="M66">
        <v>6.2447597689037973E-2</v>
      </c>
      <c r="N66">
        <v>6.8646383865180072E-2</v>
      </c>
      <c r="O66">
        <v>7.1964075203523936E-2</v>
      </c>
      <c r="P66">
        <v>7.2934876342260813E-2</v>
      </c>
      <c r="Q66">
        <v>7.7090764880459822E-2</v>
      </c>
      <c r="R66">
        <v>9.1071095942762151E-2</v>
      </c>
      <c r="S66">
        <v>5.761174301470786E-2</v>
      </c>
      <c r="T66">
        <v>6.2160717124393888E-2</v>
      </c>
      <c r="U66">
        <v>6.7693297864199337E-2</v>
      </c>
      <c r="V66">
        <v>7.0430238146776167E-2</v>
      </c>
      <c r="W66">
        <v>5.842804673470222E-2</v>
      </c>
      <c r="X66">
        <v>5.808845866937682E-2</v>
      </c>
      <c r="Y66">
        <v>5.4993327466020071E-2</v>
      </c>
      <c r="Z66">
        <v>5.7404094722824067E-2</v>
      </c>
      <c r="AA66">
        <v>6.506071142001929E-2</v>
      </c>
      <c r="AB66">
        <v>6.2633795343301976E-2</v>
      </c>
      <c r="AC66">
        <v>7.0390475838358169E-2</v>
      </c>
      <c r="AD66">
        <v>7.0171648243820689E-2</v>
      </c>
      <c r="AE66">
        <v>7.9378175610911775E-2</v>
      </c>
      <c r="AF66">
        <v>8.6207693024213272E-2</v>
      </c>
      <c r="AG66">
        <v>9.9433274519246481E-2</v>
      </c>
      <c r="AH66">
        <v>0.10974040046183881</v>
      </c>
      <c r="AI66">
        <v>0.10800354109166801</v>
      </c>
      <c r="AJ66">
        <v>8.4498412211478108E-2</v>
      </c>
      <c r="AK66">
        <v>7.811279712739326E-2</v>
      </c>
      <c r="AL66">
        <v>9.9981921673040791E-2</v>
      </c>
      <c r="AM66">
        <v>9.677480960133332E-2</v>
      </c>
      <c r="AN66">
        <v>9.1715300399963492E-2</v>
      </c>
      <c r="AO66">
        <v>9.1162786319379976E-2</v>
      </c>
      <c r="AP66">
        <v>9.3046773913878611E-2</v>
      </c>
      <c r="AQ66">
        <v>9.5267312694768125E-2</v>
      </c>
      <c r="AR66">
        <v>9.8363046992309702E-2</v>
      </c>
      <c r="AS66">
        <v>0.10290258371428729</v>
      </c>
      <c r="AT66">
        <v>9.1486083492573506E-2</v>
      </c>
      <c r="AU66">
        <v>4.763426186570812E-2</v>
      </c>
      <c r="AV66">
        <v>7.6202111880963222E-2</v>
      </c>
      <c r="AW66">
        <v>4.6848023134267967E-2</v>
      </c>
      <c r="AX66">
        <v>4.781007368188963E-2</v>
      </c>
      <c r="AY66">
        <v>3.9265504113138422E-2</v>
      </c>
      <c r="AZ66">
        <v>3.9126411746754117E-2</v>
      </c>
      <c r="BA66">
        <v>3.8952341210260054E-2</v>
      </c>
      <c r="BB66">
        <v>3.8743716359345232E-2</v>
      </c>
      <c r="BC66">
        <v>3.8501158673039972E-2</v>
      </c>
      <c r="BD66">
        <v>3.8222433925212337E-2</v>
      </c>
      <c r="BE66">
        <v>3.7775695508131861E-2</v>
      </c>
      <c r="BF66">
        <v>3.7417682798566748E-2</v>
      </c>
      <c r="BG66">
        <v>3.6883583874175077E-2</v>
      </c>
      <c r="BH66">
        <v>3.802624567761171E-2</v>
      </c>
      <c r="BI66">
        <v>3.9158116603815629E-2</v>
      </c>
      <c r="BJ66">
        <v>4.0276704517710225E-2</v>
      </c>
      <c r="BK66">
        <v>4.1379605717853936E-2</v>
      </c>
      <c r="BL66">
        <v>4.246451279252289E-2</v>
      </c>
      <c r="BM66">
        <v>4.3529409184164744E-2</v>
      </c>
      <c r="BN66">
        <v>4.457232681896911E-2</v>
      </c>
      <c r="BO66">
        <v>4.5591510768868963E-2</v>
      </c>
      <c r="BP66">
        <v>4.6585394134244243E-2</v>
      </c>
      <c r="BQ66">
        <v>4.7552631236572628E-2</v>
      </c>
      <c r="BR66">
        <v>4.8492010004953158E-2</v>
      </c>
      <c r="BS66">
        <v>4.9402514455322497E-2</v>
      </c>
      <c r="BT66">
        <v>5.0283414706414772E-2</v>
      </c>
      <c r="BU66">
        <v>5.1134106998715137E-2</v>
      </c>
      <c r="BV66">
        <v>5.1954135702890918E-2</v>
      </c>
      <c r="BW66">
        <v>5.2743251676298925E-2</v>
      </c>
      <c r="BX66">
        <v>5.3501403065236278E-2</v>
      </c>
      <c r="BY66">
        <v>5.4228655261885979E-2</v>
      </c>
      <c r="BZ66">
        <v>5.4925212646790261E-2</v>
      </c>
      <c r="CA66">
        <v>5.559137023331015E-2</v>
      </c>
      <c r="CB66">
        <v>5.6227576045693159E-2</v>
      </c>
      <c r="CC66">
        <v>5.6834407957953033E-2</v>
      </c>
      <c r="CD66">
        <v>5.7412496206886092E-2</v>
      </c>
      <c r="CE66">
        <v>5.7962544284573314E-2</v>
      </c>
      <c r="CF66">
        <v>5.8485279968645609E-2</v>
      </c>
      <c r="CG66">
        <v>5.8981557840338476E-2</v>
      </c>
      <c r="CH66">
        <v>5.9452233104617717E-2</v>
      </c>
      <c r="CI66">
        <v>5.9898191791648112E-2</v>
      </c>
      <c r="CJ66">
        <v>6.0320375503744632E-2</v>
      </c>
      <c r="CK66">
        <v>6.0719598033689225E-2</v>
      </c>
      <c r="CL66">
        <v>6.109686302435665E-2</v>
      </c>
      <c r="CM66">
        <v>6.1453059204350173E-2</v>
      </c>
      <c r="CN66">
        <v>6.1789150138559519E-2</v>
      </c>
      <c r="CO66">
        <v>6.2106047702611356E-2</v>
      </c>
      <c r="CP66">
        <v>6.2404649603980351E-2</v>
      </c>
      <c r="CQ66">
        <v>6.268586996074843E-2</v>
      </c>
      <c r="CR66">
        <v>6.2950455976764963E-2</v>
      </c>
      <c r="CS66" s="2"/>
      <c r="CT66" s="2"/>
    </row>
    <row r="67" spans="1:98" x14ac:dyDescent="0.35">
      <c r="A67" s="1" t="str">
        <f>'Population Definitions'!$B$15</f>
        <v>lros_15-64_M</v>
      </c>
      <c r="C67" t="s">
        <v>38</v>
      </c>
      <c r="D67" s="3"/>
      <c r="E67" s="2"/>
      <c r="F67" s="4" t="s">
        <v>36</v>
      </c>
      <c r="G67">
        <v>1.9654968007244363E-2</v>
      </c>
      <c r="H67">
        <v>1.3215739984911719E-2</v>
      </c>
      <c r="I67">
        <v>1.4441377577297399E-2</v>
      </c>
      <c r="J67">
        <v>1.3577931232547004E-2</v>
      </c>
      <c r="K67">
        <v>9.6284439379670204E-3</v>
      </c>
      <c r="L67">
        <v>1.706900357088208E-2</v>
      </c>
      <c r="M67">
        <v>2.2436193334519888E-2</v>
      </c>
      <c r="N67">
        <v>2.2767659992439526E-2</v>
      </c>
      <c r="O67">
        <v>2.2064343653464279E-2</v>
      </c>
      <c r="P67">
        <v>1.8878333484064914E-2</v>
      </c>
      <c r="Q67">
        <v>1.8291699254580629E-2</v>
      </c>
      <c r="R67">
        <v>3.3068713524949417E-2</v>
      </c>
      <c r="S67">
        <v>-5.2515448122831491E-4</v>
      </c>
      <c r="T67">
        <v>5.0676287045679875E-3</v>
      </c>
      <c r="U67">
        <v>1.1686159989478102E-2</v>
      </c>
      <c r="V67">
        <v>1.7284369938532166E-2</v>
      </c>
      <c r="W67">
        <v>5.0357801740959843E-3</v>
      </c>
      <c r="X67">
        <v>6.250168475798604E-3</v>
      </c>
      <c r="Y67">
        <v>2.8289560122121173E-3</v>
      </c>
      <c r="Z67">
        <v>6.1930796936004399E-3</v>
      </c>
      <c r="AA67">
        <v>1.3956948154653214E-2</v>
      </c>
      <c r="AB67">
        <v>1.5673846400956336E-2</v>
      </c>
      <c r="AC67">
        <v>2.3035316735733335E-2</v>
      </c>
      <c r="AD67">
        <v>2.2470065033230253E-2</v>
      </c>
      <c r="AE67">
        <v>3.2225938058337601E-2</v>
      </c>
      <c r="AF67">
        <v>3.8806098064352514E-2</v>
      </c>
      <c r="AG67">
        <v>4.9715651705175737E-2</v>
      </c>
      <c r="AH67">
        <v>6.0579799889402555E-2</v>
      </c>
      <c r="AI67">
        <v>5.7910725613955161E-2</v>
      </c>
      <c r="AJ67">
        <v>3.0205552065258618E-2</v>
      </c>
      <c r="AK67">
        <v>2.2699793531039247E-2</v>
      </c>
      <c r="AL67">
        <v>3.6845465940790884E-2</v>
      </c>
      <c r="AM67">
        <v>3.2794773007360903E-2</v>
      </c>
      <c r="AN67">
        <v>2.7875639945490128E-2</v>
      </c>
      <c r="AO67">
        <v>2.7520036277618832E-2</v>
      </c>
      <c r="AP67">
        <v>2.7493815085794165E-2</v>
      </c>
      <c r="AQ67">
        <v>3.4992623104219404E-2</v>
      </c>
      <c r="AR67">
        <v>4.0085011826002312E-2</v>
      </c>
      <c r="AS67">
        <v>4.6521950159167415E-2</v>
      </c>
      <c r="AT67">
        <v>3.4421021018717288E-2</v>
      </c>
      <c r="AU67">
        <v>-1.4576463942004115E-2</v>
      </c>
      <c r="AV67">
        <v>2.6506818835304164E-2</v>
      </c>
      <c r="AW67">
        <v>5.8425560881431825E-2</v>
      </c>
      <c r="AX67">
        <v>5.5630225990844065E-2</v>
      </c>
      <c r="AY67">
        <v>4.3701984660551946E-2</v>
      </c>
      <c r="AZ67">
        <v>4.1106568871888294E-2</v>
      </c>
      <c r="BA67">
        <v>3.8768272570392448E-2</v>
      </c>
      <c r="BB67">
        <v>3.6641077716280127E-2</v>
      </c>
      <c r="BC67">
        <v>3.4696577965916547E-2</v>
      </c>
      <c r="BD67">
        <v>3.290530991901057E-2</v>
      </c>
      <c r="BE67">
        <v>3.1149382310840766E-2</v>
      </c>
      <c r="BF67">
        <v>2.9609488535989898E-2</v>
      </c>
      <c r="BG67">
        <v>2.8074545010965166E-2</v>
      </c>
      <c r="BH67">
        <v>2.7736556940076498E-2</v>
      </c>
      <c r="BI67">
        <v>2.74240265877339E-2</v>
      </c>
      <c r="BJ67">
        <v>2.7134434763870629E-2</v>
      </c>
      <c r="BK67">
        <v>2.6865621118846782E-2</v>
      </c>
      <c r="BL67">
        <v>2.6615496079788543E-2</v>
      </c>
      <c r="BM67">
        <v>2.6382420022931983E-2</v>
      </c>
      <c r="BN67">
        <v>2.6165044014571506E-2</v>
      </c>
      <c r="BO67">
        <v>2.5962063787401294E-2</v>
      </c>
      <c r="BP67">
        <v>2.5772350925147746E-2</v>
      </c>
      <c r="BQ67">
        <v>2.5594855396958244E-2</v>
      </c>
      <c r="BR67">
        <v>2.5428626250753258E-2</v>
      </c>
      <c r="BS67">
        <v>2.5272790482003593E-2</v>
      </c>
      <c r="BT67">
        <v>2.5126571948819464E-2</v>
      </c>
      <c r="BU67">
        <v>2.4989176528111109E-2</v>
      </c>
      <c r="BV67">
        <v>2.4859831665902138E-2</v>
      </c>
      <c r="BW67">
        <v>2.4737917460814898E-2</v>
      </c>
      <c r="BX67">
        <v>2.4622813888705988E-2</v>
      </c>
      <c r="BY67">
        <v>2.451401566856426E-2</v>
      </c>
      <c r="BZ67">
        <v>2.441108452926968E-2</v>
      </c>
      <c r="CA67">
        <v>2.4313583592847354E-2</v>
      </c>
      <c r="CB67">
        <v>2.4221125715785333E-2</v>
      </c>
      <c r="CC67">
        <v>2.4133396992185811E-2</v>
      </c>
      <c r="CD67">
        <v>2.4050055837795774E-2</v>
      </c>
      <c r="CE67">
        <v>2.3970759054578801E-2</v>
      </c>
      <c r="CF67">
        <v>2.3895246287119802E-2</v>
      </c>
      <c r="CG67">
        <v>2.3823352938044211E-2</v>
      </c>
      <c r="CH67">
        <v>2.3754824785883307E-2</v>
      </c>
      <c r="CI67">
        <v>2.3689422918274829E-2</v>
      </c>
      <c r="CJ67">
        <v>2.3626958410117447E-2</v>
      </c>
      <c r="CK67">
        <v>2.3567318420577955E-2</v>
      </c>
      <c r="CL67">
        <v>2.351035656268205E-2</v>
      </c>
      <c r="CM67">
        <v>2.3455968970145308E-2</v>
      </c>
      <c r="CN67">
        <v>2.340400704268919E-2</v>
      </c>
      <c r="CO67">
        <v>2.3354253515593011E-2</v>
      </c>
      <c r="CP67">
        <v>2.3306610117163295E-2</v>
      </c>
      <c r="CQ67">
        <v>2.3261006974310206E-2</v>
      </c>
      <c r="CR67">
        <v>2.3217327914177403E-2</v>
      </c>
      <c r="CS67" s="2"/>
      <c r="CT67" s="2"/>
    </row>
    <row r="68" spans="1:98" x14ac:dyDescent="0.35">
      <c r="A68" s="1" t="str">
        <f>'Population Definitions'!$B$16</f>
        <v>lros_65+_M</v>
      </c>
      <c r="C68" t="s">
        <v>38</v>
      </c>
      <c r="D68" s="3"/>
      <c r="E68" s="2"/>
      <c r="F68" s="4" t="s">
        <v>36</v>
      </c>
      <c r="G68">
        <v>-0.11076414262776993</v>
      </c>
      <c r="H68">
        <v>-0.11916032820506854</v>
      </c>
      <c r="I68">
        <v>-0.11759732763296597</v>
      </c>
      <c r="J68">
        <v>-0.11950768056395496</v>
      </c>
      <c r="K68">
        <v>-0.11642171648883787</v>
      </c>
      <c r="L68">
        <v>-9.6762791313053001E-2</v>
      </c>
      <c r="M68">
        <v>-9.3473807961360206E-2</v>
      </c>
      <c r="N68">
        <v>-9.5926594644007518E-2</v>
      </c>
      <c r="O68">
        <v>-9.1822390187549202E-2</v>
      </c>
      <c r="P68">
        <v>-9.3991026286537924E-2</v>
      </c>
      <c r="Q68">
        <v>-8.5696816684390081E-2</v>
      </c>
      <c r="R68">
        <v>-7.1119374754995773E-2</v>
      </c>
      <c r="S68">
        <v>-9.9696601260644349E-2</v>
      </c>
      <c r="T68">
        <v>-9.5910895226862553E-2</v>
      </c>
      <c r="U68">
        <v>-8.948678755935334E-2</v>
      </c>
      <c r="V68">
        <v>-8.3404098305875876E-2</v>
      </c>
      <c r="W68">
        <v>-9.3520975319005814E-2</v>
      </c>
      <c r="X68">
        <v>-9.3824676118509295E-2</v>
      </c>
      <c r="Y68">
        <v>-9.7417183270498794E-2</v>
      </c>
      <c r="Z68">
        <v>-9.5419410658762069E-2</v>
      </c>
      <c r="AA68">
        <v>-8.1534172882537212E-2</v>
      </c>
      <c r="AB68">
        <v>-8.3352298012550466E-2</v>
      </c>
      <c r="AC68">
        <v>-7.4666605003109732E-2</v>
      </c>
      <c r="AD68">
        <v>-7.4236899946110407E-2</v>
      </c>
      <c r="AE68">
        <v>-6.299516775005809E-2</v>
      </c>
      <c r="AF68">
        <v>-5.946745792767974E-2</v>
      </c>
      <c r="AG68">
        <v>-4.385948638832364E-2</v>
      </c>
      <c r="AH68">
        <v>-3.7141313458155495E-2</v>
      </c>
      <c r="AI68">
        <v>-3.1649232838033309E-2</v>
      </c>
      <c r="AJ68">
        <v>-4.8728197088354255E-2</v>
      </c>
      <c r="AK68">
        <v>-5.0060925275516754E-2</v>
      </c>
      <c r="AL68">
        <v>-2.7267024323815017E-2</v>
      </c>
      <c r="AM68">
        <v>-3.4148573482582802E-2</v>
      </c>
      <c r="AN68">
        <v>-3.7020088932812792E-2</v>
      </c>
      <c r="AO68">
        <v>-3.5635529281506179E-2</v>
      </c>
      <c r="AP68">
        <v>-3.328358618675753E-2</v>
      </c>
      <c r="AQ68">
        <v>-2.9847168235066675E-2</v>
      </c>
      <c r="AR68">
        <v>-2.2417239265166266E-2</v>
      </c>
      <c r="AS68">
        <v>-1.5931649072265224E-2</v>
      </c>
      <c r="AT68">
        <v>-1.3160000602277433E-2</v>
      </c>
      <c r="AU68">
        <v>-5.8189453687540159E-2</v>
      </c>
      <c r="AV68">
        <v>-3.1727438210175901E-2</v>
      </c>
      <c r="AW68">
        <v>1.8516489257921188E-2</v>
      </c>
      <c r="AX68">
        <v>1.7101190843586616E-2</v>
      </c>
      <c r="AY68">
        <v>1.2839362195162581E-2</v>
      </c>
      <c r="AZ68">
        <v>1.1617140142251698E-2</v>
      </c>
      <c r="BA68">
        <v>1.054429095861968E-2</v>
      </c>
      <c r="BB68">
        <v>9.5961855298522421E-3</v>
      </c>
      <c r="BC68">
        <v>8.7553247195289643E-3</v>
      </c>
      <c r="BD68">
        <v>8.0078866267837955E-3</v>
      </c>
      <c r="BE68">
        <v>7.3177670814367985E-3</v>
      </c>
      <c r="BF68">
        <v>6.7190927996040577E-3</v>
      </c>
      <c r="BG68">
        <v>6.1559203091380585E-3</v>
      </c>
      <c r="BH68">
        <v>5.90577271693232E-3</v>
      </c>
      <c r="BI68">
        <v>5.6805109093145366E-3</v>
      </c>
      <c r="BJ68">
        <v>5.4768594801645415E-3</v>
      </c>
      <c r="BK68">
        <v>5.292073716340732E-3</v>
      </c>
      <c r="BL68">
        <v>5.1234425015403273E-3</v>
      </c>
      <c r="BM68">
        <v>4.9695729415003441E-3</v>
      </c>
      <c r="BN68">
        <v>4.8289967148961903E-3</v>
      </c>
      <c r="BO68">
        <v>4.7003299341638405E-3</v>
      </c>
      <c r="BP68">
        <v>4.5823886438883903E-3</v>
      </c>
      <c r="BQ68">
        <v>4.4740758014061221E-3</v>
      </c>
      <c r="BR68">
        <v>4.3744458372501696E-3</v>
      </c>
      <c r="BS68">
        <v>4.2825915989456731E-3</v>
      </c>
      <c r="BT68">
        <v>4.1975879069291264E-3</v>
      </c>
      <c r="BU68">
        <v>4.1186669380635851E-3</v>
      </c>
      <c r="BV68">
        <v>4.0449868719736985E-3</v>
      </c>
      <c r="BW68">
        <v>3.9759025624569412E-3</v>
      </c>
      <c r="BX68">
        <v>3.9108384138133792E-3</v>
      </c>
      <c r="BY68">
        <v>3.8494517761781693E-3</v>
      </c>
      <c r="BZ68">
        <v>3.7913901755496056E-3</v>
      </c>
      <c r="CA68">
        <v>3.7363307130962829E-3</v>
      </c>
      <c r="CB68">
        <v>3.6840399273245163E-3</v>
      </c>
      <c r="CC68">
        <v>3.6342788983277693E-3</v>
      </c>
      <c r="CD68">
        <v>3.586773038927531E-3</v>
      </c>
      <c r="CE68">
        <v>3.5412649972448749E-3</v>
      </c>
      <c r="CF68">
        <v>3.4976161144328012E-3</v>
      </c>
      <c r="CG68">
        <v>3.4557964068124771E-3</v>
      </c>
      <c r="CH68">
        <v>3.4156976439686224E-3</v>
      </c>
      <c r="CI68">
        <v>3.3772126956555524E-3</v>
      </c>
      <c r="CJ68">
        <v>3.3402144409442106E-3</v>
      </c>
      <c r="CK68">
        <v>3.3047808678286872E-3</v>
      </c>
      <c r="CL68">
        <v>3.2709414321565977E-3</v>
      </c>
      <c r="CM68">
        <v>3.2386874211527638E-3</v>
      </c>
      <c r="CN68">
        <v>3.20789504792673E-3</v>
      </c>
      <c r="CO68">
        <v>3.1784010539496789E-3</v>
      </c>
      <c r="CP68">
        <v>3.1501856734325396E-3</v>
      </c>
      <c r="CQ68">
        <v>3.123349394475795E-3</v>
      </c>
      <c r="CR68">
        <v>3.097833009708376E-3</v>
      </c>
      <c r="CS68" s="2"/>
      <c r="CT68" s="2"/>
    </row>
    <row r="69" spans="1:98" x14ac:dyDescent="0.35">
      <c r="A69" s="1" t="str">
        <f>'Population Definitions'!$B$17</f>
        <v>lros_0-14_F</v>
      </c>
      <c r="C69" t="s">
        <v>38</v>
      </c>
      <c r="D69" s="3"/>
      <c r="E69" s="2"/>
      <c r="F69" s="4" t="s">
        <v>36</v>
      </c>
      <c r="G69">
        <v>6.9475379115381847E-2</v>
      </c>
      <c r="H69">
        <v>5.9983353435813409E-2</v>
      </c>
      <c r="I69">
        <v>6.0763781106108923E-2</v>
      </c>
      <c r="J69">
        <v>5.5237153007900192E-2</v>
      </c>
      <c r="K69">
        <v>5.1753939293268526E-2</v>
      </c>
      <c r="L69">
        <v>5.1273121877801441E-2</v>
      </c>
      <c r="M69">
        <v>6.1518468240688524E-2</v>
      </c>
      <c r="N69">
        <v>6.7845508697523663E-2</v>
      </c>
      <c r="O69">
        <v>7.1662085317541022E-2</v>
      </c>
      <c r="P69">
        <v>7.1925460545592429E-2</v>
      </c>
      <c r="Q69">
        <v>7.5985316619861035E-2</v>
      </c>
      <c r="R69">
        <v>9.1826981232427191E-2</v>
      </c>
      <c r="S69">
        <v>5.8050064099357923E-2</v>
      </c>
      <c r="T69">
        <v>6.2473955631389806E-2</v>
      </c>
      <c r="U69">
        <v>6.8160819390720953E-2</v>
      </c>
      <c r="V69">
        <v>7.0525601881146455E-2</v>
      </c>
      <c r="W69">
        <v>5.8563747464324467E-2</v>
      </c>
      <c r="X69">
        <v>5.7973308163702789E-2</v>
      </c>
      <c r="Y69">
        <v>5.4993548822627948E-2</v>
      </c>
      <c r="Z69">
        <v>5.6904805592748117E-2</v>
      </c>
      <c r="AA69">
        <v>6.4604292185694426E-2</v>
      </c>
      <c r="AB69">
        <v>6.2127768278752611E-2</v>
      </c>
      <c r="AC69">
        <v>6.9525947236032587E-2</v>
      </c>
      <c r="AD69">
        <v>6.9500102151335022E-2</v>
      </c>
      <c r="AE69">
        <v>7.8860145872096332E-2</v>
      </c>
      <c r="AF69">
        <v>8.6656708438141272E-2</v>
      </c>
      <c r="AG69">
        <v>9.9491931939064013E-2</v>
      </c>
      <c r="AH69">
        <v>0.10961352230010275</v>
      </c>
      <c r="AI69">
        <v>0.10791100321607182</v>
      </c>
      <c r="AJ69">
        <v>8.4593556439049866E-2</v>
      </c>
      <c r="AK69">
        <v>7.7887300341536778E-2</v>
      </c>
      <c r="AL69">
        <v>9.9437610285891653E-2</v>
      </c>
      <c r="AM69">
        <v>9.6366641070303016E-2</v>
      </c>
      <c r="AN69">
        <v>9.1743817994121957E-2</v>
      </c>
      <c r="AO69">
        <v>9.0728640615181391E-2</v>
      </c>
      <c r="AP69">
        <v>9.3412533513134041E-2</v>
      </c>
      <c r="AQ69">
        <v>9.3577915935907141E-2</v>
      </c>
      <c r="AR69">
        <v>9.6831223254645854E-2</v>
      </c>
      <c r="AS69">
        <v>0.10242584835722815</v>
      </c>
      <c r="AT69">
        <v>9.1350243180137777E-2</v>
      </c>
      <c r="AU69">
        <v>4.727607904089505E-2</v>
      </c>
      <c r="AV69">
        <v>7.7643854591450817E-2</v>
      </c>
      <c r="AW69">
        <v>4.8439116749437301E-2</v>
      </c>
      <c r="AX69">
        <v>4.935152749927102E-2</v>
      </c>
      <c r="AY69">
        <v>4.0461480241482876E-2</v>
      </c>
      <c r="AZ69">
        <v>4.0263317330515247E-2</v>
      </c>
      <c r="BA69">
        <v>4.0031733111253971E-2</v>
      </c>
      <c r="BB69">
        <v>3.9772102966582061E-2</v>
      </c>
      <c r="BC69">
        <v>3.9479656871625517E-2</v>
      </c>
      <c r="BD69">
        <v>3.9149248412813094E-2</v>
      </c>
      <c r="BE69">
        <v>3.8651152922606263E-2</v>
      </c>
      <c r="BF69">
        <v>3.8251133262324037E-2</v>
      </c>
      <c r="BG69">
        <v>3.7666543249815748E-2</v>
      </c>
      <c r="BH69">
        <v>3.8800640210333484E-2</v>
      </c>
      <c r="BI69">
        <v>3.9922180931257364E-2</v>
      </c>
      <c r="BJ69">
        <v>4.1028808106332304E-2</v>
      </c>
      <c r="BK69">
        <v>4.2118150004818881E-2</v>
      </c>
      <c r="BL69">
        <v>4.3188116273019612E-2</v>
      </c>
      <c r="BM69">
        <v>4.423673685895247E-2</v>
      </c>
      <c r="BN69">
        <v>4.5262198832171738E-2</v>
      </c>
      <c r="BO69">
        <v>4.6262912698285343E-2</v>
      </c>
      <c r="BP69">
        <v>4.7237393063994153E-2</v>
      </c>
      <c r="BQ69">
        <v>4.818446268108674E-2</v>
      </c>
      <c r="BR69">
        <v>4.9103020234036517E-2</v>
      </c>
      <c r="BS69">
        <v>4.9992246487454435E-2</v>
      </c>
      <c r="BT69">
        <v>5.0851481342143456E-2</v>
      </c>
      <c r="BU69">
        <v>5.1680247643518029E-2</v>
      </c>
      <c r="BV69">
        <v>5.2478242459516586E-2</v>
      </c>
      <c r="BW69">
        <v>5.3245328725539866E-2</v>
      </c>
      <c r="BX69">
        <v>5.3981523916797954E-2</v>
      </c>
      <c r="BY69">
        <v>5.4686955140853963E-2</v>
      </c>
      <c r="BZ69">
        <v>5.5361946870641658E-2</v>
      </c>
      <c r="CA69">
        <v>5.6006906400543559E-2</v>
      </c>
      <c r="CB69">
        <v>5.6622312978460723E-2</v>
      </c>
      <c r="CC69">
        <v>5.7208803209770225E-2</v>
      </c>
      <c r="CD69">
        <v>5.7767057789416362E-2</v>
      </c>
      <c r="CE69">
        <v>5.8297790195500118E-2</v>
      </c>
      <c r="CF69">
        <v>5.8801833771277345E-2</v>
      </c>
      <c r="CG69">
        <v>5.9280031294013852E-2</v>
      </c>
      <c r="CH69">
        <v>5.9733258575305988E-2</v>
      </c>
      <c r="CI69">
        <v>6.0162416035707961E-2</v>
      </c>
      <c r="CJ69">
        <v>6.0568420587578775E-2</v>
      </c>
      <c r="CK69">
        <v>6.0952197254740971E-2</v>
      </c>
      <c r="CL69">
        <v>6.1314637542082613E-2</v>
      </c>
      <c r="CM69">
        <v>6.1656666086489127E-2</v>
      </c>
      <c r="CN69">
        <v>6.1979269820552928E-2</v>
      </c>
      <c r="CO69">
        <v>6.2283314935910716E-2</v>
      </c>
      <c r="CP69">
        <v>6.2569612596765994E-2</v>
      </c>
      <c r="CQ69">
        <v>6.283910452778535E-2</v>
      </c>
      <c r="CR69">
        <v>6.3092632171129454E-2</v>
      </c>
      <c r="CS69" s="2"/>
      <c r="CT69" s="2"/>
    </row>
    <row r="70" spans="1:98" x14ac:dyDescent="0.35">
      <c r="A70" s="1" t="str">
        <f>'Population Definitions'!$B$18</f>
        <v>lros_15-64_F</v>
      </c>
      <c r="C70" t="s">
        <v>38</v>
      </c>
      <c r="D70" s="3"/>
      <c r="E70" s="2"/>
      <c r="F70" s="4" t="s">
        <v>36</v>
      </c>
      <c r="G70">
        <v>1.843455401416013E-2</v>
      </c>
      <c r="H70">
        <v>1.0168144023625217E-2</v>
      </c>
      <c r="I70">
        <v>1.197170336232015E-2</v>
      </c>
      <c r="J70">
        <v>1.182486518962622E-2</v>
      </c>
      <c r="K70">
        <v>7.7733443579115881E-3</v>
      </c>
      <c r="L70">
        <v>1.4748011479181523E-2</v>
      </c>
      <c r="M70">
        <v>2.3060445404142191E-2</v>
      </c>
      <c r="N70">
        <v>2.2750027246790486E-2</v>
      </c>
      <c r="O70">
        <v>2.1955566408125151E-2</v>
      </c>
      <c r="P70">
        <v>1.8895901289792596E-2</v>
      </c>
      <c r="Q70">
        <v>1.9573420030178493E-2</v>
      </c>
      <c r="R70">
        <v>3.3715712110592107E-2</v>
      </c>
      <c r="S70">
        <v>-5.2239202384047528E-5</v>
      </c>
      <c r="T70">
        <v>5.5797170278014327E-3</v>
      </c>
      <c r="U70">
        <v>1.2130953146393021E-2</v>
      </c>
      <c r="V70">
        <v>1.8447371186275513E-2</v>
      </c>
      <c r="W70">
        <v>7.3860496543307055E-3</v>
      </c>
      <c r="X70">
        <v>7.7517264736941243E-3</v>
      </c>
      <c r="Y70">
        <v>4.4289021820270447E-3</v>
      </c>
      <c r="Z70">
        <v>7.6363009551183936E-3</v>
      </c>
      <c r="AA70">
        <v>1.575060487282099E-2</v>
      </c>
      <c r="AB70">
        <v>1.5141309874126836E-2</v>
      </c>
      <c r="AC70">
        <v>2.3826761162196446E-2</v>
      </c>
      <c r="AD70">
        <v>2.2295016151631684E-2</v>
      </c>
      <c r="AE70">
        <v>3.234924739282314E-2</v>
      </c>
      <c r="AF70">
        <v>3.8453316314904153E-2</v>
      </c>
      <c r="AG70">
        <v>4.8540711385542931E-2</v>
      </c>
      <c r="AH70">
        <v>5.893005275087982E-2</v>
      </c>
      <c r="AI70">
        <v>5.6317112255323112E-2</v>
      </c>
      <c r="AJ70">
        <v>3.1531057147693248E-2</v>
      </c>
      <c r="AK70">
        <v>2.4443850454593807E-2</v>
      </c>
      <c r="AL70">
        <v>3.8267782393386233E-2</v>
      </c>
      <c r="AM70">
        <v>3.4888971813779597E-2</v>
      </c>
      <c r="AN70">
        <v>3.1813511412911319E-2</v>
      </c>
      <c r="AO70">
        <v>3.0921463365365782E-2</v>
      </c>
      <c r="AP70">
        <v>3.0903254147625851E-2</v>
      </c>
      <c r="AQ70">
        <v>3.5530907693918062E-2</v>
      </c>
      <c r="AR70">
        <v>3.9918752280453315E-2</v>
      </c>
      <c r="AS70">
        <v>4.5684661295772311E-2</v>
      </c>
      <c r="AT70">
        <v>3.4980298197476133E-2</v>
      </c>
      <c r="AU70">
        <v>-1.5725013756165522E-2</v>
      </c>
      <c r="AV70">
        <v>2.6043954262043836E-2</v>
      </c>
      <c r="AW70">
        <v>6.311031311722809E-2</v>
      </c>
      <c r="AX70">
        <v>5.97737829929125E-2</v>
      </c>
      <c r="AY70">
        <v>4.6554586834426467E-2</v>
      </c>
      <c r="AZ70">
        <v>4.3651121075557707E-2</v>
      </c>
      <c r="BA70">
        <v>4.1042285136211276E-2</v>
      </c>
      <c r="BB70">
        <v>3.868168232041453E-2</v>
      </c>
      <c r="BC70">
        <v>3.6528964985369644E-2</v>
      </c>
      <c r="BD70">
        <v>3.4555024027611035E-2</v>
      </c>
      <c r="BE70">
        <v>3.2629269916916684E-2</v>
      </c>
      <c r="BF70">
        <v>3.0941426686198623E-2</v>
      </c>
      <c r="BG70">
        <v>2.9265944106246562E-2</v>
      </c>
      <c r="BH70">
        <v>2.8880634669401561E-2</v>
      </c>
      <c r="BI70">
        <v>2.8523257226104548E-2</v>
      </c>
      <c r="BJ70">
        <v>2.8191121545155153E-2</v>
      </c>
      <c r="BK70">
        <v>2.7881813588522732E-2</v>
      </c>
      <c r="BL70">
        <v>2.7593230191736626E-2</v>
      </c>
      <c r="BM70">
        <v>2.7323451694145476E-2</v>
      </c>
      <c r="BN70">
        <v>2.7070874750240816E-2</v>
      </c>
      <c r="BO70">
        <v>2.6834152159079531E-2</v>
      </c>
      <c r="BP70">
        <v>2.6611995178779033E-2</v>
      </c>
      <c r="BQ70">
        <v>2.6403283847090418E-2</v>
      </c>
      <c r="BR70">
        <v>2.6207009989153797E-2</v>
      </c>
      <c r="BS70">
        <v>2.6022217276367336E-2</v>
      </c>
      <c r="BT70">
        <v>2.58480588747361E-2</v>
      </c>
      <c r="BU70">
        <v>2.5683710835598655E-2</v>
      </c>
      <c r="BV70">
        <v>2.5528454628416419E-2</v>
      </c>
      <c r="BW70">
        <v>2.5381565267836342E-2</v>
      </c>
      <c r="BX70">
        <v>2.524246301583841E-2</v>
      </c>
      <c r="BY70">
        <v>2.5110531291121521E-2</v>
      </c>
      <c r="BZ70">
        <v>2.4985292892255262E-2</v>
      </c>
      <c r="CA70">
        <v>2.4866275969606461E-2</v>
      </c>
      <c r="CB70">
        <v>2.4753056994616308E-2</v>
      </c>
      <c r="CC70">
        <v>2.4645265792880261E-2</v>
      </c>
      <c r="CD70">
        <v>2.4542548716232331E-2</v>
      </c>
      <c r="CE70">
        <v>2.4444541542338868E-2</v>
      </c>
      <c r="CF70">
        <v>2.4350945595982325E-2</v>
      </c>
      <c r="CG70">
        <v>2.4261469175013504E-2</v>
      </c>
      <c r="CH70">
        <v>2.4175899106732564E-2</v>
      </c>
      <c r="CI70">
        <v>2.409400122986181E-2</v>
      </c>
      <c r="CJ70">
        <v>2.4015579664089376E-2</v>
      </c>
      <c r="CK70">
        <v>2.3940418322613507E-2</v>
      </c>
      <c r="CL70">
        <v>2.3868379111449952E-2</v>
      </c>
      <c r="CM70">
        <v>2.3799307392103394E-2</v>
      </c>
      <c r="CN70">
        <v>2.373308285893768E-2</v>
      </c>
      <c r="CO70">
        <v>2.3669562973347789E-2</v>
      </c>
      <c r="CP70">
        <v>2.3608593176171477E-2</v>
      </c>
      <c r="CQ70">
        <v>2.3550022410889843E-2</v>
      </c>
      <c r="CR70">
        <v>2.3493760970538475E-2</v>
      </c>
      <c r="CS70" s="2"/>
      <c r="CT70" s="2"/>
    </row>
    <row r="71" spans="1:98" x14ac:dyDescent="0.35">
      <c r="A71" s="1" t="str">
        <f>'Population Definitions'!$B$19</f>
        <v>lros_65+_F</v>
      </c>
      <c r="C71" t="s">
        <v>38</v>
      </c>
      <c r="D71" s="3"/>
      <c r="E71" s="2"/>
      <c r="F71" s="4" t="s">
        <v>36</v>
      </c>
      <c r="G71">
        <v>-6.9449436215732546E-2</v>
      </c>
      <c r="H71">
        <v>-7.787666295663466E-2</v>
      </c>
      <c r="I71">
        <v>-7.435427409794225E-2</v>
      </c>
      <c r="J71">
        <v>-7.6869799431131688E-2</v>
      </c>
      <c r="K71">
        <v>-7.7342202106473565E-2</v>
      </c>
      <c r="L71">
        <v>-6.1253960433120098E-2</v>
      </c>
      <c r="M71">
        <v>-5.9793066144192317E-2</v>
      </c>
      <c r="N71">
        <v>-6.1691258656246792E-2</v>
      </c>
      <c r="O71">
        <v>-6.1642105837683682E-2</v>
      </c>
      <c r="P71">
        <v>-6.4618834358820904E-2</v>
      </c>
      <c r="Q71">
        <v>-5.7572253357337781E-2</v>
      </c>
      <c r="R71">
        <v>-4.4634644596421566E-2</v>
      </c>
      <c r="S71">
        <v>-7.368008573418923E-2</v>
      </c>
      <c r="T71">
        <v>-7.1450000508876801E-2</v>
      </c>
      <c r="U71">
        <v>-6.6529147256360957E-2</v>
      </c>
      <c r="V71">
        <v>-6.0114075139322661E-2</v>
      </c>
      <c r="W71">
        <v>-7.2007011915129066E-2</v>
      </c>
      <c r="X71">
        <v>-7.197863808373918E-2</v>
      </c>
      <c r="Y71">
        <v>-7.7362783000513941E-2</v>
      </c>
      <c r="Z71">
        <v>-7.4673983657274415E-2</v>
      </c>
      <c r="AA71">
        <v>-6.4134194723558732E-2</v>
      </c>
      <c r="AB71">
        <v>-6.7095373856283641E-2</v>
      </c>
      <c r="AC71">
        <v>-5.8007417467911923E-2</v>
      </c>
      <c r="AD71">
        <v>-5.8493383578889148E-2</v>
      </c>
      <c r="AE71">
        <v>-4.8576390475695924E-2</v>
      </c>
      <c r="AF71">
        <v>-4.5318464158280725E-2</v>
      </c>
      <c r="AG71">
        <v>-3.1199400247946329E-2</v>
      </c>
      <c r="AH71">
        <v>-2.4234154652139354E-2</v>
      </c>
      <c r="AI71">
        <v>-2.0021162732633425E-2</v>
      </c>
      <c r="AJ71">
        <v>-3.8102229318760589E-2</v>
      </c>
      <c r="AK71">
        <v>-4.1128550266547464E-2</v>
      </c>
      <c r="AL71">
        <v>-2.0320101954030428E-2</v>
      </c>
      <c r="AM71">
        <v>-2.6662528577534671E-2</v>
      </c>
      <c r="AN71">
        <v>-2.9996703623051933E-2</v>
      </c>
      <c r="AO71">
        <v>-2.8400329666222354E-2</v>
      </c>
      <c r="AP71">
        <v>-2.6153031586574432E-2</v>
      </c>
      <c r="AQ71">
        <v>-2.2928376028157855E-2</v>
      </c>
      <c r="AR71">
        <v>-1.4504238085426805E-2</v>
      </c>
      <c r="AS71">
        <v>-7.1181254757172992E-3</v>
      </c>
      <c r="AT71">
        <v>-5.1513304338067223E-3</v>
      </c>
      <c r="AU71">
        <v>-5.0949591042019925E-2</v>
      </c>
      <c r="AV71">
        <v>-2.3061327017254007E-2</v>
      </c>
      <c r="AW71">
        <v>1.6710986972039044E-2</v>
      </c>
      <c r="AX71">
        <v>1.5556250275581624E-2</v>
      </c>
      <c r="AY71">
        <v>1.1740108197702293E-2</v>
      </c>
      <c r="AZ71">
        <v>1.067428727267084E-2</v>
      </c>
      <c r="BA71">
        <v>9.723479314389414E-3</v>
      </c>
      <c r="BB71">
        <v>8.8740501967990281E-3</v>
      </c>
      <c r="BC71">
        <v>8.1120461948057509E-3</v>
      </c>
      <c r="BD71">
        <v>7.4285606342183591E-3</v>
      </c>
      <c r="BE71">
        <v>6.7878251088393429E-3</v>
      </c>
      <c r="BF71">
        <v>6.2356867195487459E-3</v>
      </c>
      <c r="BG71">
        <v>5.7114947587893101E-3</v>
      </c>
      <c r="BH71">
        <v>5.4781299497552753E-3</v>
      </c>
      <c r="BI71">
        <v>5.2667059688403361E-3</v>
      </c>
      <c r="BJ71">
        <v>5.0745179145632877E-3</v>
      </c>
      <c r="BK71">
        <v>4.8994820189968702E-3</v>
      </c>
      <c r="BL71">
        <v>4.7393057868664922E-3</v>
      </c>
      <c r="BM71">
        <v>4.592671589706855E-3</v>
      </c>
      <c r="BN71">
        <v>4.4583868318893603E-3</v>
      </c>
      <c r="BO71">
        <v>4.3352925766360125E-3</v>
      </c>
      <c r="BP71">
        <v>4.2223783171188699E-3</v>
      </c>
      <c r="BQ71">
        <v>4.1186401836981528E-3</v>
      </c>
      <c r="BR71">
        <v>4.0231612711608316E-3</v>
      </c>
      <c r="BS71">
        <v>3.9350344133362797E-3</v>
      </c>
      <c r="BT71">
        <v>3.853403954973703E-3</v>
      </c>
      <c r="BU71">
        <v>3.777585524327691E-3</v>
      </c>
      <c r="BV71">
        <v>3.7068347434171204E-3</v>
      </c>
      <c r="BW71">
        <v>3.6405854465803591E-3</v>
      </c>
      <c r="BX71">
        <v>3.5783140787282392E-3</v>
      </c>
      <c r="BY71">
        <v>3.5196615899810461E-3</v>
      </c>
      <c r="BZ71">
        <v>3.4642608317881308E-3</v>
      </c>
      <c r="CA71">
        <v>3.4118299580647078E-3</v>
      </c>
      <c r="CB71">
        <v>3.3621048962856823E-3</v>
      </c>
      <c r="CC71">
        <v>3.3148189447110309E-3</v>
      </c>
      <c r="CD71">
        <v>3.2697466412638376E-3</v>
      </c>
      <c r="CE71">
        <v>3.2266261612549103E-3</v>
      </c>
      <c r="CF71">
        <v>3.1852944606090062E-3</v>
      </c>
      <c r="CG71">
        <v>3.1456668426956213E-3</v>
      </c>
      <c r="CH71">
        <v>3.1076318627977413E-3</v>
      </c>
      <c r="CI71">
        <v>3.0711281052993055E-3</v>
      </c>
      <c r="CJ71">
        <v>3.0360687438793685E-3</v>
      </c>
      <c r="CK71">
        <v>3.0024828453151589E-3</v>
      </c>
      <c r="CL71">
        <v>2.9703898262954712E-3</v>
      </c>
      <c r="CM71">
        <v>2.9397841846094687E-3</v>
      </c>
      <c r="CN71">
        <v>2.9106243909393162E-3</v>
      </c>
      <c r="CO71">
        <v>2.8827863726116837E-3</v>
      </c>
      <c r="CP71">
        <v>2.8562445196250821E-3</v>
      </c>
      <c r="CQ71">
        <v>2.8310092864107694E-3</v>
      </c>
      <c r="CR71">
        <v>2.8070108314378677E-3</v>
      </c>
      <c r="CS71" s="2"/>
      <c r="CT71" s="2"/>
    </row>
    <row r="72" spans="1:98" x14ac:dyDescent="0.35">
      <c r="A72" s="1" t="str">
        <f>'Population Definitions'!$B$20</f>
        <v>hros_0-14_M</v>
      </c>
      <c r="C72" t="s">
        <v>38</v>
      </c>
      <c r="D72" s="3"/>
      <c r="E72" s="2"/>
      <c r="F72" s="4" t="s">
        <v>36</v>
      </c>
      <c r="G72">
        <v>9.2920932753776289E-2</v>
      </c>
      <c r="H72">
        <v>8.5021815405568552E-2</v>
      </c>
      <c r="I72">
        <v>8.6235618561099237E-2</v>
      </c>
      <c r="J72">
        <v>7.9382519307208729E-2</v>
      </c>
      <c r="K72">
        <v>7.5536168061797915E-2</v>
      </c>
      <c r="L72">
        <v>7.6508287149313611E-2</v>
      </c>
      <c r="M72">
        <v>9.2432687436084349E-2</v>
      </c>
      <c r="N72">
        <v>9.8844908481730831E-2</v>
      </c>
      <c r="O72">
        <v>0.10230289538753064</v>
      </c>
      <c r="P72">
        <v>0.10335848269497191</v>
      </c>
      <c r="Q72">
        <v>0.10770682942249962</v>
      </c>
      <c r="R72">
        <v>0.10783815144657463</v>
      </c>
      <c r="S72">
        <v>7.3856159742938091E-2</v>
      </c>
      <c r="T72">
        <v>7.850872207188031E-2</v>
      </c>
      <c r="U72">
        <v>8.416329869247538E-2</v>
      </c>
      <c r="V72">
        <v>8.6978625938255852E-2</v>
      </c>
      <c r="W72">
        <v>7.8096945412662544E-2</v>
      </c>
      <c r="X72">
        <v>6.8011316611575778E-2</v>
      </c>
      <c r="Y72">
        <v>7.2604609843855722E-2</v>
      </c>
      <c r="Z72">
        <v>7.0940928145556914E-2</v>
      </c>
      <c r="AA72">
        <v>8.1835650766829998E-2</v>
      </c>
      <c r="AB72">
        <v>8.5011874504535997E-2</v>
      </c>
      <c r="AC72">
        <v>8.7090308578624806E-2</v>
      </c>
      <c r="AD72">
        <v>7.920125169871442E-2</v>
      </c>
      <c r="AE72">
        <v>8.8816750437334946E-2</v>
      </c>
      <c r="AF72">
        <v>8.7361269087886051E-2</v>
      </c>
      <c r="AG72">
        <v>9.6659240884306483E-2</v>
      </c>
      <c r="AH72">
        <v>0.1067358227362851</v>
      </c>
      <c r="AI72">
        <v>0.1010659163372571</v>
      </c>
      <c r="AJ72">
        <v>8.9077616723024416E-2</v>
      </c>
      <c r="AK72">
        <v>8.4407766871734416E-2</v>
      </c>
      <c r="AL72">
        <v>9.8121187085555991E-2</v>
      </c>
      <c r="AM72">
        <v>0.10107754755948366</v>
      </c>
      <c r="AN72">
        <v>9.2340714683491643E-2</v>
      </c>
      <c r="AO72">
        <v>9.1809194138455286E-2</v>
      </c>
      <c r="AP72">
        <v>9.4986890040137079E-2</v>
      </c>
      <c r="AQ72">
        <v>9.6607121211858368E-2</v>
      </c>
      <c r="AR72">
        <v>8.8728403634887931E-2</v>
      </c>
      <c r="AS72">
        <v>8.2496470226818691E-2</v>
      </c>
      <c r="AT72">
        <v>6.5425317018809076E-2</v>
      </c>
      <c r="AU72">
        <v>4.3375677515765862E-2</v>
      </c>
      <c r="AV72">
        <v>7.6202111880962917E-2</v>
      </c>
      <c r="AW72">
        <v>5.0049271855009431E-2</v>
      </c>
      <c r="AX72">
        <v>5.0910737073009325E-2</v>
      </c>
      <c r="AY72">
        <v>4.1680260065880069E-2</v>
      </c>
      <c r="AZ72">
        <v>4.142972183245331E-2</v>
      </c>
      <c r="BA72">
        <v>4.1147915159149104E-2</v>
      </c>
      <c r="BB72">
        <v>4.083529215719061E-2</v>
      </c>
      <c r="BC72">
        <v>4.0492489457738721E-2</v>
      </c>
      <c r="BD72">
        <v>4.0117123818362514E-2</v>
      </c>
      <c r="BE72">
        <v>3.9571049089673488E-2</v>
      </c>
      <c r="BF72">
        <v>3.9123670616696575E-2</v>
      </c>
      <c r="BG72">
        <v>3.849754666921533E-2</v>
      </c>
      <c r="BH72">
        <v>3.9624276048389973E-2</v>
      </c>
      <c r="BI72">
        <v>4.0736677041292559E-2</v>
      </c>
      <c r="BJ72">
        <v>4.1832436616655005E-2</v>
      </c>
      <c r="BK72">
        <v>4.2909355158187286E-2</v>
      </c>
      <c r="BL72">
        <v>4.3965350502036732E-2</v>
      </c>
      <c r="BM72">
        <v>4.499865459697109E-2</v>
      </c>
      <c r="BN72">
        <v>4.6007557835278837E-2</v>
      </c>
      <c r="BO72">
        <v>4.6990575099426175E-2</v>
      </c>
      <c r="BP72">
        <v>4.7946415263225635E-2</v>
      </c>
      <c r="BQ72">
        <v>4.8874011131614312E-2</v>
      </c>
      <c r="BR72">
        <v>4.9772425605379332E-2</v>
      </c>
      <c r="BS72">
        <v>5.0640912724997406E-2</v>
      </c>
      <c r="BT72">
        <v>5.1479006685092921E-2</v>
      </c>
      <c r="BU72">
        <v>5.228635520146304E-2</v>
      </c>
      <c r="BV72">
        <v>5.3062740346082896E-2</v>
      </c>
      <c r="BW72">
        <v>5.3808136601069062E-2</v>
      </c>
      <c r="BX72">
        <v>5.4522700064020928E-2</v>
      </c>
      <c r="BY72">
        <v>5.5206686059232422E-2</v>
      </c>
      <c r="BZ72">
        <v>5.586047105940721E-2</v>
      </c>
      <c r="CA72">
        <v>5.6484503554949536E-2</v>
      </c>
      <c r="CB72">
        <v>5.7079367765784643E-2</v>
      </c>
      <c r="CC72">
        <v>5.7645760463439402E-2</v>
      </c>
      <c r="CD72">
        <v>5.8184413098740916E-2</v>
      </c>
      <c r="CE72">
        <v>5.8696114022932212E-2</v>
      </c>
      <c r="CF72">
        <v>5.9181660008508254E-2</v>
      </c>
      <c r="CG72">
        <v>5.9641961121012138E-2</v>
      </c>
      <c r="CH72">
        <v>6.0077914165762317E-2</v>
      </c>
      <c r="CI72">
        <v>6.0490434545437392E-2</v>
      </c>
      <c r="CJ72">
        <v>6.088048243440905E-2</v>
      </c>
      <c r="CK72">
        <v>6.1248878988067683E-2</v>
      </c>
      <c r="CL72">
        <v>6.1596628039053837E-2</v>
      </c>
      <c r="CM72">
        <v>6.1924609681481523E-2</v>
      </c>
      <c r="CN72">
        <v>6.2233772694658303E-2</v>
      </c>
      <c r="CO72">
        <v>6.2525007984497949E-2</v>
      </c>
      <c r="CP72">
        <v>6.2799187356291974E-2</v>
      </c>
      <c r="CQ72">
        <v>6.3057195102003721E-2</v>
      </c>
      <c r="CR72">
        <v>6.3299744419936493E-2</v>
      </c>
      <c r="CS72" s="2"/>
      <c r="CT72" s="2"/>
    </row>
    <row r="73" spans="1:98" x14ac:dyDescent="0.35">
      <c r="A73" s="1" t="str">
        <f>'Population Definitions'!$B$21</f>
        <v>hros_15-64_M</v>
      </c>
      <c r="C73" t="s">
        <v>38</v>
      </c>
      <c r="D73" s="3"/>
      <c r="E73" s="2"/>
      <c r="F73" s="4" t="s">
        <v>36</v>
      </c>
      <c r="G73">
        <v>4.3752568297525884E-2</v>
      </c>
      <c r="H73">
        <v>3.7130333234454048E-2</v>
      </c>
      <c r="I73">
        <v>3.8357805840193611E-2</v>
      </c>
      <c r="J73">
        <v>3.7457929295773004E-2</v>
      </c>
      <c r="K73">
        <v>3.3401658929980857E-2</v>
      </c>
      <c r="L73">
        <v>4.1005519945068215E-2</v>
      </c>
      <c r="M73">
        <v>5.3083162827575074E-2</v>
      </c>
      <c r="N73">
        <v>5.3438939116991588E-2</v>
      </c>
      <c r="O73">
        <v>5.2744444653417315E-2</v>
      </c>
      <c r="P73">
        <v>4.9512699208803204E-2</v>
      </c>
      <c r="Q73">
        <v>4.8975634837938216E-2</v>
      </c>
      <c r="R73">
        <v>4.9884916170206559E-2</v>
      </c>
      <c r="S73">
        <v>1.5766560896201869E-2</v>
      </c>
      <c r="T73">
        <v>2.1479923808030887E-2</v>
      </c>
      <c r="U73">
        <v>2.8236937794274997E-2</v>
      </c>
      <c r="V73">
        <v>3.3959512170571922E-2</v>
      </c>
      <c r="W73">
        <v>2.4850063575811963E-2</v>
      </c>
      <c r="X73">
        <v>1.6260062299406651E-2</v>
      </c>
      <c r="Y73">
        <v>2.058672646498105E-2</v>
      </c>
      <c r="Z73">
        <v>1.9853932699408761E-2</v>
      </c>
      <c r="AA73">
        <v>3.0883867737114004E-2</v>
      </c>
      <c r="AB73">
        <v>3.8345043880999227E-2</v>
      </c>
      <c r="AC73">
        <v>3.9941873401338847E-2</v>
      </c>
      <c r="AD73">
        <v>3.1605970558477532E-2</v>
      </c>
      <c r="AE73">
        <v>4.1778352669014772E-2</v>
      </c>
      <c r="AF73">
        <v>3.997296769545073E-2</v>
      </c>
      <c r="AG73">
        <v>4.691676456765298E-2</v>
      </c>
      <c r="AH73">
        <v>5.7547595145651984E-2</v>
      </c>
      <c r="AI73">
        <v>5.0916333362263151E-2</v>
      </c>
      <c r="AJ73">
        <v>3.4803659051798726E-2</v>
      </c>
      <c r="AK73">
        <v>2.9013773907480802E-2</v>
      </c>
      <c r="AL73">
        <v>3.4993313782226691E-2</v>
      </c>
      <c r="AM73">
        <v>3.7074713698800423E-2</v>
      </c>
      <c r="AN73">
        <v>2.8497888510786159E-2</v>
      </c>
      <c r="AO73">
        <v>2.8163293923558257E-2</v>
      </c>
      <c r="AP73">
        <v>2.9421033524670678E-2</v>
      </c>
      <c r="AQ73">
        <v>3.6330669982305143E-2</v>
      </c>
      <c r="AR73">
        <v>3.0443622145796569E-2</v>
      </c>
      <c r="AS73">
        <v>2.6064278042894566E-2</v>
      </c>
      <c r="AT73">
        <v>8.3164003831196313E-3</v>
      </c>
      <c r="AU73">
        <v>-1.8820649217543794E-2</v>
      </c>
      <c r="AV73">
        <v>2.650681883530414E-2</v>
      </c>
      <c r="AW73">
        <v>6.2417933227522891E-2</v>
      </c>
      <c r="AX73">
        <v>5.9206520462604176E-2</v>
      </c>
      <c r="AY73">
        <v>4.6353413520558454E-2</v>
      </c>
      <c r="AZ73">
        <v>4.3489470028969884E-2</v>
      </c>
      <c r="BA73">
        <v>4.0921446987805303E-2</v>
      </c>
      <c r="BB73">
        <v>3.8595581751170803E-2</v>
      </c>
      <c r="BC73">
        <v>3.6478009057777809E-2</v>
      </c>
      <c r="BD73">
        <v>3.4534675981100452E-2</v>
      </c>
      <c r="BE73">
        <v>3.2639609707458481E-2</v>
      </c>
      <c r="BF73">
        <v>3.0980507300076919E-2</v>
      </c>
      <c r="BG73">
        <v>2.9334611940130508E-2</v>
      </c>
      <c r="BH73">
        <v>2.8945084366724574E-2</v>
      </c>
      <c r="BI73">
        <v>2.8584342345330294E-2</v>
      </c>
      <c r="BJ73">
        <v>2.8249527096855066E-2</v>
      </c>
      <c r="BK73">
        <v>2.7938186888592675E-2</v>
      </c>
      <c r="BL73">
        <v>2.7647971963800838E-2</v>
      </c>
      <c r="BM73">
        <v>2.7377024092875367E-2</v>
      </c>
      <c r="BN73">
        <v>2.7123806291806274E-2</v>
      </c>
      <c r="BO73">
        <v>2.6886844534489075E-2</v>
      </c>
      <c r="BP73">
        <v>2.6664861471943632E-2</v>
      </c>
      <c r="BQ73">
        <v>2.6456673395474986E-2</v>
      </c>
      <c r="BR73">
        <v>2.6261210007834074E-2</v>
      </c>
      <c r="BS73">
        <v>2.6077491125981633E-2</v>
      </c>
      <c r="BT73">
        <v>2.590464492756632E-2</v>
      </c>
      <c r="BU73">
        <v>2.5741788547934241E-2</v>
      </c>
      <c r="BV73">
        <v>2.5588068232005316E-2</v>
      </c>
      <c r="BW73">
        <v>2.544279339213177E-2</v>
      </c>
      <c r="BX73">
        <v>2.5305278531472394E-2</v>
      </c>
      <c r="BY73">
        <v>2.5174960724551235E-2</v>
      </c>
      <c r="BZ73">
        <v>2.5051349813209087E-2</v>
      </c>
      <c r="CA73">
        <v>2.4933960588968764E-2</v>
      </c>
      <c r="CB73">
        <v>2.4822362045239715E-2</v>
      </c>
      <c r="CC73">
        <v>2.471620100928815E-2</v>
      </c>
      <c r="CD73">
        <v>2.4615098445552812E-2</v>
      </c>
      <c r="CE73">
        <v>2.4518676040683834E-2</v>
      </c>
      <c r="CF73">
        <v>2.4426642335832919E-2</v>
      </c>
      <c r="CG73">
        <v>2.433880547623906E-2</v>
      </c>
      <c r="CH73">
        <v>2.4254883594820021E-2</v>
      </c>
      <c r="CI73">
        <v>2.4174612049318814E-2</v>
      </c>
      <c r="CJ73">
        <v>2.4097778624359485E-2</v>
      </c>
      <c r="CK73">
        <v>2.4024249875142109E-2</v>
      </c>
      <c r="CL73">
        <v>2.3953859178052511E-2</v>
      </c>
      <c r="CM73">
        <v>2.3886484208289347E-2</v>
      </c>
      <c r="CN73">
        <v>2.3821957989156924E-2</v>
      </c>
      <c r="CO73">
        <v>2.3760044642464041E-2</v>
      </c>
      <c r="CP73">
        <v>2.370063026889813E-2</v>
      </c>
      <c r="CQ73">
        <v>2.3643630527006274E-2</v>
      </c>
      <c r="CR73">
        <v>2.3588914665129836E-2</v>
      </c>
      <c r="CS73" s="2"/>
      <c r="CT73" s="2"/>
    </row>
    <row r="74" spans="1:98" x14ac:dyDescent="0.35">
      <c r="A74" s="1" t="str">
        <f>'Population Definitions'!$B$22</f>
        <v>hros_65+_M</v>
      </c>
      <c r="C74" t="s">
        <v>38</v>
      </c>
      <c r="D74" s="3"/>
      <c r="E74" s="2"/>
      <c r="F74" s="4" t="s">
        <v>36</v>
      </c>
      <c r="G74">
        <v>-8.6386020665549984E-2</v>
      </c>
      <c r="H74">
        <v>-9.5046855419676543E-2</v>
      </c>
      <c r="I74">
        <v>-9.3543334572162226E-2</v>
      </c>
      <c r="J74">
        <v>-9.5438091980710751E-2</v>
      </c>
      <c r="K74">
        <v>-9.2296306119515933E-2</v>
      </c>
      <c r="L74">
        <v>-7.2303874540391347E-2</v>
      </c>
      <c r="M74">
        <v>-6.2215694710614694E-2</v>
      </c>
      <c r="N74">
        <v>-6.4829430461161866E-2</v>
      </c>
      <c r="O74">
        <v>-6.0628968169007008E-2</v>
      </c>
      <c r="P74">
        <v>-6.2933134687425632E-2</v>
      </c>
      <c r="Q74">
        <v>-5.4273622974652949E-2</v>
      </c>
      <c r="R74">
        <v>-5.3952895986067131E-2</v>
      </c>
      <c r="S74">
        <v>-8.304727199870196E-2</v>
      </c>
      <c r="T74">
        <v>-7.9199800578833857E-2</v>
      </c>
      <c r="U74">
        <v>-7.271169703940035E-2</v>
      </c>
      <c r="V74">
        <v>-6.6493437866881541E-2</v>
      </c>
      <c r="W74">
        <v>-7.3436116653669115E-2</v>
      </c>
      <c r="X74">
        <v>-8.3698282400768778E-2</v>
      </c>
      <c r="Y74">
        <v>-7.9458412489805147E-2</v>
      </c>
      <c r="Z74">
        <v>-8.163464795175808E-2</v>
      </c>
      <c r="AA74">
        <v>-6.4357942485938957E-2</v>
      </c>
      <c r="AB74">
        <v>-6.0446694217903975E-2</v>
      </c>
      <c r="AC74">
        <v>-5.7602856211190066E-2</v>
      </c>
      <c r="AD74">
        <v>-6.5003321283026175E-2</v>
      </c>
      <c r="AE74">
        <v>-5.333451202380643E-2</v>
      </c>
      <c r="AF74">
        <v>-5.8290079454735841E-2</v>
      </c>
      <c r="AG74">
        <v>-4.6692429331202281E-2</v>
      </c>
      <c r="AH74">
        <v>-4.0193808522566446E-2</v>
      </c>
      <c r="AI74">
        <v>-3.8733581807086963E-2</v>
      </c>
      <c r="AJ74">
        <v>-4.401759088872291E-2</v>
      </c>
      <c r="AK74">
        <v>-4.3569665091309016E-2</v>
      </c>
      <c r="AL74">
        <v>-2.9179796340080204E-2</v>
      </c>
      <c r="AM74">
        <v>-2.9750665823658103E-2</v>
      </c>
      <c r="AN74">
        <v>-3.638091002866229E-2</v>
      </c>
      <c r="AO74">
        <v>-3.4975575195333022E-2</v>
      </c>
      <c r="AP74">
        <v>-3.1308128482758796E-2</v>
      </c>
      <c r="AQ74">
        <v>-2.8484173769353093E-2</v>
      </c>
      <c r="AR74">
        <v>-3.2244324252338689E-2</v>
      </c>
      <c r="AS74">
        <v>-3.6768476393390162E-2</v>
      </c>
      <c r="AT74">
        <v>-4.0058772759192389E-2</v>
      </c>
      <c r="AU74">
        <v>-6.2582916693067828E-2</v>
      </c>
      <c r="AV74">
        <v>-3.1727438210175929E-2</v>
      </c>
      <c r="AW74">
        <v>1.9781769702725799E-2</v>
      </c>
      <c r="AX74">
        <v>1.8248435659665409E-2</v>
      </c>
      <c r="AY74">
        <v>1.3682952815139142E-2</v>
      </c>
      <c r="AZ74">
        <v>1.2365609638725105E-2</v>
      </c>
      <c r="BA74">
        <v>1.121003730568754E-2</v>
      </c>
      <c r="BB74">
        <v>1.0189734022600242E-2</v>
      </c>
      <c r="BC74">
        <v>9.2857576699767498E-3</v>
      </c>
      <c r="BD74">
        <v>8.4830850851391124E-3</v>
      </c>
      <c r="BE74">
        <v>7.7431487515658521E-3</v>
      </c>
      <c r="BF74">
        <v>7.1017781003613464E-3</v>
      </c>
      <c r="BG74">
        <v>6.499525921367438E-3</v>
      </c>
      <c r="BH74">
        <v>6.2289290129145655E-3</v>
      </c>
      <c r="BI74">
        <v>5.9852472360749061E-3</v>
      </c>
      <c r="BJ74">
        <v>5.7649284229521732E-3</v>
      </c>
      <c r="BK74">
        <v>5.5649972108821359E-3</v>
      </c>
      <c r="BL74">
        <v>5.3825293854219761E-3</v>
      </c>
      <c r="BM74">
        <v>5.2159980512224268E-3</v>
      </c>
      <c r="BN74">
        <v>5.0638055189572177E-3</v>
      </c>
      <c r="BO74">
        <v>4.9244508066557191E-3</v>
      </c>
      <c r="BP74">
        <v>4.7966496424850331E-3</v>
      </c>
      <c r="BQ74">
        <v>4.6792150069730901E-3</v>
      </c>
      <c r="BR74">
        <v>4.5711238296379485E-3</v>
      </c>
      <c r="BS74">
        <v>4.4713980422474049E-3</v>
      </c>
      <c r="BT74">
        <v>4.3790453582601514E-3</v>
      </c>
      <c r="BU74">
        <v>4.2932418516530091E-3</v>
      </c>
      <c r="BV74">
        <v>4.2130902235720949E-3</v>
      </c>
      <c r="BW74">
        <v>4.1379014893952286E-3</v>
      </c>
      <c r="BX74">
        <v>4.0670618090301444E-3</v>
      </c>
      <c r="BY74">
        <v>4.0002017174267214E-3</v>
      </c>
      <c r="BZ74">
        <v>3.936943081620561E-3</v>
      </c>
      <c r="CA74">
        <v>3.8769399562018484E-3</v>
      </c>
      <c r="CB74">
        <v>3.81994042839706E-3</v>
      </c>
      <c r="CC74">
        <v>3.7656879349285688E-3</v>
      </c>
      <c r="CD74">
        <v>3.7138900043426001E-3</v>
      </c>
      <c r="CE74">
        <v>3.664273072179358E-3</v>
      </c>
      <c r="CF74">
        <v>3.6166872115450943E-3</v>
      </c>
      <c r="CG74">
        <v>3.5710952839149586E-3</v>
      </c>
      <c r="CH74">
        <v>3.5273795979917188E-3</v>
      </c>
      <c r="CI74">
        <v>3.4854240463622092E-3</v>
      </c>
      <c r="CJ74">
        <v>3.4450923520098721E-3</v>
      </c>
      <c r="CK74">
        <v>3.406460017328453E-3</v>
      </c>
      <c r="CL74">
        <v>3.3695524363650847E-3</v>
      </c>
      <c r="CM74">
        <v>3.3343557497147892E-3</v>
      </c>
      <c r="CN74">
        <v>3.3007379054295714E-3</v>
      </c>
      <c r="CO74">
        <v>3.2685267548236024E-3</v>
      </c>
      <c r="CP74">
        <v>3.2376981037502209E-3</v>
      </c>
      <c r="CQ74">
        <v>3.2083513607553595E-3</v>
      </c>
      <c r="CR74">
        <v>3.1804218883451914E-3</v>
      </c>
      <c r="CS74" s="2"/>
      <c r="CT74" s="2"/>
    </row>
    <row r="75" spans="1:98" x14ac:dyDescent="0.35">
      <c r="A75" s="1" t="str">
        <f>'Population Definitions'!$B$23</f>
        <v>hros_0-14_F</v>
      </c>
      <c r="C75" t="s">
        <v>38</v>
      </c>
      <c r="D75" s="3"/>
      <c r="E75" s="2"/>
      <c r="F75" s="4" t="s">
        <v>36</v>
      </c>
      <c r="G75">
        <v>9.3237832170575796E-2</v>
      </c>
      <c r="H75">
        <v>8.3496929138682854E-2</v>
      </c>
      <c r="I75">
        <v>8.427676613041396E-2</v>
      </c>
      <c r="J75">
        <v>7.860820184791735E-2</v>
      </c>
      <c r="K75">
        <v>7.5039007209149258E-2</v>
      </c>
      <c r="L75">
        <v>7.4545840820288187E-2</v>
      </c>
      <c r="M75">
        <v>9.148184972896814E-2</v>
      </c>
      <c r="N75">
        <v>9.8026927233859626E-2</v>
      </c>
      <c r="O75">
        <v>0.10199733389704477</v>
      </c>
      <c r="P75">
        <v>0.10232307727554819</v>
      </c>
      <c r="Q75">
        <v>0.10657335808971556</v>
      </c>
      <c r="R75">
        <v>0.10860872155414417</v>
      </c>
      <c r="S75">
        <v>7.4304132016832725E-2</v>
      </c>
      <c r="T75">
        <v>7.8829433326313633E-2</v>
      </c>
      <c r="U75">
        <v>8.4640358504454782E-2</v>
      </c>
      <c r="V75">
        <v>8.7076847877765276E-2</v>
      </c>
      <c r="W75">
        <v>7.8237893406779627E-2</v>
      </c>
      <c r="X75">
        <v>6.7896000016919034E-2</v>
      </c>
      <c r="Y75">
        <v>7.2606563643010824E-2</v>
      </c>
      <c r="Z75">
        <v>7.0436117622857036E-2</v>
      </c>
      <c r="AA75">
        <v>8.1373021558644149E-2</v>
      </c>
      <c r="AB75">
        <v>8.4496763007095674E-2</v>
      </c>
      <c r="AC75">
        <v>8.6212752598968462E-2</v>
      </c>
      <c r="AD75">
        <v>7.852424071451658E-2</v>
      </c>
      <c r="AE75">
        <v>8.8294732158935754E-2</v>
      </c>
      <c r="AF75">
        <v>8.7810855249019062E-2</v>
      </c>
      <c r="AG75">
        <v>9.6717536046001154E-2</v>
      </c>
      <c r="AH75">
        <v>0.106609172704485</v>
      </c>
      <c r="AI75">
        <v>0.10097347390454378</v>
      </c>
      <c r="AJ75">
        <v>8.9173538216807832E-2</v>
      </c>
      <c r="AK75">
        <v>8.4181528392698338E-2</v>
      </c>
      <c r="AL75">
        <v>9.7577773517649152E-2</v>
      </c>
      <c r="AM75">
        <v>0.10066781905736688</v>
      </c>
      <c r="AN75">
        <v>9.236926978005594E-2</v>
      </c>
      <c r="AO75">
        <v>9.137479208892281E-2</v>
      </c>
      <c r="AP75">
        <v>9.5353441679711617E-2</v>
      </c>
      <c r="AQ75">
        <v>9.4915616811939968E-2</v>
      </c>
      <c r="AR75">
        <v>8.7210378401845354E-2</v>
      </c>
      <c r="AS75">
        <v>8.2027784913603213E-2</v>
      </c>
      <c r="AT75">
        <v>6.5291129750863333E-2</v>
      </c>
      <c r="AU75">
        <v>4.3018869458593553E-2</v>
      </c>
      <c r="AV75">
        <v>7.7643854591450873E-2</v>
      </c>
      <c r="AW75">
        <v>5.1749089084525149E-2</v>
      </c>
      <c r="AX75">
        <v>5.2546643179009346E-2</v>
      </c>
      <c r="AY75">
        <v>4.2941380742760694E-2</v>
      </c>
      <c r="AZ75">
        <v>4.262250085071205E-2</v>
      </c>
      <c r="BA75">
        <v>4.2274882778013119E-2</v>
      </c>
      <c r="BB75">
        <v>4.1904111730328299E-2</v>
      </c>
      <c r="BC75">
        <v>4.150503223220154E-2</v>
      </c>
      <c r="BD75">
        <v>4.1072141491658984E-2</v>
      </c>
      <c r="BE75">
        <v>4.0469541384727872E-2</v>
      </c>
      <c r="BF75">
        <v>3.9975897644001855E-2</v>
      </c>
      <c r="BG75">
        <v>3.9295174514634032E-2</v>
      </c>
      <c r="BH75">
        <v>4.0410512314653597E-2</v>
      </c>
      <c r="BI75">
        <v>4.150982960717637E-2</v>
      </c>
      <c r="BJ75">
        <v>4.2590971893844892E-2</v>
      </c>
      <c r="BK75">
        <v>4.3651788504839022E-2</v>
      </c>
      <c r="BL75">
        <v>4.4690435077817572E-2</v>
      </c>
      <c r="BM75">
        <v>4.5705201459654371E-2</v>
      </c>
      <c r="BN75">
        <v>4.6694545441141669E-2</v>
      </c>
      <c r="BO75">
        <v>4.7657156655725931E-2</v>
      </c>
      <c r="BP75">
        <v>4.8591829402884465E-2</v>
      </c>
      <c r="BQ75">
        <v>4.9497668753173518E-2</v>
      </c>
      <c r="BR75">
        <v>5.0373848112730067E-2</v>
      </c>
      <c r="BS75">
        <v>5.1219817955072099E-2</v>
      </c>
      <c r="BT75">
        <v>5.2035176751687146E-2</v>
      </c>
      <c r="BU75">
        <v>5.2819693256218277E-2</v>
      </c>
      <c r="BV75">
        <v>5.3573295819189307E-2</v>
      </c>
      <c r="BW75">
        <v>5.4296062543024444E-2</v>
      </c>
      <c r="BX75">
        <v>5.4988208842597787E-2</v>
      </c>
      <c r="BY75">
        <v>5.5650041283125222E-2</v>
      </c>
      <c r="BZ75">
        <v>5.6282046724747792E-2</v>
      </c>
      <c r="CA75">
        <v>5.6884775874675789E-2</v>
      </c>
      <c r="CB75">
        <v>5.7458832917070941E-2</v>
      </c>
      <c r="CC75">
        <v>5.8004962868556297E-2</v>
      </c>
      <c r="CD75">
        <v>5.8523937453088974E-2</v>
      </c>
      <c r="CE75">
        <v>5.9016544847284594E-2</v>
      </c>
      <c r="CF75">
        <v>5.9483678962483917E-2</v>
      </c>
      <c r="CG75">
        <v>5.9926228791555514E-2</v>
      </c>
      <c r="CH75">
        <v>6.0345103604171904E-2</v>
      </c>
      <c r="CI75">
        <v>6.0741225679064245E-2</v>
      </c>
      <c r="CJ75">
        <v>6.1115523336727928E-2</v>
      </c>
      <c r="CK75">
        <v>6.1468923679726742E-2</v>
      </c>
      <c r="CL75">
        <v>6.1802311797239586E-2</v>
      </c>
      <c r="CM75">
        <v>6.211659906556237E-2</v>
      </c>
      <c r="CN75">
        <v>6.2412753409531743E-2</v>
      </c>
      <c r="CO75">
        <v>6.2691615919215932E-2</v>
      </c>
      <c r="CP75">
        <v>6.2953968095455018E-2</v>
      </c>
      <c r="CQ75">
        <v>6.3200719304467759E-2</v>
      </c>
      <c r="CR75">
        <v>6.3432675163483415E-2</v>
      </c>
      <c r="CS75" s="2"/>
      <c r="CT75" s="2"/>
    </row>
    <row r="76" spans="1:98" x14ac:dyDescent="0.35">
      <c r="A76" s="1" t="str">
        <f>'Population Definitions'!$B$24</f>
        <v>hros_15-64_F</v>
      </c>
      <c r="C76" t="s">
        <v>38</v>
      </c>
      <c r="D76" s="3"/>
      <c r="E76" s="2"/>
      <c r="F76" s="4" t="s">
        <v>36</v>
      </c>
      <c r="G76">
        <v>4.2543170244737097E-2</v>
      </c>
      <c r="H76">
        <v>3.4048297945534454E-2</v>
      </c>
      <c r="I76">
        <v>3.5865867707548335E-2</v>
      </c>
      <c r="J76">
        <v>3.5696116972071305E-2</v>
      </c>
      <c r="K76">
        <v>3.1533461389502887E-2</v>
      </c>
      <c r="L76">
        <v>3.8661990326035886E-2</v>
      </c>
      <c r="M76">
        <v>5.3764645839703105E-2</v>
      </c>
      <c r="N76">
        <v>5.3457003612401167E-2</v>
      </c>
      <c r="O76">
        <v>5.2667527896822691E-2</v>
      </c>
      <c r="P76">
        <v>4.9563065604796702E-2</v>
      </c>
      <c r="Q76">
        <v>5.0326319103300633E-2</v>
      </c>
      <c r="R76">
        <v>5.055594574700735E-2</v>
      </c>
      <c r="S76">
        <v>1.6259758048487435E-2</v>
      </c>
      <c r="T76">
        <v>2.2011897891348428E-2</v>
      </c>
      <c r="U76">
        <v>2.8700059863311807E-2</v>
      </c>
      <c r="V76">
        <v>3.5151947948401027E-2</v>
      </c>
      <c r="W76">
        <v>2.7258330689854865E-2</v>
      </c>
      <c r="X76">
        <v>1.7781419431957542E-2</v>
      </c>
      <c r="Y76">
        <v>2.2222791639613663E-2</v>
      </c>
      <c r="Z76">
        <v>2.1321951967932441E-2</v>
      </c>
      <c r="AA76">
        <v>3.2711932938500075E-2</v>
      </c>
      <c r="AB76">
        <v>3.7805204830470847E-2</v>
      </c>
      <c r="AC76">
        <v>4.07486147878829E-2</v>
      </c>
      <c r="AD76">
        <v>3.1430510810552537E-2</v>
      </c>
      <c r="AE76">
        <v>4.1903665773341418E-2</v>
      </c>
      <c r="AF76">
        <v>3.9619894020122247E-2</v>
      </c>
      <c r="AG76">
        <v>4.5744789265797177E-2</v>
      </c>
      <c r="AH76">
        <v>5.5902350314918199E-2</v>
      </c>
      <c r="AI76">
        <v>4.9332521110744848E-2</v>
      </c>
      <c r="AJ76">
        <v>3.6135692096461891E-2</v>
      </c>
      <c r="AK76">
        <v>3.0769256953778627E-2</v>
      </c>
      <c r="AL76">
        <v>3.6412995923291835E-2</v>
      </c>
      <c r="AM76">
        <v>3.9177414727902968E-2</v>
      </c>
      <c r="AN76">
        <v>3.2438086843405156E-2</v>
      </c>
      <c r="AO76">
        <v>3.1566785129685811E-2</v>
      </c>
      <c r="AP76">
        <v>3.2836595413295845E-2</v>
      </c>
      <c r="AQ76">
        <v>3.6869286609240638E-2</v>
      </c>
      <c r="AR76">
        <v>3.0282026301635401E-2</v>
      </c>
      <c r="AS76">
        <v>2.5250850497543786E-2</v>
      </c>
      <c r="AT76">
        <v>8.8671974882451755E-3</v>
      </c>
      <c r="AU76">
        <v>-1.9962761395966245E-2</v>
      </c>
      <c r="AV76">
        <v>2.6043954262043652E-2</v>
      </c>
      <c r="AW76">
        <v>6.742280691345702E-2</v>
      </c>
      <c r="AX76">
        <v>6.3668371487109618E-2</v>
      </c>
      <c r="AY76">
        <v>4.9403602164813439E-2</v>
      </c>
      <c r="AZ76">
        <v>4.6194900942156773E-2</v>
      </c>
      <c r="BA76">
        <v>4.3326882246764301E-2</v>
      </c>
      <c r="BB76">
        <v>4.0743783596981858E-2</v>
      </c>
      <c r="BC76">
        <v>3.8398879464365036E-2</v>
      </c>
      <c r="BD76">
        <v>3.625733733229311E-2</v>
      </c>
      <c r="BE76">
        <v>3.4179381060209339E-2</v>
      </c>
      <c r="BF76">
        <v>3.2361774975097624E-2</v>
      </c>
      <c r="BG76">
        <v>3.0566286290349323E-2</v>
      </c>
      <c r="BH76">
        <v>3.0124872193096619E-2</v>
      </c>
      <c r="BI76">
        <v>2.9715160270780423E-2</v>
      </c>
      <c r="BJ76">
        <v>2.9334022501149092E-2</v>
      </c>
      <c r="BK76">
        <v>2.8978744231904628E-2</v>
      </c>
      <c r="BL76">
        <v>2.8646873927957867E-2</v>
      </c>
      <c r="BM76">
        <v>2.833635182196834E-2</v>
      </c>
      <c r="BN76">
        <v>2.804543610549913E-2</v>
      </c>
      <c r="BO76">
        <v>2.7772488037277273E-2</v>
      </c>
      <c r="BP76">
        <v>2.7516081701315892E-2</v>
      </c>
      <c r="BQ76">
        <v>2.7274938120293326E-2</v>
      </c>
      <c r="BR76">
        <v>2.7047859600007804E-2</v>
      </c>
      <c r="BS76">
        <v>2.6833785192148425E-2</v>
      </c>
      <c r="BT76">
        <v>2.6631698139059676E-2</v>
      </c>
      <c r="BU76">
        <v>2.6440708791605001E-2</v>
      </c>
      <c r="BV76">
        <v>2.6259936413827886E-2</v>
      </c>
      <c r="BW76">
        <v>2.6088664251159705E-2</v>
      </c>
      <c r="BX76">
        <v>2.592614943387345E-2</v>
      </c>
      <c r="BY76">
        <v>2.577180372020059E-2</v>
      </c>
      <c r="BZ76">
        <v>2.5625053389337498E-2</v>
      </c>
      <c r="CA76">
        <v>2.5485382862126902E-2</v>
      </c>
      <c r="CB76">
        <v>2.535233883374231E-2</v>
      </c>
      <c r="CC76">
        <v>2.5225491268226572E-2</v>
      </c>
      <c r="CD76">
        <v>2.5104405215301957E-2</v>
      </c>
      <c r="CE76">
        <v>2.4988718392545791E-2</v>
      </c>
      <c r="CF76">
        <v>2.4878080177996954E-2</v>
      </c>
      <c r="CG76">
        <v>2.4772224707604266E-2</v>
      </c>
      <c r="CH76">
        <v>2.4670868281404825E-2</v>
      </c>
      <c r="CI76">
        <v>2.4573769765786242E-2</v>
      </c>
      <c r="CJ76">
        <v>2.4480670406393991E-2</v>
      </c>
      <c r="CK76">
        <v>2.4391393962497631E-2</v>
      </c>
      <c r="CL76">
        <v>2.43057497826486E-2</v>
      </c>
      <c r="CM76">
        <v>2.4223584434296053E-2</v>
      </c>
      <c r="CN76">
        <v>2.4144723695538901E-2</v>
      </c>
      <c r="CO76">
        <v>2.40689832508009E-2</v>
      </c>
      <c r="CP76">
        <v>2.3996184246458437E-2</v>
      </c>
      <c r="CQ76">
        <v>2.392621167503016E-2</v>
      </c>
      <c r="CR76">
        <v>2.3858967220597761E-2</v>
      </c>
      <c r="CS76" s="2"/>
      <c r="CT76" s="2"/>
    </row>
    <row r="77" spans="1:98" x14ac:dyDescent="0.35">
      <c r="A77" s="1" t="str">
        <f>'Population Definitions'!$B$25</f>
        <v>hros_65+_F</v>
      </c>
      <c r="C77" t="s">
        <v>38</v>
      </c>
      <c r="D77" s="3"/>
      <c r="E77" s="2"/>
      <c r="F77" s="4" t="s">
        <v>36</v>
      </c>
      <c r="G77">
        <v>-4.5064282467384253E-2</v>
      </c>
      <c r="H77">
        <v>-5.3734428251358803E-2</v>
      </c>
      <c r="I77">
        <v>-5.0226011293758074E-2</v>
      </c>
      <c r="J77">
        <v>-5.2776999485153783E-2</v>
      </c>
      <c r="K77">
        <v>-5.3290330431448159E-2</v>
      </c>
      <c r="L77">
        <v>-3.6934560836414485E-2</v>
      </c>
      <c r="M77">
        <v>-2.874318419560987E-2</v>
      </c>
      <c r="N77">
        <v>-3.0713610688902795E-2</v>
      </c>
      <c r="O77">
        <v>-3.064539393280704E-2</v>
      </c>
      <c r="P77">
        <v>-3.3735487047131654E-2</v>
      </c>
      <c r="Q77">
        <v>-2.6362444813933999E-2</v>
      </c>
      <c r="R77">
        <v>-2.757719613965081E-2</v>
      </c>
      <c r="S77">
        <v>-5.711916824962282E-2</v>
      </c>
      <c r="T77">
        <v>-5.4830595833252928E-2</v>
      </c>
      <c r="U77">
        <v>-4.9845789107263061E-2</v>
      </c>
      <c r="V77">
        <v>-4.3288602767043938E-2</v>
      </c>
      <c r="W77">
        <v>-5.2029232790881057E-2</v>
      </c>
      <c r="X77">
        <v>-6.1902868520047484E-2</v>
      </c>
      <c r="Y77">
        <v>-5.9501232762340067E-2</v>
      </c>
      <c r="Z77">
        <v>-6.0947138345417519E-2</v>
      </c>
      <c r="AA77">
        <v>-4.7080360410937751E-2</v>
      </c>
      <c r="AB77">
        <v>-4.4359709961850152E-2</v>
      </c>
      <c r="AC77">
        <v>-4.1050172599281211E-2</v>
      </c>
      <c r="AD77">
        <v>-4.9319560378658492E-2</v>
      </c>
      <c r="AE77">
        <v>-3.8982868135256914E-2</v>
      </c>
      <c r="AF77">
        <v>-4.4149392164756066E-2</v>
      </c>
      <c r="AG77">
        <v>-3.4010581489534647E-2</v>
      </c>
      <c r="AH77">
        <v>-2.7266376058748334E-2</v>
      </c>
      <c r="AI77">
        <v>-2.7053273233970231E-2</v>
      </c>
      <c r="AJ77">
        <v>-3.34274576686312E-2</v>
      </c>
      <c r="AK77">
        <v>-3.469103340890254E-2</v>
      </c>
      <c r="AL77">
        <v>-2.2216914157390959E-2</v>
      </c>
      <c r="AM77">
        <v>-2.229622214728853E-2</v>
      </c>
      <c r="AN77">
        <v>-2.9361210992583615E-2</v>
      </c>
      <c r="AO77">
        <v>-2.7743672601168091E-2</v>
      </c>
      <c r="AP77">
        <v>-2.4185300784077386E-2</v>
      </c>
      <c r="AQ77">
        <v>-2.1568519282899008E-2</v>
      </c>
      <c r="AR77">
        <v>-2.4320017751576019E-2</v>
      </c>
      <c r="AS77">
        <v>-2.7964750859955246E-2</v>
      </c>
      <c r="AT77">
        <v>-3.2048452987568088E-2</v>
      </c>
      <c r="AU77">
        <v>-5.534252999553016E-2</v>
      </c>
      <c r="AV77">
        <v>-2.3061327017254014E-2</v>
      </c>
      <c r="AW77">
        <v>1.7852892693722235E-2</v>
      </c>
      <c r="AX77">
        <v>1.6601602304280125E-2</v>
      </c>
      <c r="AY77">
        <v>1.2514900693734253E-2</v>
      </c>
      <c r="AZ77">
        <v>1.1366443392414922E-2</v>
      </c>
      <c r="BA77">
        <v>1.0342334466038907E-2</v>
      </c>
      <c r="BB77">
        <v>9.4280288878701921E-3</v>
      </c>
      <c r="BC77">
        <v>8.6085422344833462E-3</v>
      </c>
      <c r="BD77">
        <v>7.8742246790282008E-3</v>
      </c>
      <c r="BE77">
        <v>7.1869599158430773E-3</v>
      </c>
      <c r="BF77">
        <v>6.5950955923739056E-3</v>
      </c>
      <c r="BG77">
        <v>6.0342162660891882E-3</v>
      </c>
      <c r="BH77">
        <v>5.7816452933670695E-3</v>
      </c>
      <c r="BI77">
        <v>5.5528411440515235E-3</v>
      </c>
      <c r="BJ77">
        <v>5.3448664923090939E-3</v>
      </c>
      <c r="BK77">
        <v>5.1554511818904143E-3</v>
      </c>
      <c r="BL77">
        <v>4.9821177618647227E-3</v>
      </c>
      <c r="BM77">
        <v>4.8234233714726923E-3</v>
      </c>
      <c r="BN77">
        <v>4.6780646851398763E-3</v>
      </c>
      <c r="BO77">
        <v>4.5447808322303229E-3</v>
      </c>
      <c r="BP77">
        <v>4.4224714825892002E-3</v>
      </c>
      <c r="BQ77">
        <v>4.3100489662350428E-3</v>
      </c>
      <c r="BR77">
        <v>4.206521602229011E-3</v>
      </c>
      <c r="BS77">
        <v>4.1109121210064379E-3</v>
      </c>
      <c r="BT77">
        <v>4.022301645941276E-3</v>
      </c>
      <c r="BU77">
        <v>3.9399534776710654E-3</v>
      </c>
      <c r="BV77">
        <v>3.8630720094547798E-3</v>
      </c>
      <c r="BW77">
        <v>3.791049961857891E-3</v>
      </c>
      <c r="BX77">
        <v>3.7233276221126112E-3</v>
      </c>
      <c r="BY77">
        <v>3.6595178725470634E-3</v>
      </c>
      <c r="BZ77">
        <v>3.5992274854189906E-3</v>
      </c>
      <c r="CA77">
        <v>3.5421530531592675E-3</v>
      </c>
      <c r="CB77">
        <v>3.4880108960709038E-3</v>
      </c>
      <c r="CC77">
        <v>3.4365158589288948E-3</v>
      </c>
      <c r="CD77">
        <v>3.3874264769129161E-3</v>
      </c>
      <c r="CE77">
        <v>3.3404643464480448E-3</v>
      </c>
      <c r="CF77">
        <v>3.2954544712076495E-3</v>
      </c>
      <c r="CG77">
        <v>3.2523033503807568E-3</v>
      </c>
      <c r="CH77">
        <v>3.2108905750145517E-3</v>
      </c>
      <c r="CI77">
        <v>3.1711475580514232E-3</v>
      </c>
      <c r="CJ77">
        <v>3.1329799054816932E-3</v>
      </c>
      <c r="CK77">
        <v>3.0964128161696672E-3</v>
      </c>
      <c r="CL77">
        <v>3.061461899544989E-3</v>
      </c>
      <c r="CM77">
        <v>3.0281169687403735E-3</v>
      </c>
      <c r="CN77">
        <v>2.9963310018192215E-3</v>
      </c>
      <c r="CO77">
        <v>2.9659721380834447E-3</v>
      </c>
      <c r="CP77">
        <v>2.9370100505042669E-3</v>
      </c>
      <c r="CQ77">
        <v>2.9094515997982193E-3</v>
      </c>
      <c r="CR77">
        <v>2.8832215526702998E-3</v>
      </c>
      <c r="CS77" s="2"/>
      <c r="CT77" s="2"/>
    </row>
    <row r="79" spans="1:98" x14ac:dyDescent="0.35">
      <c r="A79" s="1" t="s">
        <v>39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40</v>
      </c>
      <c r="D80" s="3"/>
      <c r="E80" s="2"/>
      <c r="F80" s="4" t="s">
        <v>36</v>
      </c>
      <c r="G80" s="7">
        <v>3.8359781822743036E-3</v>
      </c>
      <c r="H80" s="7">
        <v>3.6881980526757871E-3</v>
      </c>
      <c r="I80" s="7">
        <v>3.9114423978903919E-3</v>
      </c>
      <c r="J80" s="7">
        <v>3.4697208320363295E-3</v>
      </c>
      <c r="K80" s="7">
        <v>3.3018756468254635E-3</v>
      </c>
      <c r="L80" s="7">
        <v>3.5616707731993351E-3</v>
      </c>
      <c r="M80" s="7">
        <v>3.2027247144230599E-3</v>
      </c>
      <c r="N80" s="7">
        <v>3.12032865389882E-3</v>
      </c>
      <c r="O80" s="7">
        <v>3.0460666852404803E-3</v>
      </c>
      <c r="P80" s="7">
        <v>2.8131076457290237E-3</v>
      </c>
      <c r="Q80" s="7">
        <v>2.9624128030100116E-3</v>
      </c>
      <c r="R80" s="7">
        <v>2.4944734900036319E-3</v>
      </c>
      <c r="S80" s="7">
        <v>2.5449287707121834E-3</v>
      </c>
      <c r="T80" s="7">
        <v>2.2988592768420158E-3</v>
      </c>
      <c r="U80" s="7">
        <v>2.1299775393774879E-3</v>
      </c>
      <c r="V80" s="7">
        <v>2.018133490422114E-3</v>
      </c>
      <c r="W80" s="7">
        <v>2.1040105992141743E-3</v>
      </c>
      <c r="X80" s="7">
        <v>1.8997860579212128E-3</v>
      </c>
      <c r="Y80" s="7">
        <v>1.8232279658816125E-3</v>
      </c>
      <c r="Z80" s="7">
        <v>1.9317518391846489E-3</v>
      </c>
      <c r="AA80" s="7">
        <v>1.7859199469903481E-3</v>
      </c>
      <c r="AB80" s="7">
        <v>1.8054118908261811E-3</v>
      </c>
      <c r="AC80" s="7">
        <v>1.7476227658033779E-3</v>
      </c>
      <c r="AD80" s="7">
        <v>1.6439003995987454E-3</v>
      </c>
      <c r="AE80" s="7">
        <v>1.6580368127237961E-3</v>
      </c>
      <c r="AF80" s="7">
        <v>1.6709312749445546E-3</v>
      </c>
      <c r="AG80" s="7">
        <v>1.6317394873213349E-3</v>
      </c>
      <c r="AH80" s="7">
        <v>1.4952352094884369E-3</v>
      </c>
      <c r="AI80" s="7">
        <v>1.5212495037229467E-3</v>
      </c>
      <c r="AJ80" s="7">
        <v>1.5182080085393956E-3</v>
      </c>
      <c r="AK80" s="7">
        <v>1.5104076428887813E-3</v>
      </c>
      <c r="AL80" s="7">
        <v>1.3072262568703224E-3</v>
      </c>
      <c r="AM80" s="7">
        <v>1.152525413804678E-3</v>
      </c>
      <c r="AN80" s="7">
        <v>1.1643755512275131E-3</v>
      </c>
      <c r="AO80" s="7">
        <v>6.7441523534256525E-4</v>
      </c>
      <c r="AP80" s="7">
        <v>7.0632231225522136E-4</v>
      </c>
      <c r="AQ80" s="7">
        <v>6.6520674615135533E-4</v>
      </c>
      <c r="AR80" s="7">
        <v>6.6713652711138896E-4</v>
      </c>
      <c r="AS80" s="7">
        <v>6.3914849462097425E-4</v>
      </c>
      <c r="AT80" s="7">
        <v>6.6492941564380863E-4</v>
      </c>
      <c r="AU80" s="7">
        <v>5.8397082779116554E-4</v>
      </c>
      <c r="AV80" s="7">
        <v>6.506228864997587E-4</v>
      </c>
      <c r="AW80" s="7">
        <v>6.4440230928906688E-4</v>
      </c>
      <c r="AX80" s="7">
        <v>6.3469304469126206E-4</v>
      </c>
      <c r="AY80" s="7">
        <v>6.33725057200415E-4</v>
      </c>
      <c r="AZ80" s="7">
        <v>6.2754373790247712E-4</v>
      </c>
      <c r="BA80" s="7">
        <v>6.263798618146981E-4</v>
      </c>
      <c r="BB80" s="7">
        <v>6.2318195702071072E-4</v>
      </c>
      <c r="BC80" s="7">
        <v>6.2215236111448494E-4</v>
      </c>
      <c r="BD80" s="7">
        <v>6.1732316813232406E-4</v>
      </c>
      <c r="BE80" s="7">
        <v>6.142038982953718E-4</v>
      </c>
      <c r="BF80" s="7">
        <v>6.0772201480643819E-4</v>
      </c>
      <c r="BG80" s="7">
        <v>6.0373333530262384E-4</v>
      </c>
      <c r="BH80" s="7">
        <v>5.9927951976833545E-4</v>
      </c>
      <c r="BI80" s="7">
        <v>5.9633824600525682E-4</v>
      </c>
      <c r="BJ80" s="7">
        <v>5.9393363207659998E-4</v>
      </c>
      <c r="BK80" s="7">
        <v>5.8913704407279098E-4</v>
      </c>
      <c r="BL80" s="7">
        <v>5.8818001862778974E-4</v>
      </c>
      <c r="BM80" s="7">
        <v>5.857903589657769E-4</v>
      </c>
      <c r="BN80" s="7">
        <v>5.8351407556618605E-4</v>
      </c>
      <c r="BO80" s="7">
        <v>5.8098998642648679E-4</v>
      </c>
      <c r="BP80" s="7">
        <v>5.7934305775190803E-4</v>
      </c>
      <c r="BQ80" s="7">
        <v>5.7627608803789774E-4</v>
      </c>
      <c r="BR80" s="7">
        <v>5.7155578903825602E-4</v>
      </c>
      <c r="BS80" s="7">
        <v>5.6926924762541135E-4</v>
      </c>
      <c r="BT80" s="7">
        <v>5.6695120079236906E-4</v>
      </c>
      <c r="BU80" s="7">
        <v>5.6350186029291384E-4</v>
      </c>
      <c r="BV80" s="7">
        <v>5.601008490518746E-4</v>
      </c>
      <c r="BW80" s="7">
        <v>5.5796769021710301E-4</v>
      </c>
      <c r="BX80" s="7">
        <v>5.5597075876367985E-4</v>
      </c>
      <c r="BY80" s="7">
        <v>5.5415301921103808E-4</v>
      </c>
      <c r="BZ80" s="7">
        <v>5.5136102620944683E-4</v>
      </c>
      <c r="CA80" s="7">
        <v>5.4846700310809317E-4</v>
      </c>
      <c r="CB80" s="7">
        <v>5.4708776074517164E-4</v>
      </c>
      <c r="CC80" s="7">
        <v>5.4584449841955495E-4</v>
      </c>
      <c r="CD80" s="7">
        <v>5.4469242035801732E-4</v>
      </c>
      <c r="CE80" s="7">
        <v>5.4242546429916381E-4</v>
      </c>
      <c r="CF80" s="7">
        <v>5.413530379097944E-4</v>
      </c>
      <c r="CG80" s="7">
        <v>5.4028429919520456E-4</v>
      </c>
      <c r="CH80" s="7">
        <v>5.3920273355922445E-4</v>
      </c>
      <c r="CI80" s="7">
        <v>5.3950775256849531E-4</v>
      </c>
      <c r="CJ80" s="7">
        <v>5.3585317678010985E-4</v>
      </c>
      <c r="CK80" s="7">
        <v>5.3473134638993365E-4</v>
      </c>
      <c r="CL80" s="7">
        <v>5.3243521254073387E-4</v>
      </c>
      <c r="CM80" s="7">
        <v>5.3128844757013556E-4</v>
      </c>
      <c r="CN80" s="7">
        <v>5.3010913611018428E-4</v>
      </c>
      <c r="CO80" s="7">
        <v>5.2890840378625196E-4</v>
      </c>
      <c r="CP80" s="7">
        <v>5.2911004647602231E-4</v>
      </c>
      <c r="CQ80" s="7">
        <v>5.2527387254623799E-4</v>
      </c>
      <c r="CR80" s="7">
        <v>5.2253802383789576E-4</v>
      </c>
      <c r="CS80" s="7">
        <v>5.2117402753388794E-4</v>
      </c>
      <c r="CT80" s="2"/>
    </row>
    <row r="81" spans="1:98" x14ac:dyDescent="0.35">
      <c r="A81" s="1" t="str">
        <f>'Population Definitions'!$B$3</f>
        <v>atsi_15-64_M</v>
      </c>
      <c r="C81" t="s">
        <v>40</v>
      </c>
      <c r="D81" s="3"/>
      <c r="E81" s="2"/>
      <c r="F81" s="4" t="s">
        <v>36</v>
      </c>
      <c r="G81" s="7">
        <v>1.1525069314575519E-2</v>
      </c>
      <c r="H81" s="7">
        <v>1.1079567004264171E-2</v>
      </c>
      <c r="I81" s="7">
        <v>1.1041481911593272E-2</v>
      </c>
      <c r="J81" s="7">
        <v>1.0406774021899321E-2</v>
      </c>
      <c r="K81" s="7">
        <v>9.945730808204864E-3</v>
      </c>
      <c r="L81" s="7">
        <v>1.0312167002013893E-2</v>
      </c>
      <c r="M81" s="7">
        <v>9.8845057046133208E-3</v>
      </c>
      <c r="N81" s="7">
        <v>9.686550243500236E-3</v>
      </c>
      <c r="O81" s="7">
        <v>9.789281433618513E-3</v>
      </c>
      <c r="P81" s="7">
        <v>9.4311512904410675E-3</v>
      </c>
      <c r="Q81" s="7">
        <v>9.0793931098076593E-3</v>
      </c>
      <c r="R81" s="7">
        <v>8.6850334443709619E-3</v>
      </c>
      <c r="S81" s="7">
        <v>8.4587440966393743E-3</v>
      </c>
      <c r="T81" s="7">
        <v>8.1411568125259667E-3</v>
      </c>
      <c r="U81" s="7">
        <v>8.0115900211765317E-3</v>
      </c>
      <c r="V81" s="7">
        <v>7.8439110930858189E-3</v>
      </c>
      <c r="W81" s="7">
        <v>7.7245090937564913E-3</v>
      </c>
      <c r="X81" s="7">
        <v>7.5550086106860046E-3</v>
      </c>
      <c r="Y81" s="7">
        <v>7.3486953318117826E-3</v>
      </c>
      <c r="Z81" s="7">
        <v>7.1429595101488207E-3</v>
      </c>
      <c r="AA81" s="7">
        <v>6.7909712630325478E-3</v>
      </c>
      <c r="AB81" s="7">
        <v>6.5306359971311441E-3</v>
      </c>
      <c r="AC81" s="7">
        <v>6.3317326462071586E-3</v>
      </c>
      <c r="AD81" s="7">
        <v>6.259884490740217E-3</v>
      </c>
      <c r="AE81" s="7">
        <v>5.9731742376623702E-3</v>
      </c>
      <c r="AF81" s="7">
        <v>5.9175837119359621E-3</v>
      </c>
      <c r="AG81" s="7">
        <v>5.7312234514768643E-3</v>
      </c>
      <c r="AH81" s="7">
        <v>5.754599804040212E-3</v>
      </c>
      <c r="AI81" s="7">
        <v>5.7106333398901964E-3</v>
      </c>
      <c r="AJ81" s="7">
        <v>5.6339367729001735E-3</v>
      </c>
      <c r="AK81" s="7">
        <v>5.4902023239236722E-3</v>
      </c>
      <c r="AL81" s="7">
        <v>5.3509669112443798E-3</v>
      </c>
      <c r="AM81" s="7">
        <v>5.1654509655853584E-3</v>
      </c>
      <c r="AN81" s="7">
        <v>5.1214516743925418E-3</v>
      </c>
      <c r="AO81" s="7">
        <v>5.3454774655813143E-3</v>
      </c>
      <c r="AP81" s="7">
        <v>5.4641643532894789E-3</v>
      </c>
      <c r="AQ81" s="7">
        <v>5.2356115292242125E-3</v>
      </c>
      <c r="AR81" s="7">
        <v>5.1474309738235059E-3</v>
      </c>
      <c r="AS81" s="7">
        <v>5.0773526042257053E-3</v>
      </c>
      <c r="AT81" s="7">
        <v>5.5818207541637275E-3</v>
      </c>
      <c r="AU81" s="7">
        <v>5.100814818925381E-3</v>
      </c>
      <c r="AV81" s="7">
        <v>5.0743705011308477E-3</v>
      </c>
      <c r="AW81" s="7">
        <v>5.0843264370422454E-3</v>
      </c>
      <c r="AX81" s="7">
        <v>5.0320335867107911E-3</v>
      </c>
      <c r="AY81" s="7">
        <v>4.9767430338099675E-3</v>
      </c>
      <c r="AZ81" s="7">
        <v>4.9141193159083262E-3</v>
      </c>
      <c r="BA81" s="7">
        <v>4.8293879697113608E-3</v>
      </c>
      <c r="BB81" s="7">
        <v>4.7841588276973102E-3</v>
      </c>
      <c r="BC81" s="7">
        <v>4.7374743636783758E-3</v>
      </c>
      <c r="BD81" s="7">
        <v>4.6911312830235953E-3</v>
      </c>
      <c r="BE81" s="7">
        <v>4.6522657020297131E-3</v>
      </c>
      <c r="BF81" s="7">
        <v>4.6208069670259184E-3</v>
      </c>
      <c r="BG81" s="7">
        <v>4.6012419562627815E-3</v>
      </c>
      <c r="BH81" s="7">
        <v>4.5807848320902934E-3</v>
      </c>
      <c r="BI81" s="7">
        <v>4.5595720437628861E-3</v>
      </c>
      <c r="BJ81" s="7">
        <v>4.5388405361288789E-3</v>
      </c>
      <c r="BK81" s="7">
        <v>4.5086004853649077E-3</v>
      </c>
      <c r="BL81" s="7">
        <v>4.4825860570147421E-3</v>
      </c>
      <c r="BM81" s="7">
        <v>4.4675562220765708E-3</v>
      </c>
      <c r="BN81" s="7">
        <v>4.450978016574879E-3</v>
      </c>
      <c r="BO81" s="7">
        <v>4.4376720365900627E-3</v>
      </c>
      <c r="BP81" s="7">
        <v>4.4269738438245283E-3</v>
      </c>
      <c r="BQ81" s="7">
        <v>4.4212044655257375E-3</v>
      </c>
      <c r="BR81" s="7">
        <v>4.4152992754039957E-3</v>
      </c>
      <c r="BS81" s="7">
        <v>4.4161926722040877E-3</v>
      </c>
      <c r="BT81" s="7">
        <v>4.4116138371541047E-3</v>
      </c>
      <c r="BU81" s="7">
        <v>4.4043245326756027E-3</v>
      </c>
      <c r="BV81" s="7">
        <v>4.404593176485466E-3</v>
      </c>
      <c r="BW81" s="7">
        <v>4.40444843199624E-3</v>
      </c>
      <c r="BX81" s="7">
        <v>4.4002439572796816E-3</v>
      </c>
      <c r="BY81" s="7">
        <v>4.3950121180270224E-3</v>
      </c>
      <c r="BZ81" s="7">
        <v>4.3890085929081096E-3</v>
      </c>
      <c r="CA81" s="7">
        <v>4.3820736357730056E-3</v>
      </c>
      <c r="CB81" s="7">
        <v>4.3799859488446204E-3</v>
      </c>
      <c r="CC81" s="7">
        <v>4.3732760961879506E-3</v>
      </c>
      <c r="CD81" s="7">
        <v>4.3586230624906791E-3</v>
      </c>
      <c r="CE81" s="7">
        <v>4.3421816085387165E-3</v>
      </c>
      <c r="CF81" s="7">
        <v>4.328954132041536E-3</v>
      </c>
      <c r="CG81" s="7">
        <v>4.3114309515211845E-3</v>
      </c>
      <c r="CH81" s="7">
        <v>4.2914654112790069E-3</v>
      </c>
      <c r="CI81" s="7">
        <v>4.2748237503369016E-3</v>
      </c>
      <c r="CJ81" s="7">
        <v>4.2633023017164574E-3</v>
      </c>
      <c r="CK81" s="7">
        <v>4.2495449882347207E-3</v>
      </c>
      <c r="CL81" s="7">
        <v>4.2386346811383547E-3</v>
      </c>
      <c r="CM81" s="7">
        <v>4.2307228932972167E-3</v>
      </c>
      <c r="CN81" s="7">
        <v>4.2186921802893872E-3</v>
      </c>
      <c r="CO81" s="7">
        <v>4.2070144345452117E-3</v>
      </c>
      <c r="CP81" s="7">
        <v>4.19900617330637E-3</v>
      </c>
      <c r="CQ81" s="7">
        <v>4.1920475107608216E-3</v>
      </c>
      <c r="CR81" s="7">
        <v>4.1869117042566588E-3</v>
      </c>
      <c r="CS81" s="7">
        <v>4.1800547871195907E-3</v>
      </c>
      <c r="CT81" s="2"/>
    </row>
    <row r="82" spans="1:98" x14ac:dyDescent="0.35">
      <c r="A82" s="1" t="str">
        <f>'Population Definitions'!$B$4</f>
        <v>atsi_65+_M</v>
      </c>
      <c r="C82" t="s">
        <v>40</v>
      </c>
      <c r="D82" s="3"/>
      <c r="E82" s="2"/>
      <c r="F82" s="4" t="s">
        <v>36</v>
      </c>
      <c r="G82" s="7">
        <v>9.9922152295666561E-2</v>
      </c>
      <c r="H82" s="7">
        <v>9.8913272514925599E-2</v>
      </c>
      <c r="I82" s="7">
        <v>0.1015546179149999</v>
      </c>
      <c r="J82" s="7">
        <v>9.4781553774600638E-2</v>
      </c>
      <c r="K82" s="7">
        <v>9.3095341961126399E-2</v>
      </c>
      <c r="L82" s="7">
        <v>9.7557108694790562E-2</v>
      </c>
      <c r="M82" s="7">
        <v>9.1214434577106721E-2</v>
      </c>
      <c r="N82" s="7">
        <v>9.1392302916599361E-2</v>
      </c>
      <c r="O82" s="7">
        <v>9.0991049089839515E-2</v>
      </c>
      <c r="P82" s="7">
        <v>9.2833188297379687E-2</v>
      </c>
      <c r="Q82" s="7">
        <v>8.6538471052097776E-2</v>
      </c>
      <c r="R82" s="7">
        <v>8.4231975146544971E-2</v>
      </c>
      <c r="S82" s="7">
        <v>8.5991182880344172E-2</v>
      </c>
      <c r="T82" s="7">
        <v>8.301190687193713E-2</v>
      </c>
      <c r="U82" s="7">
        <v>8.5375814117232968E-2</v>
      </c>
      <c r="V82" s="7">
        <v>8.1707914621461597E-2</v>
      </c>
      <c r="W82" s="7">
        <v>8.2810175698835531E-2</v>
      </c>
      <c r="X82" s="7">
        <v>8.0389600021289601E-2</v>
      </c>
      <c r="Y82" s="7">
        <v>7.8024026262942081E-2</v>
      </c>
      <c r="Z82" s="7">
        <v>7.6806576518010566E-2</v>
      </c>
      <c r="AA82" s="7">
        <v>7.534830821723057E-2</v>
      </c>
      <c r="AB82" s="7">
        <v>7.3469715997767041E-2</v>
      </c>
      <c r="AC82" s="7">
        <v>7.5080494552684174E-2</v>
      </c>
      <c r="AD82" s="7">
        <v>7.2616484891829133E-2</v>
      </c>
      <c r="AE82" s="7">
        <v>7.1566652678696316E-2</v>
      </c>
      <c r="AF82" s="7">
        <v>6.8149879906655678E-2</v>
      </c>
      <c r="AG82" s="7">
        <v>6.8491984063957442E-2</v>
      </c>
      <c r="AH82" s="7">
        <v>6.846669854851424E-2</v>
      </c>
      <c r="AI82" s="7">
        <v>6.9966219240427688E-2</v>
      </c>
      <c r="AJ82" s="7">
        <v>6.5936564776745601E-2</v>
      </c>
      <c r="AK82" s="7">
        <v>6.5075727038828801E-2</v>
      </c>
      <c r="AL82" s="7">
        <v>6.4865504556911036E-2</v>
      </c>
      <c r="AM82" s="7">
        <v>6.214460943674513E-2</v>
      </c>
      <c r="AN82" s="7">
        <v>6.06475262786344E-2</v>
      </c>
      <c r="AO82" s="7">
        <v>6.0306221446746078E-2</v>
      </c>
      <c r="AP82" s="7">
        <v>6.0721890656235213E-2</v>
      </c>
      <c r="AQ82" s="7">
        <v>5.9569914782562093E-2</v>
      </c>
      <c r="AR82" s="7">
        <v>5.8718694136978403E-2</v>
      </c>
      <c r="AS82" s="7">
        <v>5.6432217556296321E-2</v>
      </c>
      <c r="AT82" s="7">
        <v>5.8286061867425125E-2</v>
      </c>
      <c r="AU82" s="7">
        <v>5.4289455180767859E-2</v>
      </c>
      <c r="AV82" s="7">
        <v>5.6423275601626403E-2</v>
      </c>
      <c r="AW82" s="7">
        <v>5.5502198281596173E-2</v>
      </c>
      <c r="AX82" s="7">
        <v>5.5167586757706881E-2</v>
      </c>
      <c r="AY82" s="7">
        <v>5.4895614929718721E-2</v>
      </c>
      <c r="AZ82" s="7">
        <v>5.4671161586219368E-2</v>
      </c>
      <c r="BA82" s="7">
        <v>5.4091154192147689E-2</v>
      </c>
      <c r="BB82" s="7">
        <v>5.4167536703499837E-2</v>
      </c>
      <c r="BC82" s="7">
        <v>5.4310081547491687E-2</v>
      </c>
      <c r="BD82" s="7">
        <v>5.4549282184384963E-2</v>
      </c>
      <c r="BE82" s="7">
        <v>5.4914091706507365E-2</v>
      </c>
      <c r="BF82" s="7">
        <v>5.5358611942773757E-2</v>
      </c>
      <c r="BG82" s="7">
        <v>5.603986438518832E-2</v>
      </c>
      <c r="BH82" s="7">
        <v>5.6693400947719373E-2</v>
      </c>
      <c r="BI82" s="7">
        <v>5.7306642551150248E-2</v>
      </c>
      <c r="BJ82" s="7">
        <v>5.7881259907510717E-2</v>
      </c>
      <c r="BK82" s="7">
        <v>5.8287938434635679E-2</v>
      </c>
      <c r="BL82" s="7">
        <v>5.8831812596369444E-2</v>
      </c>
      <c r="BM82" s="7">
        <v>5.9423966346367998E-2</v>
      </c>
      <c r="BN82" s="7">
        <v>6.0022670783304803E-2</v>
      </c>
      <c r="BO82" s="7">
        <v>6.0632564623732489E-2</v>
      </c>
      <c r="BP82" s="7">
        <v>6.1228170986781287E-2</v>
      </c>
      <c r="BQ82" s="7">
        <v>6.1813770275214078E-2</v>
      </c>
      <c r="BR82" s="7">
        <v>6.2358536362844323E-2</v>
      </c>
      <c r="BS82" s="7">
        <v>6.2811405071760168E-2</v>
      </c>
      <c r="BT82" s="7">
        <v>6.3191297319499684E-2</v>
      </c>
      <c r="BU82" s="7">
        <v>6.3431617708538876E-2</v>
      </c>
      <c r="BV82" s="7">
        <v>6.3575802064027673E-2</v>
      </c>
      <c r="BW82" s="7">
        <v>6.3624120346595842E-2</v>
      </c>
      <c r="BX82" s="7">
        <v>6.3652130304266724E-2</v>
      </c>
      <c r="BY82" s="7">
        <v>6.3641399367328641E-2</v>
      </c>
      <c r="BZ82" s="7">
        <v>6.3590280100567373E-2</v>
      </c>
      <c r="CA82" s="7">
        <v>6.3526033763510084E-2</v>
      </c>
      <c r="CB82" s="7">
        <v>6.3436951915438883E-2</v>
      </c>
      <c r="CC82" s="7">
        <v>6.3296710228292002E-2</v>
      </c>
      <c r="CD82" s="7">
        <v>6.3102144087509915E-2</v>
      </c>
      <c r="CE82" s="7">
        <v>6.28993490315784E-2</v>
      </c>
      <c r="CF82" s="7">
        <v>6.2735514069144807E-2</v>
      </c>
      <c r="CG82" s="7">
        <v>6.25720109667256E-2</v>
      </c>
      <c r="CH82" s="7">
        <v>6.2405607526707048E-2</v>
      </c>
      <c r="CI82" s="7">
        <v>6.2222755537522566E-2</v>
      </c>
      <c r="CJ82" s="7">
        <v>6.2121456403341602E-2</v>
      </c>
      <c r="CK82" s="7">
        <v>6.2081465283383999E-2</v>
      </c>
      <c r="CL82" s="7">
        <v>6.2085158878292808E-2</v>
      </c>
      <c r="CM82" s="7">
        <v>6.2072913800046238E-2</v>
      </c>
      <c r="CN82" s="7">
        <v>6.201885228082385E-2</v>
      </c>
      <c r="CO82" s="7">
        <v>6.1992522198085605E-2</v>
      </c>
      <c r="CP82" s="7">
        <v>6.2057493671127693E-2</v>
      </c>
      <c r="CQ82" s="7">
        <v>6.2132408672970568E-2</v>
      </c>
      <c r="CR82" s="7">
        <v>6.2185247552118093E-2</v>
      </c>
      <c r="CS82" s="7">
        <v>6.2219314383759203E-2</v>
      </c>
      <c r="CT82" s="2"/>
    </row>
    <row r="83" spans="1:98" x14ac:dyDescent="0.35">
      <c r="A83" s="1" t="str">
        <f>'Population Definitions'!$B$5</f>
        <v>atsi_0-14_F</v>
      </c>
      <c r="C83" t="s">
        <v>40</v>
      </c>
      <c r="D83" s="3"/>
      <c r="E83" s="2"/>
      <c r="F83" s="4" t="s">
        <v>36</v>
      </c>
      <c r="G83" s="7">
        <v>2.5232058521980362E-3</v>
      </c>
      <c r="H83" s="7">
        <v>2.3799845298928851E-3</v>
      </c>
      <c r="I83" s="7">
        <v>2.4765333759565081E-3</v>
      </c>
      <c r="J83" s="7">
        <v>2.3616522528537736E-3</v>
      </c>
      <c r="K83" s="7">
        <v>2.0886842184212246E-3</v>
      </c>
      <c r="L83" s="7">
        <v>2.3580589590325332E-3</v>
      </c>
      <c r="M83" s="7">
        <v>2.0816414717299428E-3</v>
      </c>
      <c r="N83" s="7">
        <v>1.9276320322815733E-3</v>
      </c>
      <c r="O83" s="7">
        <v>2.0287957901928646E-3</v>
      </c>
      <c r="P83" s="7">
        <v>1.9311731172189442E-3</v>
      </c>
      <c r="Q83" s="7">
        <v>1.9455166892473729E-3</v>
      </c>
      <c r="R83" s="7">
        <v>1.6814596778947492E-3</v>
      </c>
      <c r="S83" s="7">
        <v>1.6846182453037581E-3</v>
      </c>
      <c r="T83" s="7">
        <v>1.5072271004468931E-3</v>
      </c>
      <c r="U83" s="7">
        <v>1.463142620489425E-3</v>
      </c>
      <c r="V83" s="7">
        <v>1.4620429637171295E-3</v>
      </c>
      <c r="W83" s="7">
        <v>1.3866106913698387E-3</v>
      </c>
      <c r="X83" s="7">
        <v>1.3025156029167007E-3</v>
      </c>
      <c r="Y83" s="7">
        <v>1.2478440060649354E-3</v>
      </c>
      <c r="Z83" s="7">
        <v>1.3135711557423844E-3</v>
      </c>
      <c r="AA83" s="7">
        <v>1.2317627487171811E-3</v>
      </c>
      <c r="AB83" s="7">
        <v>1.195660564544183E-3</v>
      </c>
      <c r="AC83" s="7">
        <v>1.2044933637189443E-3</v>
      </c>
      <c r="AD83" s="7">
        <v>1.156984253296731E-3</v>
      </c>
      <c r="AE83" s="7">
        <v>1.1008300112657471E-3</v>
      </c>
      <c r="AF83" s="7">
        <v>1.2139858736008998E-3</v>
      </c>
      <c r="AG83" s="7">
        <v>1.111249284128341E-3</v>
      </c>
      <c r="AH83" s="7">
        <v>1.086373249556277E-3</v>
      </c>
      <c r="AI83" s="7">
        <v>1.019677037909062E-3</v>
      </c>
      <c r="AJ83" s="7">
        <v>1.0209226963420589E-3</v>
      </c>
      <c r="AK83" s="7">
        <v>9.3058217596063463E-4</v>
      </c>
      <c r="AL83" s="7">
        <v>9.4848656391180019E-4</v>
      </c>
      <c r="AM83" s="7">
        <v>8.5768310446678552E-4</v>
      </c>
      <c r="AN83" s="7">
        <v>8.7975556289041491E-4</v>
      </c>
      <c r="AO83" s="7">
        <v>7.2254549781536369E-4</v>
      </c>
      <c r="AP83" s="7">
        <v>6.8603276155792853E-4</v>
      </c>
      <c r="AQ83" s="7">
        <v>5.9154849286643875E-4</v>
      </c>
      <c r="AR83" s="7">
        <v>6.3237129010430989E-4</v>
      </c>
      <c r="AS83" s="7">
        <v>5.6742541983775905E-4</v>
      </c>
      <c r="AT83" s="7">
        <v>5.9365055029320568E-4</v>
      </c>
      <c r="AU83" s="7">
        <v>5.7154369736850071E-4</v>
      </c>
      <c r="AV83" s="7">
        <v>6.0412090835100301E-4</v>
      </c>
      <c r="AW83" s="7">
        <v>6.4666532249678193E-4</v>
      </c>
      <c r="AX83" s="7">
        <v>6.343946484312741E-4</v>
      </c>
      <c r="AY83" s="7">
        <v>6.3521834730042735E-4</v>
      </c>
      <c r="AZ83" s="7">
        <v>6.3452449870057663E-4</v>
      </c>
      <c r="BA83" s="7">
        <v>6.2898871883471379E-4</v>
      </c>
      <c r="BB83" s="7">
        <v>6.3048227361167176E-4</v>
      </c>
      <c r="BC83" s="7">
        <v>6.2681113182658167E-4</v>
      </c>
      <c r="BD83" s="7">
        <v>6.2610401681144118E-4</v>
      </c>
      <c r="BE83" s="7">
        <v>6.2367477198172578E-4</v>
      </c>
      <c r="BF83" s="7">
        <v>6.2030475832508601E-4</v>
      </c>
      <c r="BG83" s="7">
        <v>6.1431059149095286E-4</v>
      </c>
      <c r="BH83" s="7">
        <v>6.0900380621004696E-4</v>
      </c>
      <c r="BI83" s="7">
        <v>6.0877467225058568E-4</v>
      </c>
      <c r="BJ83" s="7">
        <v>6.0426963122747822E-4</v>
      </c>
      <c r="BK83" s="7">
        <v>6.0314339558430739E-4</v>
      </c>
      <c r="BL83" s="7">
        <v>6.0188681818432134E-4</v>
      </c>
      <c r="BM83" s="7">
        <v>6.0059396843532755E-4</v>
      </c>
      <c r="BN83" s="7">
        <v>6.0075792747402222E-4</v>
      </c>
      <c r="BO83" s="7">
        <v>5.9763519330257859E-4</v>
      </c>
      <c r="BP83" s="7">
        <v>5.9726439918789684E-4</v>
      </c>
      <c r="BQ83" s="7">
        <v>5.9361756857170182E-4</v>
      </c>
      <c r="BR83" s="7">
        <v>5.9111459807536203E-4</v>
      </c>
      <c r="BS83" s="7">
        <v>5.8848869255162333E-4</v>
      </c>
      <c r="BT83" s="7">
        <v>5.8584628063578783E-4</v>
      </c>
      <c r="BU83" s="7">
        <v>5.8323294371925502E-4</v>
      </c>
      <c r="BV83" s="7">
        <v>5.8068496996933352E-4</v>
      </c>
      <c r="BW83" s="7">
        <v>5.7825901106203369E-4</v>
      </c>
      <c r="BX83" s="7">
        <v>5.7457457521833369E-4</v>
      </c>
      <c r="BY83" s="7">
        <v>5.724885115131037E-4</v>
      </c>
      <c r="BZ83" s="7">
        <v>5.7060549952889998E-4</v>
      </c>
      <c r="CA83" s="7">
        <v>5.6727133770731063E-4</v>
      </c>
      <c r="CB83" s="7">
        <v>5.6565885888536932E-4</v>
      </c>
      <c r="CC83" s="7">
        <v>5.642049382027464E-4</v>
      </c>
      <c r="CD83" s="7">
        <v>5.6128534689562574E-4</v>
      </c>
      <c r="CE83" s="7">
        <v>5.5999119366849988E-4</v>
      </c>
      <c r="CF83" s="7">
        <v>5.5873923382036145E-4</v>
      </c>
      <c r="CG83" s="7">
        <v>5.5749554993471482E-4</v>
      </c>
      <c r="CH83" s="7">
        <v>5.5623910278715079E-4</v>
      </c>
      <c r="CI83" s="7">
        <v>5.5497669285588713E-4</v>
      </c>
      <c r="CJ83" s="7">
        <v>5.5370920715508453E-4</v>
      </c>
      <c r="CK83" s="7">
        <v>5.5103633560532215E-4</v>
      </c>
      <c r="CL83" s="7">
        <v>5.483330561931798E-4</v>
      </c>
      <c r="CM83" s="7">
        <v>5.4860169892440578E-4</v>
      </c>
      <c r="CN83" s="7">
        <v>5.4727035713305315E-4</v>
      </c>
      <c r="CO83" s="7">
        <v>5.4310865895370165E-4</v>
      </c>
      <c r="CP83" s="7">
        <v>5.4174343355886374E-4</v>
      </c>
      <c r="CQ83" s="7">
        <v>5.4031377345685439E-4</v>
      </c>
      <c r="CR83" s="7">
        <v>5.3883343708984713E-4</v>
      </c>
      <c r="CS83" s="7">
        <v>5.3586759684308243E-4</v>
      </c>
      <c r="CT83" s="2"/>
    </row>
    <row r="84" spans="1:98" x14ac:dyDescent="0.35">
      <c r="A84" s="1" t="str">
        <f>'Population Definitions'!$B$6</f>
        <v>atsi_15-64_F</v>
      </c>
      <c r="C84" t="s">
        <v>40</v>
      </c>
      <c r="D84" s="3"/>
      <c r="E84" s="2"/>
      <c r="F84" s="4" t="s">
        <v>36</v>
      </c>
      <c r="G84" s="7">
        <v>6.4874715117115307E-3</v>
      </c>
      <c r="H84" s="7">
        <v>6.2894201592337343E-3</v>
      </c>
      <c r="I84" s="7">
        <v>6.405640972632699E-3</v>
      </c>
      <c r="J84" s="7">
        <v>6.1798909175897702E-3</v>
      </c>
      <c r="K84" s="7">
        <v>5.9541260678878894E-3</v>
      </c>
      <c r="L84" s="7">
        <v>6.1539271759352646E-3</v>
      </c>
      <c r="M84" s="7">
        <v>5.8891871503404707E-3</v>
      </c>
      <c r="N84" s="7">
        <v>5.7215100773829993E-3</v>
      </c>
      <c r="O84" s="7">
        <v>5.7691348456070605E-3</v>
      </c>
      <c r="P84" s="7">
        <v>5.6038973446399113E-3</v>
      </c>
      <c r="Q84" s="7">
        <v>5.3039051420561215E-3</v>
      </c>
      <c r="R84" s="7">
        <v>5.2267144316904086E-3</v>
      </c>
      <c r="S84" s="7">
        <v>5.1224296669951791E-3</v>
      </c>
      <c r="T84" s="7">
        <v>4.9218025754048803E-3</v>
      </c>
      <c r="U84" s="7">
        <v>4.8177600922794011E-3</v>
      </c>
      <c r="V84" s="7">
        <v>4.747448538984218E-3</v>
      </c>
      <c r="W84" s="7">
        <v>4.6588055910647096E-3</v>
      </c>
      <c r="X84" s="7">
        <v>4.6990287778600212E-3</v>
      </c>
      <c r="Y84" s="7">
        <v>4.5063753780208732E-3</v>
      </c>
      <c r="Z84" s="7">
        <v>4.3666122910127119E-3</v>
      </c>
      <c r="AA84" s="7">
        <v>4.2790057863305647E-3</v>
      </c>
      <c r="AB84" s="7">
        <v>4.0745744529488842E-3</v>
      </c>
      <c r="AC84" s="7">
        <v>4.1143234332052785E-3</v>
      </c>
      <c r="AD84" s="7">
        <v>4.0028655964377564E-3</v>
      </c>
      <c r="AE84" s="7">
        <v>3.8589174684642933E-3</v>
      </c>
      <c r="AF84" s="7">
        <v>3.7276389231404704E-3</v>
      </c>
      <c r="AG84" s="7">
        <v>3.7232197123933282E-3</v>
      </c>
      <c r="AH84" s="7">
        <v>3.7883089979654427E-3</v>
      </c>
      <c r="AI84" s="7">
        <v>3.6981726281347569E-3</v>
      </c>
      <c r="AJ84" s="7">
        <v>3.7147374995147087E-3</v>
      </c>
      <c r="AK84" s="7">
        <v>3.5933096545134493E-3</v>
      </c>
      <c r="AL84" s="7">
        <v>3.5981483757234942E-3</v>
      </c>
      <c r="AM84" s="7">
        <v>3.4960556890834679E-3</v>
      </c>
      <c r="AN84" s="7">
        <v>3.5228916486631521E-3</v>
      </c>
      <c r="AO84" s="7">
        <v>3.5697577803455336E-3</v>
      </c>
      <c r="AP84" s="7">
        <v>3.580729859991041E-3</v>
      </c>
      <c r="AQ84" s="7">
        <v>3.3954110124761938E-3</v>
      </c>
      <c r="AR84" s="7">
        <v>3.2976400297379353E-3</v>
      </c>
      <c r="AS84" s="7">
        <v>3.2945696449758954E-3</v>
      </c>
      <c r="AT84" s="7">
        <v>3.4637019740434943E-3</v>
      </c>
      <c r="AU84" s="7">
        <v>3.2301737114156198E-3</v>
      </c>
      <c r="AV84" s="7">
        <v>3.2932777175181671E-3</v>
      </c>
      <c r="AW84" s="7">
        <v>3.307367097865685E-3</v>
      </c>
      <c r="AX84" s="7">
        <v>3.2686605627280196E-3</v>
      </c>
      <c r="AY84" s="7">
        <v>3.2368057383367907E-3</v>
      </c>
      <c r="AZ84" s="7">
        <v>3.2035079076746008E-3</v>
      </c>
      <c r="BA84" s="7">
        <v>3.145764435539078E-3</v>
      </c>
      <c r="BB84" s="7">
        <v>3.1195435113996976E-3</v>
      </c>
      <c r="BC84" s="7">
        <v>3.0979822297140126E-3</v>
      </c>
      <c r="BD84" s="7">
        <v>3.0826100997544165E-3</v>
      </c>
      <c r="BE84" s="7">
        <v>3.0668763383240889E-3</v>
      </c>
      <c r="BF84" s="7">
        <v>3.0540026733306561E-3</v>
      </c>
      <c r="BG84" s="7">
        <v>3.0437340899756938E-3</v>
      </c>
      <c r="BH84" s="7">
        <v>3.0303954706805626E-3</v>
      </c>
      <c r="BI84" s="7">
        <v>3.0161702836651741E-3</v>
      </c>
      <c r="BJ84" s="7">
        <v>2.9966428519575894E-3</v>
      </c>
      <c r="BK84" s="7">
        <v>2.9764580717528597E-3</v>
      </c>
      <c r="BL84" s="7">
        <v>2.9582024504469389E-3</v>
      </c>
      <c r="BM84" s="7">
        <v>2.9456303112857839E-3</v>
      </c>
      <c r="BN84" s="7">
        <v>2.9323539460833791E-3</v>
      </c>
      <c r="BO84" s="7">
        <v>2.920557301464316E-3</v>
      </c>
      <c r="BP84" s="7">
        <v>2.9139495743852454E-3</v>
      </c>
      <c r="BQ84" s="7">
        <v>2.9089803285688607E-3</v>
      </c>
      <c r="BR84" s="7">
        <v>2.9078613078965766E-3</v>
      </c>
      <c r="BS84" s="7">
        <v>2.9058425101934297E-3</v>
      </c>
      <c r="BT84" s="7">
        <v>2.9038395022849511E-3</v>
      </c>
      <c r="BU84" s="7">
        <v>2.9014628572564846E-3</v>
      </c>
      <c r="BV84" s="7">
        <v>2.9035929386441888E-3</v>
      </c>
      <c r="BW84" s="7">
        <v>2.9050662157323456E-3</v>
      </c>
      <c r="BX84" s="7">
        <v>2.9072556027235101E-3</v>
      </c>
      <c r="BY84" s="7">
        <v>2.9070788063449513E-3</v>
      </c>
      <c r="BZ84" s="7">
        <v>2.9068710864176566E-3</v>
      </c>
      <c r="CA84" s="7">
        <v>2.9090155660481242E-3</v>
      </c>
      <c r="CB84" s="7">
        <v>2.9109347430124333E-3</v>
      </c>
      <c r="CC84" s="7">
        <v>2.9063168667979697E-3</v>
      </c>
      <c r="CD84" s="7">
        <v>2.9020685838973105E-3</v>
      </c>
      <c r="CE84" s="7">
        <v>2.8929338660840568E-3</v>
      </c>
      <c r="CF84" s="7">
        <v>2.8834299854780723E-3</v>
      </c>
      <c r="CG84" s="7">
        <v>2.873007014024551E-3</v>
      </c>
      <c r="CH84" s="7">
        <v>2.865461098837143E-3</v>
      </c>
      <c r="CI84" s="7">
        <v>2.8533517692388016E-3</v>
      </c>
      <c r="CJ84" s="7">
        <v>2.846978052816901E-3</v>
      </c>
      <c r="CK84" s="7">
        <v>2.839706388999259E-3</v>
      </c>
      <c r="CL84" s="7">
        <v>2.8344541969312544E-3</v>
      </c>
      <c r="CM84" s="7">
        <v>2.8312070429130955E-3</v>
      </c>
      <c r="CN84" s="7">
        <v>2.8290748734429235E-3</v>
      </c>
      <c r="CO84" s="7">
        <v>2.8210487050699239E-3</v>
      </c>
      <c r="CP84" s="7">
        <v>2.8172104467390053E-3</v>
      </c>
      <c r="CQ84" s="7">
        <v>2.8206820290463896E-3</v>
      </c>
      <c r="CR84" s="7">
        <v>2.8191930236522887E-3</v>
      </c>
      <c r="CS84" s="7">
        <v>2.8174493270909837E-3</v>
      </c>
      <c r="CT84" s="2"/>
    </row>
    <row r="85" spans="1:98" x14ac:dyDescent="0.35">
      <c r="A85" s="1" t="str">
        <f>'Population Definitions'!$B$7</f>
        <v>atsi_65+_F</v>
      </c>
      <c r="C85" t="s">
        <v>40</v>
      </c>
      <c r="D85" s="3"/>
      <c r="E85" s="2"/>
      <c r="F85" s="4" t="s">
        <v>36</v>
      </c>
      <c r="G85" s="7">
        <v>8.4688329998069606E-2</v>
      </c>
      <c r="H85" s="7">
        <v>8.3013998675832965E-2</v>
      </c>
      <c r="I85" s="7">
        <v>8.6442484926564034E-2</v>
      </c>
      <c r="J85" s="7">
        <v>8.0930403226349423E-2</v>
      </c>
      <c r="K85" s="7">
        <v>8.0473930432993279E-2</v>
      </c>
      <c r="L85" s="7">
        <v>8.6552752205722686E-2</v>
      </c>
      <c r="M85" s="7">
        <v>8.0977875992496881E-2</v>
      </c>
      <c r="N85" s="7">
        <v>8.0803835763913201E-2</v>
      </c>
      <c r="O85" s="7">
        <v>8.0074391317329296E-2</v>
      </c>
      <c r="P85" s="7">
        <v>8.2723438282367598E-2</v>
      </c>
      <c r="Q85" s="7">
        <v>7.820505611504161E-2</v>
      </c>
      <c r="R85" s="7">
        <v>7.593501026961208E-2</v>
      </c>
      <c r="S85" s="7">
        <v>7.8345895776581728E-2</v>
      </c>
      <c r="T85" s="7">
        <v>7.5528963703350202E-2</v>
      </c>
      <c r="U85" s="7">
        <v>7.8444911891776214E-2</v>
      </c>
      <c r="V85" s="7">
        <v>7.6489035968422853E-2</v>
      </c>
      <c r="W85" s="7">
        <v>7.7444530000783704E-2</v>
      </c>
      <c r="X85" s="7">
        <v>7.7398443669321457E-2</v>
      </c>
      <c r="Y85" s="7">
        <v>7.4294000605967761E-2</v>
      </c>
      <c r="Z85" s="7">
        <v>7.4270119953447414E-2</v>
      </c>
      <c r="AA85" s="7">
        <v>7.3893387987557721E-2</v>
      </c>
      <c r="AB85" s="7">
        <v>7.2961975346694116E-2</v>
      </c>
      <c r="AC85" s="7">
        <v>7.562531678803365E-2</v>
      </c>
      <c r="AD85" s="7">
        <v>7.3521084893162905E-2</v>
      </c>
      <c r="AE85" s="7">
        <v>7.2826192194157369E-2</v>
      </c>
      <c r="AF85" s="7">
        <v>7.0690143720908968E-2</v>
      </c>
      <c r="AG85" s="7">
        <v>7.1663170577937363E-2</v>
      </c>
      <c r="AH85" s="7">
        <v>7.2120349154537397E-2</v>
      </c>
      <c r="AI85" s="7">
        <v>7.4440166590387755E-2</v>
      </c>
      <c r="AJ85" s="7">
        <v>6.9845578573367581E-2</v>
      </c>
      <c r="AK85" s="7">
        <v>6.9845023170585732E-2</v>
      </c>
      <c r="AL85" s="7">
        <v>6.9472681619532198E-2</v>
      </c>
      <c r="AM85" s="7">
        <v>6.7995393356906214E-2</v>
      </c>
      <c r="AN85" s="7">
        <v>6.5188361954109639E-2</v>
      </c>
      <c r="AO85" s="7">
        <v>6.9923553188288801E-2</v>
      </c>
      <c r="AP85" s="7">
        <v>7.0410544554951202E-2</v>
      </c>
      <c r="AQ85" s="7">
        <v>6.7276458606474604E-2</v>
      </c>
      <c r="AR85" s="7">
        <v>6.6796324927371004E-2</v>
      </c>
      <c r="AS85" s="7">
        <v>6.2914029935467797E-2</v>
      </c>
      <c r="AT85" s="7">
        <v>6.4900730765843198E-2</v>
      </c>
      <c r="AU85" s="7">
        <v>5.92398097841332E-2</v>
      </c>
      <c r="AV85" s="7">
        <v>6.1971784346625799E-2</v>
      </c>
      <c r="AW85" s="7">
        <v>5.99782124891102E-2</v>
      </c>
      <c r="AX85" s="7">
        <v>5.9272916262278402E-2</v>
      </c>
      <c r="AY85" s="7">
        <v>5.86535022995026E-2</v>
      </c>
      <c r="AZ85" s="7">
        <v>5.8124441628284208E-2</v>
      </c>
      <c r="BA85" s="7">
        <v>5.7369484302299399E-2</v>
      </c>
      <c r="BB85" s="7">
        <v>5.7285706441774401E-2</v>
      </c>
      <c r="BC85" s="7">
        <v>5.7309968822787397E-2</v>
      </c>
      <c r="BD85" s="7">
        <v>5.7505984922177393E-2</v>
      </c>
      <c r="BE85" s="7">
        <v>5.7906827295799601E-2</v>
      </c>
      <c r="BF85" s="7">
        <v>5.8425418627577601E-2</v>
      </c>
      <c r="BG85" s="7">
        <v>5.9177654972510201E-2</v>
      </c>
      <c r="BH85" s="7">
        <v>5.9946829849215996E-2</v>
      </c>
      <c r="BI85" s="7">
        <v>6.0684271288840602E-2</v>
      </c>
      <c r="BJ85" s="7">
        <v>6.1481921229711002E-2</v>
      </c>
      <c r="BK85" s="7">
        <v>6.21122315380368E-2</v>
      </c>
      <c r="BL85" s="7">
        <v>6.2870664549834199E-2</v>
      </c>
      <c r="BM85" s="7">
        <v>6.3738401665405398E-2</v>
      </c>
      <c r="BN85" s="7">
        <v>6.4657439904391406E-2</v>
      </c>
      <c r="BO85" s="7">
        <v>6.5626895041431405E-2</v>
      </c>
      <c r="BP85" s="7">
        <v>6.6585704366964593E-2</v>
      </c>
      <c r="BQ85" s="7">
        <v>6.7512790322158595E-2</v>
      </c>
      <c r="BR85" s="7">
        <v>6.8353684608705195E-2</v>
      </c>
      <c r="BS85" s="7">
        <v>6.9076340622740207E-2</v>
      </c>
      <c r="BT85" s="7">
        <v>6.9720246146112996E-2</v>
      </c>
      <c r="BU85" s="7">
        <v>7.02075405787322E-2</v>
      </c>
      <c r="BV85" s="7">
        <v>7.0594288387423404E-2</v>
      </c>
      <c r="BW85" s="7">
        <v>7.08704249651642E-2</v>
      </c>
      <c r="BX85" s="7">
        <v>7.1103133347466596E-2</v>
      </c>
      <c r="BY85" s="7">
        <v>7.1267007890961395E-2</v>
      </c>
      <c r="BZ85" s="7">
        <v>7.1393271589647797E-2</v>
      </c>
      <c r="CA85" s="7">
        <v>7.1477759669750798E-2</v>
      </c>
      <c r="CB85" s="7">
        <v>7.15038770933214E-2</v>
      </c>
      <c r="CC85" s="7">
        <v>7.1483049106636998E-2</v>
      </c>
      <c r="CD85" s="7">
        <v>7.1379304222564E-2</v>
      </c>
      <c r="CE85" s="7">
        <v>7.1243365744617607E-2</v>
      </c>
      <c r="CF85" s="7">
        <v>7.11194401071302E-2</v>
      </c>
      <c r="CG85" s="7">
        <v>7.0985699015012602E-2</v>
      </c>
      <c r="CH85" s="7">
        <v>7.0870372658604006E-2</v>
      </c>
      <c r="CI85" s="7">
        <v>7.0753642908008604E-2</v>
      </c>
      <c r="CJ85" s="7">
        <v>7.0712469945904396E-2</v>
      </c>
      <c r="CK85" s="7">
        <v>7.0742904614072996E-2</v>
      </c>
      <c r="CL85" s="7">
        <v>7.0829489948392194E-2</v>
      </c>
      <c r="CM85" s="7">
        <v>7.0945830924553394E-2</v>
      </c>
      <c r="CN85" s="7">
        <v>7.1029773868991203E-2</v>
      </c>
      <c r="CO85" s="7">
        <v>7.1147492990186606E-2</v>
      </c>
      <c r="CP85" s="7">
        <v>7.1325147278327394E-2</v>
      </c>
      <c r="CQ85" s="7">
        <v>7.15029647763952E-2</v>
      </c>
      <c r="CR85" s="7">
        <v>7.1677507261709197E-2</v>
      </c>
      <c r="CS85" s="7">
        <v>7.1853539838768798E-2</v>
      </c>
      <c r="CT85" s="2"/>
    </row>
    <row r="86" spans="1:98" x14ac:dyDescent="0.35">
      <c r="A86" s="1" t="str">
        <f>'Population Definitions'!$B$8</f>
        <v>ausb_0-14_M</v>
      </c>
      <c r="C86" t="s">
        <v>40</v>
      </c>
      <c r="D86" s="3"/>
      <c r="E86" s="2"/>
      <c r="F86" s="4" t="s">
        <v>36</v>
      </c>
      <c r="G86" s="7">
        <v>1.0123048860904821E-3</v>
      </c>
      <c r="H86" s="7">
        <v>9.7192860225567745E-4</v>
      </c>
      <c r="I86" s="7">
        <v>1.0466144946957878E-3</v>
      </c>
      <c r="J86" s="7">
        <v>9.2479267024097049E-4</v>
      </c>
      <c r="K86" s="7">
        <v>8.8630595851211136E-4</v>
      </c>
      <c r="L86" s="7">
        <v>9.6383294910202426E-4</v>
      </c>
      <c r="M86" s="7">
        <v>8.7690072861522849E-4</v>
      </c>
      <c r="N86" s="7">
        <v>8.5771224631500285E-4</v>
      </c>
      <c r="O86" s="7">
        <v>8.4243523104596404E-4</v>
      </c>
      <c r="P86" s="7">
        <v>7.7932618730086449E-4</v>
      </c>
      <c r="Q86" s="7">
        <v>8.1327858745239962E-4</v>
      </c>
      <c r="R86" s="7">
        <v>6.8998272414455618E-4</v>
      </c>
      <c r="S86" s="7">
        <v>7.0013681862492226E-4</v>
      </c>
      <c r="T86" s="7">
        <v>6.3582133726837692E-4</v>
      </c>
      <c r="U86" s="7">
        <v>5.9104323226653703E-4</v>
      </c>
      <c r="V86" s="7">
        <v>5.5530869409760417E-4</v>
      </c>
      <c r="W86" s="7">
        <v>5.7486715192346519E-4</v>
      </c>
      <c r="X86" s="7">
        <v>5.1492012876702643E-4</v>
      </c>
      <c r="Y86" s="7">
        <v>4.9055663676135324E-4</v>
      </c>
      <c r="Z86" s="7">
        <v>5.0675247482774393E-4</v>
      </c>
      <c r="AA86" s="7">
        <v>4.6922557148314795E-4</v>
      </c>
      <c r="AB86" s="7">
        <v>4.6808399159522753E-4</v>
      </c>
      <c r="AC86" s="7">
        <v>4.5032151782968001E-4</v>
      </c>
      <c r="AD86" s="7">
        <v>4.1564711981455585E-4</v>
      </c>
      <c r="AE86" s="7">
        <v>4.2158644594191068E-4</v>
      </c>
      <c r="AF86" s="7">
        <v>4.1866919003000794E-4</v>
      </c>
      <c r="AG86" s="7">
        <v>4.1110822902566999E-4</v>
      </c>
      <c r="AH86" s="7">
        <v>3.8353616877860629E-4</v>
      </c>
      <c r="AI86" s="7">
        <v>3.9783072923982998E-4</v>
      </c>
      <c r="AJ86" s="7">
        <v>4.0337436009204539E-4</v>
      </c>
      <c r="AK86" s="7">
        <v>4.0536969734543497E-4</v>
      </c>
      <c r="AL86" s="7">
        <v>3.4920898023003532E-4</v>
      </c>
      <c r="AM86" s="7">
        <v>3.1675994073509112E-4</v>
      </c>
      <c r="AN86" s="7">
        <v>3.2769423901596247E-4</v>
      </c>
      <c r="AO86" s="7">
        <v>3.1317687504222057E-4</v>
      </c>
      <c r="AP86" s="7">
        <v>3.2730041309415913E-4</v>
      </c>
      <c r="AQ86" s="7">
        <v>3.1803795979153885E-4</v>
      </c>
      <c r="AR86" s="7">
        <v>3.1950441250030141E-4</v>
      </c>
      <c r="AS86" s="7">
        <v>3.0539553289869422E-4</v>
      </c>
      <c r="AT86" s="7">
        <v>3.1771026837569777E-4</v>
      </c>
      <c r="AU86" s="7">
        <v>2.7739145861386015E-4</v>
      </c>
      <c r="AV86" s="7">
        <v>3.0766344647796003E-4</v>
      </c>
      <c r="AW86" s="7">
        <v>3.0369624943860345E-4</v>
      </c>
      <c r="AX86" s="7">
        <v>2.9533031778235014E-4</v>
      </c>
      <c r="AY86" s="7">
        <v>2.9076351917373247E-4</v>
      </c>
      <c r="AZ86" s="7">
        <v>2.8313566542242181E-4</v>
      </c>
      <c r="BA86" s="7">
        <v>2.7791175705826524E-4</v>
      </c>
      <c r="BB86" s="7">
        <v>2.7479005669363201E-4</v>
      </c>
      <c r="BC86" s="7">
        <v>2.7376456018094359E-4</v>
      </c>
      <c r="BD86" s="7">
        <v>2.7108185881481197E-4</v>
      </c>
      <c r="BE86" s="7">
        <v>2.6958577166288499E-4</v>
      </c>
      <c r="BF86" s="7">
        <v>2.6696614028517583E-4</v>
      </c>
      <c r="BG86" s="7">
        <v>2.6621034899225449E-4</v>
      </c>
      <c r="BH86" s="7">
        <v>2.6472114675533205E-4</v>
      </c>
      <c r="BI86" s="7">
        <v>2.6402784015851292E-4</v>
      </c>
      <c r="BJ86" s="7">
        <v>2.6329326540928261E-4</v>
      </c>
      <c r="BK86" s="7">
        <v>2.6149720772832474E-4</v>
      </c>
      <c r="BL86" s="7">
        <v>2.6168360034341357E-4</v>
      </c>
      <c r="BM86" s="7">
        <v>2.6106405992491782E-4</v>
      </c>
      <c r="BN86" s="7">
        <v>2.6034708221615979E-4</v>
      </c>
      <c r="BO86" s="7">
        <v>2.5950025024778459E-4</v>
      </c>
      <c r="BP86" s="7">
        <v>2.5907619647157849E-4</v>
      </c>
      <c r="BQ86" s="7">
        <v>2.5779032603750243E-4</v>
      </c>
      <c r="BR86" s="7">
        <v>2.5566941395129954E-4</v>
      </c>
      <c r="BS86" s="7">
        <v>2.5455164430109576E-4</v>
      </c>
      <c r="BT86" s="7">
        <v>2.5324258773613308E-4</v>
      </c>
      <c r="BU86" s="7">
        <v>2.5114442184942867E-4</v>
      </c>
      <c r="BV86" s="7">
        <v>2.489275797938861E-4</v>
      </c>
      <c r="BW86" s="7">
        <v>2.4726737496975714E-4</v>
      </c>
      <c r="BX86" s="7">
        <v>2.455833601546747E-4</v>
      </c>
      <c r="BY86" s="7">
        <v>2.4391282159711163E-4</v>
      </c>
      <c r="BZ86" s="7">
        <v>2.4165745451446512E-4</v>
      </c>
      <c r="CA86" s="7">
        <v>2.3953975780375764E-4</v>
      </c>
      <c r="CB86" s="7">
        <v>2.3810184153657499E-4</v>
      </c>
      <c r="CC86" s="7">
        <v>2.3677307227560604E-4</v>
      </c>
      <c r="CD86" s="7">
        <v>2.3554543306746959E-4</v>
      </c>
      <c r="CE86" s="7">
        <v>2.3377933185131304E-4</v>
      </c>
      <c r="CF86" s="7">
        <v>2.3273272955125069E-4</v>
      </c>
      <c r="CG86" s="7">
        <v>2.3175551501622223E-4</v>
      </c>
      <c r="CH86" s="7">
        <v>2.3084439528292812E-4</v>
      </c>
      <c r="CI86" s="7">
        <v>2.3054839980024403E-4</v>
      </c>
      <c r="CJ86" s="7">
        <v>2.2856346182523177E-4</v>
      </c>
      <c r="CK86" s="7">
        <v>2.2779816038035044E-4</v>
      </c>
      <c r="CL86" s="7">
        <v>2.264282232032301E-4</v>
      </c>
      <c r="CM86" s="7">
        <v>2.2571211815466017E-4</v>
      </c>
      <c r="CN86" s="7">
        <v>2.2500691001718133E-4</v>
      </c>
      <c r="CO86" s="7">
        <v>2.2431137789711992E-4</v>
      </c>
      <c r="CP86" s="7">
        <v>2.241670956284982E-4</v>
      </c>
      <c r="CQ86" s="7">
        <v>2.2228668579187921E-4</v>
      </c>
      <c r="CR86" s="7">
        <v>2.2100864957005193E-4</v>
      </c>
      <c r="CS86" s="7">
        <v>2.2026226274965413E-4</v>
      </c>
      <c r="CT86" s="2"/>
    </row>
    <row r="87" spans="1:98" x14ac:dyDescent="0.35">
      <c r="A87" s="1" t="str">
        <f>'Population Definitions'!$B$9</f>
        <v>ausb_15-64_M</v>
      </c>
      <c r="C87" t="s">
        <v>40</v>
      </c>
      <c r="D87" s="3"/>
      <c r="E87" s="2"/>
      <c r="F87" s="4" t="s">
        <v>36</v>
      </c>
      <c r="G87" s="7">
        <v>4.2088105347836188E-3</v>
      </c>
      <c r="H87" s="7">
        <v>4.0468899534859114E-3</v>
      </c>
      <c r="I87" s="7">
        <v>4.0124180930578299E-3</v>
      </c>
      <c r="J87" s="7">
        <v>3.7986679944949911E-3</v>
      </c>
      <c r="K87" s="7">
        <v>3.6241594370652083E-3</v>
      </c>
      <c r="L87" s="7">
        <v>3.7225997346595828E-3</v>
      </c>
      <c r="M87" s="7">
        <v>3.5326790808290578E-3</v>
      </c>
      <c r="N87" s="7">
        <v>3.4389602730975945E-3</v>
      </c>
      <c r="O87" s="7">
        <v>3.429755008329973E-3</v>
      </c>
      <c r="P87" s="7">
        <v>3.2973570274742142E-3</v>
      </c>
      <c r="Q87" s="7">
        <v>3.1656702604946009E-3</v>
      </c>
      <c r="R87" s="7">
        <v>3.0284733070346796E-3</v>
      </c>
      <c r="S87" s="7">
        <v>2.9581665187890308E-3</v>
      </c>
      <c r="T87" s="7">
        <v>2.8458206361657084E-3</v>
      </c>
      <c r="U87" s="7">
        <v>2.8083335154593918E-3</v>
      </c>
      <c r="V87" s="7">
        <v>2.7515393703867073E-3</v>
      </c>
      <c r="W87" s="7">
        <v>2.7200763089286202E-3</v>
      </c>
      <c r="X87" s="7">
        <v>2.6935390733901971E-3</v>
      </c>
      <c r="Y87" s="7">
        <v>2.6349535463718989E-3</v>
      </c>
      <c r="Z87" s="7">
        <v>2.5769771114413135E-3</v>
      </c>
      <c r="AA87" s="7">
        <v>2.4898781858084949E-3</v>
      </c>
      <c r="AB87" s="7">
        <v>2.4501536285560332E-3</v>
      </c>
      <c r="AC87" s="7">
        <v>2.3947060195838839E-3</v>
      </c>
      <c r="AD87" s="7">
        <v>2.3787570558002464E-3</v>
      </c>
      <c r="AE87" s="7">
        <v>2.3032118925788211E-3</v>
      </c>
      <c r="AF87" s="7">
        <v>2.2828350732767618E-3</v>
      </c>
      <c r="AG87" s="7">
        <v>2.2338085256720288E-3</v>
      </c>
      <c r="AH87" s="7">
        <v>2.255162041645868E-3</v>
      </c>
      <c r="AI87" s="7">
        <v>2.2345260562470631E-3</v>
      </c>
      <c r="AJ87" s="7">
        <v>2.2053044565371119E-3</v>
      </c>
      <c r="AK87" s="7">
        <v>2.1571008340127598E-3</v>
      </c>
      <c r="AL87" s="7">
        <v>2.1393864148392286E-3</v>
      </c>
      <c r="AM87" s="7">
        <v>2.0407811711421419E-3</v>
      </c>
      <c r="AN87" s="7">
        <v>2.0218310021092433E-3</v>
      </c>
      <c r="AO87" s="7">
        <v>2.1035386707639412E-3</v>
      </c>
      <c r="AP87" s="7">
        <v>2.1292862519080133E-3</v>
      </c>
      <c r="AQ87" s="7">
        <v>2.0554997463665251E-3</v>
      </c>
      <c r="AR87" s="7">
        <v>2.0044101889201888E-3</v>
      </c>
      <c r="AS87" s="7">
        <v>1.9791712961719759E-3</v>
      </c>
      <c r="AT87" s="7">
        <v>2.1525725558547938E-3</v>
      </c>
      <c r="AU87" s="7">
        <v>1.9746376080694941E-3</v>
      </c>
      <c r="AV87" s="7">
        <v>1.9854655795619146E-3</v>
      </c>
      <c r="AW87" s="7">
        <v>1.9936047593896214E-3</v>
      </c>
      <c r="AX87" s="7">
        <v>1.9672167857968772E-3</v>
      </c>
      <c r="AY87" s="7">
        <v>1.9435618675591214E-3</v>
      </c>
      <c r="AZ87" s="7">
        <v>1.9178815178645763E-3</v>
      </c>
      <c r="BA87" s="7">
        <v>1.8809515147302296E-3</v>
      </c>
      <c r="BB87" s="7">
        <v>1.8604034854578298E-3</v>
      </c>
      <c r="BC87" s="7">
        <v>1.8398183431030629E-3</v>
      </c>
      <c r="BD87" s="7">
        <v>1.8211835589438624E-3</v>
      </c>
      <c r="BE87" s="7">
        <v>1.8078254705523461E-3</v>
      </c>
      <c r="BF87" s="7">
        <v>1.7971668111906799E-3</v>
      </c>
      <c r="BG87" s="7">
        <v>1.7928793406071432E-3</v>
      </c>
      <c r="BH87" s="7">
        <v>1.7893355861919259E-3</v>
      </c>
      <c r="BI87" s="7">
        <v>1.7841811026019885E-3</v>
      </c>
      <c r="BJ87" s="7">
        <v>1.7795808930832751E-3</v>
      </c>
      <c r="BK87" s="7">
        <v>1.7686126972156588E-3</v>
      </c>
      <c r="BL87" s="7">
        <v>1.7596890936559569E-3</v>
      </c>
      <c r="BM87" s="7">
        <v>1.7568976927229739E-3</v>
      </c>
      <c r="BN87" s="7">
        <v>1.7560444763910176E-3</v>
      </c>
      <c r="BO87" s="7">
        <v>1.7585364676117163E-3</v>
      </c>
      <c r="BP87" s="7">
        <v>1.762734111941831E-3</v>
      </c>
      <c r="BQ87" s="7">
        <v>1.7682918341987751E-3</v>
      </c>
      <c r="BR87" s="7">
        <v>1.7745279164831393E-3</v>
      </c>
      <c r="BS87" s="7">
        <v>1.7819236083752644E-3</v>
      </c>
      <c r="BT87" s="7">
        <v>1.7867460491007689E-3</v>
      </c>
      <c r="BU87" s="7">
        <v>1.7869997818968919E-3</v>
      </c>
      <c r="BV87" s="7">
        <v>1.7862259242969352E-3</v>
      </c>
      <c r="BW87" s="7">
        <v>1.7822045321662851E-3</v>
      </c>
      <c r="BX87" s="7">
        <v>1.7775359709965009E-3</v>
      </c>
      <c r="BY87" s="7">
        <v>1.7732111590916374E-3</v>
      </c>
      <c r="BZ87" s="7">
        <v>1.7677399613559952E-3</v>
      </c>
      <c r="CA87" s="7">
        <v>1.7617213549063493E-3</v>
      </c>
      <c r="CB87" s="7">
        <v>1.7568984138845562E-3</v>
      </c>
      <c r="CC87" s="7">
        <v>1.7510069499864151E-3</v>
      </c>
      <c r="CD87" s="7">
        <v>1.7428791104726726E-3</v>
      </c>
      <c r="CE87" s="7">
        <v>1.7349420377156138E-3</v>
      </c>
      <c r="CF87" s="7">
        <v>1.7303727177131239E-3</v>
      </c>
      <c r="CG87" s="7">
        <v>1.7247290872415642E-3</v>
      </c>
      <c r="CH87" s="7">
        <v>1.7178854639106017E-3</v>
      </c>
      <c r="CI87" s="7">
        <v>1.711249598288447E-3</v>
      </c>
      <c r="CJ87" s="7">
        <v>1.7074553445528239E-3</v>
      </c>
      <c r="CK87" s="7">
        <v>1.7046339515299266E-3</v>
      </c>
      <c r="CL87" s="7">
        <v>1.7041140069810775E-3</v>
      </c>
      <c r="CM87" s="7">
        <v>1.7035916616799816E-3</v>
      </c>
      <c r="CN87" s="7">
        <v>1.6996724593141513E-3</v>
      </c>
      <c r="CO87" s="7">
        <v>1.6969390946846184E-3</v>
      </c>
      <c r="CP87" s="7">
        <v>1.6962867399640492E-3</v>
      </c>
      <c r="CQ87" s="7">
        <v>1.6954446101431016E-3</v>
      </c>
      <c r="CR87" s="7">
        <v>1.6933501410908048E-3</v>
      </c>
      <c r="CS87" s="7">
        <v>1.6884920858656915E-3</v>
      </c>
      <c r="CT87" s="2"/>
    </row>
    <row r="88" spans="1:98" x14ac:dyDescent="0.35">
      <c r="A88" s="1" t="str">
        <f>'Population Definitions'!$B$10</f>
        <v>ausb_65+_M</v>
      </c>
      <c r="C88" t="s">
        <v>40</v>
      </c>
      <c r="D88" s="3"/>
      <c r="E88" s="2"/>
      <c r="F88" s="4" t="s">
        <v>36</v>
      </c>
      <c r="G88" s="7">
        <v>6.2070200942484319E-2</v>
      </c>
      <c r="H88" s="7">
        <v>6.144559709101019E-2</v>
      </c>
      <c r="I88" s="7">
        <v>6.3088570145559089E-2</v>
      </c>
      <c r="J88" s="7">
        <v>5.8880666109234529E-2</v>
      </c>
      <c r="K88" s="7">
        <v>5.783332631150135E-2</v>
      </c>
      <c r="L88" s="7">
        <v>6.060802907610733E-2</v>
      </c>
      <c r="M88" s="7">
        <v>5.6673361491435668E-2</v>
      </c>
      <c r="N88" s="7">
        <v>5.678854164136405E-2</v>
      </c>
      <c r="O88" s="7">
        <v>5.6541970474815878E-2</v>
      </c>
      <c r="P88" s="7">
        <v>5.7690200051515657E-2</v>
      </c>
      <c r="Q88" s="7">
        <v>5.3779926795798884E-2</v>
      </c>
      <c r="R88" s="7">
        <v>5.2349622041666918E-2</v>
      </c>
      <c r="S88" s="7">
        <v>5.3444800343217316E-2</v>
      </c>
      <c r="T88" s="7">
        <v>5.1594492724429113E-2</v>
      </c>
      <c r="U88" s="7">
        <v>5.3064455871494776E-2</v>
      </c>
      <c r="V88" s="7">
        <v>5.0784755859238889E-2</v>
      </c>
      <c r="W88" s="7">
        <v>5.1470436333896051E-2</v>
      </c>
      <c r="X88" s="7">
        <v>4.9965879268479514E-2</v>
      </c>
      <c r="Y88" s="7">
        <v>4.849495724608581E-2</v>
      </c>
      <c r="Z88" s="7">
        <v>4.7737826104979911E-2</v>
      </c>
      <c r="AA88" s="7">
        <v>4.6830706772172333E-2</v>
      </c>
      <c r="AB88" s="7">
        <v>4.5664012519925419E-2</v>
      </c>
      <c r="AC88" s="7">
        <v>4.6665112087499246E-2</v>
      </c>
      <c r="AD88" s="7">
        <v>4.5133235995710223E-2</v>
      </c>
      <c r="AE88" s="7">
        <v>4.448046115595982E-2</v>
      </c>
      <c r="AF88" s="7">
        <v>4.2357071379005837E-2</v>
      </c>
      <c r="AG88" s="7">
        <v>4.2569756306879071E-2</v>
      </c>
      <c r="AH88" s="7">
        <v>4.2555869259540163E-2</v>
      </c>
      <c r="AI88" s="7">
        <v>4.3489105534618787E-2</v>
      </c>
      <c r="AJ88" s="7">
        <v>4.0986781755746562E-2</v>
      </c>
      <c r="AK88" s="7">
        <v>4.0454643586180318E-2</v>
      </c>
      <c r="AL88" s="7">
        <v>4.0327085108775321E-2</v>
      </c>
      <c r="AM88" s="7">
        <v>3.8628363811926955E-2</v>
      </c>
      <c r="AN88" s="7">
        <v>3.7689551436196136E-2</v>
      </c>
      <c r="AO88" s="7">
        <v>3.7470929577723341E-2</v>
      </c>
      <c r="AP88" s="7">
        <v>3.7720850240946721E-2</v>
      </c>
      <c r="AQ88" s="7">
        <v>3.6996921716446939E-2</v>
      </c>
      <c r="AR88" s="7">
        <v>3.6459940720259626E-2</v>
      </c>
      <c r="AS88" s="7">
        <v>3.5032300364157207E-2</v>
      </c>
      <c r="AT88" s="7">
        <v>3.6175504255454106E-2</v>
      </c>
      <c r="AU88" s="7">
        <v>3.3688094210832846E-2</v>
      </c>
      <c r="AV88" s="7">
        <v>3.5003578533173554E-2</v>
      </c>
      <c r="AW88" s="7">
        <v>3.442354065761382E-2</v>
      </c>
      <c r="AX88" s="7">
        <v>3.4210590979083723E-2</v>
      </c>
      <c r="AY88" s="7">
        <v>3.4036006452022399E-2</v>
      </c>
      <c r="AZ88" s="7">
        <v>3.3890739672097124E-2</v>
      </c>
      <c r="BA88" s="7">
        <v>3.3524410091887655E-2</v>
      </c>
      <c r="BB88" s="7">
        <v>3.3565711276521921E-2</v>
      </c>
      <c r="BC88" s="7">
        <v>3.364848330305633E-2</v>
      </c>
      <c r="BD88" s="7">
        <v>3.3790868054002797E-2</v>
      </c>
      <c r="BE88" s="7">
        <v>3.4011028067281818E-2</v>
      </c>
      <c r="BF88" s="7">
        <v>3.4280683187442228E-2</v>
      </c>
      <c r="BG88" s="7">
        <v>3.4696518870326834E-2</v>
      </c>
      <c r="BH88" s="7">
        <v>3.5095522437846846E-2</v>
      </c>
      <c r="BI88" s="7">
        <v>3.5470201500561287E-2</v>
      </c>
      <c r="BJ88" s="7">
        <v>3.5821154641591864E-2</v>
      </c>
      <c r="BK88" s="7">
        <v>3.6069251087447358E-2</v>
      </c>
      <c r="BL88" s="7">
        <v>3.640191985008006E-2</v>
      </c>
      <c r="BM88" s="7">
        <v>3.6763634683668119E-2</v>
      </c>
      <c r="BN88" s="7">
        <v>3.7128761609430426E-2</v>
      </c>
      <c r="BO88" s="7">
        <v>3.7500268044853076E-2</v>
      </c>
      <c r="BP88" s="7">
        <v>3.7862540638156278E-2</v>
      </c>
      <c r="BQ88" s="7">
        <v>3.8218162330605245E-2</v>
      </c>
      <c r="BR88" s="7">
        <v>3.854834994992639E-2</v>
      </c>
      <c r="BS88" s="7">
        <v>3.8821997714149015E-2</v>
      </c>
      <c r="BT88" s="7">
        <v>3.9050825183280485E-2</v>
      </c>
      <c r="BU88" s="7">
        <v>3.9194361253117371E-2</v>
      </c>
      <c r="BV88" s="7">
        <v>3.9279056155168378E-2</v>
      </c>
      <c r="BW88" s="7">
        <v>3.9305169603301188E-2</v>
      </c>
      <c r="BX88" s="7">
        <v>3.931867617233524E-2</v>
      </c>
      <c r="BY88" s="7">
        <v>3.9308329182846713E-2</v>
      </c>
      <c r="BZ88" s="7">
        <v>3.9273141124168291E-2</v>
      </c>
      <c r="CA88" s="7">
        <v>3.9229629445712955E-2</v>
      </c>
      <c r="CB88" s="7">
        <v>3.9170706870266789E-2</v>
      </c>
      <c r="CC88" s="7">
        <v>3.9080433879312482E-2</v>
      </c>
      <c r="CD88" s="7">
        <v>3.8956932320058188E-2</v>
      </c>
      <c r="CE88" s="7">
        <v>3.8828280982196033E-2</v>
      </c>
      <c r="CF88" s="7">
        <v>3.8723246947276024E-2</v>
      </c>
      <c r="CG88" s="7">
        <v>3.8618440312789333E-2</v>
      </c>
      <c r="CH88" s="7">
        <v>3.8511929779896835E-2</v>
      </c>
      <c r="CI88" s="7">
        <v>3.8395393250835061E-2</v>
      </c>
      <c r="CJ88" s="7">
        <v>3.8328641458242697E-2</v>
      </c>
      <c r="CK88" s="7">
        <v>3.8299193431281457E-2</v>
      </c>
      <c r="CL88" s="7">
        <v>3.8296317537938031E-2</v>
      </c>
      <c r="CM88" s="7">
        <v>3.8283802276344613E-2</v>
      </c>
      <c r="CN88" s="7">
        <v>3.8246153370294723E-2</v>
      </c>
      <c r="CO88" s="7">
        <v>3.8225510277939821E-2</v>
      </c>
      <c r="CP88" s="7">
        <v>3.8260405180316183E-2</v>
      </c>
      <c r="CQ88" s="7">
        <v>3.8301516968062103E-2</v>
      </c>
      <c r="CR88" s="7">
        <v>3.8329605442655956E-2</v>
      </c>
      <c r="CS88" s="7">
        <v>3.8346521237070635E-2</v>
      </c>
      <c r="CT88" s="2"/>
    </row>
    <row r="89" spans="1:98" x14ac:dyDescent="0.35">
      <c r="A89" s="1" t="str">
        <f>'Population Definitions'!$B$11</f>
        <v>ausb_0-14_F</v>
      </c>
      <c r="C89" t="s">
        <v>40</v>
      </c>
      <c r="D89" s="3"/>
      <c r="E89" s="2"/>
      <c r="F89" s="4" t="s">
        <v>36</v>
      </c>
      <c r="G89" s="7">
        <v>7.7611156288859425E-4</v>
      </c>
      <c r="H89" s="7">
        <v>7.2835288150582789E-4</v>
      </c>
      <c r="I89" s="7">
        <v>7.5800073480244555E-4</v>
      </c>
      <c r="J89" s="7">
        <v>7.298110059959298E-4</v>
      </c>
      <c r="K89" s="7">
        <v>6.5696164898569804E-4</v>
      </c>
      <c r="L89" s="7">
        <v>7.4651932829302586E-4</v>
      </c>
      <c r="M89" s="7">
        <v>6.6805040298566535E-4</v>
      </c>
      <c r="N89" s="7">
        <v>6.2392681364490938E-4</v>
      </c>
      <c r="O89" s="7">
        <v>6.5869371081495379E-4</v>
      </c>
      <c r="P89" s="7">
        <v>6.2885776404682746E-4</v>
      </c>
      <c r="Q89" s="7">
        <v>6.3193331986172369E-4</v>
      </c>
      <c r="R89" s="7">
        <v>5.4928481646687505E-4</v>
      </c>
      <c r="S89" s="7">
        <v>5.5013014305666018E-4</v>
      </c>
      <c r="T89" s="7">
        <v>4.9430562157493519E-4</v>
      </c>
      <c r="U89" s="7">
        <v>4.7918165373506735E-4</v>
      </c>
      <c r="V89" s="7">
        <v>4.7740026149691841E-4</v>
      </c>
      <c r="W89" s="7">
        <v>4.4613936004517365E-4</v>
      </c>
      <c r="X89" s="7">
        <v>4.163554409153886E-4</v>
      </c>
      <c r="Y89" s="7">
        <v>3.9360339474482604E-4</v>
      </c>
      <c r="Z89" s="7">
        <v>4.1135782859298687E-4</v>
      </c>
      <c r="AA89" s="7">
        <v>3.8223163963299118E-4</v>
      </c>
      <c r="AB89" s="7">
        <v>3.6618206213601953E-4</v>
      </c>
      <c r="AC89" s="7">
        <v>3.6843681936108607E-4</v>
      </c>
      <c r="AD89" s="7">
        <v>3.5119021102479478E-4</v>
      </c>
      <c r="AE89" s="7">
        <v>3.3132874903264644E-4</v>
      </c>
      <c r="AF89" s="7">
        <v>3.6346017059959068E-4</v>
      </c>
      <c r="AG89" s="7">
        <v>3.3495143436060819E-4</v>
      </c>
      <c r="AH89" s="7">
        <v>3.3582681858372799E-4</v>
      </c>
      <c r="AI89" s="7">
        <v>3.1961334901152151E-4</v>
      </c>
      <c r="AJ89" s="7">
        <v>3.2582206504321417E-4</v>
      </c>
      <c r="AK89" s="7">
        <v>2.9899692109161324E-4</v>
      </c>
      <c r="AL89" s="7">
        <v>3.0331192828091677E-4</v>
      </c>
      <c r="AM89" s="7">
        <v>2.8194549215682368E-4</v>
      </c>
      <c r="AN89" s="7">
        <v>2.9476536216431996E-4</v>
      </c>
      <c r="AO89" s="7">
        <v>2.8519042594061237E-4</v>
      </c>
      <c r="AP89" s="7">
        <v>2.7418034771206228E-4</v>
      </c>
      <c r="AQ89" s="7">
        <v>2.4622357617934269E-4</v>
      </c>
      <c r="AR89" s="7">
        <v>2.6479384455463476E-4</v>
      </c>
      <c r="AS89" s="7">
        <v>2.3732624163431108E-4</v>
      </c>
      <c r="AT89" s="7">
        <v>2.4685449516414462E-4</v>
      </c>
      <c r="AU89" s="7">
        <v>2.357976800684908E-4</v>
      </c>
      <c r="AV89" s="7">
        <v>2.464688151293739E-4</v>
      </c>
      <c r="AW89" s="7">
        <v>2.6044419495270115E-4</v>
      </c>
      <c r="AX89" s="7">
        <v>2.5106814541426729E-4</v>
      </c>
      <c r="AY89" s="7">
        <v>2.4682849408455142E-4</v>
      </c>
      <c r="AZ89" s="7">
        <v>2.4229898353939444E-4</v>
      </c>
      <c r="BA89" s="7">
        <v>2.3581422763527233E-4</v>
      </c>
      <c r="BB89" s="7">
        <v>2.3432401137901397E-4</v>
      </c>
      <c r="BC89" s="7">
        <v>2.3260028968991761E-4</v>
      </c>
      <c r="BD89" s="7">
        <v>2.3215433438133167E-4</v>
      </c>
      <c r="BE89" s="7">
        <v>2.3109804579957052E-4</v>
      </c>
      <c r="BF89" s="7">
        <v>2.3021768566092467E-4</v>
      </c>
      <c r="BG89" s="7">
        <v>2.286974059482801E-4</v>
      </c>
      <c r="BH89" s="7">
        <v>2.2714618007875926E-4</v>
      </c>
      <c r="BI89" s="7">
        <v>2.2746948705178492E-4</v>
      </c>
      <c r="BJ89" s="7">
        <v>2.2609553931000526E-4</v>
      </c>
      <c r="BK89" s="7">
        <v>2.2603616737943989E-4</v>
      </c>
      <c r="BL89" s="7">
        <v>2.261950372005096E-4</v>
      </c>
      <c r="BM89" s="7">
        <v>2.2610546404947134E-4</v>
      </c>
      <c r="BN89" s="7">
        <v>2.2654949119739996E-4</v>
      </c>
      <c r="BO89" s="7">
        <v>2.256733242858727E-4</v>
      </c>
      <c r="BP89" s="7">
        <v>2.2580947588840661E-4</v>
      </c>
      <c r="BQ89" s="7">
        <v>2.2453846267925969E-4</v>
      </c>
      <c r="BR89" s="7">
        <v>2.2363691421986053E-4</v>
      </c>
      <c r="BS89" s="7">
        <v>2.2252818907311396E-4</v>
      </c>
      <c r="BT89" s="7">
        <v>2.2123747072478171E-4</v>
      </c>
      <c r="BU89" s="7">
        <v>2.197841307423333E-4</v>
      </c>
      <c r="BV89" s="7">
        <v>2.1821548094965308E-4</v>
      </c>
      <c r="BW89" s="7">
        <v>2.1657254826197588E-4</v>
      </c>
      <c r="BX89" s="7">
        <v>2.1429958037392659E-4</v>
      </c>
      <c r="BY89" s="7">
        <v>2.1262938598473629E-4</v>
      </c>
      <c r="BZ89" s="7">
        <v>2.1099444981025037E-4</v>
      </c>
      <c r="CA89" s="7">
        <v>2.0886281805324733E-4</v>
      </c>
      <c r="CB89" s="7">
        <v>2.0739426671960198E-4</v>
      </c>
      <c r="CC89" s="7">
        <v>2.0602805859649731E-4</v>
      </c>
      <c r="CD89" s="7">
        <v>2.0420799649328514E-4</v>
      </c>
      <c r="CE89" s="7">
        <v>2.0302585653657877E-4</v>
      </c>
      <c r="CF89" s="7">
        <v>2.0192267639440234E-4</v>
      </c>
      <c r="CG89" s="7">
        <v>2.0088441284071238E-4</v>
      </c>
      <c r="CH89" s="7">
        <v>1.9990683647157594E-4</v>
      </c>
      <c r="CI89" s="7">
        <v>1.989875900834196E-4</v>
      </c>
      <c r="CJ89" s="7">
        <v>1.9810884242972722E-4</v>
      </c>
      <c r="CK89" s="7">
        <v>1.9668495301511607E-4</v>
      </c>
      <c r="CL89" s="7">
        <v>1.9527931935179796E-4</v>
      </c>
      <c r="CM89" s="7">
        <v>1.9502579392844635E-4</v>
      </c>
      <c r="CN89" s="7">
        <v>1.9424947715364875E-4</v>
      </c>
      <c r="CO89" s="7">
        <v>1.9231445884240346E-4</v>
      </c>
      <c r="CP89" s="7">
        <v>1.9154827484123659E-4</v>
      </c>
      <c r="CQ89" s="7">
        <v>1.9077779432108576E-4</v>
      </c>
      <c r="CR89" s="7">
        <v>1.8999469250912535E-4</v>
      </c>
      <c r="CS89" s="7">
        <v>1.885965054225696E-4</v>
      </c>
      <c r="CT89" s="2"/>
    </row>
    <row r="90" spans="1:98" x14ac:dyDescent="0.35">
      <c r="A90" s="1" t="str">
        <f>'Population Definitions'!$B$12</f>
        <v>ausb_15-64_F</v>
      </c>
      <c r="C90" t="s">
        <v>40</v>
      </c>
      <c r="D90" s="3"/>
      <c r="E90" s="2"/>
      <c r="F90" s="4" t="s">
        <v>36</v>
      </c>
      <c r="G90" s="7">
        <v>2.038452045978364E-3</v>
      </c>
      <c r="H90" s="7">
        <v>1.9767353526068659E-3</v>
      </c>
      <c r="I90" s="7">
        <v>2.0187817923608691E-3</v>
      </c>
      <c r="J90" s="7">
        <v>1.9407273325673597E-3</v>
      </c>
      <c r="K90" s="7">
        <v>1.8532239730920529E-3</v>
      </c>
      <c r="L90" s="7">
        <v>1.9009221218489688E-3</v>
      </c>
      <c r="M90" s="7">
        <v>1.7985896587471655E-3</v>
      </c>
      <c r="N90" s="7">
        <v>1.7314700359664747E-3</v>
      </c>
      <c r="O90" s="7">
        <v>1.730136606751128E-3</v>
      </c>
      <c r="P90" s="7">
        <v>1.6762475850544347E-3</v>
      </c>
      <c r="Q90" s="7">
        <v>1.581625700123133E-3</v>
      </c>
      <c r="R90" s="7">
        <v>1.5514372602748402E-3</v>
      </c>
      <c r="S90" s="7">
        <v>1.5282398170161297E-3</v>
      </c>
      <c r="T90" s="7">
        <v>1.4696436702902084E-3</v>
      </c>
      <c r="U90" s="7">
        <v>1.4486478942260766E-3</v>
      </c>
      <c r="V90" s="7">
        <v>1.431475968423283E-3</v>
      </c>
      <c r="W90" s="7">
        <v>1.4216898891691242E-3</v>
      </c>
      <c r="X90" s="7">
        <v>1.4434127563756562E-3</v>
      </c>
      <c r="Y90" s="7">
        <v>1.4011611644457738E-3</v>
      </c>
      <c r="Z90" s="7">
        <v>1.3666703524028E-3</v>
      </c>
      <c r="AA90" s="7">
        <v>1.3610530504327388E-3</v>
      </c>
      <c r="AB90" s="7">
        <v>1.3281438341975322E-3</v>
      </c>
      <c r="AC90" s="7">
        <v>1.3630430886695159E-3</v>
      </c>
      <c r="AD90" s="7">
        <v>1.3244528124107112E-3</v>
      </c>
      <c r="AE90" s="7">
        <v>1.2870239970553337E-3</v>
      </c>
      <c r="AF90" s="7">
        <v>1.2627290643795008E-3</v>
      </c>
      <c r="AG90" s="7">
        <v>1.2611813902310416E-3</v>
      </c>
      <c r="AH90" s="7">
        <v>1.2962660174229432E-3</v>
      </c>
      <c r="AI90" s="7">
        <v>1.2731156586013575E-3</v>
      </c>
      <c r="AJ90" s="7">
        <v>1.2735489977588857E-3</v>
      </c>
      <c r="AK90" s="7">
        <v>1.2403136201408124E-3</v>
      </c>
      <c r="AL90" s="7">
        <v>1.2420944897870076E-3</v>
      </c>
      <c r="AM90" s="7">
        <v>1.2052321102080756E-3</v>
      </c>
      <c r="AN90" s="7">
        <v>1.2058807290476203E-3</v>
      </c>
      <c r="AO90" s="7">
        <v>1.2230551580683258E-3</v>
      </c>
      <c r="AP90" s="7">
        <v>1.2200151675882524E-3</v>
      </c>
      <c r="AQ90" s="7">
        <v>1.2017167785235714E-3</v>
      </c>
      <c r="AR90" s="7">
        <v>1.1661076876572714E-3</v>
      </c>
      <c r="AS90" s="7">
        <v>1.1658282052216902E-3</v>
      </c>
      <c r="AT90" s="7">
        <v>1.2078173156590565E-3</v>
      </c>
      <c r="AU90" s="7">
        <v>1.1329927465164402E-3</v>
      </c>
      <c r="AV90" s="7">
        <v>1.1610665564194844E-3</v>
      </c>
      <c r="AW90" s="7">
        <v>1.1631728232997152E-3</v>
      </c>
      <c r="AX90" s="7">
        <v>1.1474899218503688E-3</v>
      </c>
      <c r="AY90" s="7">
        <v>1.1351263843325855E-3</v>
      </c>
      <c r="AZ90" s="7">
        <v>1.1223171161106207E-3</v>
      </c>
      <c r="BA90" s="7">
        <v>1.102468223547448E-3</v>
      </c>
      <c r="BB90" s="7">
        <v>1.0931530617851483E-3</v>
      </c>
      <c r="BC90" s="7">
        <v>1.0844748516308062E-3</v>
      </c>
      <c r="BD90" s="7">
        <v>1.0772732796579844E-3</v>
      </c>
      <c r="BE90" s="7">
        <v>1.0731962371177612E-3</v>
      </c>
      <c r="BF90" s="7">
        <v>1.070131880259845E-3</v>
      </c>
      <c r="BG90" s="7">
        <v>1.0707178008611425E-3</v>
      </c>
      <c r="BH90" s="7">
        <v>1.0711635454597598E-3</v>
      </c>
      <c r="BI90" s="7">
        <v>1.0697201716992734E-3</v>
      </c>
      <c r="BJ90" s="7">
        <v>1.0675151404235615E-3</v>
      </c>
      <c r="BK90" s="7">
        <v>1.0624939709752866E-3</v>
      </c>
      <c r="BL90" s="7">
        <v>1.058623007174922E-3</v>
      </c>
      <c r="BM90" s="7">
        <v>1.0589687592475075E-3</v>
      </c>
      <c r="BN90" s="7">
        <v>1.0601858309073611E-3</v>
      </c>
      <c r="BO90" s="7">
        <v>1.0636224676575249E-3</v>
      </c>
      <c r="BP90" s="7">
        <v>1.0691448955130807E-3</v>
      </c>
      <c r="BQ90" s="7">
        <v>1.0748462745510585E-3</v>
      </c>
      <c r="BR90" s="7">
        <v>1.0813922839108645E-3</v>
      </c>
      <c r="BS90" s="7">
        <v>1.0865187684544323E-3</v>
      </c>
      <c r="BT90" s="7">
        <v>1.09143437065739E-3</v>
      </c>
      <c r="BU90" s="7">
        <v>1.0933136462584641E-3</v>
      </c>
      <c r="BV90" s="7">
        <v>1.0954896499012754E-3</v>
      </c>
      <c r="BW90" s="7">
        <v>1.0944545270073639E-3</v>
      </c>
      <c r="BX90" s="7">
        <v>1.0938112586755594E-3</v>
      </c>
      <c r="BY90" s="7">
        <v>1.0921374598666033E-3</v>
      </c>
      <c r="BZ90" s="7">
        <v>1.0898479468859062E-3</v>
      </c>
      <c r="CA90" s="7">
        <v>1.087739043840635E-3</v>
      </c>
      <c r="CB90" s="7">
        <v>1.0852665530727938E-3</v>
      </c>
      <c r="CC90" s="7">
        <v>1.0808657843272647E-3</v>
      </c>
      <c r="CD90" s="7">
        <v>1.0761429810574004E-3</v>
      </c>
      <c r="CE90" s="7">
        <v>1.0704511747987688E-3</v>
      </c>
      <c r="CF90" s="7">
        <v>1.0661711614066765E-3</v>
      </c>
      <c r="CG90" s="7">
        <v>1.0617261325739859E-3</v>
      </c>
      <c r="CH90" s="7">
        <v>1.0580065620583478E-3</v>
      </c>
      <c r="CI90" s="7">
        <v>1.0535527683341644E-3</v>
      </c>
      <c r="CJ90" s="7">
        <v>1.0510206819492154E-3</v>
      </c>
      <c r="CK90" s="7">
        <v>1.04925118404212E-3</v>
      </c>
      <c r="CL90" s="7">
        <v>1.0492220660120756E-3</v>
      </c>
      <c r="CM90" s="7">
        <v>1.0495889319863229E-3</v>
      </c>
      <c r="CN90" s="7">
        <v>1.0494278940347908E-3</v>
      </c>
      <c r="CO90" s="7">
        <v>1.0484745302111298E-3</v>
      </c>
      <c r="CP90" s="7">
        <v>1.0489424093636508E-3</v>
      </c>
      <c r="CQ90" s="7">
        <v>1.0511813018982338E-3</v>
      </c>
      <c r="CR90" s="7">
        <v>1.0506989685250578E-3</v>
      </c>
      <c r="CS90" s="7">
        <v>1.0496017206653491E-3</v>
      </c>
      <c r="CT90" s="2"/>
    </row>
    <row r="91" spans="1:98" x14ac:dyDescent="0.35">
      <c r="A91" s="1" t="str">
        <f>'Population Definitions'!$B$13</f>
        <v>ausb_65+_F</v>
      </c>
      <c r="C91" t="s">
        <v>40</v>
      </c>
      <c r="D91" s="3"/>
      <c r="E91" s="2"/>
      <c r="F91" s="4" t="s">
        <v>36</v>
      </c>
      <c r="G91" s="7">
        <v>4.4217343729144785E-2</v>
      </c>
      <c r="H91" s="7">
        <v>4.3345181547693248E-2</v>
      </c>
      <c r="I91" s="7">
        <v>4.5137783536921355E-2</v>
      </c>
      <c r="J91" s="7">
        <v>4.2260296692559499E-2</v>
      </c>
      <c r="K91" s="7">
        <v>4.2022423472567787E-2</v>
      </c>
      <c r="L91" s="7">
        <v>4.5198467953150738E-2</v>
      </c>
      <c r="M91" s="7">
        <v>4.2290966641939209E-2</v>
      </c>
      <c r="N91" s="7">
        <v>4.2202457883851546E-2</v>
      </c>
      <c r="O91" s="7">
        <v>4.1822941841828512E-2</v>
      </c>
      <c r="P91" s="7">
        <v>4.320795754022292E-2</v>
      </c>
      <c r="Q91" s="7">
        <v>4.0847700142997559E-2</v>
      </c>
      <c r="R91" s="7">
        <v>3.9663102904817435E-2</v>
      </c>
      <c r="S91" s="7">
        <v>4.0922303721636299E-2</v>
      </c>
      <c r="T91" s="7">
        <v>3.9450751624501054E-2</v>
      </c>
      <c r="U91" s="7">
        <v>4.0972867024851985E-2</v>
      </c>
      <c r="V91" s="7">
        <v>3.9949651829580123E-2</v>
      </c>
      <c r="W91" s="7">
        <v>4.0447756591604843E-2</v>
      </c>
      <c r="X91" s="7">
        <v>4.0421950363670411E-2</v>
      </c>
      <c r="Y91" s="7">
        <v>3.8798432219603989E-2</v>
      </c>
      <c r="Z91" s="7">
        <v>3.8783804752909566E-2</v>
      </c>
      <c r="AA91" s="7">
        <v>3.8584906521897028E-2</v>
      </c>
      <c r="AB91" s="7">
        <v>3.8097446089980377E-2</v>
      </c>
      <c r="AC91" s="7">
        <v>3.9485702356161473E-2</v>
      </c>
      <c r="AD91" s="7">
        <v>3.8384594240468958E-2</v>
      </c>
      <c r="AE91" s="7">
        <v>3.8019451676717948E-2</v>
      </c>
      <c r="AF91" s="7">
        <v>3.6902486603987261E-2</v>
      </c>
      <c r="AG91" s="7">
        <v>3.7408330732521797E-2</v>
      </c>
      <c r="AH91" s="7">
        <v>3.7646983057727373E-2</v>
      </c>
      <c r="AI91" s="7">
        <v>3.8857396464208493E-2</v>
      </c>
      <c r="AJ91" s="7">
        <v>3.6460031866758683E-2</v>
      </c>
      <c r="AK91" s="7">
        <v>3.6461511254853911E-2</v>
      </c>
      <c r="AL91" s="7">
        <v>3.6268975687052465E-2</v>
      </c>
      <c r="AM91" s="7">
        <v>3.5487279457718061E-2</v>
      </c>
      <c r="AN91" s="7">
        <v>3.4013719845812515E-2</v>
      </c>
      <c r="AO91" s="7">
        <v>3.4613994668834198E-2</v>
      </c>
      <c r="AP91" s="7">
        <v>3.4840689215105636E-2</v>
      </c>
      <c r="AQ91" s="7">
        <v>3.3276647695227E-2</v>
      </c>
      <c r="AR91" s="7">
        <v>3.3025371368011938E-2</v>
      </c>
      <c r="AS91" s="7">
        <v>3.1092293557626403E-2</v>
      </c>
      <c r="AT91" s="7">
        <v>3.2060924391148764E-2</v>
      </c>
      <c r="AU91" s="7">
        <v>2.9255830197210942E-2</v>
      </c>
      <c r="AV91" s="7">
        <v>3.0592846922270194E-2</v>
      </c>
      <c r="AW91" s="7">
        <v>2.9598170495479446E-2</v>
      </c>
      <c r="AX91" s="7">
        <v>2.924280785365839E-2</v>
      </c>
      <c r="AY91" s="7">
        <v>2.8929299744042292E-2</v>
      </c>
      <c r="AZ91" s="7">
        <v>2.8660022377209174E-2</v>
      </c>
      <c r="BA91" s="7">
        <v>2.8277337297249707E-2</v>
      </c>
      <c r="BB91" s="7">
        <v>2.8226783132857983E-2</v>
      </c>
      <c r="BC91" s="7">
        <v>2.8229579378241179E-2</v>
      </c>
      <c r="BD91" s="7">
        <v>2.8318000035398375E-2</v>
      </c>
      <c r="BE91" s="7">
        <v>2.8506895345601552E-2</v>
      </c>
      <c r="BF91" s="7">
        <v>2.8753920669589317E-2</v>
      </c>
      <c r="BG91" s="7">
        <v>2.9115122303760489E-2</v>
      </c>
      <c r="BH91" s="7">
        <v>2.9485412873021255E-2</v>
      </c>
      <c r="BI91" s="7">
        <v>2.9841216823494377E-2</v>
      </c>
      <c r="BJ91" s="7">
        <v>3.0226903605457416E-2</v>
      </c>
      <c r="BK91" s="7">
        <v>3.053204298503704E-2</v>
      </c>
      <c r="BL91" s="7">
        <v>3.0899720381490161E-2</v>
      </c>
      <c r="BM91" s="7">
        <v>3.1319904616991995E-2</v>
      </c>
      <c r="BN91" s="7">
        <v>3.1764420245806967E-2</v>
      </c>
      <c r="BO91" s="7">
        <v>3.2232948216828025E-2</v>
      </c>
      <c r="BP91" s="7">
        <v>3.2695569203139416E-2</v>
      </c>
      <c r="BQ91" s="7">
        <v>3.3142375006817687E-2</v>
      </c>
      <c r="BR91" s="7">
        <v>3.3546710315022224E-2</v>
      </c>
      <c r="BS91" s="7">
        <v>3.3893383637854282E-2</v>
      </c>
      <c r="BT91" s="7">
        <v>3.4201647261513812E-2</v>
      </c>
      <c r="BU91" s="7">
        <v>3.4434111447007865E-2</v>
      </c>
      <c r="BV91" s="7">
        <v>3.4617719333594817E-2</v>
      </c>
      <c r="BW91" s="7">
        <v>3.4747916275152356E-2</v>
      </c>
      <c r="BX91" s="7">
        <v>3.4856835503688649E-2</v>
      </c>
      <c r="BY91" s="7">
        <v>3.4932267604727077E-2</v>
      </c>
      <c r="BZ91" s="7">
        <v>3.4989285157942904E-2</v>
      </c>
      <c r="CA91" s="7">
        <v>3.5025706362951443E-2</v>
      </c>
      <c r="CB91" s="7">
        <v>3.5033675850695202E-2</v>
      </c>
      <c r="CC91" s="7">
        <v>3.5018778183828918E-2</v>
      </c>
      <c r="CD91" s="7">
        <v>3.4963674952187086E-2</v>
      </c>
      <c r="CE91" s="7">
        <v>3.4892781765923545E-2</v>
      </c>
      <c r="CF91" s="7">
        <v>3.4827255939781365E-2</v>
      </c>
      <c r="CG91" s="7">
        <v>3.4756687942924268E-2</v>
      </c>
      <c r="CH91" s="7">
        <v>3.4694889649584587E-2</v>
      </c>
      <c r="CI91" s="7">
        <v>3.4632250320452099E-2</v>
      </c>
      <c r="CJ91" s="7">
        <v>3.4605808771902127E-2</v>
      </c>
      <c r="CK91" s="7">
        <v>3.4613722813383992E-2</v>
      </c>
      <c r="CL91" s="7">
        <v>3.4648372736796211E-2</v>
      </c>
      <c r="CM91" s="7">
        <v>3.4697443993670238E-2</v>
      </c>
      <c r="CN91" s="7">
        <v>3.4731083752008736E-2</v>
      </c>
      <c r="CO91" s="7">
        <v>3.4780856664994746E-2</v>
      </c>
      <c r="CP91" s="7">
        <v>3.4859174294952888E-2</v>
      </c>
      <c r="CQ91" s="7">
        <v>3.4937693395011696E-2</v>
      </c>
      <c r="CR91" s="7">
        <v>3.501506573097133E-2</v>
      </c>
      <c r="CS91" s="7">
        <v>3.5093510049994225E-2</v>
      </c>
      <c r="CT91" s="2"/>
    </row>
    <row r="92" spans="1:98" x14ac:dyDescent="0.35">
      <c r="A92" s="1" t="str">
        <f>'Population Definitions'!$B$14</f>
        <v>lros_0-14_M</v>
      </c>
      <c r="C92" t="s">
        <v>40</v>
      </c>
      <c r="D92" s="3"/>
      <c r="E92" s="2"/>
      <c r="F92" s="4" t="s">
        <v>36</v>
      </c>
      <c r="G92" s="7">
        <v>1.0123048860904821E-3</v>
      </c>
      <c r="H92" s="7">
        <v>9.7192860225567745E-4</v>
      </c>
      <c r="I92" s="7">
        <v>1.0466144946957878E-3</v>
      </c>
      <c r="J92" s="7">
        <v>9.2479267024097049E-4</v>
      </c>
      <c r="K92" s="7">
        <v>8.8630595851211136E-4</v>
      </c>
      <c r="L92" s="7">
        <v>9.6383294910202426E-4</v>
      </c>
      <c r="M92" s="7">
        <v>8.7690072861522849E-4</v>
      </c>
      <c r="N92" s="7">
        <v>8.5771224631500285E-4</v>
      </c>
      <c r="O92" s="7">
        <v>8.4243523104596404E-4</v>
      </c>
      <c r="P92" s="7">
        <v>7.7932618730086449E-4</v>
      </c>
      <c r="Q92" s="7">
        <v>8.1327858745239962E-4</v>
      </c>
      <c r="R92" s="7">
        <v>6.8998272414455618E-4</v>
      </c>
      <c r="S92" s="7">
        <v>7.0013681862492226E-4</v>
      </c>
      <c r="T92" s="7">
        <v>6.3582133726837692E-4</v>
      </c>
      <c r="U92" s="7">
        <v>5.9104323226653703E-4</v>
      </c>
      <c r="V92" s="7">
        <v>5.5530869409760417E-4</v>
      </c>
      <c r="W92" s="7">
        <v>5.7486715192346519E-4</v>
      </c>
      <c r="X92" s="7">
        <v>5.1492012876702643E-4</v>
      </c>
      <c r="Y92" s="7">
        <v>4.9055663676135324E-4</v>
      </c>
      <c r="Z92" s="7">
        <v>5.0675247482774393E-4</v>
      </c>
      <c r="AA92" s="7">
        <v>4.6922557148314795E-4</v>
      </c>
      <c r="AB92" s="7">
        <v>4.6808399159522753E-4</v>
      </c>
      <c r="AC92" s="7">
        <v>4.5032151782968001E-4</v>
      </c>
      <c r="AD92" s="7">
        <v>4.1564711981455585E-4</v>
      </c>
      <c r="AE92" s="7">
        <v>4.2158644594191068E-4</v>
      </c>
      <c r="AF92" s="7">
        <v>4.1866919003000794E-4</v>
      </c>
      <c r="AG92" s="7">
        <v>4.1110822902566999E-4</v>
      </c>
      <c r="AH92" s="7">
        <v>3.8353616877860629E-4</v>
      </c>
      <c r="AI92" s="7">
        <v>3.9783072923982998E-4</v>
      </c>
      <c r="AJ92" s="7">
        <v>4.0337436009204539E-4</v>
      </c>
      <c r="AK92" s="7">
        <v>4.0536969734543497E-4</v>
      </c>
      <c r="AL92" s="7">
        <v>3.4920898023003532E-4</v>
      </c>
      <c r="AM92" s="7">
        <v>3.1675994073509112E-4</v>
      </c>
      <c r="AN92" s="7">
        <v>3.2769423901596247E-4</v>
      </c>
      <c r="AO92" s="7">
        <v>3.1317687504222057E-4</v>
      </c>
      <c r="AP92" s="7">
        <v>3.2730041309415913E-4</v>
      </c>
      <c r="AQ92" s="7">
        <v>3.1803795979153885E-4</v>
      </c>
      <c r="AR92" s="7">
        <v>3.1950441250030141E-4</v>
      </c>
      <c r="AS92" s="7">
        <v>3.0539553289869422E-4</v>
      </c>
      <c r="AT92" s="7">
        <v>3.1771026837569777E-4</v>
      </c>
      <c r="AU92" s="7">
        <v>2.7739145861386015E-4</v>
      </c>
      <c r="AV92" s="7">
        <v>3.0766344647796003E-4</v>
      </c>
      <c r="AW92" s="7">
        <v>3.0369624943860345E-4</v>
      </c>
      <c r="AX92" s="7">
        <v>2.9533031778235014E-4</v>
      </c>
      <c r="AY92" s="7">
        <v>2.9076351917373247E-4</v>
      </c>
      <c r="AZ92" s="7">
        <v>2.8313566542242181E-4</v>
      </c>
      <c r="BA92" s="7">
        <v>2.7791175705826524E-4</v>
      </c>
      <c r="BB92" s="7">
        <v>2.7479005669363201E-4</v>
      </c>
      <c r="BC92" s="7">
        <v>2.7376456018094359E-4</v>
      </c>
      <c r="BD92" s="7">
        <v>2.7108185881481197E-4</v>
      </c>
      <c r="BE92" s="7">
        <v>2.6958577166288499E-4</v>
      </c>
      <c r="BF92" s="7">
        <v>2.6696614028517583E-4</v>
      </c>
      <c r="BG92" s="7">
        <v>2.6621034899225449E-4</v>
      </c>
      <c r="BH92" s="7">
        <v>2.6472114675533205E-4</v>
      </c>
      <c r="BI92" s="7">
        <v>2.6402784015851292E-4</v>
      </c>
      <c r="BJ92" s="7">
        <v>2.6329326540928261E-4</v>
      </c>
      <c r="BK92" s="7">
        <v>2.6149720772832474E-4</v>
      </c>
      <c r="BL92" s="7">
        <v>2.6168360034341357E-4</v>
      </c>
      <c r="BM92" s="7">
        <v>2.6106405992491782E-4</v>
      </c>
      <c r="BN92" s="7">
        <v>2.6034708221615979E-4</v>
      </c>
      <c r="BO92" s="7">
        <v>2.5950025024778459E-4</v>
      </c>
      <c r="BP92" s="7">
        <v>2.5907619647157849E-4</v>
      </c>
      <c r="BQ92" s="7">
        <v>2.5779032603750243E-4</v>
      </c>
      <c r="BR92" s="7">
        <v>2.5566941395129954E-4</v>
      </c>
      <c r="BS92" s="7">
        <v>2.5455164430109576E-4</v>
      </c>
      <c r="BT92" s="7">
        <v>2.5324258773613308E-4</v>
      </c>
      <c r="BU92" s="7">
        <v>2.5114442184942867E-4</v>
      </c>
      <c r="BV92" s="7">
        <v>2.489275797938861E-4</v>
      </c>
      <c r="BW92" s="7">
        <v>2.4726737496975714E-4</v>
      </c>
      <c r="BX92" s="7">
        <v>2.455833601546747E-4</v>
      </c>
      <c r="BY92" s="7">
        <v>2.4391282159711163E-4</v>
      </c>
      <c r="BZ92" s="7">
        <v>2.4165745451446512E-4</v>
      </c>
      <c r="CA92" s="7">
        <v>2.3953975780375764E-4</v>
      </c>
      <c r="CB92" s="7">
        <v>2.3810184153657499E-4</v>
      </c>
      <c r="CC92" s="7">
        <v>2.3677307227560604E-4</v>
      </c>
      <c r="CD92" s="7">
        <v>2.3554543306746959E-4</v>
      </c>
      <c r="CE92" s="7">
        <v>2.3377933185131304E-4</v>
      </c>
      <c r="CF92" s="7">
        <v>2.3273272955125069E-4</v>
      </c>
      <c r="CG92" s="7">
        <v>2.3175551501622223E-4</v>
      </c>
      <c r="CH92" s="7">
        <v>2.3084439528292812E-4</v>
      </c>
      <c r="CI92" s="7">
        <v>2.3054839980024403E-4</v>
      </c>
      <c r="CJ92" s="7">
        <v>2.2856346182523177E-4</v>
      </c>
      <c r="CK92" s="7">
        <v>2.2779816038035044E-4</v>
      </c>
      <c r="CL92" s="7">
        <v>2.264282232032301E-4</v>
      </c>
      <c r="CM92" s="7">
        <v>2.2571211815466017E-4</v>
      </c>
      <c r="CN92" s="7">
        <v>2.2500691001718133E-4</v>
      </c>
      <c r="CO92" s="7">
        <v>2.2431137789711992E-4</v>
      </c>
      <c r="CP92" s="7">
        <v>2.241670956284982E-4</v>
      </c>
      <c r="CQ92" s="7">
        <v>2.2228668579187921E-4</v>
      </c>
      <c r="CR92" s="7">
        <v>2.2100864957005193E-4</v>
      </c>
      <c r="CS92" s="7">
        <v>2.2026226274965413E-4</v>
      </c>
      <c r="CT92" s="2"/>
    </row>
    <row r="93" spans="1:98" x14ac:dyDescent="0.35">
      <c r="A93" s="1" t="str">
        <f>'Population Definitions'!$B$15</f>
        <v>lros_15-64_M</v>
      </c>
      <c r="C93" t="s">
        <v>40</v>
      </c>
      <c r="D93" s="3"/>
      <c r="E93" s="2"/>
      <c r="F93" s="4" t="s">
        <v>36</v>
      </c>
      <c r="G93" s="7">
        <v>4.2088105347836188E-3</v>
      </c>
      <c r="H93" s="7">
        <v>4.0468899534859114E-3</v>
      </c>
      <c r="I93" s="7">
        <v>4.0124180930578299E-3</v>
      </c>
      <c r="J93" s="7">
        <v>3.7986679944949911E-3</v>
      </c>
      <c r="K93" s="7">
        <v>3.6241594370652083E-3</v>
      </c>
      <c r="L93" s="7">
        <v>3.7225997346595828E-3</v>
      </c>
      <c r="M93" s="7">
        <v>3.5326790808290578E-3</v>
      </c>
      <c r="N93" s="7">
        <v>3.4389602730975945E-3</v>
      </c>
      <c r="O93" s="7">
        <v>3.429755008329973E-3</v>
      </c>
      <c r="P93" s="7">
        <v>3.2973570274742142E-3</v>
      </c>
      <c r="Q93" s="7">
        <v>3.1656702604946009E-3</v>
      </c>
      <c r="R93" s="7">
        <v>3.0284733070346796E-3</v>
      </c>
      <c r="S93" s="7">
        <v>2.9581665187890308E-3</v>
      </c>
      <c r="T93" s="7">
        <v>2.8458206361657084E-3</v>
      </c>
      <c r="U93" s="7">
        <v>2.8083335154593918E-3</v>
      </c>
      <c r="V93" s="7">
        <v>2.7515393703867073E-3</v>
      </c>
      <c r="W93" s="7">
        <v>2.7200763089286202E-3</v>
      </c>
      <c r="X93" s="7">
        <v>2.6935390733901971E-3</v>
      </c>
      <c r="Y93" s="7">
        <v>2.6349535463718989E-3</v>
      </c>
      <c r="Z93" s="7">
        <v>2.5769771114413135E-3</v>
      </c>
      <c r="AA93" s="7">
        <v>2.4898781858084949E-3</v>
      </c>
      <c r="AB93" s="7">
        <v>2.4501536285560332E-3</v>
      </c>
      <c r="AC93" s="7">
        <v>2.3947060195838839E-3</v>
      </c>
      <c r="AD93" s="7">
        <v>2.3787570558002464E-3</v>
      </c>
      <c r="AE93" s="7">
        <v>2.3032118925788211E-3</v>
      </c>
      <c r="AF93" s="7">
        <v>2.2828350732767618E-3</v>
      </c>
      <c r="AG93" s="7">
        <v>2.2338085256720288E-3</v>
      </c>
      <c r="AH93" s="7">
        <v>2.255162041645868E-3</v>
      </c>
      <c r="AI93" s="7">
        <v>2.2345260562470631E-3</v>
      </c>
      <c r="AJ93" s="7">
        <v>2.2053044565371119E-3</v>
      </c>
      <c r="AK93" s="7">
        <v>2.1571008340127598E-3</v>
      </c>
      <c r="AL93" s="7">
        <v>2.1393864148392286E-3</v>
      </c>
      <c r="AM93" s="7">
        <v>2.0407811711421419E-3</v>
      </c>
      <c r="AN93" s="7">
        <v>2.0218310021092433E-3</v>
      </c>
      <c r="AO93" s="7">
        <v>2.1035386707639412E-3</v>
      </c>
      <c r="AP93" s="7">
        <v>2.1292862519080133E-3</v>
      </c>
      <c r="AQ93" s="7">
        <v>2.0554997463665251E-3</v>
      </c>
      <c r="AR93" s="7">
        <v>2.0044101889201888E-3</v>
      </c>
      <c r="AS93" s="7">
        <v>1.9791712961719759E-3</v>
      </c>
      <c r="AT93" s="7">
        <v>2.1525725558547938E-3</v>
      </c>
      <c r="AU93" s="7">
        <v>1.9746376080694941E-3</v>
      </c>
      <c r="AV93" s="7">
        <v>1.9854655795619146E-3</v>
      </c>
      <c r="AW93" s="7">
        <v>1.9936047593896214E-3</v>
      </c>
      <c r="AX93" s="7">
        <v>1.9672167857968772E-3</v>
      </c>
      <c r="AY93" s="7">
        <v>1.9435618675591214E-3</v>
      </c>
      <c r="AZ93" s="7">
        <v>1.9178815178645763E-3</v>
      </c>
      <c r="BA93" s="7">
        <v>1.8809515147302296E-3</v>
      </c>
      <c r="BB93" s="7">
        <v>1.8604034854578298E-3</v>
      </c>
      <c r="BC93" s="7">
        <v>1.8398183431030629E-3</v>
      </c>
      <c r="BD93" s="7">
        <v>1.8211835589438624E-3</v>
      </c>
      <c r="BE93" s="7">
        <v>1.8078254705523461E-3</v>
      </c>
      <c r="BF93" s="7">
        <v>1.7971668111906799E-3</v>
      </c>
      <c r="BG93" s="7">
        <v>1.7928793406071432E-3</v>
      </c>
      <c r="BH93" s="7">
        <v>1.7893355861919259E-3</v>
      </c>
      <c r="BI93" s="7">
        <v>1.7841811026019885E-3</v>
      </c>
      <c r="BJ93" s="7">
        <v>1.7795808930832751E-3</v>
      </c>
      <c r="BK93" s="7">
        <v>1.7686126972156588E-3</v>
      </c>
      <c r="BL93" s="7">
        <v>1.7596890936559569E-3</v>
      </c>
      <c r="BM93" s="7">
        <v>1.7568976927229739E-3</v>
      </c>
      <c r="BN93" s="7">
        <v>1.7560444763910176E-3</v>
      </c>
      <c r="BO93" s="7">
        <v>1.7585364676117163E-3</v>
      </c>
      <c r="BP93" s="7">
        <v>1.762734111941831E-3</v>
      </c>
      <c r="BQ93" s="7">
        <v>1.7682918341987751E-3</v>
      </c>
      <c r="BR93" s="7">
        <v>1.7745279164831393E-3</v>
      </c>
      <c r="BS93" s="7">
        <v>1.7819236083752644E-3</v>
      </c>
      <c r="BT93" s="7">
        <v>1.7867460491007689E-3</v>
      </c>
      <c r="BU93" s="7">
        <v>1.7869997818968919E-3</v>
      </c>
      <c r="BV93" s="7">
        <v>1.7862259242969352E-3</v>
      </c>
      <c r="BW93" s="7">
        <v>1.7822045321662851E-3</v>
      </c>
      <c r="BX93" s="7">
        <v>1.7775359709965009E-3</v>
      </c>
      <c r="BY93" s="7">
        <v>1.7732111590916374E-3</v>
      </c>
      <c r="BZ93" s="7">
        <v>1.7677399613559952E-3</v>
      </c>
      <c r="CA93" s="7">
        <v>1.7617213549063493E-3</v>
      </c>
      <c r="CB93" s="7">
        <v>1.7568984138845562E-3</v>
      </c>
      <c r="CC93" s="7">
        <v>1.7510069499864151E-3</v>
      </c>
      <c r="CD93" s="7">
        <v>1.7428791104726726E-3</v>
      </c>
      <c r="CE93" s="7">
        <v>1.7349420377156138E-3</v>
      </c>
      <c r="CF93" s="7">
        <v>1.7303727177131239E-3</v>
      </c>
      <c r="CG93" s="7">
        <v>1.7247290872415642E-3</v>
      </c>
      <c r="CH93" s="7">
        <v>1.7178854639106017E-3</v>
      </c>
      <c r="CI93" s="7">
        <v>1.711249598288447E-3</v>
      </c>
      <c r="CJ93" s="7">
        <v>1.7074553445528239E-3</v>
      </c>
      <c r="CK93" s="7">
        <v>1.7046339515299266E-3</v>
      </c>
      <c r="CL93" s="7">
        <v>1.7041140069810775E-3</v>
      </c>
      <c r="CM93" s="7">
        <v>1.7035916616799816E-3</v>
      </c>
      <c r="CN93" s="7">
        <v>1.6996724593141513E-3</v>
      </c>
      <c r="CO93" s="7">
        <v>1.6969390946846184E-3</v>
      </c>
      <c r="CP93" s="7">
        <v>1.6962867399640492E-3</v>
      </c>
      <c r="CQ93" s="7">
        <v>1.6954446101431016E-3</v>
      </c>
      <c r="CR93" s="7">
        <v>1.6933501410908048E-3</v>
      </c>
      <c r="CS93" s="7">
        <v>1.6884920858656915E-3</v>
      </c>
      <c r="CT93" s="2"/>
    </row>
    <row r="94" spans="1:98" x14ac:dyDescent="0.35">
      <c r="A94" s="1" t="str">
        <f>'Population Definitions'!$B$16</f>
        <v>lros_65+_M</v>
      </c>
      <c r="C94" t="s">
        <v>40</v>
      </c>
      <c r="D94" s="3"/>
      <c r="E94" s="2"/>
      <c r="F94" s="4" t="s">
        <v>36</v>
      </c>
      <c r="G94" s="7">
        <v>6.2070200942484319E-2</v>
      </c>
      <c r="H94" s="7">
        <v>6.144559709101019E-2</v>
      </c>
      <c r="I94" s="7">
        <v>6.3088570145559089E-2</v>
      </c>
      <c r="J94" s="7">
        <v>5.8880666109234529E-2</v>
      </c>
      <c r="K94" s="7">
        <v>5.783332631150135E-2</v>
      </c>
      <c r="L94" s="7">
        <v>6.060802907610733E-2</v>
      </c>
      <c r="M94" s="7">
        <v>5.6673361491435668E-2</v>
      </c>
      <c r="N94" s="7">
        <v>5.678854164136405E-2</v>
      </c>
      <c r="O94" s="7">
        <v>5.6541970474815878E-2</v>
      </c>
      <c r="P94" s="7">
        <v>5.7690200051515657E-2</v>
      </c>
      <c r="Q94" s="7">
        <v>5.3779926795798884E-2</v>
      </c>
      <c r="R94" s="7">
        <v>5.2349622041666918E-2</v>
      </c>
      <c r="S94" s="7">
        <v>5.3444800343217316E-2</v>
      </c>
      <c r="T94" s="7">
        <v>5.1594492724429113E-2</v>
      </c>
      <c r="U94" s="7">
        <v>5.3064455871494776E-2</v>
      </c>
      <c r="V94" s="7">
        <v>5.0784755859238889E-2</v>
      </c>
      <c r="W94" s="7">
        <v>5.1470436333896051E-2</v>
      </c>
      <c r="X94" s="7">
        <v>4.9965879268479514E-2</v>
      </c>
      <c r="Y94" s="7">
        <v>4.849495724608581E-2</v>
      </c>
      <c r="Z94" s="7">
        <v>4.7737826104979911E-2</v>
      </c>
      <c r="AA94" s="7">
        <v>4.6830706772172333E-2</v>
      </c>
      <c r="AB94" s="7">
        <v>4.5664012519925419E-2</v>
      </c>
      <c r="AC94" s="7">
        <v>4.6665112087499246E-2</v>
      </c>
      <c r="AD94" s="7">
        <v>4.5133235995710223E-2</v>
      </c>
      <c r="AE94" s="7">
        <v>4.448046115595982E-2</v>
      </c>
      <c r="AF94" s="7">
        <v>4.2357071379005837E-2</v>
      </c>
      <c r="AG94" s="7">
        <v>4.2569756306879071E-2</v>
      </c>
      <c r="AH94" s="7">
        <v>4.2555869259540163E-2</v>
      </c>
      <c r="AI94" s="7">
        <v>4.3489105534618787E-2</v>
      </c>
      <c r="AJ94" s="7">
        <v>4.0986781755746562E-2</v>
      </c>
      <c r="AK94" s="7">
        <v>4.0454643586180318E-2</v>
      </c>
      <c r="AL94" s="7">
        <v>4.0327085108775321E-2</v>
      </c>
      <c r="AM94" s="7">
        <v>3.8628363811926955E-2</v>
      </c>
      <c r="AN94" s="7">
        <v>3.7689551436196136E-2</v>
      </c>
      <c r="AO94" s="7">
        <v>3.7470929577723341E-2</v>
      </c>
      <c r="AP94" s="7">
        <v>3.7720850240946721E-2</v>
      </c>
      <c r="AQ94" s="7">
        <v>3.6996921716446939E-2</v>
      </c>
      <c r="AR94" s="7">
        <v>3.6459940720259626E-2</v>
      </c>
      <c r="AS94" s="7">
        <v>3.5032300364157207E-2</v>
      </c>
      <c r="AT94" s="7">
        <v>3.6175504255454106E-2</v>
      </c>
      <c r="AU94" s="7">
        <v>3.3688094210832846E-2</v>
      </c>
      <c r="AV94" s="7">
        <v>3.5003578533173554E-2</v>
      </c>
      <c r="AW94" s="7">
        <v>3.442354065761382E-2</v>
      </c>
      <c r="AX94" s="7">
        <v>3.4210590979083723E-2</v>
      </c>
      <c r="AY94" s="7">
        <v>3.4036006452022399E-2</v>
      </c>
      <c r="AZ94" s="7">
        <v>3.3890739672097124E-2</v>
      </c>
      <c r="BA94" s="7">
        <v>3.3524410091887655E-2</v>
      </c>
      <c r="BB94" s="7">
        <v>3.3565711276521921E-2</v>
      </c>
      <c r="BC94" s="7">
        <v>3.364848330305633E-2</v>
      </c>
      <c r="BD94" s="7">
        <v>3.3790868054002797E-2</v>
      </c>
      <c r="BE94" s="7">
        <v>3.4011028067281818E-2</v>
      </c>
      <c r="BF94" s="7">
        <v>3.4280683187442228E-2</v>
      </c>
      <c r="BG94" s="7">
        <v>3.4696518870326834E-2</v>
      </c>
      <c r="BH94" s="7">
        <v>3.5095522437846846E-2</v>
      </c>
      <c r="BI94" s="7">
        <v>3.5470201500561287E-2</v>
      </c>
      <c r="BJ94" s="7">
        <v>3.5821154641591864E-2</v>
      </c>
      <c r="BK94" s="7">
        <v>3.6069251087447358E-2</v>
      </c>
      <c r="BL94" s="7">
        <v>3.640191985008006E-2</v>
      </c>
      <c r="BM94" s="7">
        <v>3.6763634683668119E-2</v>
      </c>
      <c r="BN94" s="7">
        <v>3.7128761609430426E-2</v>
      </c>
      <c r="BO94" s="7">
        <v>3.7500268044853076E-2</v>
      </c>
      <c r="BP94" s="7">
        <v>3.7862540638156278E-2</v>
      </c>
      <c r="BQ94" s="7">
        <v>3.8218162330605245E-2</v>
      </c>
      <c r="BR94" s="7">
        <v>3.854834994992639E-2</v>
      </c>
      <c r="BS94" s="7">
        <v>3.8821997714149015E-2</v>
      </c>
      <c r="BT94" s="7">
        <v>3.9050825183280485E-2</v>
      </c>
      <c r="BU94" s="7">
        <v>3.9194361253117371E-2</v>
      </c>
      <c r="BV94" s="7">
        <v>3.9279056155168378E-2</v>
      </c>
      <c r="BW94" s="7">
        <v>3.9305169603301188E-2</v>
      </c>
      <c r="BX94" s="7">
        <v>3.931867617233524E-2</v>
      </c>
      <c r="BY94" s="7">
        <v>3.9308329182846713E-2</v>
      </c>
      <c r="BZ94" s="7">
        <v>3.9273141124168291E-2</v>
      </c>
      <c r="CA94" s="7">
        <v>3.9229629445712955E-2</v>
      </c>
      <c r="CB94" s="7">
        <v>3.9170706870266789E-2</v>
      </c>
      <c r="CC94" s="7">
        <v>3.9080433879312482E-2</v>
      </c>
      <c r="CD94" s="7">
        <v>3.8956932320058188E-2</v>
      </c>
      <c r="CE94" s="7">
        <v>3.8828280982196033E-2</v>
      </c>
      <c r="CF94" s="7">
        <v>3.8723246947276024E-2</v>
      </c>
      <c r="CG94" s="7">
        <v>3.8618440312789333E-2</v>
      </c>
      <c r="CH94" s="7">
        <v>3.8511929779896835E-2</v>
      </c>
      <c r="CI94" s="7">
        <v>3.8395393250835061E-2</v>
      </c>
      <c r="CJ94" s="7">
        <v>3.8328641458242697E-2</v>
      </c>
      <c r="CK94" s="7">
        <v>3.8299193431281457E-2</v>
      </c>
      <c r="CL94" s="7">
        <v>3.8296317537938031E-2</v>
      </c>
      <c r="CM94" s="7">
        <v>3.8283802276344613E-2</v>
      </c>
      <c r="CN94" s="7">
        <v>3.8246153370294723E-2</v>
      </c>
      <c r="CO94" s="7">
        <v>3.8225510277939821E-2</v>
      </c>
      <c r="CP94" s="7">
        <v>3.8260405180316183E-2</v>
      </c>
      <c r="CQ94" s="7">
        <v>3.8301516968062103E-2</v>
      </c>
      <c r="CR94" s="7">
        <v>3.8329605442655956E-2</v>
      </c>
      <c r="CS94" s="7">
        <v>3.8346521237070635E-2</v>
      </c>
      <c r="CT94" s="2"/>
    </row>
    <row r="95" spans="1:98" x14ac:dyDescent="0.35">
      <c r="A95" s="1" t="str">
        <f>'Population Definitions'!$B$17</f>
        <v>lros_0-14_F</v>
      </c>
      <c r="C95" t="s">
        <v>40</v>
      </c>
      <c r="D95" s="3"/>
      <c r="E95" s="2"/>
      <c r="F95" s="4" t="s">
        <v>36</v>
      </c>
      <c r="G95" s="7">
        <v>7.7611156288859425E-4</v>
      </c>
      <c r="H95" s="7">
        <v>7.2835288150582789E-4</v>
      </c>
      <c r="I95" s="7">
        <v>7.5800073480244555E-4</v>
      </c>
      <c r="J95" s="7">
        <v>7.298110059959298E-4</v>
      </c>
      <c r="K95" s="7">
        <v>6.5696164898569804E-4</v>
      </c>
      <c r="L95" s="7">
        <v>7.4651932829302586E-4</v>
      </c>
      <c r="M95" s="7">
        <v>6.6805040298566535E-4</v>
      </c>
      <c r="N95" s="7">
        <v>6.2392681364490938E-4</v>
      </c>
      <c r="O95" s="7">
        <v>6.5869371081495379E-4</v>
      </c>
      <c r="P95" s="7">
        <v>6.2885776404682746E-4</v>
      </c>
      <c r="Q95" s="7">
        <v>6.3193331986172369E-4</v>
      </c>
      <c r="R95" s="7">
        <v>5.4928481646687505E-4</v>
      </c>
      <c r="S95" s="7">
        <v>5.5013014305666018E-4</v>
      </c>
      <c r="T95" s="7">
        <v>4.9430562157493519E-4</v>
      </c>
      <c r="U95" s="7">
        <v>4.7918165373506735E-4</v>
      </c>
      <c r="V95" s="7">
        <v>4.7740026149691841E-4</v>
      </c>
      <c r="W95" s="7">
        <v>4.4613936004517365E-4</v>
      </c>
      <c r="X95" s="7">
        <v>4.163554409153886E-4</v>
      </c>
      <c r="Y95" s="7">
        <v>3.9360339474482604E-4</v>
      </c>
      <c r="Z95" s="7">
        <v>4.1135782859298687E-4</v>
      </c>
      <c r="AA95" s="7">
        <v>3.8223163963299118E-4</v>
      </c>
      <c r="AB95" s="7">
        <v>3.6618206213601953E-4</v>
      </c>
      <c r="AC95" s="7">
        <v>3.6843681936108607E-4</v>
      </c>
      <c r="AD95" s="7">
        <v>3.5119021102479478E-4</v>
      </c>
      <c r="AE95" s="7">
        <v>3.3132874903264644E-4</v>
      </c>
      <c r="AF95" s="7">
        <v>3.6346017059959068E-4</v>
      </c>
      <c r="AG95" s="7">
        <v>3.3495143436060819E-4</v>
      </c>
      <c r="AH95" s="7">
        <v>3.3582681858372799E-4</v>
      </c>
      <c r="AI95" s="7">
        <v>3.1961334901152151E-4</v>
      </c>
      <c r="AJ95" s="7">
        <v>3.2582206504321417E-4</v>
      </c>
      <c r="AK95" s="7">
        <v>2.9899692109161324E-4</v>
      </c>
      <c r="AL95" s="7">
        <v>3.0331192828091677E-4</v>
      </c>
      <c r="AM95" s="7">
        <v>2.8194549215682368E-4</v>
      </c>
      <c r="AN95" s="7">
        <v>2.9476536216431996E-4</v>
      </c>
      <c r="AO95" s="7">
        <v>2.8519042594061237E-4</v>
      </c>
      <c r="AP95" s="7">
        <v>2.7418034771206228E-4</v>
      </c>
      <c r="AQ95" s="7">
        <v>2.4622357617934269E-4</v>
      </c>
      <c r="AR95" s="7">
        <v>2.6479384455463476E-4</v>
      </c>
      <c r="AS95" s="7">
        <v>2.3732624163431108E-4</v>
      </c>
      <c r="AT95" s="7">
        <v>2.4685449516414462E-4</v>
      </c>
      <c r="AU95" s="7">
        <v>2.357976800684908E-4</v>
      </c>
      <c r="AV95" s="7">
        <v>2.464688151293739E-4</v>
      </c>
      <c r="AW95" s="7">
        <v>2.6044419495270115E-4</v>
      </c>
      <c r="AX95" s="7">
        <v>2.5106814541426729E-4</v>
      </c>
      <c r="AY95" s="7">
        <v>2.4682849408455142E-4</v>
      </c>
      <c r="AZ95" s="7">
        <v>2.4229898353939444E-4</v>
      </c>
      <c r="BA95" s="7">
        <v>2.3581422763527233E-4</v>
      </c>
      <c r="BB95" s="7">
        <v>2.3432401137901397E-4</v>
      </c>
      <c r="BC95" s="7">
        <v>2.3260028968991761E-4</v>
      </c>
      <c r="BD95" s="7">
        <v>2.3215433438133167E-4</v>
      </c>
      <c r="BE95" s="7">
        <v>2.3109804579957052E-4</v>
      </c>
      <c r="BF95" s="7">
        <v>2.3021768566092467E-4</v>
      </c>
      <c r="BG95" s="7">
        <v>2.286974059482801E-4</v>
      </c>
      <c r="BH95" s="7">
        <v>2.2714618007875926E-4</v>
      </c>
      <c r="BI95" s="7">
        <v>2.2746948705178492E-4</v>
      </c>
      <c r="BJ95" s="7">
        <v>2.2609553931000526E-4</v>
      </c>
      <c r="BK95" s="7">
        <v>2.2603616737943989E-4</v>
      </c>
      <c r="BL95" s="7">
        <v>2.261950372005096E-4</v>
      </c>
      <c r="BM95" s="7">
        <v>2.2610546404947134E-4</v>
      </c>
      <c r="BN95" s="7">
        <v>2.2654949119739996E-4</v>
      </c>
      <c r="BO95" s="7">
        <v>2.256733242858727E-4</v>
      </c>
      <c r="BP95" s="7">
        <v>2.2580947588840661E-4</v>
      </c>
      <c r="BQ95" s="7">
        <v>2.2453846267925969E-4</v>
      </c>
      <c r="BR95" s="7">
        <v>2.2363691421986053E-4</v>
      </c>
      <c r="BS95" s="7">
        <v>2.2252818907311396E-4</v>
      </c>
      <c r="BT95" s="7">
        <v>2.2123747072478171E-4</v>
      </c>
      <c r="BU95" s="7">
        <v>2.197841307423333E-4</v>
      </c>
      <c r="BV95" s="7">
        <v>2.1821548094965308E-4</v>
      </c>
      <c r="BW95" s="7">
        <v>2.1657254826197588E-4</v>
      </c>
      <c r="BX95" s="7">
        <v>2.1429958037392659E-4</v>
      </c>
      <c r="BY95" s="7">
        <v>2.1262938598473629E-4</v>
      </c>
      <c r="BZ95" s="7">
        <v>2.1099444981025037E-4</v>
      </c>
      <c r="CA95" s="7">
        <v>2.0886281805324733E-4</v>
      </c>
      <c r="CB95" s="7">
        <v>2.0739426671960198E-4</v>
      </c>
      <c r="CC95" s="7">
        <v>2.0602805859649731E-4</v>
      </c>
      <c r="CD95" s="7">
        <v>2.0420799649328514E-4</v>
      </c>
      <c r="CE95" s="7">
        <v>2.0302585653657877E-4</v>
      </c>
      <c r="CF95" s="7">
        <v>2.0192267639440234E-4</v>
      </c>
      <c r="CG95" s="7">
        <v>2.0088441284071238E-4</v>
      </c>
      <c r="CH95" s="7">
        <v>1.9990683647157594E-4</v>
      </c>
      <c r="CI95" s="7">
        <v>1.989875900834196E-4</v>
      </c>
      <c r="CJ95" s="7">
        <v>1.9810884242972722E-4</v>
      </c>
      <c r="CK95" s="7">
        <v>1.9668495301511607E-4</v>
      </c>
      <c r="CL95" s="7">
        <v>1.9527931935179796E-4</v>
      </c>
      <c r="CM95" s="7">
        <v>1.9502579392844635E-4</v>
      </c>
      <c r="CN95" s="7">
        <v>1.9424947715364875E-4</v>
      </c>
      <c r="CO95" s="7">
        <v>1.9231445884240346E-4</v>
      </c>
      <c r="CP95" s="7">
        <v>1.9154827484123659E-4</v>
      </c>
      <c r="CQ95" s="7">
        <v>1.9077779432108576E-4</v>
      </c>
      <c r="CR95" s="7">
        <v>1.8999469250912535E-4</v>
      </c>
      <c r="CS95" s="7">
        <v>1.885965054225696E-4</v>
      </c>
      <c r="CT95" s="2"/>
    </row>
    <row r="96" spans="1:98" x14ac:dyDescent="0.35">
      <c r="A96" s="1" t="str">
        <f>'Population Definitions'!$B$18</f>
        <v>lros_15-64_F</v>
      </c>
      <c r="C96" t="s">
        <v>40</v>
      </c>
      <c r="D96" s="3"/>
      <c r="E96" s="2"/>
      <c r="F96" s="4" t="s">
        <v>36</v>
      </c>
      <c r="G96" s="7">
        <v>2.038452045978364E-3</v>
      </c>
      <c r="H96" s="7">
        <v>1.9767353526068659E-3</v>
      </c>
      <c r="I96" s="7">
        <v>2.0187817923608691E-3</v>
      </c>
      <c r="J96" s="7">
        <v>1.9407273325673597E-3</v>
      </c>
      <c r="K96" s="7">
        <v>1.8532239730920529E-3</v>
      </c>
      <c r="L96" s="7">
        <v>1.9009221218489688E-3</v>
      </c>
      <c r="M96" s="7">
        <v>1.7985896587471655E-3</v>
      </c>
      <c r="N96" s="7">
        <v>1.7314700359664747E-3</v>
      </c>
      <c r="O96" s="7">
        <v>1.730136606751128E-3</v>
      </c>
      <c r="P96" s="7">
        <v>1.6762475850544347E-3</v>
      </c>
      <c r="Q96" s="7">
        <v>1.581625700123133E-3</v>
      </c>
      <c r="R96" s="7">
        <v>1.5514372602748402E-3</v>
      </c>
      <c r="S96" s="7">
        <v>1.5282398170161297E-3</v>
      </c>
      <c r="T96" s="7">
        <v>1.4696436702902084E-3</v>
      </c>
      <c r="U96" s="7">
        <v>1.4486478942260766E-3</v>
      </c>
      <c r="V96" s="7">
        <v>1.431475968423283E-3</v>
      </c>
      <c r="W96" s="7">
        <v>1.4216898891691242E-3</v>
      </c>
      <c r="X96" s="7">
        <v>1.4434127563756562E-3</v>
      </c>
      <c r="Y96" s="7">
        <v>1.4011611644457738E-3</v>
      </c>
      <c r="Z96" s="7">
        <v>1.3666703524028E-3</v>
      </c>
      <c r="AA96" s="7">
        <v>1.3610530504327388E-3</v>
      </c>
      <c r="AB96" s="7">
        <v>1.3281438341975322E-3</v>
      </c>
      <c r="AC96" s="7">
        <v>1.3630430886695159E-3</v>
      </c>
      <c r="AD96" s="7">
        <v>1.3244528124107112E-3</v>
      </c>
      <c r="AE96" s="7">
        <v>1.2870239970553337E-3</v>
      </c>
      <c r="AF96" s="7">
        <v>1.2627290643795008E-3</v>
      </c>
      <c r="AG96" s="7">
        <v>1.2611813902310416E-3</v>
      </c>
      <c r="AH96" s="7">
        <v>1.2962660174229432E-3</v>
      </c>
      <c r="AI96" s="7">
        <v>1.2731156586013575E-3</v>
      </c>
      <c r="AJ96" s="7">
        <v>1.2735489977588857E-3</v>
      </c>
      <c r="AK96" s="7">
        <v>1.2403136201408124E-3</v>
      </c>
      <c r="AL96" s="7">
        <v>1.2420944897870076E-3</v>
      </c>
      <c r="AM96" s="7">
        <v>1.2052321102080756E-3</v>
      </c>
      <c r="AN96" s="7">
        <v>1.2058807290476203E-3</v>
      </c>
      <c r="AO96" s="7">
        <v>1.2230551580683258E-3</v>
      </c>
      <c r="AP96" s="7">
        <v>1.2200151675882524E-3</v>
      </c>
      <c r="AQ96" s="7">
        <v>1.2017167785235714E-3</v>
      </c>
      <c r="AR96" s="7">
        <v>1.1661076876572714E-3</v>
      </c>
      <c r="AS96" s="7">
        <v>1.1658282052216902E-3</v>
      </c>
      <c r="AT96" s="7">
        <v>1.2078173156590565E-3</v>
      </c>
      <c r="AU96" s="7">
        <v>1.1329927465164402E-3</v>
      </c>
      <c r="AV96" s="7">
        <v>1.1610665564194844E-3</v>
      </c>
      <c r="AW96" s="7">
        <v>1.1631728232997152E-3</v>
      </c>
      <c r="AX96" s="7">
        <v>1.1474899218503688E-3</v>
      </c>
      <c r="AY96" s="7">
        <v>1.1351263843325855E-3</v>
      </c>
      <c r="AZ96" s="7">
        <v>1.1223171161106207E-3</v>
      </c>
      <c r="BA96" s="7">
        <v>1.102468223547448E-3</v>
      </c>
      <c r="BB96" s="7">
        <v>1.0931530617851483E-3</v>
      </c>
      <c r="BC96" s="7">
        <v>1.0844748516308062E-3</v>
      </c>
      <c r="BD96" s="7">
        <v>1.0772732796579844E-3</v>
      </c>
      <c r="BE96" s="7">
        <v>1.0731962371177612E-3</v>
      </c>
      <c r="BF96" s="7">
        <v>1.070131880259845E-3</v>
      </c>
      <c r="BG96" s="7">
        <v>1.0707178008611425E-3</v>
      </c>
      <c r="BH96" s="7">
        <v>1.0711635454597598E-3</v>
      </c>
      <c r="BI96" s="7">
        <v>1.0697201716992734E-3</v>
      </c>
      <c r="BJ96" s="7">
        <v>1.0675151404235615E-3</v>
      </c>
      <c r="BK96" s="7">
        <v>1.0624939709752866E-3</v>
      </c>
      <c r="BL96" s="7">
        <v>1.058623007174922E-3</v>
      </c>
      <c r="BM96" s="7">
        <v>1.0589687592475075E-3</v>
      </c>
      <c r="BN96" s="7">
        <v>1.0601858309073611E-3</v>
      </c>
      <c r="BO96" s="7">
        <v>1.0636224676575249E-3</v>
      </c>
      <c r="BP96" s="7">
        <v>1.0691448955130807E-3</v>
      </c>
      <c r="BQ96" s="7">
        <v>1.0748462745510585E-3</v>
      </c>
      <c r="BR96" s="7">
        <v>1.0813922839108645E-3</v>
      </c>
      <c r="BS96" s="7">
        <v>1.0865187684544323E-3</v>
      </c>
      <c r="BT96" s="7">
        <v>1.09143437065739E-3</v>
      </c>
      <c r="BU96" s="7">
        <v>1.0933136462584641E-3</v>
      </c>
      <c r="BV96" s="7">
        <v>1.0954896499012754E-3</v>
      </c>
      <c r="BW96" s="7">
        <v>1.0944545270073639E-3</v>
      </c>
      <c r="BX96" s="7">
        <v>1.0938112586755594E-3</v>
      </c>
      <c r="BY96" s="7">
        <v>1.0921374598666033E-3</v>
      </c>
      <c r="BZ96" s="7">
        <v>1.0898479468859062E-3</v>
      </c>
      <c r="CA96" s="7">
        <v>1.087739043840635E-3</v>
      </c>
      <c r="CB96" s="7">
        <v>1.0852665530727938E-3</v>
      </c>
      <c r="CC96" s="7">
        <v>1.0808657843272647E-3</v>
      </c>
      <c r="CD96" s="7">
        <v>1.0761429810574004E-3</v>
      </c>
      <c r="CE96" s="7">
        <v>1.0704511747987688E-3</v>
      </c>
      <c r="CF96" s="7">
        <v>1.0661711614066765E-3</v>
      </c>
      <c r="CG96" s="7">
        <v>1.0617261325739859E-3</v>
      </c>
      <c r="CH96" s="7">
        <v>1.0580065620583478E-3</v>
      </c>
      <c r="CI96" s="7">
        <v>1.0535527683341644E-3</v>
      </c>
      <c r="CJ96" s="7">
        <v>1.0510206819492154E-3</v>
      </c>
      <c r="CK96" s="7">
        <v>1.04925118404212E-3</v>
      </c>
      <c r="CL96" s="7">
        <v>1.0492220660120756E-3</v>
      </c>
      <c r="CM96" s="7">
        <v>1.0495889319863229E-3</v>
      </c>
      <c r="CN96" s="7">
        <v>1.0494278940347908E-3</v>
      </c>
      <c r="CO96" s="7">
        <v>1.0484745302111298E-3</v>
      </c>
      <c r="CP96" s="7">
        <v>1.0489424093636508E-3</v>
      </c>
      <c r="CQ96" s="7">
        <v>1.0511813018982338E-3</v>
      </c>
      <c r="CR96" s="7">
        <v>1.0506989685250578E-3</v>
      </c>
      <c r="CS96" s="7">
        <v>1.0496017206653491E-3</v>
      </c>
      <c r="CT96" s="2"/>
    </row>
    <row r="97" spans="1:98" x14ac:dyDescent="0.35">
      <c r="A97" s="1" t="str">
        <f>'Population Definitions'!$B$19</f>
        <v>lros_65+_F</v>
      </c>
      <c r="C97" t="s">
        <v>40</v>
      </c>
      <c r="D97" s="3"/>
      <c r="E97" s="2"/>
      <c r="F97" s="4" t="s">
        <v>36</v>
      </c>
      <c r="G97" s="7">
        <v>4.4217343729144785E-2</v>
      </c>
      <c r="H97" s="7">
        <v>4.3345181547693248E-2</v>
      </c>
      <c r="I97" s="7">
        <v>4.5137783536921355E-2</v>
      </c>
      <c r="J97" s="7">
        <v>4.2260296692559499E-2</v>
      </c>
      <c r="K97" s="7">
        <v>4.2022423472567787E-2</v>
      </c>
      <c r="L97" s="7">
        <v>4.5198467953150738E-2</v>
      </c>
      <c r="M97" s="7">
        <v>4.2290966641939209E-2</v>
      </c>
      <c r="N97" s="7">
        <v>4.2202457883851546E-2</v>
      </c>
      <c r="O97" s="7">
        <v>4.1822941841828512E-2</v>
      </c>
      <c r="P97" s="7">
        <v>4.320795754022292E-2</v>
      </c>
      <c r="Q97" s="7">
        <v>4.0847700142997559E-2</v>
      </c>
      <c r="R97" s="7">
        <v>3.9663102904817435E-2</v>
      </c>
      <c r="S97" s="7">
        <v>4.0922303721636299E-2</v>
      </c>
      <c r="T97" s="7">
        <v>3.9450751624501054E-2</v>
      </c>
      <c r="U97" s="7">
        <v>4.0972867024851985E-2</v>
      </c>
      <c r="V97" s="7">
        <v>3.9949651829580123E-2</v>
      </c>
      <c r="W97" s="7">
        <v>4.0447756591604843E-2</v>
      </c>
      <c r="X97" s="7">
        <v>4.0421950363670411E-2</v>
      </c>
      <c r="Y97" s="7">
        <v>3.8798432219603989E-2</v>
      </c>
      <c r="Z97" s="7">
        <v>3.8783804752909566E-2</v>
      </c>
      <c r="AA97" s="7">
        <v>3.8584906521897028E-2</v>
      </c>
      <c r="AB97" s="7">
        <v>3.8097446089980377E-2</v>
      </c>
      <c r="AC97" s="7">
        <v>3.9485702356161473E-2</v>
      </c>
      <c r="AD97" s="7">
        <v>3.8384594240468958E-2</v>
      </c>
      <c r="AE97" s="7">
        <v>3.8019451676717948E-2</v>
      </c>
      <c r="AF97" s="7">
        <v>3.6902486603987261E-2</v>
      </c>
      <c r="AG97" s="7">
        <v>3.7408330732521797E-2</v>
      </c>
      <c r="AH97" s="7">
        <v>3.7646983057727373E-2</v>
      </c>
      <c r="AI97" s="7">
        <v>3.8857396464208493E-2</v>
      </c>
      <c r="AJ97" s="7">
        <v>3.6460031866758683E-2</v>
      </c>
      <c r="AK97" s="7">
        <v>3.6461511254853911E-2</v>
      </c>
      <c r="AL97" s="7">
        <v>3.6268975687052465E-2</v>
      </c>
      <c r="AM97" s="7">
        <v>3.5487279457718061E-2</v>
      </c>
      <c r="AN97" s="7">
        <v>3.4013719845812515E-2</v>
      </c>
      <c r="AO97" s="7">
        <v>3.4613994668834198E-2</v>
      </c>
      <c r="AP97" s="7">
        <v>3.4840689215105636E-2</v>
      </c>
      <c r="AQ97" s="7">
        <v>3.3276647695227E-2</v>
      </c>
      <c r="AR97" s="7">
        <v>3.3025371368011938E-2</v>
      </c>
      <c r="AS97" s="7">
        <v>3.1092293557626403E-2</v>
      </c>
      <c r="AT97" s="7">
        <v>3.2060924391148764E-2</v>
      </c>
      <c r="AU97" s="7">
        <v>2.9255830197210942E-2</v>
      </c>
      <c r="AV97" s="7">
        <v>3.0592846922270194E-2</v>
      </c>
      <c r="AW97" s="7">
        <v>2.9598170495479446E-2</v>
      </c>
      <c r="AX97" s="7">
        <v>2.924280785365839E-2</v>
      </c>
      <c r="AY97" s="7">
        <v>2.8929299744042292E-2</v>
      </c>
      <c r="AZ97" s="7">
        <v>2.8660022377209174E-2</v>
      </c>
      <c r="BA97" s="7">
        <v>2.8277337297249707E-2</v>
      </c>
      <c r="BB97" s="7">
        <v>2.8226783132857983E-2</v>
      </c>
      <c r="BC97" s="7">
        <v>2.8229579378241179E-2</v>
      </c>
      <c r="BD97" s="7">
        <v>2.8318000035398375E-2</v>
      </c>
      <c r="BE97" s="7">
        <v>2.8506895345601552E-2</v>
      </c>
      <c r="BF97" s="7">
        <v>2.8753920669589317E-2</v>
      </c>
      <c r="BG97" s="7">
        <v>2.9115122303760489E-2</v>
      </c>
      <c r="BH97" s="7">
        <v>2.9485412873021255E-2</v>
      </c>
      <c r="BI97" s="7">
        <v>2.9841216823494377E-2</v>
      </c>
      <c r="BJ97" s="7">
        <v>3.0226903605457416E-2</v>
      </c>
      <c r="BK97" s="7">
        <v>3.053204298503704E-2</v>
      </c>
      <c r="BL97" s="7">
        <v>3.0899720381490161E-2</v>
      </c>
      <c r="BM97" s="7">
        <v>3.1319904616991995E-2</v>
      </c>
      <c r="BN97" s="7">
        <v>3.1764420245806967E-2</v>
      </c>
      <c r="BO97" s="7">
        <v>3.2232948216828025E-2</v>
      </c>
      <c r="BP97" s="7">
        <v>3.2695569203139416E-2</v>
      </c>
      <c r="BQ97" s="7">
        <v>3.3142375006817687E-2</v>
      </c>
      <c r="BR97" s="7">
        <v>3.3546710315022224E-2</v>
      </c>
      <c r="BS97" s="7">
        <v>3.3893383637854282E-2</v>
      </c>
      <c r="BT97" s="7">
        <v>3.4201647261513812E-2</v>
      </c>
      <c r="BU97" s="7">
        <v>3.4434111447007865E-2</v>
      </c>
      <c r="BV97" s="7">
        <v>3.4617719333594817E-2</v>
      </c>
      <c r="BW97" s="7">
        <v>3.4747916275152356E-2</v>
      </c>
      <c r="BX97" s="7">
        <v>3.4856835503688649E-2</v>
      </c>
      <c r="BY97" s="7">
        <v>3.4932267604727077E-2</v>
      </c>
      <c r="BZ97" s="7">
        <v>3.4989285157942904E-2</v>
      </c>
      <c r="CA97" s="7">
        <v>3.5025706362951443E-2</v>
      </c>
      <c r="CB97" s="7">
        <v>3.5033675850695202E-2</v>
      </c>
      <c r="CC97" s="7">
        <v>3.5018778183828918E-2</v>
      </c>
      <c r="CD97" s="7">
        <v>3.4963674952187086E-2</v>
      </c>
      <c r="CE97" s="7">
        <v>3.4892781765923545E-2</v>
      </c>
      <c r="CF97" s="7">
        <v>3.4827255939781365E-2</v>
      </c>
      <c r="CG97" s="7">
        <v>3.4756687942924268E-2</v>
      </c>
      <c r="CH97" s="7">
        <v>3.4694889649584587E-2</v>
      </c>
      <c r="CI97" s="7">
        <v>3.4632250320452099E-2</v>
      </c>
      <c r="CJ97" s="7">
        <v>3.4605808771902127E-2</v>
      </c>
      <c r="CK97" s="7">
        <v>3.4613722813383992E-2</v>
      </c>
      <c r="CL97" s="7">
        <v>3.4648372736796211E-2</v>
      </c>
      <c r="CM97" s="7">
        <v>3.4697443993670238E-2</v>
      </c>
      <c r="CN97" s="7">
        <v>3.4731083752008736E-2</v>
      </c>
      <c r="CO97" s="7">
        <v>3.4780856664994746E-2</v>
      </c>
      <c r="CP97" s="7">
        <v>3.4859174294952888E-2</v>
      </c>
      <c r="CQ97" s="7">
        <v>3.4937693395011696E-2</v>
      </c>
      <c r="CR97" s="7">
        <v>3.501506573097133E-2</v>
      </c>
      <c r="CS97" s="7">
        <v>3.5093510049994225E-2</v>
      </c>
      <c r="CT97" s="2"/>
    </row>
    <row r="98" spans="1:98" x14ac:dyDescent="0.35">
      <c r="A98" s="1" t="str">
        <f>'Population Definitions'!$B$20</f>
        <v>hros_0-14_M</v>
      </c>
      <c r="C98" t="s">
        <v>40</v>
      </c>
      <c r="D98" s="3"/>
      <c r="E98" s="2"/>
      <c r="F98" s="4" t="s">
        <v>36</v>
      </c>
      <c r="G98" s="7">
        <v>1.0123048860904821E-3</v>
      </c>
      <c r="H98" s="7">
        <v>9.7192860225567745E-4</v>
      </c>
      <c r="I98" s="7">
        <v>1.0466144946957878E-3</v>
      </c>
      <c r="J98" s="7">
        <v>9.2479267024097049E-4</v>
      </c>
      <c r="K98" s="7">
        <v>8.8630595851211136E-4</v>
      </c>
      <c r="L98" s="7">
        <v>9.6383294910202426E-4</v>
      </c>
      <c r="M98" s="7">
        <v>8.7690072861522849E-4</v>
      </c>
      <c r="N98" s="7">
        <v>8.5771224631500285E-4</v>
      </c>
      <c r="O98" s="7">
        <v>8.4243523104596404E-4</v>
      </c>
      <c r="P98" s="7">
        <v>7.7932618730086449E-4</v>
      </c>
      <c r="Q98" s="7">
        <v>8.1327858745239962E-4</v>
      </c>
      <c r="R98" s="7">
        <v>6.8998272414455618E-4</v>
      </c>
      <c r="S98" s="7">
        <v>7.0013681862492226E-4</v>
      </c>
      <c r="T98" s="7">
        <v>6.3582133726837692E-4</v>
      </c>
      <c r="U98" s="7">
        <v>5.9104323226653703E-4</v>
      </c>
      <c r="V98" s="7">
        <v>5.5530869409760417E-4</v>
      </c>
      <c r="W98" s="7">
        <v>5.7486715192346519E-4</v>
      </c>
      <c r="X98" s="7">
        <v>5.1492012876702643E-4</v>
      </c>
      <c r="Y98" s="7">
        <v>4.9055663676135324E-4</v>
      </c>
      <c r="Z98" s="7">
        <v>5.0675247482774393E-4</v>
      </c>
      <c r="AA98" s="7">
        <v>4.6922557148314795E-4</v>
      </c>
      <c r="AB98" s="7">
        <v>4.6808399159522753E-4</v>
      </c>
      <c r="AC98" s="7">
        <v>4.5032151782968001E-4</v>
      </c>
      <c r="AD98" s="7">
        <v>4.1564711981455585E-4</v>
      </c>
      <c r="AE98" s="7">
        <v>4.2158644594191068E-4</v>
      </c>
      <c r="AF98" s="7">
        <v>4.1866919003000794E-4</v>
      </c>
      <c r="AG98" s="7">
        <v>4.1110822902566999E-4</v>
      </c>
      <c r="AH98" s="7">
        <v>3.8353616877860629E-4</v>
      </c>
      <c r="AI98" s="7">
        <v>3.9783072923982998E-4</v>
      </c>
      <c r="AJ98" s="7">
        <v>4.0337436009204539E-4</v>
      </c>
      <c r="AK98" s="7">
        <v>4.0536969734543497E-4</v>
      </c>
      <c r="AL98" s="7">
        <v>3.4920898023003532E-4</v>
      </c>
      <c r="AM98" s="7">
        <v>3.1675994073509112E-4</v>
      </c>
      <c r="AN98" s="7">
        <v>3.2769423901596247E-4</v>
      </c>
      <c r="AO98" s="7">
        <v>3.1317687504222057E-4</v>
      </c>
      <c r="AP98" s="7">
        <v>3.2730041309415913E-4</v>
      </c>
      <c r="AQ98" s="7">
        <v>3.1803795979153885E-4</v>
      </c>
      <c r="AR98" s="7">
        <v>3.1950441250030141E-4</v>
      </c>
      <c r="AS98" s="7">
        <v>3.0539553289869422E-4</v>
      </c>
      <c r="AT98" s="7">
        <v>3.1771026837569777E-4</v>
      </c>
      <c r="AU98" s="7">
        <v>2.7739145861386015E-4</v>
      </c>
      <c r="AV98" s="7">
        <v>3.0766344647796003E-4</v>
      </c>
      <c r="AW98" s="7">
        <v>3.0369624943860345E-4</v>
      </c>
      <c r="AX98" s="7">
        <v>2.9533031778235014E-4</v>
      </c>
      <c r="AY98" s="7">
        <v>2.9076351917373247E-4</v>
      </c>
      <c r="AZ98" s="7">
        <v>2.8313566542242181E-4</v>
      </c>
      <c r="BA98" s="7">
        <v>2.7791175705826524E-4</v>
      </c>
      <c r="BB98" s="7">
        <v>2.7479005669363201E-4</v>
      </c>
      <c r="BC98" s="7">
        <v>2.7376456018094359E-4</v>
      </c>
      <c r="BD98" s="7">
        <v>2.7108185881481197E-4</v>
      </c>
      <c r="BE98" s="7">
        <v>2.6958577166288499E-4</v>
      </c>
      <c r="BF98" s="7">
        <v>2.6696614028517583E-4</v>
      </c>
      <c r="BG98" s="7">
        <v>2.6621034899225449E-4</v>
      </c>
      <c r="BH98" s="7">
        <v>2.6472114675533205E-4</v>
      </c>
      <c r="BI98" s="7">
        <v>2.6402784015851292E-4</v>
      </c>
      <c r="BJ98" s="7">
        <v>2.6329326540928261E-4</v>
      </c>
      <c r="BK98" s="7">
        <v>2.6149720772832474E-4</v>
      </c>
      <c r="BL98" s="7">
        <v>2.6168360034341357E-4</v>
      </c>
      <c r="BM98" s="7">
        <v>2.6106405992491782E-4</v>
      </c>
      <c r="BN98" s="7">
        <v>2.6034708221615979E-4</v>
      </c>
      <c r="BO98" s="7">
        <v>2.5950025024778459E-4</v>
      </c>
      <c r="BP98" s="7">
        <v>2.5907619647157849E-4</v>
      </c>
      <c r="BQ98" s="7">
        <v>2.5779032603750243E-4</v>
      </c>
      <c r="BR98" s="7">
        <v>2.5566941395129954E-4</v>
      </c>
      <c r="BS98" s="7">
        <v>2.5455164430109576E-4</v>
      </c>
      <c r="BT98" s="7">
        <v>2.5324258773613308E-4</v>
      </c>
      <c r="BU98" s="7">
        <v>2.5114442184942867E-4</v>
      </c>
      <c r="BV98" s="7">
        <v>2.489275797938861E-4</v>
      </c>
      <c r="BW98" s="7">
        <v>2.4726737496975714E-4</v>
      </c>
      <c r="BX98" s="7">
        <v>2.455833601546747E-4</v>
      </c>
      <c r="BY98" s="7">
        <v>2.4391282159711163E-4</v>
      </c>
      <c r="BZ98" s="7">
        <v>2.4165745451446512E-4</v>
      </c>
      <c r="CA98" s="7">
        <v>2.3953975780375764E-4</v>
      </c>
      <c r="CB98" s="7">
        <v>2.3810184153657499E-4</v>
      </c>
      <c r="CC98" s="7">
        <v>2.3677307227560604E-4</v>
      </c>
      <c r="CD98" s="7">
        <v>2.3554543306746959E-4</v>
      </c>
      <c r="CE98" s="7">
        <v>2.3377933185131304E-4</v>
      </c>
      <c r="CF98" s="7">
        <v>2.3273272955125069E-4</v>
      </c>
      <c r="CG98" s="7">
        <v>2.3175551501622223E-4</v>
      </c>
      <c r="CH98" s="7">
        <v>2.3084439528292812E-4</v>
      </c>
      <c r="CI98" s="7">
        <v>2.3054839980024403E-4</v>
      </c>
      <c r="CJ98" s="7">
        <v>2.2856346182523177E-4</v>
      </c>
      <c r="CK98" s="7">
        <v>2.2779816038035044E-4</v>
      </c>
      <c r="CL98" s="7">
        <v>2.264282232032301E-4</v>
      </c>
      <c r="CM98" s="7">
        <v>2.2571211815466017E-4</v>
      </c>
      <c r="CN98" s="7">
        <v>2.2500691001718133E-4</v>
      </c>
      <c r="CO98" s="7">
        <v>2.2431137789711992E-4</v>
      </c>
      <c r="CP98" s="7">
        <v>2.241670956284982E-4</v>
      </c>
      <c r="CQ98" s="7">
        <v>2.2228668579187921E-4</v>
      </c>
      <c r="CR98" s="7">
        <v>2.2100864957005193E-4</v>
      </c>
      <c r="CS98" s="7">
        <v>2.2026226274965413E-4</v>
      </c>
      <c r="CT98" s="2"/>
    </row>
    <row r="99" spans="1:98" x14ac:dyDescent="0.35">
      <c r="A99" s="1" t="str">
        <f>'Population Definitions'!$B$21</f>
        <v>hros_15-64_M</v>
      </c>
      <c r="C99" t="s">
        <v>40</v>
      </c>
      <c r="D99" s="3"/>
      <c r="E99" s="2"/>
      <c r="F99" s="4" t="s">
        <v>36</v>
      </c>
      <c r="G99" s="7">
        <v>4.2088105347836188E-3</v>
      </c>
      <c r="H99" s="7">
        <v>4.0468899534859114E-3</v>
      </c>
      <c r="I99" s="7">
        <v>4.0124180930578299E-3</v>
      </c>
      <c r="J99" s="7">
        <v>3.7986679944949911E-3</v>
      </c>
      <c r="K99" s="7">
        <v>3.6241594370652083E-3</v>
      </c>
      <c r="L99" s="7">
        <v>3.7225997346595828E-3</v>
      </c>
      <c r="M99" s="7">
        <v>3.5326790808290578E-3</v>
      </c>
      <c r="N99" s="7">
        <v>3.4389602730975945E-3</v>
      </c>
      <c r="O99" s="7">
        <v>3.429755008329973E-3</v>
      </c>
      <c r="P99" s="7">
        <v>3.2973570274742142E-3</v>
      </c>
      <c r="Q99" s="7">
        <v>3.1656702604946009E-3</v>
      </c>
      <c r="R99" s="7">
        <v>3.0284733070346796E-3</v>
      </c>
      <c r="S99" s="7">
        <v>2.9581665187890308E-3</v>
      </c>
      <c r="T99" s="7">
        <v>2.8458206361657084E-3</v>
      </c>
      <c r="U99" s="7">
        <v>2.8083335154593918E-3</v>
      </c>
      <c r="V99" s="7">
        <v>2.7515393703867073E-3</v>
      </c>
      <c r="W99" s="7">
        <v>2.7200763089286202E-3</v>
      </c>
      <c r="X99" s="7">
        <v>2.6935390733901971E-3</v>
      </c>
      <c r="Y99" s="7">
        <v>2.6349535463718989E-3</v>
      </c>
      <c r="Z99" s="7">
        <v>2.5769771114413135E-3</v>
      </c>
      <c r="AA99" s="7">
        <v>2.4898781858084949E-3</v>
      </c>
      <c r="AB99" s="7">
        <v>2.4501536285560332E-3</v>
      </c>
      <c r="AC99" s="7">
        <v>2.3947060195838839E-3</v>
      </c>
      <c r="AD99" s="7">
        <v>2.3787570558002464E-3</v>
      </c>
      <c r="AE99" s="7">
        <v>2.3032118925788211E-3</v>
      </c>
      <c r="AF99" s="7">
        <v>2.2828350732767618E-3</v>
      </c>
      <c r="AG99" s="7">
        <v>2.2338085256720288E-3</v>
      </c>
      <c r="AH99" s="7">
        <v>2.255162041645868E-3</v>
      </c>
      <c r="AI99" s="7">
        <v>2.2345260562470631E-3</v>
      </c>
      <c r="AJ99" s="7">
        <v>2.2053044565371119E-3</v>
      </c>
      <c r="AK99" s="7">
        <v>2.1571008340127598E-3</v>
      </c>
      <c r="AL99" s="7">
        <v>2.1393864148392286E-3</v>
      </c>
      <c r="AM99" s="7">
        <v>2.0407811711421419E-3</v>
      </c>
      <c r="AN99" s="7">
        <v>2.0218310021092433E-3</v>
      </c>
      <c r="AO99" s="7">
        <v>2.1035386707639412E-3</v>
      </c>
      <c r="AP99" s="7">
        <v>2.1292862519080133E-3</v>
      </c>
      <c r="AQ99" s="7">
        <v>2.0554997463665251E-3</v>
      </c>
      <c r="AR99" s="7">
        <v>2.0044101889201888E-3</v>
      </c>
      <c r="AS99" s="7">
        <v>1.9791712961719759E-3</v>
      </c>
      <c r="AT99" s="7">
        <v>2.1525725558547938E-3</v>
      </c>
      <c r="AU99" s="7">
        <v>1.9746376080694941E-3</v>
      </c>
      <c r="AV99" s="7">
        <v>1.9854655795619146E-3</v>
      </c>
      <c r="AW99" s="7">
        <v>1.9936047593896214E-3</v>
      </c>
      <c r="AX99" s="7">
        <v>1.9672167857968772E-3</v>
      </c>
      <c r="AY99" s="7">
        <v>1.9435618675591214E-3</v>
      </c>
      <c r="AZ99" s="7">
        <v>1.9178815178645763E-3</v>
      </c>
      <c r="BA99" s="7">
        <v>1.8809515147302296E-3</v>
      </c>
      <c r="BB99" s="7">
        <v>1.8604034854578298E-3</v>
      </c>
      <c r="BC99" s="7">
        <v>1.8398183431030629E-3</v>
      </c>
      <c r="BD99" s="7">
        <v>1.8211835589438624E-3</v>
      </c>
      <c r="BE99" s="7">
        <v>1.8078254705523461E-3</v>
      </c>
      <c r="BF99" s="7">
        <v>1.7971668111906799E-3</v>
      </c>
      <c r="BG99" s="7">
        <v>1.7928793406071432E-3</v>
      </c>
      <c r="BH99" s="7">
        <v>1.7893355861919259E-3</v>
      </c>
      <c r="BI99" s="7">
        <v>1.7841811026019885E-3</v>
      </c>
      <c r="BJ99" s="7">
        <v>1.7795808930832751E-3</v>
      </c>
      <c r="BK99" s="7">
        <v>1.7686126972156588E-3</v>
      </c>
      <c r="BL99" s="7">
        <v>1.7596890936559569E-3</v>
      </c>
      <c r="BM99" s="7">
        <v>1.7568976927229739E-3</v>
      </c>
      <c r="BN99" s="7">
        <v>1.7560444763910176E-3</v>
      </c>
      <c r="BO99" s="7">
        <v>1.7585364676117163E-3</v>
      </c>
      <c r="BP99" s="7">
        <v>1.762734111941831E-3</v>
      </c>
      <c r="BQ99" s="7">
        <v>1.7682918341987751E-3</v>
      </c>
      <c r="BR99" s="7">
        <v>1.7745279164831393E-3</v>
      </c>
      <c r="BS99" s="7">
        <v>1.7819236083752644E-3</v>
      </c>
      <c r="BT99" s="7">
        <v>1.7867460491007689E-3</v>
      </c>
      <c r="BU99" s="7">
        <v>1.7869997818968919E-3</v>
      </c>
      <c r="BV99" s="7">
        <v>1.7862259242969352E-3</v>
      </c>
      <c r="BW99" s="7">
        <v>1.7822045321662851E-3</v>
      </c>
      <c r="BX99" s="7">
        <v>1.7775359709965009E-3</v>
      </c>
      <c r="BY99" s="7">
        <v>1.7732111590916374E-3</v>
      </c>
      <c r="BZ99" s="7">
        <v>1.7677399613559952E-3</v>
      </c>
      <c r="CA99" s="7">
        <v>1.7617213549063493E-3</v>
      </c>
      <c r="CB99" s="7">
        <v>1.7568984138845562E-3</v>
      </c>
      <c r="CC99" s="7">
        <v>1.7510069499864151E-3</v>
      </c>
      <c r="CD99" s="7">
        <v>1.7428791104726726E-3</v>
      </c>
      <c r="CE99" s="7">
        <v>1.7349420377156138E-3</v>
      </c>
      <c r="CF99" s="7">
        <v>1.7303727177131239E-3</v>
      </c>
      <c r="CG99" s="7">
        <v>1.7247290872415642E-3</v>
      </c>
      <c r="CH99" s="7">
        <v>1.7178854639106017E-3</v>
      </c>
      <c r="CI99" s="7">
        <v>1.711249598288447E-3</v>
      </c>
      <c r="CJ99" s="7">
        <v>1.7074553445528239E-3</v>
      </c>
      <c r="CK99" s="7">
        <v>1.7046339515299266E-3</v>
      </c>
      <c r="CL99" s="7">
        <v>1.7041140069810775E-3</v>
      </c>
      <c r="CM99" s="7">
        <v>1.7035916616799816E-3</v>
      </c>
      <c r="CN99" s="7">
        <v>1.6996724593141513E-3</v>
      </c>
      <c r="CO99" s="7">
        <v>1.6969390946846184E-3</v>
      </c>
      <c r="CP99" s="7">
        <v>1.6962867399640492E-3</v>
      </c>
      <c r="CQ99" s="7">
        <v>1.6954446101431016E-3</v>
      </c>
      <c r="CR99" s="7">
        <v>1.6933501410908048E-3</v>
      </c>
      <c r="CS99" s="7">
        <v>1.6884920858656915E-3</v>
      </c>
      <c r="CT99" s="2"/>
    </row>
    <row r="100" spans="1:98" x14ac:dyDescent="0.35">
      <c r="A100" s="1" t="str">
        <f>'Population Definitions'!$B$22</f>
        <v>hros_65+_M</v>
      </c>
      <c r="C100" t="s">
        <v>40</v>
      </c>
      <c r="D100" s="3"/>
      <c r="E100" s="2"/>
      <c r="F100" s="4" t="s">
        <v>36</v>
      </c>
      <c r="G100" s="7">
        <v>6.2070200942484319E-2</v>
      </c>
      <c r="H100" s="7">
        <v>6.144559709101019E-2</v>
      </c>
      <c r="I100" s="7">
        <v>6.3088570145559089E-2</v>
      </c>
      <c r="J100" s="7">
        <v>5.8880666109234529E-2</v>
      </c>
      <c r="K100" s="7">
        <v>5.783332631150135E-2</v>
      </c>
      <c r="L100" s="7">
        <v>6.060802907610733E-2</v>
      </c>
      <c r="M100" s="7">
        <v>5.6673361491435668E-2</v>
      </c>
      <c r="N100" s="7">
        <v>5.678854164136405E-2</v>
      </c>
      <c r="O100" s="7">
        <v>5.6541970474815878E-2</v>
      </c>
      <c r="P100" s="7">
        <v>5.7690200051515657E-2</v>
      </c>
      <c r="Q100" s="7">
        <v>5.3779926795798884E-2</v>
      </c>
      <c r="R100" s="7">
        <v>5.2349622041666918E-2</v>
      </c>
      <c r="S100" s="7">
        <v>5.3444800343217316E-2</v>
      </c>
      <c r="T100" s="7">
        <v>5.1594492724429113E-2</v>
      </c>
      <c r="U100" s="7">
        <v>5.3064455871494776E-2</v>
      </c>
      <c r="V100" s="7">
        <v>5.0784755859238889E-2</v>
      </c>
      <c r="W100" s="7">
        <v>5.1470436333896051E-2</v>
      </c>
      <c r="X100" s="7">
        <v>4.9965879268479514E-2</v>
      </c>
      <c r="Y100" s="7">
        <v>4.849495724608581E-2</v>
      </c>
      <c r="Z100" s="7">
        <v>4.7737826104979911E-2</v>
      </c>
      <c r="AA100" s="7">
        <v>4.6830706772172333E-2</v>
      </c>
      <c r="AB100" s="7">
        <v>4.5664012519925419E-2</v>
      </c>
      <c r="AC100" s="7">
        <v>4.6665112087499246E-2</v>
      </c>
      <c r="AD100" s="7">
        <v>4.5133235995710223E-2</v>
      </c>
      <c r="AE100" s="7">
        <v>4.448046115595982E-2</v>
      </c>
      <c r="AF100" s="7">
        <v>4.2357071379005837E-2</v>
      </c>
      <c r="AG100" s="7">
        <v>4.2569756306879071E-2</v>
      </c>
      <c r="AH100" s="7">
        <v>4.2555869259540163E-2</v>
      </c>
      <c r="AI100" s="7">
        <v>4.3489105534618787E-2</v>
      </c>
      <c r="AJ100" s="7">
        <v>4.0986781755746562E-2</v>
      </c>
      <c r="AK100" s="7">
        <v>4.0454643586180318E-2</v>
      </c>
      <c r="AL100" s="7">
        <v>4.0327085108775321E-2</v>
      </c>
      <c r="AM100" s="7">
        <v>3.8628363811926955E-2</v>
      </c>
      <c r="AN100" s="7">
        <v>3.7689551436196136E-2</v>
      </c>
      <c r="AO100" s="7">
        <v>3.7470929577723341E-2</v>
      </c>
      <c r="AP100" s="7">
        <v>3.7720850240946721E-2</v>
      </c>
      <c r="AQ100" s="7">
        <v>3.6996921716446939E-2</v>
      </c>
      <c r="AR100" s="7">
        <v>3.6459940720259626E-2</v>
      </c>
      <c r="AS100" s="7">
        <v>3.5032300364157207E-2</v>
      </c>
      <c r="AT100" s="7">
        <v>3.6175504255454106E-2</v>
      </c>
      <c r="AU100" s="7">
        <v>3.3688094210832846E-2</v>
      </c>
      <c r="AV100" s="7">
        <v>3.5003578533173554E-2</v>
      </c>
      <c r="AW100" s="7">
        <v>3.442354065761382E-2</v>
      </c>
      <c r="AX100" s="7">
        <v>3.4210590979083723E-2</v>
      </c>
      <c r="AY100" s="7">
        <v>3.4036006452022399E-2</v>
      </c>
      <c r="AZ100" s="7">
        <v>3.3890739672097124E-2</v>
      </c>
      <c r="BA100" s="7">
        <v>3.3524410091887655E-2</v>
      </c>
      <c r="BB100" s="7">
        <v>3.3565711276521921E-2</v>
      </c>
      <c r="BC100" s="7">
        <v>3.364848330305633E-2</v>
      </c>
      <c r="BD100" s="7">
        <v>3.3790868054002797E-2</v>
      </c>
      <c r="BE100" s="7">
        <v>3.4011028067281818E-2</v>
      </c>
      <c r="BF100" s="7">
        <v>3.4280683187442228E-2</v>
      </c>
      <c r="BG100" s="7">
        <v>3.4696518870326834E-2</v>
      </c>
      <c r="BH100" s="7">
        <v>3.5095522437846846E-2</v>
      </c>
      <c r="BI100" s="7">
        <v>3.5470201500561287E-2</v>
      </c>
      <c r="BJ100" s="7">
        <v>3.5821154641591864E-2</v>
      </c>
      <c r="BK100" s="7">
        <v>3.6069251087447358E-2</v>
      </c>
      <c r="BL100" s="7">
        <v>3.640191985008006E-2</v>
      </c>
      <c r="BM100" s="7">
        <v>3.6763634683668119E-2</v>
      </c>
      <c r="BN100" s="7">
        <v>3.7128761609430426E-2</v>
      </c>
      <c r="BO100" s="7">
        <v>3.7500268044853076E-2</v>
      </c>
      <c r="BP100" s="7">
        <v>3.7862540638156278E-2</v>
      </c>
      <c r="BQ100" s="7">
        <v>3.8218162330605245E-2</v>
      </c>
      <c r="BR100" s="7">
        <v>3.854834994992639E-2</v>
      </c>
      <c r="BS100" s="7">
        <v>3.8821997714149015E-2</v>
      </c>
      <c r="BT100" s="7">
        <v>3.9050825183280485E-2</v>
      </c>
      <c r="BU100" s="7">
        <v>3.9194361253117371E-2</v>
      </c>
      <c r="BV100" s="7">
        <v>3.9279056155168378E-2</v>
      </c>
      <c r="BW100" s="7">
        <v>3.9305169603301188E-2</v>
      </c>
      <c r="BX100" s="7">
        <v>3.931867617233524E-2</v>
      </c>
      <c r="BY100" s="7">
        <v>3.9308329182846713E-2</v>
      </c>
      <c r="BZ100" s="7">
        <v>3.9273141124168291E-2</v>
      </c>
      <c r="CA100" s="7">
        <v>3.9229629445712955E-2</v>
      </c>
      <c r="CB100" s="7">
        <v>3.9170706870266789E-2</v>
      </c>
      <c r="CC100" s="7">
        <v>3.9080433879312482E-2</v>
      </c>
      <c r="CD100" s="7">
        <v>3.8956932320058188E-2</v>
      </c>
      <c r="CE100" s="7">
        <v>3.8828280982196033E-2</v>
      </c>
      <c r="CF100" s="7">
        <v>3.8723246947276024E-2</v>
      </c>
      <c r="CG100" s="7">
        <v>3.8618440312789333E-2</v>
      </c>
      <c r="CH100" s="7">
        <v>3.8511929779896835E-2</v>
      </c>
      <c r="CI100" s="7">
        <v>3.8395393250835061E-2</v>
      </c>
      <c r="CJ100" s="7">
        <v>3.8328641458242697E-2</v>
      </c>
      <c r="CK100" s="7">
        <v>3.8299193431281457E-2</v>
      </c>
      <c r="CL100" s="7">
        <v>3.8296317537938031E-2</v>
      </c>
      <c r="CM100" s="7">
        <v>3.8283802276344613E-2</v>
      </c>
      <c r="CN100" s="7">
        <v>3.8246153370294723E-2</v>
      </c>
      <c r="CO100" s="7">
        <v>3.8225510277939821E-2</v>
      </c>
      <c r="CP100" s="7">
        <v>3.8260405180316183E-2</v>
      </c>
      <c r="CQ100" s="7">
        <v>3.8301516968062103E-2</v>
      </c>
      <c r="CR100" s="7">
        <v>3.8329605442655956E-2</v>
      </c>
      <c r="CS100" s="7">
        <v>3.8346521237070635E-2</v>
      </c>
      <c r="CT100" s="2"/>
    </row>
    <row r="101" spans="1:98" x14ac:dyDescent="0.35">
      <c r="A101" s="1" t="str">
        <f>'Population Definitions'!$B$23</f>
        <v>hros_0-14_F</v>
      </c>
      <c r="C101" t="s">
        <v>40</v>
      </c>
      <c r="D101" s="3"/>
      <c r="E101" s="2"/>
      <c r="F101" s="4" t="s">
        <v>36</v>
      </c>
      <c r="G101" s="7">
        <v>7.7611156288859425E-4</v>
      </c>
      <c r="H101" s="7">
        <v>7.2835288150582789E-4</v>
      </c>
      <c r="I101" s="7">
        <v>7.5800073480244555E-4</v>
      </c>
      <c r="J101" s="7">
        <v>7.298110059959298E-4</v>
      </c>
      <c r="K101" s="7">
        <v>6.5696164898569804E-4</v>
      </c>
      <c r="L101" s="7">
        <v>7.4651932829302586E-4</v>
      </c>
      <c r="M101" s="7">
        <v>6.6805040298566535E-4</v>
      </c>
      <c r="N101" s="7">
        <v>6.2392681364490938E-4</v>
      </c>
      <c r="O101" s="7">
        <v>6.5869371081495379E-4</v>
      </c>
      <c r="P101" s="7">
        <v>6.2885776404682746E-4</v>
      </c>
      <c r="Q101" s="7">
        <v>6.3193331986172369E-4</v>
      </c>
      <c r="R101" s="7">
        <v>5.4928481646687505E-4</v>
      </c>
      <c r="S101" s="7">
        <v>5.5013014305666018E-4</v>
      </c>
      <c r="T101" s="7">
        <v>4.9430562157493519E-4</v>
      </c>
      <c r="U101" s="7">
        <v>4.7918165373506735E-4</v>
      </c>
      <c r="V101" s="7">
        <v>4.7740026149691841E-4</v>
      </c>
      <c r="W101" s="7">
        <v>4.4613936004517365E-4</v>
      </c>
      <c r="X101" s="7">
        <v>4.163554409153886E-4</v>
      </c>
      <c r="Y101" s="7">
        <v>3.9360339474482604E-4</v>
      </c>
      <c r="Z101" s="7">
        <v>4.1135782859298687E-4</v>
      </c>
      <c r="AA101" s="7">
        <v>3.8223163963299118E-4</v>
      </c>
      <c r="AB101" s="7">
        <v>3.6618206213601953E-4</v>
      </c>
      <c r="AC101" s="7">
        <v>3.6843681936108607E-4</v>
      </c>
      <c r="AD101" s="7">
        <v>3.5119021102479478E-4</v>
      </c>
      <c r="AE101" s="7">
        <v>3.3132874903264644E-4</v>
      </c>
      <c r="AF101" s="7">
        <v>3.6346017059959068E-4</v>
      </c>
      <c r="AG101" s="7">
        <v>3.3495143436060819E-4</v>
      </c>
      <c r="AH101" s="7">
        <v>3.3582681858372799E-4</v>
      </c>
      <c r="AI101" s="7">
        <v>3.1961334901152151E-4</v>
      </c>
      <c r="AJ101" s="7">
        <v>3.2582206504321417E-4</v>
      </c>
      <c r="AK101" s="7">
        <v>2.9899692109161324E-4</v>
      </c>
      <c r="AL101" s="7">
        <v>3.0331192828091677E-4</v>
      </c>
      <c r="AM101" s="7">
        <v>2.8194549215682368E-4</v>
      </c>
      <c r="AN101" s="7">
        <v>2.9476536216431996E-4</v>
      </c>
      <c r="AO101" s="7">
        <v>2.8519042594061237E-4</v>
      </c>
      <c r="AP101" s="7">
        <v>2.7418034771206228E-4</v>
      </c>
      <c r="AQ101" s="7">
        <v>2.4622357617934269E-4</v>
      </c>
      <c r="AR101" s="7">
        <v>2.6479384455463476E-4</v>
      </c>
      <c r="AS101" s="7">
        <v>2.3732624163431108E-4</v>
      </c>
      <c r="AT101" s="7">
        <v>2.4685449516414462E-4</v>
      </c>
      <c r="AU101" s="7">
        <v>2.357976800684908E-4</v>
      </c>
      <c r="AV101" s="7">
        <v>2.464688151293739E-4</v>
      </c>
      <c r="AW101" s="7">
        <v>2.6044419495270115E-4</v>
      </c>
      <c r="AX101" s="7">
        <v>2.5106814541426729E-4</v>
      </c>
      <c r="AY101" s="7">
        <v>2.4682849408455142E-4</v>
      </c>
      <c r="AZ101" s="7">
        <v>2.4229898353939444E-4</v>
      </c>
      <c r="BA101" s="7">
        <v>2.3581422763527233E-4</v>
      </c>
      <c r="BB101" s="7">
        <v>2.3432401137901397E-4</v>
      </c>
      <c r="BC101" s="7">
        <v>2.3260028968991761E-4</v>
      </c>
      <c r="BD101" s="7">
        <v>2.3215433438133167E-4</v>
      </c>
      <c r="BE101" s="7">
        <v>2.3109804579957052E-4</v>
      </c>
      <c r="BF101" s="7">
        <v>2.3021768566092467E-4</v>
      </c>
      <c r="BG101" s="7">
        <v>2.286974059482801E-4</v>
      </c>
      <c r="BH101" s="7">
        <v>2.2714618007875926E-4</v>
      </c>
      <c r="BI101" s="7">
        <v>2.2746948705178492E-4</v>
      </c>
      <c r="BJ101" s="7">
        <v>2.2609553931000526E-4</v>
      </c>
      <c r="BK101" s="7">
        <v>2.2603616737943989E-4</v>
      </c>
      <c r="BL101" s="7">
        <v>2.261950372005096E-4</v>
      </c>
      <c r="BM101" s="7">
        <v>2.2610546404947134E-4</v>
      </c>
      <c r="BN101" s="7">
        <v>2.2654949119739996E-4</v>
      </c>
      <c r="BO101" s="7">
        <v>2.256733242858727E-4</v>
      </c>
      <c r="BP101" s="7">
        <v>2.2580947588840661E-4</v>
      </c>
      <c r="BQ101" s="7">
        <v>2.2453846267925969E-4</v>
      </c>
      <c r="BR101" s="7">
        <v>2.2363691421986053E-4</v>
      </c>
      <c r="BS101" s="7">
        <v>2.2252818907311396E-4</v>
      </c>
      <c r="BT101" s="7">
        <v>2.2123747072478171E-4</v>
      </c>
      <c r="BU101" s="7">
        <v>2.197841307423333E-4</v>
      </c>
      <c r="BV101" s="7">
        <v>2.1821548094965308E-4</v>
      </c>
      <c r="BW101" s="7">
        <v>2.1657254826197588E-4</v>
      </c>
      <c r="BX101" s="7">
        <v>2.1429958037392659E-4</v>
      </c>
      <c r="BY101" s="7">
        <v>2.1262938598473629E-4</v>
      </c>
      <c r="BZ101" s="7">
        <v>2.1099444981025037E-4</v>
      </c>
      <c r="CA101" s="7">
        <v>2.0886281805324733E-4</v>
      </c>
      <c r="CB101" s="7">
        <v>2.0739426671960198E-4</v>
      </c>
      <c r="CC101" s="7">
        <v>2.0602805859649731E-4</v>
      </c>
      <c r="CD101" s="7">
        <v>2.0420799649328514E-4</v>
      </c>
      <c r="CE101" s="7">
        <v>2.0302585653657877E-4</v>
      </c>
      <c r="CF101" s="7">
        <v>2.0192267639440234E-4</v>
      </c>
      <c r="CG101" s="7">
        <v>2.0088441284071238E-4</v>
      </c>
      <c r="CH101" s="7">
        <v>1.9990683647157594E-4</v>
      </c>
      <c r="CI101" s="7">
        <v>1.989875900834196E-4</v>
      </c>
      <c r="CJ101" s="7">
        <v>1.9810884242972722E-4</v>
      </c>
      <c r="CK101" s="7">
        <v>1.9668495301511607E-4</v>
      </c>
      <c r="CL101" s="7">
        <v>1.9527931935179796E-4</v>
      </c>
      <c r="CM101" s="7">
        <v>1.9502579392844635E-4</v>
      </c>
      <c r="CN101" s="7">
        <v>1.9424947715364875E-4</v>
      </c>
      <c r="CO101" s="7">
        <v>1.9231445884240346E-4</v>
      </c>
      <c r="CP101" s="7">
        <v>1.9154827484123659E-4</v>
      </c>
      <c r="CQ101" s="7">
        <v>1.9077779432108576E-4</v>
      </c>
      <c r="CR101" s="7">
        <v>1.8999469250912535E-4</v>
      </c>
      <c r="CS101" s="7">
        <v>1.885965054225696E-4</v>
      </c>
      <c r="CT101" s="2"/>
    </row>
    <row r="102" spans="1:98" x14ac:dyDescent="0.35">
      <c r="A102" s="1" t="str">
        <f>'Population Definitions'!$B$24</f>
        <v>hros_15-64_F</v>
      </c>
      <c r="C102" t="s">
        <v>40</v>
      </c>
      <c r="D102" s="3"/>
      <c r="E102" s="2"/>
      <c r="F102" s="4" t="s">
        <v>36</v>
      </c>
      <c r="G102" s="7">
        <v>2.038452045978364E-3</v>
      </c>
      <c r="H102" s="7">
        <v>1.9767353526068659E-3</v>
      </c>
      <c r="I102" s="7">
        <v>2.0187817923608691E-3</v>
      </c>
      <c r="J102" s="7">
        <v>1.9407273325673597E-3</v>
      </c>
      <c r="K102" s="7">
        <v>1.8532239730920529E-3</v>
      </c>
      <c r="L102" s="7">
        <v>1.9009221218489688E-3</v>
      </c>
      <c r="M102" s="7">
        <v>1.7985896587471655E-3</v>
      </c>
      <c r="N102" s="7">
        <v>1.7314700359664747E-3</v>
      </c>
      <c r="O102" s="7">
        <v>1.730136606751128E-3</v>
      </c>
      <c r="P102" s="7">
        <v>1.6762475850544347E-3</v>
      </c>
      <c r="Q102" s="7">
        <v>1.581625700123133E-3</v>
      </c>
      <c r="R102" s="7">
        <v>1.5514372602748402E-3</v>
      </c>
      <c r="S102" s="7">
        <v>1.5282398170161297E-3</v>
      </c>
      <c r="T102" s="7">
        <v>1.4696436702902084E-3</v>
      </c>
      <c r="U102" s="7">
        <v>1.4486478942260766E-3</v>
      </c>
      <c r="V102" s="7">
        <v>1.431475968423283E-3</v>
      </c>
      <c r="W102" s="7">
        <v>1.4216898891691242E-3</v>
      </c>
      <c r="X102" s="7">
        <v>1.4434127563756562E-3</v>
      </c>
      <c r="Y102" s="7">
        <v>1.4011611644457738E-3</v>
      </c>
      <c r="Z102" s="7">
        <v>1.3666703524028E-3</v>
      </c>
      <c r="AA102" s="7">
        <v>1.3610530504327388E-3</v>
      </c>
      <c r="AB102" s="7">
        <v>1.3281438341975322E-3</v>
      </c>
      <c r="AC102" s="7">
        <v>1.3630430886695159E-3</v>
      </c>
      <c r="AD102" s="7">
        <v>1.3244528124107112E-3</v>
      </c>
      <c r="AE102" s="7">
        <v>1.2870239970553337E-3</v>
      </c>
      <c r="AF102" s="7">
        <v>1.2627290643795008E-3</v>
      </c>
      <c r="AG102" s="7">
        <v>1.2611813902310416E-3</v>
      </c>
      <c r="AH102" s="7">
        <v>1.2962660174229432E-3</v>
      </c>
      <c r="AI102" s="7">
        <v>1.2731156586013575E-3</v>
      </c>
      <c r="AJ102" s="7">
        <v>1.2735489977588857E-3</v>
      </c>
      <c r="AK102" s="7">
        <v>1.2403136201408124E-3</v>
      </c>
      <c r="AL102" s="7">
        <v>1.2420944897870076E-3</v>
      </c>
      <c r="AM102" s="7">
        <v>1.2052321102080756E-3</v>
      </c>
      <c r="AN102" s="7">
        <v>1.2058807290476203E-3</v>
      </c>
      <c r="AO102" s="7">
        <v>1.2230551580683258E-3</v>
      </c>
      <c r="AP102" s="7">
        <v>1.2200151675882524E-3</v>
      </c>
      <c r="AQ102" s="7">
        <v>1.2017167785235714E-3</v>
      </c>
      <c r="AR102" s="7">
        <v>1.1661076876572714E-3</v>
      </c>
      <c r="AS102" s="7">
        <v>1.1658282052216902E-3</v>
      </c>
      <c r="AT102" s="7">
        <v>1.2078173156590565E-3</v>
      </c>
      <c r="AU102" s="7">
        <v>1.1329927465164402E-3</v>
      </c>
      <c r="AV102" s="7">
        <v>1.1610665564194844E-3</v>
      </c>
      <c r="AW102" s="7">
        <v>1.1631728232997152E-3</v>
      </c>
      <c r="AX102" s="7">
        <v>1.1474899218503688E-3</v>
      </c>
      <c r="AY102" s="7">
        <v>1.1351263843325855E-3</v>
      </c>
      <c r="AZ102" s="7">
        <v>1.1223171161106207E-3</v>
      </c>
      <c r="BA102" s="7">
        <v>1.102468223547448E-3</v>
      </c>
      <c r="BB102" s="7">
        <v>1.0931530617851483E-3</v>
      </c>
      <c r="BC102" s="7">
        <v>1.0844748516308062E-3</v>
      </c>
      <c r="BD102" s="7">
        <v>1.0772732796579844E-3</v>
      </c>
      <c r="BE102" s="7">
        <v>1.0731962371177612E-3</v>
      </c>
      <c r="BF102" s="7">
        <v>1.070131880259845E-3</v>
      </c>
      <c r="BG102" s="7">
        <v>1.0707178008611425E-3</v>
      </c>
      <c r="BH102" s="7">
        <v>1.0711635454597598E-3</v>
      </c>
      <c r="BI102" s="7">
        <v>1.0697201716992734E-3</v>
      </c>
      <c r="BJ102" s="7">
        <v>1.0675151404235615E-3</v>
      </c>
      <c r="BK102" s="7">
        <v>1.0624939709752866E-3</v>
      </c>
      <c r="BL102" s="7">
        <v>1.058623007174922E-3</v>
      </c>
      <c r="BM102" s="7">
        <v>1.0589687592475075E-3</v>
      </c>
      <c r="BN102" s="7">
        <v>1.0601858309073611E-3</v>
      </c>
      <c r="BO102" s="7">
        <v>1.0636224676575249E-3</v>
      </c>
      <c r="BP102" s="7">
        <v>1.0691448955130807E-3</v>
      </c>
      <c r="BQ102" s="7">
        <v>1.0748462745510585E-3</v>
      </c>
      <c r="BR102" s="7">
        <v>1.0813922839108645E-3</v>
      </c>
      <c r="BS102" s="7">
        <v>1.0865187684544323E-3</v>
      </c>
      <c r="BT102" s="7">
        <v>1.09143437065739E-3</v>
      </c>
      <c r="BU102" s="7">
        <v>1.0933136462584641E-3</v>
      </c>
      <c r="BV102" s="7">
        <v>1.0954896499012754E-3</v>
      </c>
      <c r="BW102" s="7">
        <v>1.0944545270073639E-3</v>
      </c>
      <c r="BX102" s="7">
        <v>1.0938112586755594E-3</v>
      </c>
      <c r="BY102" s="7">
        <v>1.0921374598666033E-3</v>
      </c>
      <c r="BZ102" s="7">
        <v>1.0898479468859062E-3</v>
      </c>
      <c r="CA102" s="7">
        <v>1.087739043840635E-3</v>
      </c>
      <c r="CB102" s="7">
        <v>1.0852665530727938E-3</v>
      </c>
      <c r="CC102" s="7">
        <v>1.0808657843272647E-3</v>
      </c>
      <c r="CD102" s="7">
        <v>1.0761429810574004E-3</v>
      </c>
      <c r="CE102" s="7">
        <v>1.0704511747987688E-3</v>
      </c>
      <c r="CF102" s="7">
        <v>1.0661711614066765E-3</v>
      </c>
      <c r="CG102" s="7">
        <v>1.0617261325739859E-3</v>
      </c>
      <c r="CH102" s="7">
        <v>1.0580065620583478E-3</v>
      </c>
      <c r="CI102" s="7">
        <v>1.0535527683341644E-3</v>
      </c>
      <c r="CJ102" s="7">
        <v>1.0510206819492154E-3</v>
      </c>
      <c r="CK102" s="7">
        <v>1.04925118404212E-3</v>
      </c>
      <c r="CL102" s="7">
        <v>1.0492220660120756E-3</v>
      </c>
      <c r="CM102" s="7">
        <v>1.0495889319863229E-3</v>
      </c>
      <c r="CN102" s="7">
        <v>1.0494278940347908E-3</v>
      </c>
      <c r="CO102" s="7">
        <v>1.0484745302111298E-3</v>
      </c>
      <c r="CP102" s="7">
        <v>1.0489424093636508E-3</v>
      </c>
      <c r="CQ102" s="7">
        <v>1.0511813018982338E-3</v>
      </c>
      <c r="CR102" s="7">
        <v>1.0506989685250578E-3</v>
      </c>
      <c r="CS102" s="7">
        <v>1.0496017206653491E-3</v>
      </c>
      <c r="CT102" s="2"/>
    </row>
    <row r="103" spans="1:98" x14ac:dyDescent="0.35">
      <c r="A103" s="1" t="str">
        <f>'Population Definitions'!$B$25</f>
        <v>hros_65+_F</v>
      </c>
      <c r="C103" t="s">
        <v>40</v>
      </c>
      <c r="D103" s="3"/>
      <c r="E103" s="2"/>
      <c r="F103" s="4" t="s">
        <v>36</v>
      </c>
      <c r="G103" s="7">
        <v>4.4217343729144785E-2</v>
      </c>
      <c r="H103" s="7">
        <v>4.3345181547693248E-2</v>
      </c>
      <c r="I103" s="7">
        <v>4.5137783536921355E-2</v>
      </c>
      <c r="J103" s="7">
        <v>4.2260296692559499E-2</v>
      </c>
      <c r="K103" s="7">
        <v>4.2022423472567787E-2</v>
      </c>
      <c r="L103" s="7">
        <v>4.5198467953150738E-2</v>
      </c>
      <c r="M103" s="7">
        <v>4.2290966641939209E-2</v>
      </c>
      <c r="N103" s="7">
        <v>4.2202457883851546E-2</v>
      </c>
      <c r="O103" s="7">
        <v>4.1822941841828512E-2</v>
      </c>
      <c r="P103" s="7">
        <v>4.320795754022292E-2</v>
      </c>
      <c r="Q103" s="7">
        <v>4.0847700142997559E-2</v>
      </c>
      <c r="R103" s="7">
        <v>3.9663102904817435E-2</v>
      </c>
      <c r="S103" s="7">
        <v>4.0922303721636299E-2</v>
      </c>
      <c r="T103" s="7">
        <v>3.9450751624501054E-2</v>
      </c>
      <c r="U103" s="7">
        <v>4.0972867024851985E-2</v>
      </c>
      <c r="V103" s="7">
        <v>3.9949651829580123E-2</v>
      </c>
      <c r="W103" s="7">
        <v>4.0447756591604843E-2</v>
      </c>
      <c r="X103" s="7">
        <v>4.0421950363670411E-2</v>
      </c>
      <c r="Y103" s="7">
        <v>3.8798432219603989E-2</v>
      </c>
      <c r="Z103" s="7">
        <v>3.8783804752909566E-2</v>
      </c>
      <c r="AA103" s="7">
        <v>3.8584906521897028E-2</v>
      </c>
      <c r="AB103" s="7">
        <v>3.8097446089980377E-2</v>
      </c>
      <c r="AC103" s="7">
        <v>3.9485702356161473E-2</v>
      </c>
      <c r="AD103" s="7">
        <v>3.8384594240468958E-2</v>
      </c>
      <c r="AE103" s="7">
        <v>3.8019451676717948E-2</v>
      </c>
      <c r="AF103" s="7">
        <v>3.6902486603987261E-2</v>
      </c>
      <c r="AG103" s="7">
        <v>3.7408330732521797E-2</v>
      </c>
      <c r="AH103" s="7">
        <v>3.7646983057727373E-2</v>
      </c>
      <c r="AI103" s="7">
        <v>3.8857396464208493E-2</v>
      </c>
      <c r="AJ103" s="7">
        <v>3.6460031866758683E-2</v>
      </c>
      <c r="AK103" s="7">
        <v>3.6461511254853911E-2</v>
      </c>
      <c r="AL103" s="7">
        <v>3.6268975687052465E-2</v>
      </c>
      <c r="AM103" s="7">
        <v>3.5487279457718061E-2</v>
      </c>
      <c r="AN103" s="7">
        <v>3.4013719845812515E-2</v>
      </c>
      <c r="AO103" s="7">
        <v>3.4613994668834198E-2</v>
      </c>
      <c r="AP103" s="7">
        <v>3.4840689215105636E-2</v>
      </c>
      <c r="AQ103" s="7">
        <v>3.3276647695227E-2</v>
      </c>
      <c r="AR103" s="7">
        <v>3.3025371368011938E-2</v>
      </c>
      <c r="AS103" s="7">
        <v>3.1092293557626403E-2</v>
      </c>
      <c r="AT103" s="7">
        <v>3.2060924391148764E-2</v>
      </c>
      <c r="AU103" s="7">
        <v>2.9255830197210942E-2</v>
      </c>
      <c r="AV103" s="7">
        <v>3.0592846922270194E-2</v>
      </c>
      <c r="AW103" s="7">
        <v>2.9598170495479446E-2</v>
      </c>
      <c r="AX103" s="7">
        <v>2.924280785365839E-2</v>
      </c>
      <c r="AY103" s="7">
        <v>2.8929299744042292E-2</v>
      </c>
      <c r="AZ103" s="7">
        <v>2.8660022377209174E-2</v>
      </c>
      <c r="BA103" s="7">
        <v>2.8277337297249707E-2</v>
      </c>
      <c r="BB103" s="7">
        <v>2.8226783132857983E-2</v>
      </c>
      <c r="BC103" s="7">
        <v>2.8229579378241179E-2</v>
      </c>
      <c r="BD103" s="7">
        <v>2.8318000035398375E-2</v>
      </c>
      <c r="BE103" s="7">
        <v>2.8506895345601552E-2</v>
      </c>
      <c r="BF103" s="7">
        <v>2.8753920669589317E-2</v>
      </c>
      <c r="BG103" s="7">
        <v>2.9115122303760489E-2</v>
      </c>
      <c r="BH103" s="7">
        <v>2.9485412873021255E-2</v>
      </c>
      <c r="BI103" s="7">
        <v>2.9841216823494377E-2</v>
      </c>
      <c r="BJ103" s="7">
        <v>3.0226903605457416E-2</v>
      </c>
      <c r="BK103" s="7">
        <v>3.053204298503704E-2</v>
      </c>
      <c r="BL103" s="7">
        <v>3.0899720381490161E-2</v>
      </c>
      <c r="BM103" s="7">
        <v>3.1319904616991995E-2</v>
      </c>
      <c r="BN103" s="7">
        <v>3.1764420245806967E-2</v>
      </c>
      <c r="BO103" s="7">
        <v>3.2232948216828025E-2</v>
      </c>
      <c r="BP103" s="7">
        <v>3.2695569203139416E-2</v>
      </c>
      <c r="BQ103" s="7">
        <v>3.3142375006817687E-2</v>
      </c>
      <c r="BR103" s="7">
        <v>3.3546710315022224E-2</v>
      </c>
      <c r="BS103" s="7">
        <v>3.3893383637854282E-2</v>
      </c>
      <c r="BT103" s="7">
        <v>3.4201647261513812E-2</v>
      </c>
      <c r="BU103" s="7">
        <v>3.4434111447007865E-2</v>
      </c>
      <c r="BV103" s="7">
        <v>3.4617719333594817E-2</v>
      </c>
      <c r="BW103" s="7">
        <v>3.4747916275152356E-2</v>
      </c>
      <c r="BX103" s="7">
        <v>3.4856835503688649E-2</v>
      </c>
      <c r="BY103" s="7">
        <v>3.4932267604727077E-2</v>
      </c>
      <c r="BZ103" s="7">
        <v>3.4989285157942904E-2</v>
      </c>
      <c r="CA103" s="7">
        <v>3.5025706362951443E-2</v>
      </c>
      <c r="CB103" s="7">
        <v>3.5033675850695202E-2</v>
      </c>
      <c r="CC103" s="7">
        <v>3.5018778183828918E-2</v>
      </c>
      <c r="CD103" s="7">
        <v>3.4963674952187086E-2</v>
      </c>
      <c r="CE103" s="7">
        <v>3.4892781765923545E-2</v>
      </c>
      <c r="CF103" s="7">
        <v>3.4827255939781365E-2</v>
      </c>
      <c r="CG103" s="7">
        <v>3.4756687942924268E-2</v>
      </c>
      <c r="CH103" s="7">
        <v>3.4694889649584587E-2</v>
      </c>
      <c r="CI103" s="7">
        <v>3.4632250320452099E-2</v>
      </c>
      <c r="CJ103" s="7">
        <v>3.4605808771902127E-2</v>
      </c>
      <c r="CK103" s="7">
        <v>3.4613722813383992E-2</v>
      </c>
      <c r="CL103" s="7">
        <v>3.4648372736796211E-2</v>
      </c>
      <c r="CM103" s="7">
        <v>3.4697443993670238E-2</v>
      </c>
      <c r="CN103" s="7">
        <v>3.4731083752008736E-2</v>
      </c>
      <c r="CO103" s="7">
        <v>3.4780856664994746E-2</v>
      </c>
      <c r="CP103" s="7">
        <v>3.4859174294952888E-2</v>
      </c>
      <c r="CQ103" s="7">
        <v>3.4937693395011696E-2</v>
      </c>
      <c r="CR103" s="7">
        <v>3.501506573097133E-2</v>
      </c>
      <c r="CS103" s="7">
        <v>3.5093510049994225E-2</v>
      </c>
      <c r="CT103" s="2"/>
    </row>
  </sheetData>
  <conditionalFormatting sqref="E28:E51">
    <cfRule type="expression" dxfId="675" priority="1">
      <formula>COUNTIF(G28:CT28,"&lt;&gt;" &amp; "")&gt;0</formula>
    </cfRule>
    <cfRule type="expression" dxfId="674" priority="2">
      <formula>AND(COUNTIF(G28:CT28,"&lt;&gt;" &amp; "")&gt;0,NOT(ISBLANK(E28)))</formula>
    </cfRule>
  </conditionalFormatting>
  <conditionalFormatting sqref="E54:E77">
    <cfRule type="expression" dxfId="673" priority="49">
      <formula>COUNTIF(G54:CT54,"&lt;&gt;" &amp; "")&gt;0</formula>
    </cfRule>
    <cfRule type="expression" dxfId="672" priority="50">
      <formula>AND(COUNTIF(G54:CT54,"&lt;&gt;" &amp; "")&gt;0,NOT(ISBLANK(E54)))</formula>
    </cfRule>
  </conditionalFormatting>
  <conditionalFormatting sqref="E80:E103">
    <cfRule type="expression" dxfId="671" priority="97">
      <formula>COUNTIF(G80:CT80,"&lt;&gt;" &amp; "")&gt;0</formula>
    </cfRule>
    <cfRule type="expression" dxfId="670" priority="98">
      <formula>AND(COUNTIF(G80:CT80,"&lt;&gt;" &amp; "")&gt;0,NOT(ISBLANK(E80)))</formula>
    </cfRule>
  </conditionalFormatting>
  <dataValidations count="4">
    <dataValidation type="list" allowBlank="1" showInputMessage="1" showErrorMessage="1" sqref="C2:C25" xr:uid="{00000000-0002-0000-0100-000000000000}">
      <formula1>"Number"</formula1>
    </dataValidation>
    <dataValidation type="list" allowBlank="1" showInputMessage="1" showErrorMessage="1" sqref="C28:C51" xr:uid="{00000000-0002-0000-0100-000018000000}">
      <formula1>"Number (per year)"</formula1>
    </dataValidation>
    <dataValidation type="list" allowBlank="1" showInputMessage="1" showErrorMessage="1" sqref="C54:C77" xr:uid="{00000000-0002-0000-0100-000030000000}">
      <formula1>"N.A."</formula1>
    </dataValidation>
    <dataValidation type="list" allowBlank="1" showInputMessage="1" showErrorMessage="1" sqref="C80:C103" xr:uid="{00000000-0002-0000-0100-000048000000}">
      <formula1>"Probability (per year)"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08080"/>
  </sheetPr>
  <dimension ref="A1:CV606"/>
  <sheetViews>
    <sheetView topLeftCell="A148" zoomScale="40" zoomScaleNormal="40" workbookViewId="0">
      <selection activeCell="K127" sqref="K127"/>
    </sheetView>
  </sheetViews>
  <sheetFormatPr defaultRowHeight="14.5" x14ac:dyDescent="0.35"/>
  <cols>
    <col min="1" max="1" width="18.26953125" customWidth="1"/>
    <col min="2" max="2" width="13.81640625" customWidth="1"/>
    <col min="3" max="3" width="23.7265625" customWidth="1"/>
    <col min="4" max="4" width="21.54296875" customWidth="1"/>
    <col min="5" max="5" width="13.81640625" customWidth="1"/>
    <col min="6" max="6" width="14.81640625" customWidth="1"/>
    <col min="7" max="7" width="12.7265625" customWidth="1"/>
    <col min="8" max="8" width="13.81640625" customWidth="1"/>
    <col min="9" max="9" width="14.81640625" customWidth="1"/>
    <col min="10" max="10" width="12.7265625" customWidth="1"/>
    <col min="11" max="11" width="13.81640625" customWidth="1"/>
    <col min="12" max="12" width="14.81640625" customWidth="1"/>
    <col min="13" max="13" width="12.7265625" customWidth="1"/>
    <col min="14" max="14" width="13.81640625" customWidth="1"/>
    <col min="15" max="15" width="14.81640625" customWidth="1"/>
    <col min="16" max="16" width="12.7265625" customWidth="1"/>
    <col min="17" max="17" width="13.81640625" customWidth="1"/>
    <col min="18" max="18" width="14.81640625" customWidth="1"/>
    <col min="19" max="19" width="12.7265625" customWidth="1"/>
    <col min="20" max="20" width="13.81640625" customWidth="1"/>
    <col min="21" max="21" width="14.81640625" customWidth="1"/>
    <col min="22" max="22" width="12.7265625" customWidth="1"/>
    <col min="23" max="23" width="13.81640625" customWidth="1"/>
    <col min="24" max="24" width="14.81640625" customWidth="1"/>
    <col min="25" max="25" width="12.7265625" customWidth="1"/>
    <col min="26" max="100" width="9.453125" customWidth="1"/>
  </cols>
  <sheetData>
    <row r="1" spans="1:25" x14ac:dyDescent="0.35">
      <c r="A1" s="1" t="s">
        <v>0</v>
      </c>
      <c r="B1" s="1" t="s">
        <v>1</v>
      </c>
      <c r="C1" s="1" t="s">
        <v>43</v>
      </c>
      <c r="D1" s="1" t="s">
        <v>44</v>
      </c>
    </row>
    <row r="2" spans="1:25" x14ac:dyDescent="0.35">
      <c r="A2" t="s">
        <v>41</v>
      </c>
      <c r="B2" t="s">
        <v>42</v>
      </c>
      <c r="C2" t="s">
        <v>4</v>
      </c>
      <c r="D2" t="s">
        <v>4</v>
      </c>
    </row>
    <row r="4" spans="1:25" x14ac:dyDescent="0.35">
      <c r="B4" s="1" t="str">
        <f>'Population Definitions'!$B$2</f>
        <v>atsi_0-14_M</v>
      </c>
      <c r="C4" s="1" t="str">
        <f>'Population Definitions'!$B$3</f>
        <v>atsi_15-64_M</v>
      </c>
      <c r="D4" s="1" t="str">
        <f>'Population Definitions'!$B$4</f>
        <v>atsi_65+_M</v>
      </c>
      <c r="E4" s="1" t="str">
        <f>'Population Definitions'!$B$5</f>
        <v>atsi_0-14_F</v>
      </c>
      <c r="F4" s="1" t="str">
        <f>'Population Definitions'!$B$6</f>
        <v>atsi_15-64_F</v>
      </c>
      <c r="G4" s="1" t="str">
        <f>'Population Definitions'!$B$7</f>
        <v>atsi_65+_F</v>
      </c>
      <c r="H4" s="1" t="str">
        <f>'Population Definitions'!$B$8</f>
        <v>ausb_0-14_M</v>
      </c>
      <c r="I4" s="1" t="str">
        <f>'Population Definitions'!$B$9</f>
        <v>ausb_15-64_M</v>
      </c>
      <c r="J4" s="1" t="str">
        <f>'Population Definitions'!$B$10</f>
        <v>ausb_65+_M</v>
      </c>
      <c r="K4" s="1" t="str">
        <f>'Population Definitions'!$B$11</f>
        <v>ausb_0-14_F</v>
      </c>
      <c r="L4" s="1" t="str">
        <f>'Population Definitions'!$B$12</f>
        <v>ausb_15-64_F</v>
      </c>
      <c r="M4" s="1" t="str">
        <f>'Population Definitions'!$B$13</f>
        <v>ausb_65+_F</v>
      </c>
      <c r="N4" s="1" t="str">
        <f>'Population Definitions'!$B$14</f>
        <v>lros_0-14_M</v>
      </c>
      <c r="O4" s="1" t="str">
        <f>'Population Definitions'!$B$15</f>
        <v>lros_15-64_M</v>
      </c>
      <c r="P4" s="1" t="str">
        <f>'Population Definitions'!$B$16</f>
        <v>lros_65+_M</v>
      </c>
      <c r="Q4" s="1" t="str">
        <f>'Population Definitions'!$B$17</f>
        <v>lros_0-14_F</v>
      </c>
      <c r="R4" s="1" t="str">
        <f>'Population Definitions'!$B$18</f>
        <v>lros_15-64_F</v>
      </c>
      <c r="S4" s="1" t="str">
        <f>'Population Definitions'!$B$19</f>
        <v>lros_65+_F</v>
      </c>
      <c r="T4" s="1" t="str">
        <f>'Population Definitions'!$B$20</f>
        <v>hros_0-14_M</v>
      </c>
      <c r="U4" s="1" t="str">
        <f>'Population Definitions'!$B$21</f>
        <v>hros_15-64_M</v>
      </c>
      <c r="V4" s="1" t="str">
        <f>'Population Definitions'!$B$22</f>
        <v>hros_65+_M</v>
      </c>
      <c r="W4" s="1" t="str">
        <f>'Population Definitions'!$B$23</f>
        <v>hros_0-14_F</v>
      </c>
      <c r="X4" s="1" t="str">
        <f>'Population Definitions'!$B$24</f>
        <v>hros_15-64_F</v>
      </c>
      <c r="Y4" s="1" t="str">
        <f>'Population Definitions'!$B$25</f>
        <v>hros_65+_F</v>
      </c>
    </row>
    <row r="5" spans="1:25" x14ac:dyDescent="0.35">
      <c r="A5" s="1" t="str">
        <f>'Population Definitions'!$B$2</f>
        <v>atsi_0-14_M</v>
      </c>
      <c r="B5" s="4" t="s">
        <v>38</v>
      </c>
      <c r="C5" s="5" t="s">
        <v>48</v>
      </c>
      <c r="D5" s="5" t="s">
        <v>45</v>
      </c>
      <c r="E5" s="5" t="s">
        <v>45</v>
      </c>
      <c r="F5" s="5" t="s">
        <v>45</v>
      </c>
      <c r="G5" s="5" t="s">
        <v>45</v>
      </c>
      <c r="H5" s="5" t="s">
        <v>45</v>
      </c>
      <c r="I5" s="5" t="s">
        <v>45</v>
      </c>
      <c r="J5" s="5" t="s">
        <v>45</v>
      </c>
      <c r="K5" s="5" t="s">
        <v>45</v>
      </c>
      <c r="L5" s="5" t="s">
        <v>45</v>
      </c>
      <c r="M5" s="5" t="s">
        <v>45</v>
      </c>
      <c r="N5" s="5" t="s">
        <v>45</v>
      </c>
      <c r="O5" s="5" t="s">
        <v>45</v>
      </c>
      <c r="P5" s="5" t="s">
        <v>45</v>
      </c>
      <c r="Q5" s="5" t="s">
        <v>45</v>
      </c>
      <c r="R5" s="5" t="s">
        <v>45</v>
      </c>
      <c r="S5" s="5" t="s">
        <v>45</v>
      </c>
      <c r="T5" s="5" t="s">
        <v>45</v>
      </c>
      <c r="U5" s="5" t="s">
        <v>45</v>
      </c>
      <c r="V5" s="5" t="s">
        <v>45</v>
      </c>
      <c r="W5" s="5" t="s">
        <v>45</v>
      </c>
      <c r="X5" s="5" t="s">
        <v>45</v>
      </c>
      <c r="Y5" s="5" t="s">
        <v>45</v>
      </c>
    </row>
    <row r="6" spans="1:25" x14ac:dyDescent="0.35">
      <c r="A6" s="1" t="str">
        <f>'Population Definitions'!$B$3</f>
        <v>atsi_15-64_M</v>
      </c>
      <c r="B6" s="5" t="s">
        <v>45</v>
      </c>
      <c r="C6" s="4" t="s">
        <v>38</v>
      </c>
      <c r="D6" s="5" t="s">
        <v>48</v>
      </c>
      <c r="E6" s="5" t="s">
        <v>45</v>
      </c>
      <c r="F6" s="5" t="s">
        <v>45</v>
      </c>
      <c r="G6" s="5" t="s">
        <v>45</v>
      </c>
      <c r="H6" s="5" t="s">
        <v>45</v>
      </c>
      <c r="I6" s="5" t="s">
        <v>45</v>
      </c>
      <c r="J6" s="5" t="s">
        <v>45</v>
      </c>
      <c r="K6" s="5" t="s">
        <v>45</v>
      </c>
      <c r="L6" s="5" t="s">
        <v>45</v>
      </c>
      <c r="M6" s="5" t="s">
        <v>45</v>
      </c>
      <c r="N6" s="5" t="s">
        <v>45</v>
      </c>
      <c r="O6" s="5" t="s">
        <v>45</v>
      </c>
      <c r="P6" s="5" t="s">
        <v>45</v>
      </c>
      <c r="Q6" s="5" t="s">
        <v>45</v>
      </c>
      <c r="R6" s="5" t="s">
        <v>45</v>
      </c>
      <c r="S6" s="5" t="s">
        <v>45</v>
      </c>
      <c r="T6" s="5" t="s">
        <v>45</v>
      </c>
      <c r="U6" s="5" t="s">
        <v>45</v>
      </c>
      <c r="V6" s="5" t="s">
        <v>45</v>
      </c>
      <c r="W6" s="5" t="s">
        <v>45</v>
      </c>
      <c r="X6" s="5" t="s">
        <v>45</v>
      </c>
      <c r="Y6" s="5" t="s">
        <v>45</v>
      </c>
    </row>
    <row r="7" spans="1:25" x14ac:dyDescent="0.35">
      <c r="A7" s="1" t="str">
        <f>'Population Definitions'!$B$4</f>
        <v>atsi_65+_M</v>
      </c>
      <c r="B7" s="5" t="s">
        <v>45</v>
      </c>
      <c r="C7" s="5" t="s">
        <v>45</v>
      </c>
      <c r="D7" s="4" t="s">
        <v>38</v>
      </c>
      <c r="E7" s="5" t="s">
        <v>45</v>
      </c>
      <c r="F7" s="5" t="s">
        <v>45</v>
      </c>
      <c r="G7" s="5" t="s">
        <v>45</v>
      </c>
      <c r="H7" s="5" t="s">
        <v>45</v>
      </c>
      <c r="I7" s="5" t="s">
        <v>45</v>
      </c>
      <c r="J7" s="5" t="s">
        <v>45</v>
      </c>
      <c r="K7" s="5" t="s">
        <v>45</v>
      </c>
      <c r="L7" s="5" t="s">
        <v>45</v>
      </c>
      <c r="M7" s="5" t="s">
        <v>45</v>
      </c>
      <c r="N7" s="5" t="s">
        <v>45</v>
      </c>
      <c r="O7" s="5" t="s">
        <v>45</v>
      </c>
      <c r="P7" s="5" t="s">
        <v>45</v>
      </c>
      <c r="Q7" s="5" t="s">
        <v>45</v>
      </c>
      <c r="R7" s="5" t="s">
        <v>45</v>
      </c>
      <c r="S7" s="5" t="s">
        <v>45</v>
      </c>
      <c r="T7" s="5" t="s">
        <v>45</v>
      </c>
      <c r="U7" s="5" t="s">
        <v>45</v>
      </c>
      <c r="V7" s="5" t="s">
        <v>45</v>
      </c>
      <c r="W7" s="5" t="s">
        <v>45</v>
      </c>
      <c r="X7" s="5" t="s">
        <v>45</v>
      </c>
      <c r="Y7" s="5" t="s">
        <v>45</v>
      </c>
    </row>
    <row r="8" spans="1:25" x14ac:dyDescent="0.35">
      <c r="A8" s="1" t="str">
        <f>'Population Definitions'!$B$5</f>
        <v>atsi_0-14_F</v>
      </c>
      <c r="B8" s="5" t="s">
        <v>45</v>
      </c>
      <c r="C8" s="5" t="s">
        <v>45</v>
      </c>
      <c r="D8" s="5" t="s">
        <v>45</v>
      </c>
      <c r="E8" s="4" t="s">
        <v>38</v>
      </c>
      <c r="F8" s="5" t="s">
        <v>48</v>
      </c>
      <c r="G8" s="5" t="s">
        <v>45</v>
      </c>
      <c r="H8" s="5" t="s">
        <v>45</v>
      </c>
      <c r="I8" s="5" t="s">
        <v>45</v>
      </c>
      <c r="J8" s="5" t="s">
        <v>45</v>
      </c>
      <c r="K8" s="5" t="s">
        <v>45</v>
      </c>
      <c r="L8" s="5" t="s">
        <v>45</v>
      </c>
      <c r="M8" s="5" t="s">
        <v>45</v>
      </c>
      <c r="N8" s="5" t="s">
        <v>45</v>
      </c>
      <c r="O8" s="5" t="s">
        <v>45</v>
      </c>
      <c r="P8" s="5" t="s">
        <v>45</v>
      </c>
      <c r="Q8" s="5" t="s">
        <v>45</v>
      </c>
      <c r="R8" s="5" t="s">
        <v>45</v>
      </c>
      <c r="S8" s="5" t="s">
        <v>45</v>
      </c>
      <c r="T8" s="5" t="s">
        <v>45</v>
      </c>
      <c r="U8" s="5" t="s">
        <v>45</v>
      </c>
      <c r="V8" s="5" t="s">
        <v>45</v>
      </c>
      <c r="W8" s="5" t="s">
        <v>45</v>
      </c>
      <c r="X8" s="5" t="s">
        <v>45</v>
      </c>
      <c r="Y8" s="5" t="s">
        <v>45</v>
      </c>
    </row>
    <row r="9" spans="1:25" x14ac:dyDescent="0.35">
      <c r="A9" s="1" t="str">
        <f>'Population Definitions'!$B$6</f>
        <v>atsi_15-64_F</v>
      </c>
      <c r="B9" s="5" t="s">
        <v>45</v>
      </c>
      <c r="C9" s="5" t="s">
        <v>45</v>
      </c>
      <c r="D9" s="5" t="s">
        <v>45</v>
      </c>
      <c r="E9" s="5" t="s">
        <v>45</v>
      </c>
      <c r="F9" s="4" t="s">
        <v>38</v>
      </c>
      <c r="G9" s="5" t="s">
        <v>48</v>
      </c>
      <c r="H9" s="5" t="s">
        <v>45</v>
      </c>
      <c r="I9" s="5" t="s">
        <v>45</v>
      </c>
      <c r="J9" s="5" t="s">
        <v>45</v>
      </c>
      <c r="K9" s="5" t="s">
        <v>45</v>
      </c>
      <c r="L9" s="5" t="s">
        <v>45</v>
      </c>
      <c r="M9" s="5" t="s">
        <v>45</v>
      </c>
      <c r="N9" s="5" t="s">
        <v>45</v>
      </c>
      <c r="O9" s="5" t="s">
        <v>45</v>
      </c>
      <c r="P9" s="5" t="s">
        <v>45</v>
      </c>
      <c r="Q9" s="5" t="s">
        <v>45</v>
      </c>
      <c r="R9" s="5" t="s">
        <v>45</v>
      </c>
      <c r="S9" s="5" t="s">
        <v>45</v>
      </c>
      <c r="T9" s="5" t="s">
        <v>45</v>
      </c>
      <c r="U9" s="5" t="s">
        <v>45</v>
      </c>
      <c r="V9" s="5" t="s">
        <v>45</v>
      </c>
      <c r="W9" s="5" t="s">
        <v>45</v>
      </c>
      <c r="X9" s="5" t="s">
        <v>45</v>
      </c>
      <c r="Y9" s="5" t="s">
        <v>45</v>
      </c>
    </row>
    <row r="10" spans="1:25" x14ac:dyDescent="0.35">
      <c r="A10" s="1" t="str">
        <f>'Population Definitions'!$B$7</f>
        <v>atsi_65+_F</v>
      </c>
      <c r="B10" s="5" t="s">
        <v>45</v>
      </c>
      <c r="C10" s="5" t="s">
        <v>45</v>
      </c>
      <c r="D10" s="5" t="s">
        <v>45</v>
      </c>
      <c r="E10" s="5" t="s">
        <v>45</v>
      </c>
      <c r="F10" s="5" t="s">
        <v>45</v>
      </c>
      <c r="G10" s="4" t="s">
        <v>38</v>
      </c>
      <c r="H10" s="5" t="s">
        <v>45</v>
      </c>
      <c r="I10" s="5" t="s">
        <v>45</v>
      </c>
      <c r="J10" s="5" t="s">
        <v>45</v>
      </c>
      <c r="K10" s="5" t="s">
        <v>45</v>
      </c>
      <c r="L10" s="5" t="s">
        <v>45</v>
      </c>
      <c r="M10" s="5" t="s">
        <v>45</v>
      </c>
      <c r="N10" s="5" t="s">
        <v>45</v>
      </c>
      <c r="O10" s="5" t="s">
        <v>45</v>
      </c>
      <c r="P10" s="5" t="s">
        <v>45</v>
      </c>
      <c r="Q10" s="5" t="s">
        <v>45</v>
      </c>
      <c r="R10" s="5" t="s">
        <v>45</v>
      </c>
      <c r="S10" s="5" t="s">
        <v>45</v>
      </c>
      <c r="T10" s="5" t="s">
        <v>45</v>
      </c>
      <c r="U10" s="5" t="s">
        <v>45</v>
      </c>
      <c r="V10" s="5" t="s">
        <v>45</v>
      </c>
      <c r="W10" s="5" t="s">
        <v>45</v>
      </c>
      <c r="X10" s="5" t="s">
        <v>45</v>
      </c>
      <c r="Y10" s="5" t="s">
        <v>45</v>
      </c>
    </row>
    <row r="11" spans="1:25" x14ac:dyDescent="0.35">
      <c r="A11" s="1" t="str">
        <f>'Population Definitions'!$B$8</f>
        <v>ausb_0-14_M</v>
      </c>
      <c r="B11" s="5" t="s">
        <v>45</v>
      </c>
      <c r="C11" s="5" t="s">
        <v>45</v>
      </c>
      <c r="D11" s="5" t="s">
        <v>45</v>
      </c>
      <c r="E11" s="5" t="s">
        <v>45</v>
      </c>
      <c r="F11" s="5" t="s">
        <v>45</v>
      </c>
      <c r="G11" s="5" t="s">
        <v>45</v>
      </c>
      <c r="H11" s="4" t="s">
        <v>38</v>
      </c>
      <c r="I11" s="5" t="s">
        <v>48</v>
      </c>
      <c r="J11" s="5" t="s">
        <v>45</v>
      </c>
      <c r="K11" s="5" t="s">
        <v>45</v>
      </c>
      <c r="L11" s="5" t="s">
        <v>45</v>
      </c>
      <c r="M11" s="5" t="s">
        <v>45</v>
      </c>
      <c r="N11" s="5" t="s">
        <v>45</v>
      </c>
      <c r="O11" s="5" t="s">
        <v>45</v>
      </c>
      <c r="P11" s="5" t="s">
        <v>45</v>
      </c>
      <c r="Q11" s="5" t="s">
        <v>45</v>
      </c>
      <c r="R11" s="5" t="s">
        <v>45</v>
      </c>
      <c r="S11" s="5" t="s">
        <v>45</v>
      </c>
      <c r="T11" s="5" t="s">
        <v>45</v>
      </c>
      <c r="U11" s="5" t="s">
        <v>45</v>
      </c>
      <c r="V11" s="5" t="s">
        <v>45</v>
      </c>
      <c r="W11" s="5" t="s">
        <v>45</v>
      </c>
      <c r="X11" s="5" t="s">
        <v>45</v>
      </c>
      <c r="Y11" s="5" t="s">
        <v>45</v>
      </c>
    </row>
    <row r="12" spans="1:25" x14ac:dyDescent="0.35">
      <c r="A12" s="1" t="str">
        <f>'Population Definitions'!$B$9</f>
        <v>ausb_15-64_M</v>
      </c>
      <c r="B12" s="5" t="s">
        <v>45</v>
      </c>
      <c r="C12" s="5" t="s">
        <v>45</v>
      </c>
      <c r="D12" s="5" t="s">
        <v>45</v>
      </c>
      <c r="E12" s="5" t="s">
        <v>45</v>
      </c>
      <c r="F12" s="5" t="s">
        <v>45</v>
      </c>
      <c r="G12" s="5" t="s">
        <v>45</v>
      </c>
      <c r="H12" s="5" t="s">
        <v>45</v>
      </c>
      <c r="I12" s="4" t="s">
        <v>38</v>
      </c>
      <c r="J12" s="5" t="s">
        <v>48</v>
      </c>
      <c r="K12" s="5" t="s">
        <v>45</v>
      </c>
      <c r="L12" s="5" t="s">
        <v>45</v>
      </c>
      <c r="M12" s="5" t="s">
        <v>45</v>
      </c>
      <c r="N12" s="5" t="s">
        <v>45</v>
      </c>
      <c r="O12" s="5" t="s">
        <v>45</v>
      </c>
      <c r="P12" s="5" t="s">
        <v>45</v>
      </c>
      <c r="Q12" s="5" t="s">
        <v>45</v>
      </c>
      <c r="R12" s="5" t="s">
        <v>45</v>
      </c>
      <c r="S12" s="5" t="s">
        <v>45</v>
      </c>
      <c r="T12" s="5" t="s">
        <v>45</v>
      </c>
      <c r="U12" s="5" t="s">
        <v>45</v>
      </c>
      <c r="V12" s="5" t="s">
        <v>45</v>
      </c>
      <c r="W12" s="5" t="s">
        <v>45</v>
      </c>
      <c r="X12" s="5" t="s">
        <v>45</v>
      </c>
      <c r="Y12" s="5" t="s">
        <v>45</v>
      </c>
    </row>
    <row r="13" spans="1:25" x14ac:dyDescent="0.35">
      <c r="A13" s="1" t="str">
        <f>'Population Definitions'!$B$10</f>
        <v>ausb_65+_M</v>
      </c>
      <c r="B13" s="5" t="s">
        <v>45</v>
      </c>
      <c r="C13" s="5" t="s">
        <v>45</v>
      </c>
      <c r="D13" s="5" t="s">
        <v>45</v>
      </c>
      <c r="E13" s="5" t="s">
        <v>45</v>
      </c>
      <c r="F13" s="5" t="s">
        <v>45</v>
      </c>
      <c r="G13" s="5" t="s">
        <v>45</v>
      </c>
      <c r="H13" s="5" t="s">
        <v>45</v>
      </c>
      <c r="I13" s="5" t="s">
        <v>45</v>
      </c>
      <c r="J13" s="4" t="s">
        <v>38</v>
      </c>
      <c r="K13" s="5" t="s">
        <v>45</v>
      </c>
      <c r="L13" s="5" t="s">
        <v>45</v>
      </c>
      <c r="M13" s="5" t="s">
        <v>45</v>
      </c>
      <c r="N13" s="5" t="s">
        <v>45</v>
      </c>
      <c r="O13" s="5" t="s">
        <v>45</v>
      </c>
      <c r="P13" s="5" t="s">
        <v>45</v>
      </c>
      <c r="Q13" s="5" t="s">
        <v>45</v>
      </c>
      <c r="R13" s="5" t="s">
        <v>45</v>
      </c>
      <c r="S13" s="5" t="s">
        <v>45</v>
      </c>
      <c r="T13" s="5" t="s">
        <v>45</v>
      </c>
      <c r="U13" s="5" t="s">
        <v>45</v>
      </c>
      <c r="V13" s="5" t="s">
        <v>45</v>
      </c>
      <c r="W13" s="5" t="s">
        <v>45</v>
      </c>
      <c r="X13" s="5" t="s">
        <v>45</v>
      </c>
      <c r="Y13" s="5" t="s">
        <v>45</v>
      </c>
    </row>
    <row r="14" spans="1:25" x14ac:dyDescent="0.35">
      <c r="A14" s="1" t="str">
        <f>'Population Definitions'!$B$11</f>
        <v>ausb_0-14_F</v>
      </c>
      <c r="B14" s="5" t="s">
        <v>45</v>
      </c>
      <c r="C14" s="5" t="s">
        <v>45</v>
      </c>
      <c r="D14" s="5" t="s">
        <v>45</v>
      </c>
      <c r="E14" s="5" t="s">
        <v>45</v>
      </c>
      <c r="F14" s="5" t="s">
        <v>45</v>
      </c>
      <c r="G14" s="5" t="s">
        <v>45</v>
      </c>
      <c r="H14" s="5" t="s">
        <v>45</v>
      </c>
      <c r="I14" s="5" t="s">
        <v>45</v>
      </c>
      <c r="J14" s="5" t="s">
        <v>45</v>
      </c>
      <c r="K14" s="4" t="s">
        <v>38</v>
      </c>
      <c r="L14" s="5" t="s">
        <v>48</v>
      </c>
      <c r="M14" s="5" t="s">
        <v>45</v>
      </c>
      <c r="N14" s="5" t="s">
        <v>45</v>
      </c>
      <c r="O14" s="5" t="s">
        <v>45</v>
      </c>
      <c r="P14" s="5" t="s">
        <v>45</v>
      </c>
      <c r="Q14" s="5" t="s">
        <v>45</v>
      </c>
      <c r="R14" s="5" t="s">
        <v>45</v>
      </c>
      <c r="S14" s="5" t="s">
        <v>45</v>
      </c>
      <c r="T14" s="5" t="s">
        <v>45</v>
      </c>
      <c r="U14" s="5" t="s">
        <v>45</v>
      </c>
      <c r="V14" s="5" t="s">
        <v>45</v>
      </c>
      <c r="W14" s="5" t="s">
        <v>45</v>
      </c>
      <c r="X14" s="5" t="s">
        <v>45</v>
      </c>
      <c r="Y14" s="5" t="s">
        <v>45</v>
      </c>
    </row>
    <row r="15" spans="1:25" x14ac:dyDescent="0.35">
      <c r="A15" s="1" t="str">
        <f>'Population Definitions'!$B$12</f>
        <v>ausb_15-64_F</v>
      </c>
      <c r="B15" s="5" t="s">
        <v>45</v>
      </c>
      <c r="C15" s="5" t="s">
        <v>45</v>
      </c>
      <c r="D15" s="5" t="s">
        <v>45</v>
      </c>
      <c r="E15" s="5" t="s">
        <v>45</v>
      </c>
      <c r="F15" s="5" t="s">
        <v>45</v>
      </c>
      <c r="G15" s="5" t="s">
        <v>45</v>
      </c>
      <c r="H15" s="5" t="s">
        <v>45</v>
      </c>
      <c r="I15" s="5" t="s">
        <v>45</v>
      </c>
      <c r="J15" s="5" t="s">
        <v>45</v>
      </c>
      <c r="K15" s="5" t="s">
        <v>45</v>
      </c>
      <c r="L15" s="4" t="s">
        <v>38</v>
      </c>
      <c r="M15" s="5" t="s">
        <v>48</v>
      </c>
      <c r="N15" s="5" t="s">
        <v>45</v>
      </c>
      <c r="O15" s="5" t="s">
        <v>45</v>
      </c>
      <c r="P15" s="5" t="s">
        <v>45</v>
      </c>
      <c r="Q15" s="5" t="s">
        <v>45</v>
      </c>
      <c r="R15" s="5" t="s">
        <v>45</v>
      </c>
      <c r="S15" s="5" t="s">
        <v>45</v>
      </c>
      <c r="T15" s="5" t="s">
        <v>45</v>
      </c>
      <c r="U15" s="5" t="s">
        <v>45</v>
      </c>
      <c r="V15" s="5" t="s">
        <v>45</v>
      </c>
      <c r="W15" s="5" t="s">
        <v>45</v>
      </c>
      <c r="X15" s="5" t="s">
        <v>45</v>
      </c>
      <c r="Y15" s="5" t="s">
        <v>45</v>
      </c>
    </row>
    <row r="16" spans="1:25" x14ac:dyDescent="0.35">
      <c r="A16" s="1" t="str">
        <f>'Population Definitions'!$B$13</f>
        <v>ausb_65+_F</v>
      </c>
      <c r="B16" s="5" t="s">
        <v>45</v>
      </c>
      <c r="C16" s="5" t="s">
        <v>45</v>
      </c>
      <c r="D16" s="5" t="s">
        <v>45</v>
      </c>
      <c r="E16" s="5" t="s">
        <v>45</v>
      </c>
      <c r="F16" s="5" t="s">
        <v>45</v>
      </c>
      <c r="G16" s="5" t="s">
        <v>45</v>
      </c>
      <c r="H16" s="5" t="s">
        <v>45</v>
      </c>
      <c r="I16" s="5" t="s">
        <v>45</v>
      </c>
      <c r="J16" s="5" t="s">
        <v>45</v>
      </c>
      <c r="K16" s="5" t="s">
        <v>45</v>
      </c>
      <c r="L16" s="5" t="s">
        <v>45</v>
      </c>
      <c r="M16" s="4" t="s">
        <v>38</v>
      </c>
      <c r="N16" s="5" t="s">
        <v>45</v>
      </c>
      <c r="O16" s="5" t="s">
        <v>45</v>
      </c>
      <c r="P16" s="5" t="s">
        <v>45</v>
      </c>
      <c r="Q16" s="5" t="s">
        <v>45</v>
      </c>
      <c r="R16" s="5" t="s">
        <v>45</v>
      </c>
      <c r="S16" s="5" t="s">
        <v>45</v>
      </c>
      <c r="T16" s="5" t="s">
        <v>45</v>
      </c>
      <c r="U16" s="5" t="s">
        <v>45</v>
      </c>
      <c r="V16" s="5" t="s">
        <v>45</v>
      </c>
      <c r="W16" s="5" t="s">
        <v>45</v>
      </c>
      <c r="X16" s="5" t="s">
        <v>45</v>
      </c>
      <c r="Y16" s="5" t="s">
        <v>45</v>
      </c>
    </row>
    <row r="17" spans="1:100" x14ac:dyDescent="0.35">
      <c r="A17" s="1" t="str">
        <f>'Population Definitions'!$B$14</f>
        <v>lros_0-14_M</v>
      </c>
      <c r="B17" s="5" t="s">
        <v>45</v>
      </c>
      <c r="C17" s="5" t="s">
        <v>45</v>
      </c>
      <c r="D17" s="5" t="s">
        <v>45</v>
      </c>
      <c r="E17" s="5" t="s">
        <v>45</v>
      </c>
      <c r="F17" s="5" t="s">
        <v>45</v>
      </c>
      <c r="G17" s="5" t="s">
        <v>45</v>
      </c>
      <c r="H17" s="5" t="s">
        <v>45</v>
      </c>
      <c r="I17" s="5" t="s">
        <v>45</v>
      </c>
      <c r="J17" s="5" t="s">
        <v>45</v>
      </c>
      <c r="K17" s="5" t="s">
        <v>45</v>
      </c>
      <c r="L17" s="5" t="s">
        <v>45</v>
      </c>
      <c r="M17" s="5" t="s">
        <v>45</v>
      </c>
      <c r="N17" s="4" t="s">
        <v>38</v>
      </c>
      <c r="O17" s="5" t="s">
        <v>48</v>
      </c>
      <c r="P17" s="5" t="s">
        <v>45</v>
      </c>
      <c r="Q17" s="5" t="s">
        <v>45</v>
      </c>
      <c r="R17" s="5" t="s">
        <v>45</v>
      </c>
      <c r="S17" s="5" t="s">
        <v>45</v>
      </c>
      <c r="T17" s="5" t="s">
        <v>45</v>
      </c>
      <c r="U17" s="5" t="s">
        <v>45</v>
      </c>
      <c r="V17" s="5" t="s">
        <v>45</v>
      </c>
      <c r="W17" s="5" t="s">
        <v>45</v>
      </c>
      <c r="X17" s="5" t="s">
        <v>45</v>
      </c>
      <c r="Y17" s="5" t="s">
        <v>45</v>
      </c>
    </row>
    <row r="18" spans="1:100" x14ac:dyDescent="0.35">
      <c r="A18" s="1" t="str">
        <f>'Population Definitions'!$B$15</f>
        <v>lros_15-64_M</v>
      </c>
      <c r="B18" s="5" t="s">
        <v>45</v>
      </c>
      <c r="C18" s="5" t="s">
        <v>45</v>
      </c>
      <c r="D18" s="5" t="s">
        <v>45</v>
      </c>
      <c r="E18" s="5" t="s">
        <v>45</v>
      </c>
      <c r="F18" s="5" t="s">
        <v>45</v>
      </c>
      <c r="G18" s="5" t="s">
        <v>45</v>
      </c>
      <c r="H18" s="5" t="s">
        <v>45</v>
      </c>
      <c r="I18" s="5" t="s">
        <v>45</v>
      </c>
      <c r="J18" s="5" t="s">
        <v>45</v>
      </c>
      <c r="K18" s="5" t="s">
        <v>45</v>
      </c>
      <c r="L18" s="5" t="s">
        <v>45</v>
      </c>
      <c r="M18" s="5" t="s">
        <v>45</v>
      </c>
      <c r="N18" s="5" t="s">
        <v>45</v>
      </c>
      <c r="O18" s="4" t="s">
        <v>38</v>
      </c>
      <c r="P18" s="5" t="s">
        <v>48</v>
      </c>
      <c r="Q18" s="5" t="s">
        <v>45</v>
      </c>
      <c r="R18" s="5" t="s">
        <v>45</v>
      </c>
      <c r="S18" s="5" t="s">
        <v>45</v>
      </c>
      <c r="T18" s="5" t="s">
        <v>45</v>
      </c>
      <c r="U18" s="5" t="s">
        <v>45</v>
      </c>
      <c r="V18" s="5" t="s">
        <v>45</v>
      </c>
      <c r="W18" s="5" t="s">
        <v>45</v>
      </c>
      <c r="X18" s="5" t="s">
        <v>45</v>
      </c>
      <c r="Y18" s="5" t="s">
        <v>45</v>
      </c>
    </row>
    <row r="19" spans="1:100" x14ac:dyDescent="0.35">
      <c r="A19" s="1" t="str">
        <f>'Population Definitions'!$B$16</f>
        <v>lros_65+_M</v>
      </c>
      <c r="B19" s="5" t="s">
        <v>45</v>
      </c>
      <c r="C19" s="5" t="s">
        <v>45</v>
      </c>
      <c r="D19" s="5" t="s">
        <v>45</v>
      </c>
      <c r="E19" s="5" t="s">
        <v>45</v>
      </c>
      <c r="F19" s="5" t="s">
        <v>45</v>
      </c>
      <c r="G19" s="5" t="s">
        <v>45</v>
      </c>
      <c r="H19" s="5" t="s">
        <v>45</v>
      </c>
      <c r="I19" s="5" t="s">
        <v>45</v>
      </c>
      <c r="J19" s="5" t="s">
        <v>45</v>
      </c>
      <c r="K19" s="5" t="s">
        <v>45</v>
      </c>
      <c r="L19" s="5" t="s">
        <v>45</v>
      </c>
      <c r="M19" s="5" t="s">
        <v>45</v>
      </c>
      <c r="N19" s="5" t="s">
        <v>45</v>
      </c>
      <c r="O19" s="5" t="s">
        <v>45</v>
      </c>
      <c r="P19" s="4" t="s">
        <v>38</v>
      </c>
      <c r="Q19" s="5" t="s">
        <v>45</v>
      </c>
      <c r="R19" s="5" t="s">
        <v>45</v>
      </c>
      <c r="S19" s="5" t="s">
        <v>45</v>
      </c>
      <c r="T19" s="5" t="s">
        <v>45</v>
      </c>
      <c r="U19" s="5" t="s">
        <v>45</v>
      </c>
      <c r="V19" s="5" t="s">
        <v>45</v>
      </c>
      <c r="W19" s="5" t="s">
        <v>45</v>
      </c>
      <c r="X19" s="5" t="s">
        <v>45</v>
      </c>
      <c r="Y19" s="5" t="s">
        <v>45</v>
      </c>
    </row>
    <row r="20" spans="1:100" x14ac:dyDescent="0.35">
      <c r="A20" s="1" t="str">
        <f>'Population Definitions'!$B$17</f>
        <v>lros_0-14_F</v>
      </c>
      <c r="B20" s="5" t="s">
        <v>45</v>
      </c>
      <c r="C20" s="5" t="s">
        <v>45</v>
      </c>
      <c r="D20" s="5" t="s">
        <v>45</v>
      </c>
      <c r="E20" s="5" t="s">
        <v>45</v>
      </c>
      <c r="F20" s="5" t="s">
        <v>45</v>
      </c>
      <c r="G20" s="5" t="s">
        <v>45</v>
      </c>
      <c r="H20" s="5" t="s">
        <v>45</v>
      </c>
      <c r="I20" s="5" t="s">
        <v>45</v>
      </c>
      <c r="J20" s="5" t="s">
        <v>45</v>
      </c>
      <c r="K20" s="5" t="s">
        <v>45</v>
      </c>
      <c r="L20" s="5" t="s">
        <v>45</v>
      </c>
      <c r="M20" s="5" t="s">
        <v>45</v>
      </c>
      <c r="N20" s="5" t="s">
        <v>45</v>
      </c>
      <c r="O20" s="5" t="s">
        <v>45</v>
      </c>
      <c r="P20" s="5" t="s">
        <v>45</v>
      </c>
      <c r="Q20" s="4" t="s">
        <v>38</v>
      </c>
      <c r="R20" s="5" t="s">
        <v>48</v>
      </c>
      <c r="S20" s="5" t="s">
        <v>45</v>
      </c>
      <c r="T20" s="5" t="s">
        <v>45</v>
      </c>
      <c r="U20" s="5" t="s">
        <v>45</v>
      </c>
      <c r="V20" s="5" t="s">
        <v>45</v>
      </c>
      <c r="W20" s="5" t="s">
        <v>45</v>
      </c>
      <c r="X20" s="5" t="s">
        <v>45</v>
      </c>
      <c r="Y20" s="5" t="s">
        <v>45</v>
      </c>
    </row>
    <row r="21" spans="1:100" x14ac:dyDescent="0.35">
      <c r="A21" s="1" t="str">
        <f>'Population Definitions'!$B$18</f>
        <v>lros_15-64_F</v>
      </c>
      <c r="B21" s="5" t="s">
        <v>45</v>
      </c>
      <c r="C21" s="5" t="s">
        <v>45</v>
      </c>
      <c r="D21" s="5" t="s">
        <v>45</v>
      </c>
      <c r="E21" s="5" t="s">
        <v>45</v>
      </c>
      <c r="F21" s="5" t="s">
        <v>45</v>
      </c>
      <c r="G21" s="5" t="s">
        <v>45</v>
      </c>
      <c r="H21" s="5" t="s">
        <v>45</v>
      </c>
      <c r="I21" s="5" t="s">
        <v>45</v>
      </c>
      <c r="J21" s="5" t="s">
        <v>45</v>
      </c>
      <c r="K21" s="5" t="s">
        <v>45</v>
      </c>
      <c r="L21" s="5" t="s">
        <v>45</v>
      </c>
      <c r="M21" s="5" t="s">
        <v>45</v>
      </c>
      <c r="N21" s="5" t="s">
        <v>45</v>
      </c>
      <c r="O21" s="5" t="s">
        <v>45</v>
      </c>
      <c r="P21" s="5" t="s">
        <v>45</v>
      </c>
      <c r="Q21" s="5" t="s">
        <v>45</v>
      </c>
      <c r="R21" s="4" t="s">
        <v>38</v>
      </c>
      <c r="S21" s="5" t="s">
        <v>48</v>
      </c>
      <c r="T21" s="5" t="s">
        <v>45</v>
      </c>
      <c r="U21" s="5" t="s">
        <v>45</v>
      </c>
      <c r="V21" s="5" t="s">
        <v>45</v>
      </c>
      <c r="W21" s="5" t="s">
        <v>45</v>
      </c>
      <c r="X21" s="5" t="s">
        <v>45</v>
      </c>
      <c r="Y21" s="5" t="s">
        <v>45</v>
      </c>
    </row>
    <row r="22" spans="1:100" x14ac:dyDescent="0.35">
      <c r="A22" s="1" t="str">
        <f>'Population Definitions'!$B$19</f>
        <v>lros_65+_F</v>
      </c>
      <c r="B22" s="5" t="s">
        <v>45</v>
      </c>
      <c r="C22" s="5" t="s">
        <v>45</v>
      </c>
      <c r="D22" s="5" t="s">
        <v>45</v>
      </c>
      <c r="E22" s="5" t="s">
        <v>45</v>
      </c>
      <c r="F22" s="5" t="s">
        <v>45</v>
      </c>
      <c r="G22" s="5" t="s">
        <v>45</v>
      </c>
      <c r="H22" s="5" t="s">
        <v>45</v>
      </c>
      <c r="I22" s="5" t="s">
        <v>45</v>
      </c>
      <c r="J22" s="5" t="s">
        <v>45</v>
      </c>
      <c r="K22" s="5" t="s">
        <v>45</v>
      </c>
      <c r="L22" s="5" t="s">
        <v>45</v>
      </c>
      <c r="M22" s="5" t="s">
        <v>45</v>
      </c>
      <c r="N22" s="5" t="s">
        <v>45</v>
      </c>
      <c r="O22" s="5" t="s">
        <v>45</v>
      </c>
      <c r="P22" s="5" t="s">
        <v>45</v>
      </c>
      <c r="Q22" s="5" t="s">
        <v>45</v>
      </c>
      <c r="R22" s="5" t="s">
        <v>45</v>
      </c>
      <c r="S22" s="4" t="s">
        <v>38</v>
      </c>
      <c r="T22" s="5" t="s">
        <v>45</v>
      </c>
      <c r="U22" s="5" t="s">
        <v>45</v>
      </c>
      <c r="V22" s="5" t="s">
        <v>45</v>
      </c>
      <c r="W22" s="5" t="s">
        <v>45</v>
      </c>
      <c r="X22" s="5" t="s">
        <v>45</v>
      </c>
      <c r="Y22" s="5" t="s">
        <v>45</v>
      </c>
    </row>
    <row r="23" spans="1:100" x14ac:dyDescent="0.35">
      <c r="A23" s="1" t="str">
        <f>'Population Definitions'!$B$20</f>
        <v>hros_0-14_M</v>
      </c>
      <c r="B23" s="5" t="s">
        <v>45</v>
      </c>
      <c r="C23" s="5" t="s">
        <v>45</v>
      </c>
      <c r="D23" s="5" t="s">
        <v>45</v>
      </c>
      <c r="E23" s="5" t="s">
        <v>45</v>
      </c>
      <c r="F23" s="5" t="s">
        <v>45</v>
      </c>
      <c r="G23" s="5" t="s">
        <v>45</v>
      </c>
      <c r="H23" s="5" t="s">
        <v>45</v>
      </c>
      <c r="I23" s="5" t="s">
        <v>45</v>
      </c>
      <c r="J23" s="5" t="s">
        <v>45</v>
      </c>
      <c r="K23" s="5" t="s">
        <v>45</v>
      </c>
      <c r="L23" s="5" t="s">
        <v>45</v>
      </c>
      <c r="M23" s="5" t="s">
        <v>45</v>
      </c>
      <c r="N23" s="5" t="s">
        <v>45</v>
      </c>
      <c r="O23" s="5" t="s">
        <v>45</v>
      </c>
      <c r="P23" s="5" t="s">
        <v>45</v>
      </c>
      <c r="Q23" s="5" t="s">
        <v>45</v>
      </c>
      <c r="R23" s="5" t="s">
        <v>45</v>
      </c>
      <c r="S23" s="5" t="s">
        <v>45</v>
      </c>
      <c r="T23" s="4" t="s">
        <v>38</v>
      </c>
      <c r="U23" s="5" t="s">
        <v>48</v>
      </c>
      <c r="V23" s="5" t="s">
        <v>45</v>
      </c>
      <c r="W23" s="5" t="s">
        <v>45</v>
      </c>
      <c r="X23" s="5" t="s">
        <v>45</v>
      </c>
      <c r="Y23" s="5" t="s">
        <v>45</v>
      </c>
    </row>
    <row r="24" spans="1:100" x14ac:dyDescent="0.35">
      <c r="A24" s="1" t="str">
        <f>'Population Definitions'!$B$21</f>
        <v>hros_15-64_M</v>
      </c>
      <c r="B24" s="5" t="s">
        <v>45</v>
      </c>
      <c r="C24" s="5" t="s">
        <v>45</v>
      </c>
      <c r="D24" s="5" t="s">
        <v>45</v>
      </c>
      <c r="E24" s="5" t="s">
        <v>45</v>
      </c>
      <c r="F24" s="5" t="s">
        <v>45</v>
      </c>
      <c r="G24" s="5" t="s">
        <v>45</v>
      </c>
      <c r="H24" s="5" t="s">
        <v>45</v>
      </c>
      <c r="I24" s="5" t="s">
        <v>45</v>
      </c>
      <c r="J24" s="5" t="s">
        <v>45</v>
      </c>
      <c r="K24" s="5" t="s">
        <v>45</v>
      </c>
      <c r="L24" s="5" t="s">
        <v>45</v>
      </c>
      <c r="M24" s="5" t="s">
        <v>45</v>
      </c>
      <c r="N24" s="5" t="s">
        <v>45</v>
      </c>
      <c r="O24" s="5" t="s">
        <v>45</v>
      </c>
      <c r="P24" s="5" t="s">
        <v>45</v>
      </c>
      <c r="Q24" s="5" t="s">
        <v>45</v>
      </c>
      <c r="R24" s="5" t="s">
        <v>45</v>
      </c>
      <c r="S24" s="5" t="s">
        <v>45</v>
      </c>
      <c r="T24" s="5" t="s">
        <v>45</v>
      </c>
      <c r="U24" s="4" t="s">
        <v>38</v>
      </c>
      <c r="V24" s="5" t="s">
        <v>48</v>
      </c>
      <c r="W24" s="5" t="s">
        <v>45</v>
      </c>
      <c r="X24" s="5" t="s">
        <v>45</v>
      </c>
      <c r="Y24" s="5" t="s">
        <v>45</v>
      </c>
    </row>
    <row r="25" spans="1:100" x14ac:dyDescent="0.35">
      <c r="A25" s="1" t="str">
        <f>'Population Definitions'!$B$22</f>
        <v>hros_65+_M</v>
      </c>
      <c r="B25" s="5" t="s">
        <v>45</v>
      </c>
      <c r="C25" s="5" t="s">
        <v>45</v>
      </c>
      <c r="D25" s="5" t="s">
        <v>45</v>
      </c>
      <c r="E25" s="5" t="s">
        <v>45</v>
      </c>
      <c r="F25" s="5" t="s">
        <v>45</v>
      </c>
      <c r="G25" s="5" t="s">
        <v>45</v>
      </c>
      <c r="H25" s="5" t="s">
        <v>45</v>
      </c>
      <c r="I25" s="5" t="s">
        <v>45</v>
      </c>
      <c r="J25" s="5" t="s">
        <v>45</v>
      </c>
      <c r="K25" s="5" t="s">
        <v>45</v>
      </c>
      <c r="L25" s="5" t="s">
        <v>45</v>
      </c>
      <c r="M25" s="5" t="s">
        <v>45</v>
      </c>
      <c r="N25" s="5" t="s">
        <v>45</v>
      </c>
      <c r="O25" s="5" t="s">
        <v>45</v>
      </c>
      <c r="P25" s="5" t="s">
        <v>45</v>
      </c>
      <c r="Q25" s="5" t="s">
        <v>45</v>
      </c>
      <c r="R25" s="5" t="s">
        <v>45</v>
      </c>
      <c r="S25" s="5" t="s">
        <v>45</v>
      </c>
      <c r="T25" s="5" t="s">
        <v>45</v>
      </c>
      <c r="U25" s="5" t="s">
        <v>45</v>
      </c>
      <c r="V25" s="4" t="s">
        <v>38</v>
      </c>
      <c r="W25" s="5" t="s">
        <v>45</v>
      </c>
      <c r="X25" s="5" t="s">
        <v>45</v>
      </c>
      <c r="Y25" s="5" t="s">
        <v>45</v>
      </c>
    </row>
    <row r="26" spans="1:100" x14ac:dyDescent="0.35">
      <c r="A26" s="1" t="str">
        <f>'Population Definitions'!$B$23</f>
        <v>hros_0-14_F</v>
      </c>
      <c r="B26" s="5" t="s">
        <v>45</v>
      </c>
      <c r="C26" s="5" t="s">
        <v>45</v>
      </c>
      <c r="D26" s="5" t="s">
        <v>45</v>
      </c>
      <c r="E26" s="5" t="s">
        <v>45</v>
      </c>
      <c r="F26" s="5" t="s">
        <v>45</v>
      </c>
      <c r="G26" s="5" t="s">
        <v>45</v>
      </c>
      <c r="H26" s="5" t="s">
        <v>45</v>
      </c>
      <c r="I26" s="5" t="s">
        <v>45</v>
      </c>
      <c r="J26" s="5" t="s">
        <v>45</v>
      </c>
      <c r="K26" s="5" t="s">
        <v>45</v>
      </c>
      <c r="L26" s="5" t="s">
        <v>45</v>
      </c>
      <c r="M26" s="5" t="s">
        <v>45</v>
      </c>
      <c r="N26" s="5" t="s">
        <v>45</v>
      </c>
      <c r="O26" s="5" t="s">
        <v>45</v>
      </c>
      <c r="P26" s="5" t="s">
        <v>45</v>
      </c>
      <c r="Q26" s="5" t="s">
        <v>45</v>
      </c>
      <c r="R26" s="5" t="s">
        <v>45</v>
      </c>
      <c r="S26" s="5" t="s">
        <v>45</v>
      </c>
      <c r="T26" s="5" t="s">
        <v>45</v>
      </c>
      <c r="U26" s="5" t="s">
        <v>45</v>
      </c>
      <c r="V26" s="5" t="s">
        <v>45</v>
      </c>
      <c r="W26" s="4" t="s">
        <v>38</v>
      </c>
      <c r="X26" s="5" t="s">
        <v>48</v>
      </c>
      <c r="Y26" s="5" t="s">
        <v>45</v>
      </c>
    </row>
    <row r="27" spans="1:100" x14ac:dyDescent="0.35">
      <c r="A27" s="1" t="str">
        <f>'Population Definitions'!$B$24</f>
        <v>hros_15-64_F</v>
      </c>
      <c r="B27" s="5" t="s">
        <v>45</v>
      </c>
      <c r="C27" s="5" t="s">
        <v>45</v>
      </c>
      <c r="D27" s="5" t="s">
        <v>45</v>
      </c>
      <c r="E27" s="5" t="s">
        <v>45</v>
      </c>
      <c r="F27" s="5" t="s">
        <v>45</v>
      </c>
      <c r="G27" s="5" t="s">
        <v>45</v>
      </c>
      <c r="H27" s="5" t="s">
        <v>45</v>
      </c>
      <c r="I27" s="5" t="s">
        <v>45</v>
      </c>
      <c r="J27" s="5" t="s">
        <v>45</v>
      </c>
      <c r="K27" s="5" t="s">
        <v>45</v>
      </c>
      <c r="L27" s="5" t="s">
        <v>45</v>
      </c>
      <c r="M27" s="5" t="s">
        <v>45</v>
      </c>
      <c r="N27" s="5" t="s">
        <v>45</v>
      </c>
      <c r="O27" s="5" t="s">
        <v>45</v>
      </c>
      <c r="P27" s="5" t="s">
        <v>45</v>
      </c>
      <c r="Q27" s="5" t="s">
        <v>45</v>
      </c>
      <c r="R27" s="5" t="s">
        <v>45</v>
      </c>
      <c r="S27" s="5" t="s">
        <v>45</v>
      </c>
      <c r="T27" s="5" t="s">
        <v>45</v>
      </c>
      <c r="U27" s="5" t="s">
        <v>45</v>
      </c>
      <c r="V27" s="5" t="s">
        <v>45</v>
      </c>
      <c r="W27" s="5" t="s">
        <v>45</v>
      </c>
      <c r="X27" s="4" t="s">
        <v>38</v>
      </c>
      <c r="Y27" s="5" t="s">
        <v>48</v>
      </c>
    </row>
    <row r="28" spans="1:100" x14ac:dyDescent="0.35">
      <c r="A28" s="1" t="str">
        <f>'Population Definitions'!$B$25</f>
        <v>hros_65+_F</v>
      </c>
      <c r="B28" s="5" t="s">
        <v>45</v>
      </c>
      <c r="C28" s="5" t="s">
        <v>45</v>
      </c>
      <c r="D28" s="5" t="s">
        <v>45</v>
      </c>
      <c r="E28" s="5" t="s">
        <v>45</v>
      </c>
      <c r="F28" s="5" t="s">
        <v>45</v>
      </c>
      <c r="G28" s="5" t="s">
        <v>45</v>
      </c>
      <c r="H28" s="5" t="s">
        <v>45</v>
      </c>
      <c r="I28" s="5" t="s">
        <v>45</v>
      </c>
      <c r="J28" s="5" t="s">
        <v>45</v>
      </c>
      <c r="K28" s="5" t="s">
        <v>45</v>
      </c>
      <c r="L28" s="5" t="s">
        <v>45</v>
      </c>
      <c r="M28" s="5" t="s">
        <v>45</v>
      </c>
      <c r="N28" s="5" t="s">
        <v>45</v>
      </c>
      <c r="O28" s="5" t="s">
        <v>45</v>
      </c>
      <c r="P28" s="5" t="s">
        <v>45</v>
      </c>
      <c r="Q28" s="5" t="s">
        <v>45</v>
      </c>
      <c r="R28" s="5" t="s">
        <v>45</v>
      </c>
      <c r="S28" s="5" t="s">
        <v>45</v>
      </c>
      <c r="T28" s="5" t="s">
        <v>45</v>
      </c>
      <c r="U28" s="5" t="s">
        <v>45</v>
      </c>
      <c r="V28" s="5" t="s">
        <v>45</v>
      </c>
      <c r="W28" s="5" t="s">
        <v>45</v>
      </c>
      <c r="X28" s="5" t="s">
        <v>45</v>
      </c>
      <c r="Y28" s="4" t="s">
        <v>38</v>
      </c>
    </row>
    <row r="30" spans="1:100" x14ac:dyDescent="0.35">
      <c r="A30" s="1" t="s">
        <v>46</v>
      </c>
      <c r="B30" s="1"/>
      <c r="C30" s="1" t="s">
        <v>47</v>
      </c>
      <c r="D30" s="1" t="s">
        <v>29</v>
      </c>
      <c r="E30" s="1" t="s">
        <v>30</v>
      </c>
      <c r="F30" s="1" t="s">
        <v>31</v>
      </c>
      <c r="G30" s="1" t="s">
        <v>34</v>
      </c>
      <c r="H30" s="1"/>
      <c r="I30" s="1">
        <v>1980</v>
      </c>
      <c r="J30" s="1">
        <v>1981</v>
      </c>
      <c r="K30" s="1">
        <v>1982</v>
      </c>
      <c r="L30" s="1">
        <v>1983</v>
      </c>
      <c r="M30" s="1">
        <v>1984</v>
      </c>
      <c r="N30" s="1">
        <v>1985</v>
      </c>
      <c r="O30" s="1">
        <v>1986</v>
      </c>
      <c r="P30" s="1">
        <v>1987</v>
      </c>
      <c r="Q30" s="1">
        <v>1988</v>
      </c>
      <c r="R30" s="1">
        <v>1989</v>
      </c>
      <c r="S30" s="1">
        <v>1990</v>
      </c>
      <c r="T30" s="1">
        <v>1991</v>
      </c>
      <c r="U30" s="1">
        <v>1992</v>
      </c>
      <c r="V30" s="1">
        <v>1993</v>
      </c>
      <c r="W30" s="1">
        <v>1994</v>
      </c>
      <c r="X30" s="1">
        <v>1995</v>
      </c>
      <c r="Y30" s="1">
        <v>1996</v>
      </c>
      <c r="Z30" s="1">
        <v>1997</v>
      </c>
      <c r="AA30" s="1">
        <v>1998</v>
      </c>
      <c r="AB30" s="1">
        <v>1999</v>
      </c>
      <c r="AC30" s="1">
        <v>2000</v>
      </c>
      <c r="AD30" s="1">
        <v>2001</v>
      </c>
      <c r="AE30" s="1">
        <v>2002</v>
      </c>
      <c r="AF30" s="1">
        <v>2003</v>
      </c>
      <c r="AG30" s="1">
        <v>2004</v>
      </c>
      <c r="AH30" s="1">
        <v>2005</v>
      </c>
      <c r="AI30" s="1">
        <v>2006</v>
      </c>
      <c r="AJ30" s="1">
        <v>2007</v>
      </c>
      <c r="AK30" s="1">
        <v>2008</v>
      </c>
      <c r="AL30" s="1">
        <v>2009</v>
      </c>
      <c r="AM30" s="1">
        <v>2010</v>
      </c>
      <c r="AN30" s="1">
        <v>2011</v>
      </c>
      <c r="AO30" s="1">
        <v>2012</v>
      </c>
      <c r="AP30" s="1">
        <v>2013</v>
      </c>
      <c r="AQ30" s="1">
        <v>2014</v>
      </c>
      <c r="AR30" s="1">
        <v>2015</v>
      </c>
      <c r="AS30" s="1">
        <v>2016</v>
      </c>
      <c r="AT30" s="1">
        <v>2017</v>
      </c>
      <c r="AU30" s="1">
        <v>2018</v>
      </c>
      <c r="AV30" s="1">
        <v>2019</v>
      </c>
      <c r="AW30" s="1">
        <v>2020</v>
      </c>
      <c r="AX30" s="1">
        <v>2021</v>
      </c>
      <c r="AY30" s="1">
        <v>2022</v>
      </c>
      <c r="AZ30" s="1">
        <v>2023</v>
      </c>
      <c r="BA30" s="1">
        <v>2024</v>
      </c>
      <c r="BB30" s="1">
        <v>2025</v>
      </c>
      <c r="BC30" s="1">
        <v>2026</v>
      </c>
      <c r="BD30" s="1">
        <v>2027</v>
      </c>
      <c r="BE30" s="1">
        <v>2028</v>
      </c>
      <c r="BF30" s="1">
        <v>2029</v>
      </c>
      <c r="BG30" s="1">
        <v>2030</v>
      </c>
      <c r="BH30" s="1">
        <v>2031</v>
      </c>
      <c r="BI30" s="1">
        <v>2032</v>
      </c>
      <c r="BJ30" s="1">
        <v>2033</v>
      </c>
      <c r="BK30" s="1">
        <v>2034</v>
      </c>
      <c r="BL30" s="1">
        <v>2035</v>
      </c>
      <c r="BM30" s="1">
        <v>2036</v>
      </c>
      <c r="BN30" s="1">
        <v>2037</v>
      </c>
      <c r="BO30" s="1">
        <v>2038</v>
      </c>
      <c r="BP30" s="1">
        <v>2039</v>
      </c>
      <c r="BQ30" s="1">
        <v>2040</v>
      </c>
      <c r="BR30" s="1">
        <v>2041</v>
      </c>
      <c r="BS30" s="1">
        <v>2042</v>
      </c>
      <c r="BT30" s="1">
        <v>2043</v>
      </c>
      <c r="BU30" s="1">
        <v>2044</v>
      </c>
      <c r="BV30" s="1">
        <v>2045</v>
      </c>
      <c r="BW30" s="1">
        <v>2046</v>
      </c>
      <c r="BX30" s="1">
        <v>2047</v>
      </c>
      <c r="BY30" s="1">
        <v>2048</v>
      </c>
      <c r="BZ30" s="1">
        <v>2049</v>
      </c>
      <c r="CA30" s="1">
        <v>2050</v>
      </c>
      <c r="CB30" s="1">
        <v>2051</v>
      </c>
      <c r="CC30" s="1">
        <v>2052</v>
      </c>
      <c r="CD30" s="1">
        <v>2053</v>
      </c>
      <c r="CE30" s="1">
        <v>2054</v>
      </c>
      <c r="CF30" s="1">
        <v>2055</v>
      </c>
      <c r="CG30" s="1">
        <v>2056</v>
      </c>
      <c r="CH30" s="1">
        <v>2057</v>
      </c>
      <c r="CI30" s="1">
        <v>2058</v>
      </c>
      <c r="CJ30" s="1">
        <v>2059</v>
      </c>
      <c r="CK30" s="1">
        <v>2060</v>
      </c>
      <c r="CL30" s="1">
        <v>2061</v>
      </c>
      <c r="CM30" s="1">
        <v>2062</v>
      </c>
      <c r="CN30" s="1">
        <v>2063</v>
      </c>
      <c r="CO30" s="1">
        <v>2064</v>
      </c>
      <c r="CP30" s="1">
        <v>2065</v>
      </c>
      <c r="CQ30" s="1">
        <v>2066</v>
      </c>
      <c r="CR30" s="1">
        <v>2067</v>
      </c>
      <c r="CS30" s="1">
        <v>2068</v>
      </c>
      <c r="CT30" s="1">
        <v>2069</v>
      </c>
      <c r="CU30" s="1">
        <v>2070</v>
      </c>
      <c r="CV30" s="1">
        <v>2071</v>
      </c>
    </row>
    <row r="31" spans="1:100" x14ac:dyDescent="0.35">
      <c r="A31" s="1" t="str">
        <f>IF($B$5="Y",'Population Definitions'!$B$2,"...")</f>
        <v>...</v>
      </c>
      <c r="B31" s="4" t="str">
        <f>IF($B$5="Y","---&gt;","...")</f>
        <v>...</v>
      </c>
      <c r="C31" s="1" t="str">
        <f>IF($B$5="Y",'Population Definitions'!$B$2,"...")</f>
        <v>...</v>
      </c>
      <c r="E31" s="2"/>
      <c r="F31" s="3"/>
      <c r="G31" s="2"/>
      <c r="H31" s="4" t="str">
        <f>IF($B$5="Y","OR","...")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</row>
    <row r="32" spans="1:100" x14ac:dyDescent="0.35">
      <c r="A32" s="1" t="str">
        <f>IF($C$5="Y",'Population Definitions'!$B$2,"...")</f>
        <v>atsi_0-14_M</v>
      </c>
      <c r="B32" s="4" t="str">
        <f>IF($C$5="Y","---&gt;","...")</f>
        <v>---&gt;</v>
      </c>
      <c r="C32" s="1" t="str">
        <f>IF($C$5="Y",'Population Definitions'!$B$3,"...")</f>
        <v>atsi_15-64_M</v>
      </c>
      <c r="E32" s="2" t="s">
        <v>49</v>
      </c>
      <c r="F32" s="3"/>
      <c r="G32" s="2"/>
      <c r="H32" s="4" t="str">
        <f>IF($C$5="Y","OR","...")</f>
        <v>OR</v>
      </c>
      <c r="I32">
        <v>6.6151953606236907E-2</v>
      </c>
      <c r="J32">
        <v>6.5360423157248354E-2</v>
      </c>
      <c r="K32">
        <v>6.5516607899140697E-2</v>
      </c>
      <c r="L32">
        <v>6.3951016065700195E-2</v>
      </c>
      <c r="M32">
        <v>6.3079174152629425E-2</v>
      </c>
      <c r="N32">
        <v>6.4028296690940512E-2</v>
      </c>
      <c r="O32">
        <v>6.2827409087065356E-2</v>
      </c>
      <c r="P32">
        <v>6.2527086811194843E-2</v>
      </c>
      <c r="Q32">
        <v>6.26575873889305E-2</v>
      </c>
      <c r="R32">
        <v>6.223903456220499E-2</v>
      </c>
      <c r="S32">
        <v>6.1162834101373305E-2</v>
      </c>
      <c r="T32">
        <v>6.0346170332992284E-2</v>
      </c>
      <c r="U32">
        <v>6.0130551873096197E-2</v>
      </c>
      <c r="V32">
        <v>5.9380807887310157E-2</v>
      </c>
      <c r="W32">
        <v>5.9368688792048298E-2</v>
      </c>
      <c r="X32">
        <v>5.8800913561289719E-2</v>
      </c>
      <c r="Y32">
        <v>5.870142307009641E-2</v>
      </c>
      <c r="Z32">
        <v>5.8233116749511517E-2</v>
      </c>
      <c r="AA32">
        <v>5.7710760318502544E-2</v>
      </c>
      <c r="AB32">
        <v>5.728354805497695E-2</v>
      </c>
      <c r="AC32">
        <v>5.660390463772795E-2</v>
      </c>
      <c r="AD32">
        <v>5.6035572833967137E-2</v>
      </c>
      <c r="AE32">
        <v>5.5851340258723833E-2</v>
      </c>
      <c r="AF32">
        <v>5.5534820702894429E-2</v>
      </c>
      <c r="AG32">
        <v>5.4992545534736259E-2</v>
      </c>
      <c r="AH32">
        <v>5.4623697202204509E-2</v>
      </c>
      <c r="AI32">
        <v>5.4355299974523104E-2</v>
      </c>
      <c r="AJ32">
        <v>5.4390413360040149E-2</v>
      </c>
      <c r="AK32">
        <v>5.444353311846313E-2</v>
      </c>
      <c r="AL32">
        <v>5.399080933881021E-2</v>
      </c>
      <c r="AM32">
        <v>5.3691499516753366E-2</v>
      </c>
      <c r="AN32">
        <v>5.8844095965535026E-2</v>
      </c>
      <c r="AO32">
        <v>5.989260445013838E-2</v>
      </c>
      <c r="AP32">
        <v>5.9597973121706047E-2</v>
      </c>
      <c r="AQ32">
        <v>5.9842730230878008E-2</v>
      </c>
      <c r="AR32">
        <v>6.0466060815945522E-2</v>
      </c>
      <c r="AS32">
        <v>6.0242587786939264E-2</v>
      </c>
      <c r="AT32">
        <v>5.96450422534811E-2</v>
      </c>
      <c r="AU32">
        <v>6.0266329600528627E-2</v>
      </c>
      <c r="AV32">
        <v>6.4614944047165584E-2</v>
      </c>
      <c r="AW32">
        <v>6.525290470377472E-2</v>
      </c>
      <c r="AX32">
        <v>6.8756696450051211E-2</v>
      </c>
      <c r="AY32">
        <v>7.0442481084154948E-2</v>
      </c>
      <c r="AZ32">
        <v>6.9727954258879996E-2</v>
      </c>
      <c r="BA32">
        <v>6.9192214413047154E-2</v>
      </c>
      <c r="BB32">
        <v>6.7444196950485882E-2</v>
      </c>
      <c r="BC32">
        <v>6.7478371081729049E-2</v>
      </c>
      <c r="BD32">
        <v>6.7897559137607533E-2</v>
      </c>
      <c r="BE32">
        <v>6.7002002361536875E-2</v>
      </c>
      <c r="BF32">
        <v>6.5675525658747069E-2</v>
      </c>
      <c r="BG32">
        <v>6.5019798673174978E-2</v>
      </c>
      <c r="BH32">
        <v>6.3075982251144941E-2</v>
      </c>
      <c r="BI32">
        <v>6.3373005860250173E-2</v>
      </c>
      <c r="BJ32">
        <v>6.3634991390871559E-2</v>
      </c>
      <c r="BK32">
        <v>6.3844096815422927E-2</v>
      </c>
      <c r="BL32">
        <v>6.4017799258508715E-2</v>
      </c>
      <c r="BM32">
        <v>6.4109647323981722E-2</v>
      </c>
      <c r="BN32">
        <v>6.423321652559727E-2</v>
      </c>
      <c r="BO32">
        <v>6.4387748875554915E-2</v>
      </c>
      <c r="BP32">
        <v>6.4533163517655423E-2</v>
      </c>
      <c r="BQ32">
        <v>6.4689002567958079E-2</v>
      </c>
      <c r="BR32">
        <v>6.4847905833012601E-2</v>
      </c>
      <c r="BS32">
        <v>6.501901525234545E-2</v>
      </c>
      <c r="BT32">
        <v>6.5186202825808587E-2</v>
      </c>
      <c r="BU32">
        <v>6.5347063501019112E-2</v>
      </c>
      <c r="BV32">
        <v>6.5479606740722784E-2</v>
      </c>
      <c r="BW32">
        <v>6.5569518423913078E-2</v>
      </c>
      <c r="BX32">
        <v>6.5650918732455335E-2</v>
      </c>
      <c r="BY32">
        <v>6.5704571460633215E-2</v>
      </c>
      <c r="BZ32">
        <v>6.5742949032055631E-2</v>
      </c>
      <c r="CA32">
        <v>6.5763393528618069E-2</v>
      </c>
      <c r="CB32">
        <v>6.5763957436515419E-2</v>
      </c>
      <c r="CC32">
        <v>6.5756064221238641E-2</v>
      </c>
      <c r="CD32">
        <v>6.5749740634815021E-2</v>
      </c>
      <c r="CE32">
        <v>6.571328100849616E-2</v>
      </c>
      <c r="CF32">
        <v>6.563869271694614E-2</v>
      </c>
      <c r="CG32">
        <v>6.5553967630574347E-2</v>
      </c>
      <c r="CH32">
        <v>6.5483332034017613E-2</v>
      </c>
      <c r="CI32">
        <v>6.5401306197933551E-2</v>
      </c>
      <c r="CJ32">
        <v>6.5313744138057891E-2</v>
      </c>
      <c r="CK32">
        <v>6.5229188532045554E-2</v>
      </c>
      <c r="CL32">
        <v>6.5179309881399861E-2</v>
      </c>
      <c r="CM32">
        <v>6.5145257538541126E-2</v>
      </c>
      <c r="CN32">
        <v>6.5129903560472505E-2</v>
      </c>
      <c r="CO32">
        <v>6.5116336687983181E-2</v>
      </c>
      <c r="CP32">
        <v>6.5082276839560124E-2</v>
      </c>
      <c r="CQ32">
        <v>6.5058325526802005E-2</v>
      </c>
      <c r="CR32">
        <v>6.5068435475273037E-2</v>
      </c>
      <c r="CS32">
        <v>6.5086604448208893E-2</v>
      </c>
      <c r="CT32">
        <v>6.5103023101777485E-2</v>
      </c>
      <c r="CU32">
        <v>6.5110219607872805E-2</v>
      </c>
      <c r="CV32" s="2"/>
    </row>
    <row r="33" spans="1:100" x14ac:dyDescent="0.35">
      <c r="A33" s="1" t="str">
        <f>IF($D$5="Y",'Population Definitions'!$B$2,"...")</f>
        <v>...</v>
      </c>
      <c r="B33" s="4" t="str">
        <f>IF($D$5="Y","---&gt;","...")</f>
        <v>...</v>
      </c>
      <c r="C33" s="1" t="str">
        <f>IF($D$5="Y",'Population Definitions'!$B$4,"...")</f>
        <v>...</v>
      </c>
      <c r="E33" s="2"/>
      <c r="F33" s="3"/>
      <c r="G33" s="2"/>
      <c r="H33" s="4" t="str">
        <f>IF($D$5="Y","OR","...")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</row>
    <row r="34" spans="1:100" x14ac:dyDescent="0.35">
      <c r="A34" s="1" t="str">
        <f>IF($E$5="Y",'Population Definitions'!$B$2,"...")</f>
        <v>...</v>
      </c>
      <c r="B34" s="4" t="str">
        <f>IF($E$5="Y","---&gt;","...")</f>
        <v>...</v>
      </c>
      <c r="C34" s="1" t="str">
        <f>IF($E$5="Y",'Population Definitions'!$B$5,"...")</f>
        <v>...</v>
      </c>
      <c r="E34" s="2"/>
      <c r="F34" s="3"/>
      <c r="G34" s="2"/>
      <c r="H34" s="4" t="str">
        <f>IF($E$5="Y","OR","...")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</row>
    <row r="35" spans="1:100" x14ac:dyDescent="0.35">
      <c r="A35" s="1" t="str">
        <f>IF($F$5="Y",'Population Definitions'!$B$2,"...")</f>
        <v>...</v>
      </c>
      <c r="B35" s="4" t="str">
        <f>IF($F$5="Y","---&gt;","...")</f>
        <v>...</v>
      </c>
      <c r="C35" s="1" t="str">
        <f>IF($F$5="Y",'Population Definitions'!$B$6,"...")</f>
        <v>...</v>
      </c>
      <c r="E35" s="2"/>
      <c r="F35" s="3"/>
      <c r="G35" s="2"/>
      <c r="H35" s="4" t="str">
        <f>IF($F$5="Y","OR","...")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</row>
    <row r="36" spans="1:100" x14ac:dyDescent="0.35">
      <c r="A36" s="1" t="str">
        <f>IF($G$5="Y",'Population Definitions'!$B$2,"...")</f>
        <v>...</v>
      </c>
      <c r="B36" s="4" t="str">
        <f>IF($G$5="Y","---&gt;","...")</f>
        <v>...</v>
      </c>
      <c r="C36" s="1" t="str">
        <f>IF($G$5="Y",'Population Definitions'!$B$7,"...")</f>
        <v>...</v>
      </c>
      <c r="E36" s="2"/>
      <c r="F36" s="3"/>
      <c r="G36" s="2"/>
      <c r="H36" s="4" t="str">
        <f>IF($G$5="Y","OR","...")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</row>
    <row r="37" spans="1:100" x14ac:dyDescent="0.35">
      <c r="A37" s="1" t="str">
        <f>IF($H$5="Y",'Population Definitions'!$B$2,"...")</f>
        <v>...</v>
      </c>
      <c r="B37" s="4" t="str">
        <f>IF($H$5="Y","---&gt;","...")</f>
        <v>...</v>
      </c>
      <c r="C37" s="1" t="str">
        <f>IF($H$5="Y",'Population Definitions'!$B$8,"...")</f>
        <v>...</v>
      </c>
      <c r="E37" s="2"/>
      <c r="F37" s="3"/>
      <c r="G37" s="2"/>
      <c r="H37" s="4" t="str">
        <f>IF($H$5="Y","OR","...")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</row>
    <row r="38" spans="1:100" x14ac:dyDescent="0.35">
      <c r="A38" s="1" t="str">
        <f>IF($I$5="Y",'Population Definitions'!$B$2,"...")</f>
        <v>...</v>
      </c>
      <c r="B38" s="4" t="str">
        <f>IF($I$5="Y","---&gt;","...")</f>
        <v>...</v>
      </c>
      <c r="C38" s="1" t="str">
        <f>IF($I$5="Y",'Population Definitions'!$B$9,"...")</f>
        <v>...</v>
      </c>
      <c r="E38" s="2"/>
      <c r="F38" s="3"/>
      <c r="G38" s="2"/>
      <c r="H38" s="4" t="str">
        <f>IF($I$5="Y","OR","...")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</row>
    <row r="39" spans="1:100" x14ac:dyDescent="0.35">
      <c r="A39" s="1" t="str">
        <f>IF($J$5="Y",'Population Definitions'!$B$2,"...")</f>
        <v>...</v>
      </c>
      <c r="B39" s="4" t="str">
        <f>IF($J$5="Y","---&gt;","...")</f>
        <v>...</v>
      </c>
      <c r="C39" s="1" t="str">
        <f>IF($J$5="Y",'Population Definitions'!$B$10,"...")</f>
        <v>...</v>
      </c>
      <c r="E39" s="2"/>
      <c r="F39" s="3"/>
      <c r="G39" s="2"/>
      <c r="H39" s="4" t="str">
        <f>IF($J$5="Y","OR","...")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</row>
    <row r="40" spans="1:100" x14ac:dyDescent="0.35">
      <c r="A40" s="1" t="str">
        <f>IF($K$5="Y",'Population Definitions'!$B$2,"...")</f>
        <v>...</v>
      </c>
      <c r="B40" s="4" t="str">
        <f>IF($K$5="Y","---&gt;","...")</f>
        <v>...</v>
      </c>
      <c r="C40" s="1" t="str">
        <f>IF($K$5="Y",'Population Definitions'!$B$11,"...")</f>
        <v>...</v>
      </c>
      <c r="E40" s="2"/>
      <c r="F40" s="3"/>
      <c r="G40" s="2"/>
      <c r="H40" s="4" t="str">
        <f>IF($K$5="Y","OR","...")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</row>
    <row r="41" spans="1:100" x14ac:dyDescent="0.35">
      <c r="A41" s="1" t="str">
        <f>IF($L$5="Y",'Population Definitions'!$B$2,"...")</f>
        <v>...</v>
      </c>
      <c r="B41" s="4" t="str">
        <f>IF($L$5="Y","---&gt;","...")</f>
        <v>...</v>
      </c>
      <c r="C41" s="1" t="str">
        <f>IF($L$5="Y",'Population Definitions'!$B$12,"...")</f>
        <v>...</v>
      </c>
      <c r="E41" s="2"/>
      <c r="F41" s="3"/>
      <c r="G41" s="2"/>
      <c r="H41" s="4" t="str">
        <f>IF($L$5="Y","OR","...")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</row>
    <row r="42" spans="1:100" x14ac:dyDescent="0.35">
      <c r="A42" s="1" t="str">
        <f>IF($M$5="Y",'Population Definitions'!$B$2,"...")</f>
        <v>...</v>
      </c>
      <c r="B42" s="4" t="str">
        <f>IF($M$5="Y","---&gt;","...")</f>
        <v>...</v>
      </c>
      <c r="C42" s="1" t="str">
        <f>IF($M$5="Y",'Population Definitions'!$B$13,"...")</f>
        <v>...</v>
      </c>
      <c r="E42" s="2"/>
      <c r="F42" s="3"/>
      <c r="G42" s="2"/>
      <c r="H42" s="4" t="str">
        <f>IF($M$5="Y","OR","...")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</row>
    <row r="43" spans="1:100" x14ac:dyDescent="0.35">
      <c r="A43" s="1" t="str">
        <f>IF($N$5="Y",'Population Definitions'!$B$2,"...")</f>
        <v>...</v>
      </c>
      <c r="B43" s="4" t="str">
        <f>IF($N$5="Y","---&gt;","...")</f>
        <v>...</v>
      </c>
      <c r="C43" s="1" t="str">
        <f>IF($N$5="Y",'Population Definitions'!$B$14,"...")</f>
        <v>...</v>
      </c>
      <c r="E43" s="2"/>
      <c r="F43" s="3"/>
      <c r="G43" s="2"/>
      <c r="H43" s="4" t="str">
        <f>IF($N$5="Y","OR","...")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</row>
    <row r="44" spans="1:100" x14ac:dyDescent="0.35">
      <c r="A44" s="1" t="str">
        <f>IF($O$5="Y",'Population Definitions'!$B$2,"...")</f>
        <v>...</v>
      </c>
      <c r="B44" s="4" t="str">
        <f>IF($O$5="Y","---&gt;","...")</f>
        <v>...</v>
      </c>
      <c r="C44" s="1" t="str">
        <f>IF($O$5="Y",'Population Definitions'!$B$15,"...")</f>
        <v>...</v>
      </c>
      <c r="E44" s="2"/>
      <c r="F44" s="3"/>
      <c r="G44" s="2"/>
      <c r="H44" s="4" t="str">
        <f>IF($O$5="Y","OR","...")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</row>
    <row r="45" spans="1:100" x14ac:dyDescent="0.35">
      <c r="A45" s="1" t="str">
        <f>IF($P$5="Y",'Population Definitions'!$B$2,"...")</f>
        <v>...</v>
      </c>
      <c r="B45" s="4" t="str">
        <f>IF($P$5="Y","---&gt;","...")</f>
        <v>...</v>
      </c>
      <c r="C45" s="1" t="str">
        <f>IF($P$5="Y",'Population Definitions'!$B$16,"...")</f>
        <v>...</v>
      </c>
      <c r="E45" s="2"/>
      <c r="F45" s="3"/>
      <c r="G45" s="2"/>
      <c r="H45" s="4" t="str">
        <f>IF($P$5="Y","OR","...")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</row>
    <row r="46" spans="1:100" x14ac:dyDescent="0.35">
      <c r="A46" s="1" t="str">
        <f>IF($Q$5="Y",'Population Definitions'!$B$2,"...")</f>
        <v>...</v>
      </c>
      <c r="B46" s="4" t="str">
        <f>IF($Q$5="Y","---&gt;","...")</f>
        <v>...</v>
      </c>
      <c r="C46" s="1" t="str">
        <f>IF($Q$5="Y",'Population Definitions'!$B$17,"...")</f>
        <v>...</v>
      </c>
      <c r="E46" s="2"/>
      <c r="F46" s="3"/>
      <c r="G46" s="2"/>
      <c r="H46" s="4" t="str">
        <f>IF($Q$5="Y","OR","...")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</row>
    <row r="47" spans="1:100" x14ac:dyDescent="0.35">
      <c r="A47" s="1" t="str">
        <f>IF($R$5="Y",'Population Definitions'!$B$2,"...")</f>
        <v>...</v>
      </c>
      <c r="B47" s="4" t="str">
        <f>IF($R$5="Y","---&gt;","...")</f>
        <v>...</v>
      </c>
      <c r="C47" s="1" t="str">
        <f>IF($R$5="Y",'Population Definitions'!$B$18,"...")</f>
        <v>...</v>
      </c>
      <c r="E47" s="2"/>
      <c r="F47" s="3"/>
      <c r="G47" s="2"/>
      <c r="H47" s="4" t="str">
        <f>IF($R$5="Y","OR","...")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</row>
    <row r="48" spans="1:100" x14ac:dyDescent="0.35">
      <c r="A48" s="1" t="str">
        <f>IF($S$5="Y",'Population Definitions'!$B$2,"...")</f>
        <v>...</v>
      </c>
      <c r="B48" s="4" t="str">
        <f>IF($S$5="Y","---&gt;","...")</f>
        <v>...</v>
      </c>
      <c r="C48" s="1" t="str">
        <f>IF($S$5="Y",'Population Definitions'!$B$19,"...")</f>
        <v>...</v>
      </c>
      <c r="E48" s="2"/>
      <c r="F48" s="3"/>
      <c r="G48" s="2"/>
      <c r="H48" s="4" t="str">
        <f>IF($S$5="Y","OR","...")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</row>
    <row r="49" spans="1:100" x14ac:dyDescent="0.35">
      <c r="A49" s="1" t="str">
        <f>IF($T$5="Y",'Population Definitions'!$B$2,"...")</f>
        <v>...</v>
      </c>
      <c r="B49" s="4" t="str">
        <f>IF($T$5="Y","---&gt;","...")</f>
        <v>...</v>
      </c>
      <c r="C49" s="1" t="str">
        <f>IF($T$5="Y",'Population Definitions'!$B$20,"...")</f>
        <v>...</v>
      </c>
      <c r="E49" s="2"/>
      <c r="F49" s="3"/>
      <c r="G49" s="2"/>
      <c r="H49" s="4" t="str">
        <f>IF($T$5="Y","OR","...")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</row>
    <row r="50" spans="1:100" x14ac:dyDescent="0.35">
      <c r="A50" s="1" t="str">
        <f>IF($U$5="Y",'Population Definitions'!$B$2,"...")</f>
        <v>...</v>
      </c>
      <c r="B50" s="4" t="str">
        <f>IF($U$5="Y","---&gt;","...")</f>
        <v>...</v>
      </c>
      <c r="C50" s="1" t="str">
        <f>IF($U$5="Y",'Population Definitions'!$B$21,"...")</f>
        <v>...</v>
      </c>
      <c r="E50" s="2"/>
      <c r="F50" s="3"/>
      <c r="G50" s="2"/>
      <c r="H50" s="4" t="str">
        <f>IF($U$5="Y","OR","...")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</row>
    <row r="51" spans="1:100" x14ac:dyDescent="0.35">
      <c r="A51" s="1" t="str">
        <f>IF($V$5="Y",'Population Definitions'!$B$2,"...")</f>
        <v>...</v>
      </c>
      <c r="B51" s="4" t="str">
        <f>IF($V$5="Y","---&gt;","...")</f>
        <v>...</v>
      </c>
      <c r="C51" s="1" t="str">
        <f>IF($V$5="Y",'Population Definitions'!$B$22,"...")</f>
        <v>...</v>
      </c>
      <c r="E51" s="2"/>
      <c r="F51" s="3"/>
      <c r="G51" s="2"/>
      <c r="H51" s="4" t="str">
        <f>IF($V$5="Y","OR","...")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</row>
    <row r="52" spans="1:100" x14ac:dyDescent="0.35">
      <c r="A52" s="1" t="str">
        <f>IF($W$5="Y",'Population Definitions'!$B$2,"...")</f>
        <v>...</v>
      </c>
      <c r="B52" s="4" t="str">
        <f>IF($W$5="Y","---&gt;","...")</f>
        <v>...</v>
      </c>
      <c r="C52" s="1" t="str">
        <f>IF($W$5="Y",'Population Definitions'!$B$23,"...")</f>
        <v>...</v>
      </c>
      <c r="E52" s="2"/>
      <c r="F52" s="3"/>
      <c r="G52" s="2"/>
      <c r="H52" s="4" t="str">
        <f>IF($W$5="Y","OR","...")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</row>
    <row r="53" spans="1:100" x14ac:dyDescent="0.35">
      <c r="A53" s="1" t="str">
        <f>IF($X$5="Y",'Population Definitions'!$B$2,"...")</f>
        <v>...</v>
      </c>
      <c r="B53" s="4" t="str">
        <f>IF($X$5="Y","---&gt;","...")</f>
        <v>...</v>
      </c>
      <c r="C53" s="1" t="str">
        <f>IF($X$5="Y",'Population Definitions'!$B$24,"...")</f>
        <v>...</v>
      </c>
      <c r="E53" s="2"/>
      <c r="F53" s="3"/>
      <c r="G53" s="2"/>
      <c r="H53" s="4" t="str">
        <f>IF($X$5="Y","OR","...")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</row>
    <row r="54" spans="1:100" x14ac:dyDescent="0.35">
      <c r="A54" s="1" t="str">
        <f>IF($Y$5="Y",'Population Definitions'!$B$2,"...")</f>
        <v>...</v>
      </c>
      <c r="B54" s="4" t="str">
        <f>IF($Y$5="Y","---&gt;","...")</f>
        <v>...</v>
      </c>
      <c r="C54" s="1" t="str">
        <f>IF($Y$5="Y",'Population Definitions'!$B$25,"...")</f>
        <v>...</v>
      </c>
      <c r="E54" s="2"/>
      <c r="F54" s="3"/>
      <c r="G54" s="2"/>
      <c r="H54" s="4" t="str">
        <f>IF($Y$5="Y","OR","...")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</row>
    <row r="55" spans="1:100" x14ac:dyDescent="0.35">
      <c r="A55" s="1" t="str">
        <f>IF($B$6="Y",'Population Definitions'!$B$3,"...")</f>
        <v>...</v>
      </c>
      <c r="B55" s="4" t="str">
        <f>IF($B$6="Y","---&gt;","...")</f>
        <v>...</v>
      </c>
      <c r="C55" s="1" t="str">
        <f>IF($B$6="Y",'Population Definitions'!$B$2,"...")</f>
        <v>...</v>
      </c>
      <c r="E55" s="2"/>
      <c r="F55" s="3"/>
      <c r="G55" s="2"/>
      <c r="H55" s="4" t="str">
        <f>IF($B$6="Y","OR","...")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</row>
    <row r="56" spans="1:100" x14ac:dyDescent="0.35">
      <c r="A56" s="1" t="str">
        <f>IF($C$6="Y",'Population Definitions'!$B$3,"...")</f>
        <v>...</v>
      </c>
      <c r="B56" s="4" t="str">
        <f>IF($C$6="Y","---&gt;","...")</f>
        <v>...</v>
      </c>
      <c r="C56" s="1" t="str">
        <f>IF($C$6="Y",'Population Definitions'!$B$3,"...")</f>
        <v>...</v>
      </c>
      <c r="E56" s="2"/>
      <c r="F56" s="3"/>
      <c r="G56" s="2"/>
      <c r="H56" s="4" t="str">
        <f>IF($C$6="Y","OR","...")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</row>
    <row r="57" spans="1:100" x14ac:dyDescent="0.35">
      <c r="A57" s="1" t="str">
        <f>IF($D$6="Y",'Population Definitions'!$B$3,"...")</f>
        <v>atsi_15-64_M</v>
      </c>
      <c r="B57" s="4" t="str">
        <f>IF($D$6="Y","---&gt;","...")</f>
        <v>---&gt;</v>
      </c>
      <c r="C57" s="1" t="str">
        <f>IF($D$6="Y",'Population Definitions'!$B$4,"...")</f>
        <v>atsi_65+_M</v>
      </c>
      <c r="E57" s="2" t="s">
        <v>49</v>
      </c>
      <c r="F57" s="3"/>
      <c r="G57" s="2"/>
      <c r="H57" s="4" t="str">
        <f>IF($D$6="Y","OR","...")</f>
        <v>OR</v>
      </c>
      <c r="I57">
        <v>6.3764174345864637E-3</v>
      </c>
      <c r="J57">
        <v>6.3243715148814687E-3</v>
      </c>
      <c r="K57">
        <v>6.460632795194203E-3</v>
      </c>
      <c r="L57">
        <v>6.1112251064515434E-3</v>
      </c>
      <c r="M57">
        <v>6.0242370962594804E-3</v>
      </c>
      <c r="N57">
        <v>6.2544099648168114E-3</v>
      </c>
      <c r="O57">
        <v>5.9272051638628448E-3</v>
      </c>
      <c r="P57">
        <v>5.9363810057143753E-3</v>
      </c>
      <c r="Q57">
        <v>5.9156811910808403E-3</v>
      </c>
      <c r="R57">
        <v>6.0107131573381182E-3</v>
      </c>
      <c r="S57">
        <v>5.6859823474165617E-3</v>
      </c>
      <c r="T57">
        <v>5.566995226263141E-3</v>
      </c>
      <c r="U57">
        <v>5.6577489376621768E-3</v>
      </c>
      <c r="V57">
        <v>5.5040545502113404E-3</v>
      </c>
      <c r="W57">
        <v>5.6260033978612701E-3</v>
      </c>
      <c r="X57">
        <v>5.4367844182692301E-3</v>
      </c>
      <c r="Y57">
        <v>5.4936476765305728E-3</v>
      </c>
      <c r="Z57">
        <v>5.3687754273703666E-3</v>
      </c>
      <c r="AA57">
        <v>5.2467406079266289E-3</v>
      </c>
      <c r="AB57">
        <v>5.1839350161414447E-3</v>
      </c>
      <c r="AC57">
        <v>5.1087061173771342E-3</v>
      </c>
      <c r="AD57">
        <v>5.0117936192985166E-3</v>
      </c>
      <c r="AE57">
        <v>5.0948901912906495E-3</v>
      </c>
      <c r="AF57">
        <v>4.9677772771365104E-3</v>
      </c>
      <c r="AG57">
        <v>4.9136187102671461E-3</v>
      </c>
      <c r="AH57">
        <v>4.7373548136776184E-3</v>
      </c>
      <c r="AI57">
        <v>4.7550032251549379E-3</v>
      </c>
      <c r="AJ57">
        <v>4.7536988002555873E-3</v>
      </c>
      <c r="AK57">
        <v>4.8310558204051682E-3</v>
      </c>
      <c r="AL57">
        <v>4.6231746866375904E-3</v>
      </c>
      <c r="AM57">
        <v>4.5787659348299828E-3</v>
      </c>
      <c r="AN57">
        <v>7.5535226765382282E-3</v>
      </c>
      <c r="AO57">
        <v>7.8198575687014934E-3</v>
      </c>
      <c r="AP57">
        <v>7.3987492557881732E-3</v>
      </c>
      <c r="AQ57">
        <v>8.0462309316061773E-3</v>
      </c>
      <c r="AR57">
        <v>8.4149610377044961E-3</v>
      </c>
      <c r="AS57">
        <v>8.5269598243623464E-3</v>
      </c>
      <c r="AT57">
        <v>8.7041452914866351E-3</v>
      </c>
      <c r="AU57">
        <v>8.6436439516256493E-3</v>
      </c>
      <c r="AV57">
        <v>9.511744622185023E-3</v>
      </c>
      <c r="AW57">
        <v>9.3574579436268394E-3</v>
      </c>
      <c r="AX57">
        <v>9.5817034427558255E-3</v>
      </c>
      <c r="AY57">
        <v>9.4624814447077325E-3</v>
      </c>
      <c r="AZ57">
        <v>9.7679742483212165E-3</v>
      </c>
      <c r="BA57">
        <v>1.0018017793079047E-2</v>
      </c>
      <c r="BB57">
        <v>1.0625889909519097E-2</v>
      </c>
      <c r="BC57">
        <v>1.0519794882297366E-2</v>
      </c>
      <c r="BD57">
        <v>1.049076339380214E-2</v>
      </c>
      <c r="BE57">
        <v>1.0578178436919057E-2</v>
      </c>
      <c r="BF57">
        <v>1.0481937023343796E-2</v>
      </c>
      <c r="BG57">
        <v>1.0410010964772787E-2</v>
      </c>
      <c r="BH57">
        <v>1.0578694950519597E-2</v>
      </c>
      <c r="BI57">
        <v>1.062503027452473E-2</v>
      </c>
      <c r="BJ57">
        <v>1.0679921391194825E-2</v>
      </c>
      <c r="BK57">
        <v>1.074029456805954E-2</v>
      </c>
      <c r="BL57">
        <v>1.0804874662006964E-2</v>
      </c>
      <c r="BM57">
        <v>1.0856506533243208E-2</v>
      </c>
      <c r="BN57">
        <v>1.0931206644331212E-2</v>
      </c>
      <c r="BO57">
        <v>1.1017609570118304E-2</v>
      </c>
      <c r="BP57">
        <v>1.1109827299002758E-2</v>
      </c>
      <c r="BQ57">
        <v>1.1207766499917544E-2</v>
      </c>
      <c r="BR57">
        <v>1.1307519662326097E-2</v>
      </c>
      <c r="BS57">
        <v>1.1409028159006249E-2</v>
      </c>
      <c r="BT57">
        <v>1.1507685519187686E-2</v>
      </c>
      <c r="BU57">
        <v>1.1596118775094862E-2</v>
      </c>
      <c r="BV57">
        <v>1.1676224957355251E-2</v>
      </c>
      <c r="BW57">
        <v>1.1738472088998817E-2</v>
      </c>
      <c r="BX57">
        <v>1.1788145022072621E-2</v>
      </c>
      <c r="BY57">
        <v>1.182482943102502E-2</v>
      </c>
      <c r="BZ57">
        <v>1.1858574654247807E-2</v>
      </c>
      <c r="CA57">
        <v>1.1886657049181258E-2</v>
      </c>
      <c r="CB57">
        <v>1.1908663354678833E-2</v>
      </c>
      <c r="CC57">
        <v>1.1928260512012161E-2</v>
      </c>
      <c r="CD57">
        <v>1.1943696940756365E-2</v>
      </c>
      <c r="CE57">
        <v>1.1951119433119658E-2</v>
      </c>
      <c r="CF57">
        <v>1.1949924730788855E-2</v>
      </c>
      <c r="CG57">
        <v>1.1946586227287441E-2</v>
      </c>
      <c r="CH57">
        <v>1.1947866987452671E-2</v>
      </c>
      <c r="CI57">
        <v>1.1948216993416125E-2</v>
      </c>
      <c r="CJ57">
        <v>1.1947140174103841E-2</v>
      </c>
      <c r="CK57">
        <v>1.1942628806344202E-2</v>
      </c>
      <c r="CL57">
        <v>1.1949023213025737E-2</v>
      </c>
      <c r="CM57">
        <v>1.1963474242581743E-2</v>
      </c>
      <c r="CN57">
        <v>1.1983472142098352E-2</v>
      </c>
      <c r="CO57">
        <v>1.2000239500168219E-2</v>
      </c>
      <c r="CP57">
        <v>1.2009902242522127E-2</v>
      </c>
      <c r="CQ57">
        <v>1.2022796194552932E-2</v>
      </c>
      <c r="CR57">
        <v>1.2048500087455274E-2</v>
      </c>
      <c r="CS57">
        <v>1.2074928441124269E-2</v>
      </c>
      <c r="CT57">
        <v>1.2097282091693298E-2</v>
      </c>
      <c r="CU57">
        <v>1.2116052820396295E-2</v>
      </c>
      <c r="CV57" s="2"/>
    </row>
    <row r="58" spans="1:100" x14ac:dyDescent="0.35">
      <c r="A58" s="1" t="str">
        <f>IF($E$6="Y",'Population Definitions'!$B$3,"...")</f>
        <v>...</v>
      </c>
      <c r="B58" s="4" t="str">
        <f>IF($E$6="Y","---&gt;","...")</f>
        <v>...</v>
      </c>
      <c r="C58" s="1" t="str">
        <f>IF($E$6="Y",'Population Definitions'!$B$5,"...")</f>
        <v>...</v>
      </c>
      <c r="E58" s="2"/>
      <c r="F58" s="3"/>
      <c r="G58" s="2"/>
      <c r="H58" s="4" t="str">
        <f>IF($E$6="Y","OR","...")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</row>
    <row r="59" spans="1:100" x14ac:dyDescent="0.35">
      <c r="A59" s="1" t="str">
        <f>IF($F$6="Y",'Population Definitions'!$B$3,"...")</f>
        <v>...</v>
      </c>
      <c r="B59" s="4" t="str">
        <f>IF($F$6="Y","---&gt;","...")</f>
        <v>...</v>
      </c>
      <c r="C59" s="1" t="str">
        <f>IF($F$6="Y",'Population Definitions'!$B$6,"...")</f>
        <v>...</v>
      </c>
      <c r="E59" s="2"/>
      <c r="F59" s="3"/>
      <c r="G59" s="2"/>
      <c r="H59" s="4" t="str">
        <f>IF($F$6="Y","OR","...")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</row>
    <row r="60" spans="1:100" x14ac:dyDescent="0.35">
      <c r="A60" s="1" t="str">
        <f>IF($G$6="Y",'Population Definitions'!$B$3,"...")</f>
        <v>...</v>
      </c>
      <c r="B60" s="4" t="str">
        <f>IF($G$6="Y","---&gt;","...")</f>
        <v>...</v>
      </c>
      <c r="C60" s="1" t="str">
        <f>IF($G$6="Y",'Population Definitions'!$B$7,"...")</f>
        <v>...</v>
      </c>
      <c r="E60" s="2"/>
      <c r="F60" s="3"/>
      <c r="G60" s="2"/>
      <c r="H60" s="4" t="str">
        <f>IF($G$6="Y","OR","...")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</row>
    <row r="61" spans="1:100" x14ac:dyDescent="0.35">
      <c r="A61" s="1" t="str">
        <f>IF($H$6="Y",'Population Definitions'!$B$3,"...")</f>
        <v>...</v>
      </c>
      <c r="B61" s="4" t="str">
        <f>IF($H$6="Y","---&gt;","...")</f>
        <v>...</v>
      </c>
      <c r="C61" s="1" t="str">
        <f>IF($H$6="Y",'Population Definitions'!$B$8,"...")</f>
        <v>...</v>
      </c>
      <c r="E61" s="2"/>
      <c r="F61" s="3"/>
      <c r="G61" s="2"/>
      <c r="H61" s="4" t="str">
        <f>IF($H$6="Y","OR","...")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</row>
    <row r="62" spans="1:100" x14ac:dyDescent="0.35">
      <c r="A62" s="1" t="str">
        <f>IF($I$6="Y",'Population Definitions'!$B$3,"...")</f>
        <v>...</v>
      </c>
      <c r="B62" s="4" t="str">
        <f>IF($I$6="Y","---&gt;","...")</f>
        <v>...</v>
      </c>
      <c r="C62" s="1" t="str">
        <f>IF($I$6="Y",'Population Definitions'!$B$9,"...")</f>
        <v>...</v>
      </c>
      <c r="E62" s="2"/>
      <c r="F62" s="3"/>
      <c r="G62" s="2"/>
      <c r="H62" s="4" t="str">
        <f>IF($I$6="Y","OR","...")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</row>
    <row r="63" spans="1:100" x14ac:dyDescent="0.35">
      <c r="A63" s="1" t="str">
        <f>IF($J$6="Y",'Population Definitions'!$B$3,"...")</f>
        <v>...</v>
      </c>
      <c r="B63" s="4" t="str">
        <f>IF($J$6="Y","---&gt;","...")</f>
        <v>...</v>
      </c>
      <c r="C63" s="1" t="str">
        <f>IF($J$6="Y",'Population Definitions'!$B$10,"...")</f>
        <v>...</v>
      </c>
      <c r="E63" s="2"/>
      <c r="F63" s="3"/>
      <c r="G63" s="2"/>
      <c r="H63" s="4" t="str">
        <f>IF($J$6="Y","OR","...")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</row>
    <row r="64" spans="1:100" x14ac:dyDescent="0.35">
      <c r="A64" s="1" t="str">
        <f>IF($K$6="Y",'Population Definitions'!$B$3,"...")</f>
        <v>...</v>
      </c>
      <c r="B64" s="4" t="str">
        <f>IF($K$6="Y","---&gt;","...")</f>
        <v>...</v>
      </c>
      <c r="C64" s="1" t="str">
        <f>IF($K$6="Y",'Population Definitions'!$B$11,"...")</f>
        <v>...</v>
      </c>
      <c r="E64" s="2"/>
      <c r="F64" s="3"/>
      <c r="G64" s="2"/>
      <c r="H64" s="4" t="str">
        <f>IF($K$6="Y","OR","...")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</row>
    <row r="65" spans="1:100" x14ac:dyDescent="0.35">
      <c r="A65" s="1" t="str">
        <f>IF($L$6="Y",'Population Definitions'!$B$3,"...")</f>
        <v>...</v>
      </c>
      <c r="B65" s="4" t="str">
        <f>IF($L$6="Y","---&gt;","...")</f>
        <v>...</v>
      </c>
      <c r="C65" s="1" t="str">
        <f>IF($L$6="Y",'Population Definitions'!$B$12,"...")</f>
        <v>...</v>
      </c>
      <c r="E65" s="2"/>
      <c r="F65" s="3"/>
      <c r="G65" s="2"/>
      <c r="H65" s="4" t="str">
        <f>IF($L$6="Y","OR","...")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</row>
    <row r="66" spans="1:100" x14ac:dyDescent="0.35">
      <c r="A66" s="1" t="str">
        <f>IF($M$6="Y",'Population Definitions'!$B$3,"...")</f>
        <v>...</v>
      </c>
      <c r="B66" s="4" t="str">
        <f>IF($M$6="Y","---&gt;","...")</f>
        <v>...</v>
      </c>
      <c r="C66" s="1" t="str">
        <f>IF($M$6="Y",'Population Definitions'!$B$13,"...")</f>
        <v>...</v>
      </c>
      <c r="E66" s="2"/>
      <c r="F66" s="3"/>
      <c r="G66" s="2"/>
      <c r="H66" s="4" t="str">
        <f>IF($M$6="Y","OR","...")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</row>
    <row r="67" spans="1:100" x14ac:dyDescent="0.35">
      <c r="A67" s="1" t="str">
        <f>IF($N$6="Y",'Population Definitions'!$B$3,"...")</f>
        <v>...</v>
      </c>
      <c r="B67" s="4" t="str">
        <f>IF($N$6="Y","---&gt;","...")</f>
        <v>...</v>
      </c>
      <c r="C67" s="1" t="str">
        <f>IF($N$6="Y",'Population Definitions'!$B$14,"...")</f>
        <v>...</v>
      </c>
      <c r="E67" s="2"/>
      <c r="F67" s="3"/>
      <c r="G67" s="2"/>
      <c r="H67" s="4" t="str">
        <f>IF($N$6="Y","OR","...")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</row>
    <row r="68" spans="1:100" x14ac:dyDescent="0.35">
      <c r="A68" s="1" t="str">
        <f>IF($O$6="Y",'Population Definitions'!$B$3,"...")</f>
        <v>...</v>
      </c>
      <c r="B68" s="4" t="str">
        <f>IF($O$6="Y","---&gt;","...")</f>
        <v>...</v>
      </c>
      <c r="C68" s="1" t="str">
        <f>IF($O$6="Y",'Population Definitions'!$B$15,"...")</f>
        <v>...</v>
      </c>
      <c r="E68" s="2"/>
      <c r="F68" s="3"/>
      <c r="G68" s="2"/>
      <c r="H68" s="4" t="str">
        <f>IF($O$6="Y","OR","...")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</row>
    <row r="69" spans="1:100" x14ac:dyDescent="0.35">
      <c r="A69" s="1" t="str">
        <f>IF($P$6="Y",'Population Definitions'!$B$3,"...")</f>
        <v>...</v>
      </c>
      <c r="B69" s="4" t="str">
        <f>IF($P$6="Y","---&gt;","...")</f>
        <v>...</v>
      </c>
      <c r="C69" s="1" t="str">
        <f>IF($P$6="Y",'Population Definitions'!$B$16,"...")</f>
        <v>...</v>
      </c>
      <c r="E69" s="2"/>
      <c r="F69" s="3"/>
      <c r="G69" s="2"/>
      <c r="H69" s="4" t="str">
        <f>IF($P$6="Y","OR","...")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</row>
    <row r="70" spans="1:100" x14ac:dyDescent="0.35">
      <c r="A70" s="1" t="str">
        <f>IF($Q$6="Y",'Population Definitions'!$B$3,"...")</f>
        <v>...</v>
      </c>
      <c r="B70" s="4" t="str">
        <f>IF($Q$6="Y","---&gt;","...")</f>
        <v>...</v>
      </c>
      <c r="C70" s="1" t="str">
        <f>IF($Q$6="Y",'Population Definitions'!$B$17,"...")</f>
        <v>...</v>
      </c>
      <c r="E70" s="2"/>
      <c r="F70" s="3"/>
      <c r="G70" s="2"/>
      <c r="H70" s="4" t="str">
        <f>IF($Q$6="Y","OR","...")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</row>
    <row r="71" spans="1:100" x14ac:dyDescent="0.35">
      <c r="A71" s="1" t="str">
        <f>IF($R$6="Y",'Population Definitions'!$B$3,"...")</f>
        <v>...</v>
      </c>
      <c r="B71" s="4" t="str">
        <f>IF($R$6="Y","---&gt;","...")</f>
        <v>...</v>
      </c>
      <c r="C71" s="1" t="str">
        <f>IF($R$6="Y",'Population Definitions'!$B$18,"...")</f>
        <v>...</v>
      </c>
      <c r="E71" s="2"/>
      <c r="F71" s="3"/>
      <c r="G71" s="2"/>
      <c r="H71" s="4" t="str">
        <f>IF($R$6="Y","OR","...")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</row>
    <row r="72" spans="1:100" x14ac:dyDescent="0.35">
      <c r="A72" s="1" t="str">
        <f>IF($S$6="Y",'Population Definitions'!$B$3,"...")</f>
        <v>...</v>
      </c>
      <c r="B72" s="4" t="str">
        <f>IF($S$6="Y","---&gt;","...")</f>
        <v>...</v>
      </c>
      <c r="C72" s="1" t="str">
        <f>IF($S$6="Y",'Population Definitions'!$B$19,"...")</f>
        <v>...</v>
      </c>
      <c r="E72" s="2"/>
      <c r="F72" s="3"/>
      <c r="G72" s="2"/>
      <c r="H72" s="4" t="str">
        <f>IF($S$6="Y","OR","...")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</row>
    <row r="73" spans="1:100" x14ac:dyDescent="0.35">
      <c r="A73" s="1" t="str">
        <f>IF($T$6="Y",'Population Definitions'!$B$3,"...")</f>
        <v>...</v>
      </c>
      <c r="B73" s="4" t="str">
        <f>IF($T$6="Y","---&gt;","...")</f>
        <v>...</v>
      </c>
      <c r="C73" s="1" t="str">
        <f>IF($T$6="Y",'Population Definitions'!$B$20,"...")</f>
        <v>...</v>
      </c>
      <c r="E73" s="2"/>
      <c r="F73" s="3"/>
      <c r="G73" s="2"/>
      <c r="H73" s="4" t="str">
        <f>IF($T$6="Y","OR","...")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</row>
    <row r="74" spans="1:100" x14ac:dyDescent="0.35">
      <c r="A74" s="1" t="str">
        <f>IF($U$6="Y",'Population Definitions'!$B$3,"...")</f>
        <v>...</v>
      </c>
      <c r="B74" s="4" t="str">
        <f>IF($U$6="Y","---&gt;","...")</f>
        <v>...</v>
      </c>
      <c r="C74" s="1" t="str">
        <f>IF($U$6="Y",'Population Definitions'!$B$21,"...")</f>
        <v>...</v>
      </c>
      <c r="E74" s="2"/>
      <c r="F74" s="3"/>
      <c r="G74" s="2"/>
      <c r="H74" s="4" t="str">
        <f>IF($U$6="Y","OR","...")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</row>
    <row r="75" spans="1:100" x14ac:dyDescent="0.35">
      <c r="A75" s="1" t="str">
        <f>IF($V$6="Y",'Population Definitions'!$B$3,"...")</f>
        <v>...</v>
      </c>
      <c r="B75" s="4" t="str">
        <f>IF($V$6="Y","---&gt;","...")</f>
        <v>...</v>
      </c>
      <c r="C75" s="1" t="str">
        <f>IF($V$6="Y",'Population Definitions'!$B$22,"...")</f>
        <v>...</v>
      </c>
      <c r="E75" s="2"/>
      <c r="F75" s="3"/>
      <c r="G75" s="2"/>
      <c r="H75" s="4" t="str">
        <f>IF($V$6="Y","OR","...")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</row>
    <row r="76" spans="1:100" x14ac:dyDescent="0.35">
      <c r="A76" s="1" t="str">
        <f>IF($W$6="Y",'Population Definitions'!$B$3,"...")</f>
        <v>...</v>
      </c>
      <c r="B76" s="4" t="str">
        <f>IF($W$6="Y","---&gt;","...")</f>
        <v>...</v>
      </c>
      <c r="C76" s="1" t="str">
        <f>IF($W$6="Y",'Population Definitions'!$B$23,"...")</f>
        <v>...</v>
      </c>
      <c r="E76" s="2"/>
      <c r="F76" s="3"/>
      <c r="G76" s="2"/>
      <c r="H76" s="4" t="str">
        <f>IF($W$6="Y","OR","...")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</row>
    <row r="77" spans="1:100" x14ac:dyDescent="0.35">
      <c r="A77" s="1" t="str">
        <f>IF($X$6="Y",'Population Definitions'!$B$3,"...")</f>
        <v>...</v>
      </c>
      <c r="B77" s="4" t="str">
        <f>IF($X$6="Y","---&gt;","...")</f>
        <v>...</v>
      </c>
      <c r="C77" s="1" t="str">
        <f>IF($X$6="Y",'Population Definitions'!$B$24,"...")</f>
        <v>...</v>
      </c>
      <c r="E77" s="2"/>
      <c r="F77" s="3"/>
      <c r="G77" s="2"/>
      <c r="H77" s="4" t="str">
        <f>IF($X$6="Y","OR","...")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</row>
    <row r="78" spans="1:100" x14ac:dyDescent="0.35">
      <c r="A78" s="1" t="str">
        <f>IF($Y$6="Y",'Population Definitions'!$B$3,"...")</f>
        <v>...</v>
      </c>
      <c r="B78" s="4" t="str">
        <f>IF($Y$6="Y","---&gt;","...")</f>
        <v>...</v>
      </c>
      <c r="C78" s="1" t="str">
        <f>IF($Y$6="Y",'Population Definitions'!$B$25,"...")</f>
        <v>...</v>
      </c>
      <c r="E78" s="2"/>
      <c r="F78" s="3"/>
      <c r="G78" s="2"/>
      <c r="H78" s="4" t="str">
        <f>IF($Y$6="Y","OR","...")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</row>
    <row r="79" spans="1:100" x14ac:dyDescent="0.35">
      <c r="A79" s="1" t="str">
        <f>IF($B$7="Y",'Population Definitions'!$B$4,"...")</f>
        <v>...</v>
      </c>
      <c r="B79" s="4" t="str">
        <f>IF($B$7="Y","---&gt;","...")</f>
        <v>...</v>
      </c>
      <c r="C79" s="1" t="str">
        <f>IF($B$7="Y",'Population Definitions'!$B$2,"...")</f>
        <v>...</v>
      </c>
      <c r="E79" s="2"/>
      <c r="F79" s="3"/>
      <c r="G79" s="2"/>
      <c r="H79" s="4" t="str">
        <f>IF($B$7="Y","OR","...")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</row>
    <row r="80" spans="1:100" x14ac:dyDescent="0.35">
      <c r="A80" s="1" t="str">
        <f>IF($C$7="Y",'Population Definitions'!$B$4,"...")</f>
        <v>...</v>
      </c>
      <c r="B80" s="4" t="str">
        <f>IF($C$7="Y","---&gt;","...")</f>
        <v>...</v>
      </c>
      <c r="C80" s="1" t="str">
        <f>IF($C$7="Y",'Population Definitions'!$B$3,"...")</f>
        <v>...</v>
      </c>
      <c r="E80" s="2"/>
      <c r="F80" s="3"/>
      <c r="G80" s="2"/>
      <c r="H80" s="4" t="str">
        <f>IF($C$7="Y","OR","...")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</row>
    <row r="81" spans="1:100" x14ac:dyDescent="0.35">
      <c r="A81" s="1" t="str">
        <f>IF($D$7="Y",'Population Definitions'!$B$4,"...")</f>
        <v>...</v>
      </c>
      <c r="B81" s="4" t="str">
        <f>IF($D$7="Y","---&gt;","...")</f>
        <v>...</v>
      </c>
      <c r="C81" s="1" t="str">
        <f>IF($D$7="Y",'Population Definitions'!$B$4,"...")</f>
        <v>...</v>
      </c>
      <c r="E81" s="2"/>
      <c r="F81" s="3"/>
      <c r="G81" s="2"/>
      <c r="H81" s="4" t="str">
        <f>IF($D$7="Y","OR","...")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</row>
    <row r="82" spans="1:100" x14ac:dyDescent="0.35">
      <c r="A82" s="1" t="str">
        <f>IF($E$7="Y",'Population Definitions'!$B$4,"...")</f>
        <v>...</v>
      </c>
      <c r="B82" s="4" t="str">
        <f>IF($E$7="Y","---&gt;","...")</f>
        <v>...</v>
      </c>
      <c r="C82" s="1" t="str">
        <f>IF($E$7="Y",'Population Definitions'!$B$5,"...")</f>
        <v>...</v>
      </c>
      <c r="E82" s="2"/>
      <c r="F82" s="3"/>
      <c r="G82" s="2"/>
      <c r="H82" s="4" t="str">
        <f>IF($E$7="Y","OR","...")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</row>
    <row r="83" spans="1:100" x14ac:dyDescent="0.35">
      <c r="A83" s="1" t="str">
        <f>IF($F$7="Y",'Population Definitions'!$B$4,"...")</f>
        <v>...</v>
      </c>
      <c r="B83" s="4" t="str">
        <f>IF($F$7="Y","---&gt;","...")</f>
        <v>...</v>
      </c>
      <c r="C83" s="1" t="str">
        <f>IF($F$7="Y",'Population Definitions'!$B$6,"...")</f>
        <v>...</v>
      </c>
      <c r="E83" s="2"/>
      <c r="F83" s="3"/>
      <c r="G83" s="2"/>
      <c r="H83" s="4" t="str">
        <f>IF($F$7="Y","OR","...")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</row>
    <row r="84" spans="1:100" x14ac:dyDescent="0.35">
      <c r="A84" s="1" t="str">
        <f>IF($G$7="Y",'Population Definitions'!$B$4,"...")</f>
        <v>...</v>
      </c>
      <c r="B84" s="4" t="str">
        <f>IF($G$7="Y","---&gt;","...")</f>
        <v>...</v>
      </c>
      <c r="C84" s="1" t="str">
        <f>IF($G$7="Y",'Population Definitions'!$B$7,"...")</f>
        <v>...</v>
      </c>
      <c r="E84" s="2"/>
      <c r="F84" s="3"/>
      <c r="G84" s="2"/>
      <c r="H84" s="4" t="str">
        <f>IF($G$7="Y","OR","...")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</row>
    <row r="85" spans="1:100" x14ac:dyDescent="0.35">
      <c r="A85" s="1" t="str">
        <f>IF($H$7="Y",'Population Definitions'!$B$4,"...")</f>
        <v>...</v>
      </c>
      <c r="B85" s="4" t="str">
        <f>IF($H$7="Y","---&gt;","...")</f>
        <v>...</v>
      </c>
      <c r="C85" s="1" t="str">
        <f>IF($H$7="Y",'Population Definitions'!$B$8,"...")</f>
        <v>...</v>
      </c>
      <c r="E85" s="2"/>
      <c r="F85" s="3"/>
      <c r="G85" s="2"/>
      <c r="H85" s="4" t="str">
        <f>IF($H$7="Y","OR","...")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</row>
    <row r="86" spans="1:100" x14ac:dyDescent="0.35">
      <c r="A86" s="1" t="str">
        <f>IF($I$7="Y",'Population Definitions'!$B$4,"...")</f>
        <v>...</v>
      </c>
      <c r="B86" s="4" t="str">
        <f>IF($I$7="Y","---&gt;","...")</f>
        <v>...</v>
      </c>
      <c r="C86" s="1" t="str">
        <f>IF($I$7="Y",'Population Definitions'!$B$9,"...")</f>
        <v>...</v>
      </c>
      <c r="E86" s="2"/>
      <c r="F86" s="3"/>
      <c r="G86" s="2"/>
      <c r="H86" s="4" t="str">
        <f>IF($I$7="Y","OR","...")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</row>
    <row r="87" spans="1:100" x14ac:dyDescent="0.35">
      <c r="A87" s="1" t="str">
        <f>IF($J$7="Y",'Population Definitions'!$B$4,"...")</f>
        <v>...</v>
      </c>
      <c r="B87" s="4" t="str">
        <f>IF($J$7="Y","---&gt;","...")</f>
        <v>...</v>
      </c>
      <c r="C87" s="1" t="str">
        <f>IF($J$7="Y",'Population Definitions'!$B$10,"...")</f>
        <v>...</v>
      </c>
      <c r="E87" s="2"/>
      <c r="F87" s="3"/>
      <c r="G87" s="2"/>
      <c r="H87" s="4" t="str">
        <f>IF($J$7="Y","OR","...")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</row>
    <row r="88" spans="1:100" x14ac:dyDescent="0.35">
      <c r="A88" s="1" t="str">
        <f>IF($K$7="Y",'Population Definitions'!$B$4,"...")</f>
        <v>...</v>
      </c>
      <c r="B88" s="4" t="str">
        <f>IF($K$7="Y","---&gt;","...")</f>
        <v>...</v>
      </c>
      <c r="C88" s="1" t="str">
        <f>IF($K$7="Y",'Population Definitions'!$B$11,"...")</f>
        <v>...</v>
      </c>
      <c r="E88" s="2"/>
      <c r="F88" s="3"/>
      <c r="G88" s="2"/>
      <c r="H88" s="4" t="str">
        <f>IF($K$7="Y","OR","...")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</row>
    <row r="89" spans="1:100" x14ac:dyDescent="0.35">
      <c r="A89" s="1" t="str">
        <f>IF($L$7="Y",'Population Definitions'!$B$4,"...")</f>
        <v>...</v>
      </c>
      <c r="B89" s="4" t="str">
        <f>IF($L$7="Y","---&gt;","...")</f>
        <v>...</v>
      </c>
      <c r="C89" s="1" t="str">
        <f>IF($L$7="Y",'Population Definitions'!$B$12,"...")</f>
        <v>...</v>
      </c>
      <c r="E89" s="2"/>
      <c r="F89" s="3"/>
      <c r="G89" s="2"/>
      <c r="H89" s="4" t="str">
        <f>IF($L$7="Y","OR","...")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</row>
    <row r="90" spans="1:100" x14ac:dyDescent="0.35">
      <c r="A90" s="1" t="str">
        <f>IF($M$7="Y",'Population Definitions'!$B$4,"...")</f>
        <v>...</v>
      </c>
      <c r="B90" s="4" t="str">
        <f>IF($M$7="Y","---&gt;","...")</f>
        <v>...</v>
      </c>
      <c r="C90" s="1" t="str">
        <f>IF($M$7="Y",'Population Definitions'!$B$13,"...")</f>
        <v>...</v>
      </c>
      <c r="E90" s="2"/>
      <c r="F90" s="3"/>
      <c r="G90" s="2"/>
      <c r="H90" s="4" t="str">
        <f>IF($M$7="Y","OR","...")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</row>
    <row r="91" spans="1:100" x14ac:dyDescent="0.35">
      <c r="A91" s="1" t="str">
        <f>IF($N$7="Y",'Population Definitions'!$B$4,"...")</f>
        <v>...</v>
      </c>
      <c r="B91" s="4" t="str">
        <f>IF($N$7="Y","---&gt;","...")</f>
        <v>...</v>
      </c>
      <c r="C91" s="1" t="str">
        <f>IF($N$7="Y",'Population Definitions'!$B$14,"...")</f>
        <v>...</v>
      </c>
      <c r="E91" s="2"/>
      <c r="F91" s="3"/>
      <c r="G91" s="2"/>
      <c r="H91" s="4" t="str">
        <f>IF($N$7="Y","OR","...")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</row>
    <row r="92" spans="1:100" x14ac:dyDescent="0.35">
      <c r="A92" s="1" t="str">
        <f>IF($O$7="Y",'Population Definitions'!$B$4,"...")</f>
        <v>...</v>
      </c>
      <c r="B92" s="4" t="str">
        <f>IF($O$7="Y","---&gt;","...")</f>
        <v>...</v>
      </c>
      <c r="C92" s="1" t="str">
        <f>IF($O$7="Y",'Population Definitions'!$B$15,"...")</f>
        <v>...</v>
      </c>
      <c r="E92" s="2"/>
      <c r="F92" s="3"/>
      <c r="G92" s="2"/>
      <c r="H92" s="4" t="str">
        <f>IF($O$7="Y","OR","...")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</row>
    <row r="93" spans="1:100" x14ac:dyDescent="0.35">
      <c r="A93" s="1" t="str">
        <f>IF($P$7="Y",'Population Definitions'!$B$4,"...")</f>
        <v>...</v>
      </c>
      <c r="B93" s="4" t="str">
        <f>IF($P$7="Y","---&gt;","...")</f>
        <v>...</v>
      </c>
      <c r="C93" s="1" t="str">
        <f>IF($P$7="Y",'Population Definitions'!$B$16,"...")</f>
        <v>...</v>
      </c>
      <c r="E93" s="2"/>
      <c r="F93" s="3"/>
      <c r="G93" s="2"/>
      <c r="H93" s="4" t="str">
        <f>IF($P$7="Y","OR","...")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</row>
    <row r="94" spans="1:100" x14ac:dyDescent="0.35">
      <c r="A94" s="1" t="str">
        <f>IF($Q$7="Y",'Population Definitions'!$B$4,"...")</f>
        <v>...</v>
      </c>
      <c r="B94" s="4" t="str">
        <f>IF($Q$7="Y","---&gt;","...")</f>
        <v>...</v>
      </c>
      <c r="C94" s="1" t="str">
        <f>IF($Q$7="Y",'Population Definitions'!$B$17,"...")</f>
        <v>...</v>
      </c>
      <c r="E94" s="2"/>
      <c r="F94" s="3"/>
      <c r="G94" s="2"/>
      <c r="H94" s="4" t="str">
        <f>IF($Q$7="Y","OR","...")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</row>
    <row r="95" spans="1:100" x14ac:dyDescent="0.35">
      <c r="A95" s="1" t="str">
        <f>IF($R$7="Y",'Population Definitions'!$B$4,"...")</f>
        <v>...</v>
      </c>
      <c r="B95" s="4" t="str">
        <f>IF($R$7="Y","---&gt;","...")</f>
        <v>...</v>
      </c>
      <c r="C95" s="1" t="str">
        <f>IF($R$7="Y",'Population Definitions'!$B$18,"...")</f>
        <v>...</v>
      </c>
      <c r="E95" s="2"/>
      <c r="F95" s="3"/>
      <c r="G95" s="2"/>
      <c r="H95" s="4" t="str">
        <f>IF($R$7="Y","OR","...")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</row>
    <row r="96" spans="1:100" x14ac:dyDescent="0.35">
      <c r="A96" s="1" t="str">
        <f>IF($S$7="Y",'Population Definitions'!$B$4,"...")</f>
        <v>...</v>
      </c>
      <c r="B96" s="4" t="str">
        <f>IF($S$7="Y","---&gt;","...")</f>
        <v>...</v>
      </c>
      <c r="C96" s="1" t="str">
        <f>IF($S$7="Y",'Population Definitions'!$B$19,"...")</f>
        <v>...</v>
      </c>
      <c r="E96" s="2"/>
      <c r="F96" s="3"/>
      <c r="G96" s="2"/>
      <c r="H96" s="4" t="str">
        <f>IF($S$7="Y","OR","...")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</row>
    <row r="97" spans="1:100" x14ac:dyDescent="0.35">
      <c r="A97" s="1" t="str">
        <f>IF($T$7="Y",'Population Definitions'!$B$4,"...")</f>
        <v>...</v>
      </c>
      <c r="B97" s="4" t="str">
        <f>IF($T$7="Y","---&gt;","...")</f>
        <v>...</v>
      </c>
      <c r="C97" s="1" t="str">
        <f>IF($T$7="Y",'Population Definitions'!$B$20,"...")</f>
        <v>...</v>
      </c>
      <c r="E97" s="2"/>
      <c r="F97" s="3"/>
      <c r="G97" s="2"/>
      <c r="H97" s="4" t="str">
        <f>IF($T$7="Y","OR","...")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</row>
    <row r="98" spans="1:100" x14ac:dyDescent="0.35">
      <c r="A98" s="1" t="str">
        <f>IF($U$7="Y",'Population Definitions'!$B$4,"...")</f>
        <v>...</v>
      </c>
      <c r="B98" s="4" t="str">
        <f>IF($U$7="Y","---&gt;","...")</f>
        <v>...</v>
      </c>
      <c r="C98" s="1" t="str">
        <f>IF($U$7="Y",'Population Definitions'!$B$21,"...")</f>
        <v>...</v>
      </c>
      <c r="E98" s="2"/>
      <c r="F98" s="3"/>
      <c r="G98" s="2"/>
      <c r="H98" s="4" t="str">
        <f>IF($U$7="Y","OR","...")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</row>
    <row r="99" spans="1:100" x14ac:dyDescent="0.35">
      <c r="A99" s="1" t="str">
        <f>IF($V$7="Y",'Population Definitions'!$B$4,"...")</f>
        <v>...</v>
      </c>
      <c r="B99" s="4" t="str">
        <f>IF($V$7="Y","---&gt;","...")</f>
        <v>...</v>
      </c>
      <c r="C99" s="1" t="str">
        <f>IF($V$7="Y",'Population Definitions'!$B$22,"...")</f>
        <v>...</v>
      </c>
      <c r="E99" s="2"/>
      <c r="F99" s="3"/>
      <c r="G99" s="2"/>
      <c r="H99" s="4" t="str">
        <f>IF($V$7="Y","OR","...")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</row>
    <row r="100" spans="1:100" x14ac:dyDescent="0.35">
      <c r="A100" s="1" t="str">
        <f>IF($W$7="Y",'Population Definitions'!$B$4,"...")</f>
        <v>...</v>
      </c>
      <c r="B100" s="4" t="str">
        <f>IF($W$7="Y","---&gt;","...")</f>
        <v>...</v>
      </c>
      <c r="C100" s="1" t="str">
        <f>IF($W$7="Y",'Population Definitions'!$B$23,"...")</f>
        <v>...</v>
      </c>
      <c r="E100" s="2"/>
      <c r="F100" s="3"/>
      <c r="G100" s="2"/>
      <c r="H100" s="4" t="str">
        <f>IF($W$7="Y","OR","...")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</row>
    <row r="101" spans="1:100" x14ac:dyDescent="0.35">
      <c r="A101" s="1" t="str">
        <f>IF($X$7="Y",'Population Definitions'!$B$4,"...")</f>
        <v>...</v>
      </c>
      <c r="B101" s="4" t="str">
        <f>IF($X$7="Y","---&gt;","...")</f>
        <v>...</v>
      </c>
      <c r="C101" s="1" t="str">
        <f>IF($X$7="Y",'Population Definitions'!$B$24,"...")</f>
        <v>...</v>
      </c>
      <c r="E101" s="2"/>
      <c r="F101" s="3"/>
      <c r="G101" s="2"/>
      <c r="H101" s="4" t="str">
        <f>IF($X$7="Y","OR","...")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</row>
    <row r="102" spans="1:100" x14ac:dyDescent="0.35">
      <c r="A102" s="1" t="str">
        <f>IF($Y$7="Y",'Population Definitions'!$B$4,"...")</f>
        <v>...</v>
      </c>
      <c r="B102" s="4" t="str">
        <f>IF($Y$7="Y","---&gt;","...")</f>
        <v>...</v>
      </c>
      <c r="C102" s="1" t="str">
        <f>IF($Y$7="Y",'Population Definitions'!$B$25,"...")</f>
        <v>...</v>
      </c>
      <c r="E102" s="2"/>
      <c r="F102" s="3"/>
      <c r="G102" s="2"/>
      <c r="H102" s="4" t="str">
        <f>IF($Y$7="Y","OR","...")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</row>
    <row r="103" spans="1:100" x14ac:dyDescent="0.35">
      <c r="A103" s="1" t="str">
        <f>IF($B$8="Y",'Population Definitions'!$B$5,"...")</f>
        <v>...</v>
      </c>
      <c r="B103" s="4" t="str">
        <f>IF($B$8="Y","---&gt;","...")</f>
        <v>...</v>
      </c>
      <c r="C103" s="1" t="str">
        <f>IF($B$8="Y",'Population Definitions'!$B$2,"...")</f>
        <v>...</v>
      </c>
      <c r="E103" s="2"/>
      <c r="F103" s="3"/>
      <c r="G103" s="2"/>
      <c r="H103" s="4" t="str">
        <f>IF($B$8="Y","OR","...")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</row>
    <row r="104" spans="1:100" x14ac:dyDescent="0.35">
      <c r="A104" s="1" t="str">
        <f>IF($C$8="Y",'Population Definitions'!$B$5,"...")</f>
        <v>...</v>
      </c>
      <c r="B104" s="4" t="str">
        <f>IF($C$8="Y","---&gt;","...")</f>
        <v>...</v>
      </c>
      <c r="C104" s="1" t="str">
        <f>IF($C$8="Y",'Population Definitions'!$B$3,"...")</f>
        <v>...</v>
      </c>
      <c r="E104" s="2"/>
      <c r="F104" s="3"/>
      <c r="G104" s="2"/>
      <c r="H104" s="4" t="str">
        <f>IF($C$8="Y","OR","...")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</row>
    <row r="105" spans="1:100" x14ac:dyDescent="0.35">
      <c r="A105" s="1" t="str">
        <f>IF($D$8="Y",'Population Definitions'!$B$5,"...")</f>
        <v>...</v>
      </c>
      <c r="B105" s="4" t="str">
        <f>IF($D$8="Y","---&gt;","...")</f>
        <v>...</v>
      </c>
      <c r="C105" s="1" t="str">
        <f>IF($D$8="Y",'Population Definitions'!$B$4,"...")</f>
        <v>...</v>
      </c>
      <c r="E105" s="2"/>
      <c r="F105" s="3"/>
      <c r="G105" s="2"/>
      <c r="H105" s="4" t="str">
        <f>IF($D$8="Y","OR","...")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</row>
    <row r="106" spans="1:100" x14ac:dyDescent="0.35">
      <c r="A106" s="1" t="str">
        <f>IF($E$8="Y",'Population Definitions'!$B$5,"...")</f>
        <v>...</v>
      </c>
      <c r="B106" s="4" t="str">
        <f>IF($E$8="Y","---&gt;","...")</f>
        <v>...</v>
      </c>
      <c r="C106" s="1" t="str">
        <f>IF($E$8="Y",'Population Definitions'!$B$5,"...")</f>
        <v>...</v>
      </c>
      <c r="E106" s="2"/>
      <c r="F106" s="3"/>
      <c r="G106" s="2"/>
      <c r="H106" s="4" t="str">
        <f>IF($E$8="Y","OR","...")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</row>
    <row r="107" spans="1:100" x14ac:dyDescent="0.35">
      <c r="A107" s="1" t="str">
        <f>IF($F$8="Y",'Population Definitions'!$B$5,"...")</f>
        <v>atsi_0-14_F</v>
      </c>
      <c r="B107" s="4" t="str">
        <f>IF($F$8="Y","---&gt;","...")</f>
        <v>---&gt;</v>
      </c>
      <c r="C107" s="1" t="str">
        <f>IF($F$8="Y",'Population Definitions'!$B$6,"...")</f>
        <v>atsi_15-64_F</v>
      </c>
      <c r="E107" s="2" t="s">
        <v>49</v>
      </c>
      <c r="F107" s="3"/>
      <c r="G107" s="2"/>
      <c r="H107" s="4" t="str">
        <f>IF($F$8="Y","OR","...")</f>
        <v>OR</v>
      </c>
      <c r="I107">
        <v>6.2490014631777197E-2</v>
      </c>
      <c r="J107">
        <v>6.198032133393945E-2</v>
      </c>
      <c r="K107">
        <v>6.2532056357412602E-2</v>
      </c>
      <c r="L107">
        <v>6.1578874530971286E-2</v>
      </c>
      <c r="M107">
        <v>6.1147848068283078E-2</v>
      </c>
      <c r="N107">
        <v>6.2115444768289056E-2</v>
      </c>
      <c r="O107">
        <v>6.1089480581598882E-2</v>
      </c>
      <c r="P107">
        <v>6.0786395212638913E-2</v>
      </c>
      <c r="Q107">
        <v>6.0792031451263655E-2</v>
      </c>
      <c r="R107">
        <v>6.0784683437196674E-2</v>
      </c>
      <c r="S107">
        <v>5.9807900801766359E-2</v>
      </c>
      <c r="T107">
        <v>5.9442182754300112E-2</v>
      </c>
      <c r="U107">
        <v>5.9513876474794579E-2</v>
      </c>
      <c r="V107">
        <v>5.8881787306398023E-2</v>
      </c>
      <c r="W107">
        <v>5.9006059582901151E-2</v>
      </c>
      <c r="X107">
        <v>5.8684488272954326E-2</v>
      </c>
      <c r="Y107">
        <v>5.863245496040214E-2</v>
      </c>
      <c r="Z107">
        <v>5.869608820075612E-2</v>
      </c>
      <c r="AA107">
        <v>5.8047860822992202E-2</v>
      </c>
      <c r="AB107">
        <v>5.7807748503904785E-2</v>
      </c>
      <c r="AC107">
        <v>5.761987539228472E-2</v>
      </c>
      <c r="AD107">
        <v>5.7176068025505553E-2</v>
      </c>
      <c r="AE107">
        <v>5.751874460407045E-2</v>
      </c>
      <c r="AF107">
        <v>5.711188703606164E-2</v>
      </c>
      <c r="AG107">
        <v>5.6795351629199832E-2</v>
      </c>
      <c r="AH107">
        <v>5.6351505727804986E-2</v>
      </c>
      <c r="AI107">
        <v>5.6444492915577502E-2</v>
      </c>
      <c r="AJ107">
        <v>5.6602388059036841E-2</v>
      </c>
      <c r="AK107">
        <v>5.6688732779617203E-2</v>
      </c>
      <c r="AL107">
        <v>5.6242335922286738E-2</v>
      </c>
      <c r="AM107">
        <v>5.6035809080999123E-2</v>
      </c>
      <c r="AN107">
        <v>6.134894152692371E-2</v>
      </c>
      <c r="AO107">
        <v>6.0785630923961033E-2</v>
      </c>
      <c r="AP107">
        <v>6.0819865082604258E-2</v>
      </c>
      <c r="AQ107">
        <v>6.1498440047662528E-2</v>
      </c>
      <c r="AR107">
        <v>6.304960230170184E-2</v>
      </c>
      <c r="AS107">
        <v>6.12452618109268E-2</v>
      </c>
      <c r="AT107">
        <v>6.1741544716657333E-2</v>
      </c>
      <c r="AU107">
        <v>6.1951255316381432E-2</v>
      </c>
      <c r="AV107">
        <v>6.60601752064751E-2</v>
      </c>
      <c r="AW107">
        <v>6.8666922545686015E-2</v>
      </c>
      <c r="AX107">
        <v>7.1784176642301953E-2</v>
      </c>
      <c r="AY107">
        <v>7.1908845599264942E-2</v>
      </c>
      <c r="AZ107">
        <v>7.1946523393497566E-2</v>
      </c>
      <c r="BA107">
        <v>7.1695856755939633E-2</v>
      </c>
      <c r="BB107">
        <v>7.0218191021509779E-2</v>
      </c>
      <c r="BC107">
        <v>7.0356809438593515E-2</v>
      </c>
      <c r="BD107">
        <v>6.8377007451113789E-2</v>
      </c>
      <c r="BE107">
        <v>6.65132557787107E-2</v>
      </c>
      <c r="BF107">
        <v>6.6683128494280583E-2</v>
      </c>
      <c r="BG107">
        <v>6.5686553293067163E-2</v>
      </c>
      <c r="BH107">
        <v>6.4336324673558098E-2</v>
      </c>
      <c r="BI107">
        <v>6.4802302457109731E-2</v>
      </c>
      <c r="BJ107">
        <v>6.5239136854334787E-2</v>
      </c>
      <c r="BK107">
        <v>6.5621196122402595E-2</v>
      </c>
      <c r="BL107">
        <v>6.5981221732235487E-2</v>
      </c>
      <c r="BM107">
        <v>6.6265399356169652E-2</v>
      </c>
      <c r="BN107">
        <v>6.6580064750875481E-2</v>
      </c>
      <c r="BO107">
        <v>6.6935345283192282E-2</v>
      </c>
      <c r="BP107">
        <v>6.7295715460254674E-2</v>
      </c>
      <c r="BQ107">
        <v>6.7674540990121282E-2</v>
      </c>
      <c r="BR107">
        <v>6.806049983616555E-2</v>
      </c>
      <c r="BS107">
        <v>6.8442540883010466E-2</v>
      </c>
      <c r="BT107">
        <v>6.8809493044710485E-2</v>
      </c>
      <c r="BU107">
        <v>6.9137611232666082E-2</v>
      </c>
      <c r="BV107">
        <v>6.9439853324349488E-2</v>
      </c>
      <c r="BW107">
        <v>6.9687276090540554E-2</v>
      </c>
      <c r="BX107">
        <v>6.9910501602400713E-2</v>
      </c>
      <c r="BY107">
        <v>7.0092261694917626E-2</v>
      </c>
      <c r="BZ107">
        <v>7.0257427148230175E-2</v>
      </c>
      <c r="CA107">
        <v>7.0386835611791154E-2</v>
      </c>
      <c r="CB107">
        <v>7.0494146261935245E-2</v>
      </c>
      <c r="CC107">
        <v>7.0587035602185183E-2</v>
      </c>
      <c r="CD107">
        <v>7.0655831418780485E-2</v>
      </c>
      <c r="CE107">
        <v>7.0686560888533423E-2</v>
      </c>
      <c r="CF107">
        <v>7.0680519093306859E-2</v>
      </c>
      <c r="CG107">
        <v>7.0646815978532243E-2</v>
      </c>
      <c r="CH107">
        <v>7.0610758131682244E-2</v>
      </c>
      <c r="CI107">
        <v>7.0564787264952411E-2</v>
      </c>
      <c r="CJ107">
        <v>7.0530396622839164E-2</v>
      </c>
      <c r="CK107">
        <v>7.0485801805874188E-2</v>
      </c>
      <c r="CL107">
        <v>7.0479161356647196E-2</v>
      </c>
      <c r="CM107">
        <v>7.0497822329093462E-2</v>
      </c>
      <c r="CN107">
        <v>7.0539870397078E-2</v>
      </c>
      <c r="CO107">
        <v>7.0596649553720761E-2</v>
      </c>
      <c r="CP107">
        <v>7.0643798533841451E-2</v>
      </c>
      <c r="CQ107">
        <v>7.06914274633509E-2</v>
      </c>
      <c r="CR107">
        <v>7.0767661524744924E-2</v>
      </c>
      <c r="CS107">
        <v>7.0861518465691137E-2</v>
      </c>
      <c r="CT107">
        <v>7.0944656588344895E-2</v>
      </c>
      <c r="CU107">
        <v>7.1027501772888857E-2</v>
      </c>
      <c r="CV107" s="2"/>
    </row>
    <row r="108" spans="1:100" x14ac:dyDescent="0.35">
      <c r="A108" s="1" t="str">
        <f>IF($G$8="Y",'Population Definitions'!$B$5,"...")</f>
        <v>...</v>
      </c>
      <c r="B108" s="4" t="str">
        <f>IF($G$8="Y","---&gt;","...")</f>
        <v>...</v>
      </c>
      <c r="C108" s="1" t="str">
        <f>IF($G$8="Y",'Population Definitions'!$B$7,"...")</f>
        <v>...</v>
      </c>
      <c r="E108" s="2"/>
      <c r="F108" s="3"/>
      <c r="G108" s="2"/>
      <c r="H108" s="4" t="str">
        <f>IF($G$8="Y","OR","...")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</row>
    <row r="109" spans="1:100" x14ac:dyDescent="0.35">
      <c r="A109" s="1" t="str">
        <f>IF($H$8="Y",'Population Definitions'!$B$5,"...")</f>
        <v>...</v>
      </c>
      <c r="B109" s="4" t="str">
        <f>IF($H$8="Y","---&gt;","...")</f>
        <v>...</v>
      </c>
      <c r="C109" s="1" t="str">
        <f>IF($H$8="Y",'Population Definitions'!$B$8,"...")</f>
        <v>...</v>
      </c>
      <c r="E109" s="2"/>
      <c r="F109" s="3"/>
      <c r="G109" s="2"/>
      <c r="H109" s="4" t="str">
        <f>IF($H$8="Y","OR","...")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</row>
    <row r="110" spans="1:100" x14ac:dyDescent="0.35">
      <c r="A110" s="1" t="str">
        <f>IF($I$8="Y",'Population Definitions'!$B$5,"...")</f>
        <v>...</v>
      </c>
      <c r="B110" s="4" t="str">
        <f>IF($I$8="Y","---&gt;","...")</f>
        <v>...</v>
      </c>
      <c r="C110" s="1" t="str">
        <f>IF($I$8="Y",'Population Definitions'!$B$9,"...")</f>
        <v>...</v>
      </c>
      <c r="E110" s="2"/>
      <c r="F110" s="3"/>
      <c r="G110" s="2"/>
      <c r="H110" s="4" t="str">
        <f>IF($I$8="Y","OR","...")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</row>
    <row r="111" spans="1:100" x14ac:dyDescent="0.35">
      <c r="A111" s="1" t="str">
        <f>IF($J$8="Y",'Population Definitions'!$B$5,"...")</f>
        <v>...</v>
      </c>
      <c r="B111" s="4" t="str">
        <f>IF($J$8="Y","---&gt;","...")</f>
        <v>...</v>
      </c>
      <c r="C111" s="1" t="str">
        <f>IF($J$8="Y",'Population Definitions'!$B$10,"...")</f>
        <v>...</v>
      </c>
      <c r="E111" s="2"/>
      <c r="F111" s="3"/>
      <c r="G111" s="2"/>
      <c r="H111" s="4" t="str">
        <f>IF($J$8="Y","OR","...")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</row>
    <row r="112" spans="1:100" x14ac:dyDescent="0.35">
      <c r="A112" s="1" t="str">
        <f>IF($K$8="Y",'Population Definitions'!$B$5,"...")</f>
        <v>...</v>
      </c>
      <c r="B112" s="4" t="str">
        <f>IF($K$8="Y","---&gt;","...")</f>
        <v>...</v>
      </c>
      <c r="C112" s="1" t="str">
        <f>IF($K$8="Y",'Population Definitions'!$B$11,"...")</f>
        <v>...</v>
      </c>
      <c r="E112" s="2"/>
      <c r="F112" s="3"/>
      <c r="G112" s="2"/>
      <c r="H112" s="4" t="str">
        <f>IF($K$8="Y","OR","...")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</row>
    <row r="113" spans="1:100" x14ac:dyDescent="0.35">
      <c r="A113" s="1" t="str">
        <f>IF($L$8="Y",'Population Definitions'!$B$5,"...")</f>
        <v>...</v>
      </c>
      <c r="B113" s="4" t="str">
        <f>IF($L$8="Y","---&gt;","...")</f>
        <v>...</v>
      </c>
      <c r="C113" s="1" t="str">
        <f>IF($L$8="Y",'Population Definitions'!$B$12,"...")</f>
        <v>...</v>
      </c>
      <c r="E113" s="2"/>
      <c r="F113" s="3"/>
      <c r="G113" s="2"/>
      <c r="H113" s="4" t="str">
        <f>IF($L$8="Y","OR","...")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</row>
    <row r="114" spans="1:100" x14ac:dyDescent="0.35">
      <c r="A114" s="1" t="str">
        <f>IF($M$8="Y",'Population Definitions'!$B$5,"...")</f>
        <v>...</v>
      </c>
      <c r="B114" s="4" t="str">
        <f>IF($M$8="Y","---&gt;","...")</f>
        <v>...</v>
      </c>
      <c r="C114" s="1" t="str">
        <f>IF($M$8="Y",'Population Definitions'!$B$13,"...")</f>
        <v>...</v>
      </c>
      <c r="E114" s="2"/>
      <c r="F114" s="3"/>
      <c r="G114" s="2"/>
      <c r="H114" s="4" t="str">
        <f>IF($M$8="Y","OR","...")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</row>
    <row r="115" spans="1:100" x14ac:dyDescent="0.35">
      <c r="A115" s="1" t="str">
        <f>IF($N$8="Y",'Population Definitions'!$B$5,"...")</f>
        <v>...</v>
      </c>
      <c r="B115" s="4" t="str">
        <f>IF($N$8="Y","---&gt;","...")</f>
        <v>...</v>
      </c>
      <c r="C115" s="1" t="str">
        <f>IF($N$8="Y",'Population Definitions'!$B$14,"...")</f>
        <v>...</v>
      </c>
      <c r="E115" s="2"/>
      <c r="F115" s="3"/>
      <c r="G115" s="2"/>
      <c r="H115" s="4" t="str">
        <f>IF($N$8="Y","OR","...")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</row>
    <row r="116" spans="1:100" x14ac:dyDescent="0.35">
      <c r="A116" s="1" t="str">
        <f>IF($O$8="Y",'Population Definitions'!$B$5,"...")</f>
        <v>...</v>
      </c>
      <c r="B116" s="4" t="str">
        <f>IF($O$8="Y","---&gt;","...")</f>
        <v>...</v>
      </c>
      <c r="C116" s="1" t="str">
        <f>IF($O$8="Y",'Population Definitions'!$B$15,"...")</f>
        <v>...</v>
      </c>
      <c r="E116" s="2"/>
      <c r="F116" s="3"/>
      <c r="G116" s="2"/>
      <c r="H116" s="4" t="str">
        <f>IF($O$8="Y","OR","...")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</row>
    <row r="117" spans="1:100" x14ac:dyDescent="0.35">
      <c r="A117" s="1" t="str">
        <f>IF($P$8="Y",'Population Definitions'!$B$5,"...")</f>
        <v>...</v>
      </c>
      <c r="B117" s="4" t="str">
        <f>IF($P$8="Y","---&gt;","...")</f>
        <v>...</v>
      </c>
      <c r="C117" s="1" t="str">
        <f>IF($P$8="Y",'Population Definitions'!$B$16,"...")</f>
        <v>...</v>
      </c>
      <c r="E117" s="2"/>
      <c r="F117" s="3"/>
      <c r="G117" s="2"/>
      <c r="H117" s="4" t="str">
        <f>IF($P$8="Y","OR","...")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</row>
    <row r="118" spans="1:100" x14ac:dyDescent="0.35">
      <c r="A118" s="1" t="str">
        <f>IF($Q$8="Y",'Population Definitions'!$B$5,"...")</f>
        <v>...</v>
      </c>
      <c r="B118" s="4" t="str">
        <f>IF($Q$8="Y","---&gt;","...")</f>
        <v>...</v>
      </c>
      <c r="C118" s="1" t="str">
        <f>IF($Q$8="Y",'Population Definitions'!$B$17,"...")</f>
        <v>...</v>
      </c>
      <c r="E118" s="2"/>
      <c r="F118" s="3"/>
      <c r="G118" s="2"/>
      <c r="H118" s="4" t="str">
        <f>IF($Q$8="Y","OR","...")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</row>
    <row r="119" spans="1:100" x14ac:dyDescent="0.35">
      <c r="A119" s="1" t="str">
        <f>IF($R$8="Y",'Population Definitions'!$B$5,"...")</f>
        <v>...</v>
      </c>
      <c r="B119" s="4" t="str">
        <f>IF($R$8="Y","---&gt;","...")</f>
        <v>...</v>
      </c>
      <c r="C119" s="1" t="str">
        <f>IF($R$8="Y",'Population Definitions'!$B$18,"...")</f>
        <v>...</v>
      </c>
      <c r="E119" s="2"/>
      <c r="F119" s="3"/>
      <c r="G119" s="2"/>
      <c r="H119" s="4" t="str">
        <f>IF($R$8="Y","OR","...")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</row>
    <row r="120" spans="1:100" x14ac:dyDescent="0.35">
      <c r="A120" s="1" t="str">
        <f>IF($S$8="Y",'Population Definitions'!$B$5,"...")</f>
        <v>...</v>
      </c>
      <c r="B120" s="4" t="str">
        <f>IF($S$8="Y","---&gt;","...")</f>
        <v>...</v>
      </c>
      <c r="C120" s="1" t="str">
        <f>IF($S$8="Y",'Population Definitions'!$B$19,"...")</f>
        <v>...</v>
      </c>
      <c r="E120" s="2"/>
      <c r="F120" s="3"/>
      <c r="G120" s="2"/>
      <c r="H120" s="4" t="str">
        <f>IF($S$8="Y","OR","...")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</row>
    <row r="121" spans="1:100" x14ac:dyDescent="0.35">
      <c r="A121" s="1" t="str">
        <f>IF($T$8="Y",'Population Definitions'!$B$5,"...")</f>
        <v>...</v>
      </c>
      <c r="B121" s="4" t="str">
        <f>IF($T$8="Y","---&gt;","...")</f>
        <v>...</v>
      </c>
      <c r="C121" s="1" t="str">
        <f>IF($T$8="Y",'Population Definitions'!$B$20,"...")</f>
        <v>...</v>
      </c>
      <c r="E121" s="2"/>
      <c r="F121" s="3"/>
      <c r="G121" s="2"/>
      <c r="H121" s="4" t="str">
        <f>IF($T$8="Y","OR","...")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</row>
    <row r="122" spans="1:100" x14ac:dyDescent="0.35">
      <c r="A122" s="1" t="str">
        <f>IF($U$8="Y",'Population Definitions'!$B$5,"...")</f>
        <v>...</v>
      </c>
      <c r="B122" s="4" t="str">
        <f>IF($U$8="Y","---&gt;","...")</f>
        <v>...</v>
      </c>
      <c r="C122" s="1" t="str">
        <f>IF($U$8="Y",'Population Definitions'!$B$21,"...")</f>
        <v>...</v>
      </c>
      <c r="E122" s="2"/>
      <c r="F122" s="3"/>
      <c r="G122" s="2"/>
      <c r="H122" s="4" t="str">
        <f>IF($U$8="Y","OR","...")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</row>
    <row r="123" spans="1:100" x14ac:dyDescent="0.35">
      <c r="A123" s="1" t="str">
        <f>IF($V$8="Y",'Population Definitions'!$B$5,"...")</f>
        <v>...</v>
      </c>
      <c r="B123" s="4" t="str">
        <f>IF($V$8="Y","---&gt;","...")</f>
        <v>...</v>
      </c>
      <c r="C123" s="1" t="str">
        <f>IF($V$8="Y",'Population Definitions'!$B$22,"...")</f>
        <v>...</v>
      </c>
      <c r="E123" s="2"/>
      <c r="F123" s="3"/>
      <c r="G123" s="2"/>
      <c r="H123" s="4" t="str">
        <f>IF($V$8="Y","OR","...")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</row>
    <row r="124" spans="1:100" x14ac:dyDescent="0.35">
      <c r="A124" s="1" t="str">
        <f>IF($W$8="Y",'Population Definitions'!$B$5,"...")</f>
        <v>...</v>
      </c>
      <c r="B124" s="4" t="str">
        <f>IF($W$8="Y","---&gt;","...")</f>
        <v>...</v>
      </c>
      <c r="C124" s="1" t="str">
        <f>IF($W$8="Y",'Population Definitions'!$B$23,"...")</f>
        <v>...</v>
      </c>
      <c r="E124" s="2"/>
      <c r="F124" s="3"/>
      <c r="G124" s="2"/>
      <c r="H124" s="4" t="str">
        <f>IF($W$8="Y","OR","...")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</row>
    <row r="125" spans="1:100" x14ac:dyDescent="0.35">
      <c r="A125" s="1" t="str">
        <f>IF($X$8="Y",'Population Definitions'!$B$5,"...")</f>
        <v>...</v>
      </c>
      <c r="B125" s="4" t="str">
        <f>IF($X$8="Y","---&gt;","...")</f>
        <v>...</v>
      </c>
      <c r="C125" s="1" t="str">
        <f>IF($X$8="Y",'Population Definitions'!$B$24,"...")</f>
        <v>...</v>
      </c>
      <c r="E125" s="2"/>
      <c r="F125" s="3"/>
      <c r="G125" s="2"/>
      <c r="H125" s="4" t="str">
        <f>IF($X$8="Y","OR","...")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</row>
    <row r="126" spans="1:100" x14ac:dyDescent="0.35">
      <c r="A126" s="1" t="str">
        <f>IF($Y$8="Y",'Population Definitions'!$B$5,"...")</f>
        <v>...</v>
      </c>
      <c r="B126" s="4" t="str">
        <f>IF($Y$8="Y","---&gt;","...")</f>
        <v>...</v>
      </c>
      <c r="C126" s="1" t="str">
        <f>IF($Y$8="Y",'Population Definitions'!$B$25,"...")</f>
        <v>...</v>
      </c>
      <c r="E126" s="2"/>
      <c r="F126" s="3"/>
      <c r="G126" s="2"/>
      <c r="H126" s="4" t="str">
        <f>IF($Y$8="Y","OR","...")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</row>
    <row r="127" spans="1:100" x14ac:dyDescent="0.35">
      <c r="A127" s="1" t="str">
        <f>IF($B$9="Y",'Population Definitions'!$B$6,"...")</f>
        <v>...</v>
      </c>
      <c r="B127" s="4" t="str">
        <f>IF($B$9="Y","---&gt;","...")</f>
        <v>...</v>
      </c>
      <c r="C127" s="1" t="str">
        <f>IF($B$9="Y",'Population Definitions'!$B$2,"...")</f>
        <v>...</v>
      </c>
      <c r="E127" s="2"/>
      <c r="F127" s="3"/>
      <c r="G127" s="2"/>
      <c r="H127" s="4" t="str">
        <f>IF($B$9="Y","OR","...")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</row>
    <row r="128" spans="1:100" x14ac:dyDescent="0.35">
      <c r="A128" s="1" t="str">
        <f>IF($C$9="Y",'Population Definitions'!$B$6,"...")</f>
        <v>...</v>
      </c>
      <c r="B128" s="4" t="str">
        <f>IF($C$9="Y","---&gt;","...")</f>
        <v>...</v>
      </c>
      <c r="C128" s="1" t="str">
        <f>IF($C$9="Y",'Population Definitions'!$B$3,"...")</f>
        <v>...</v>
      </c>
      <c r="E128" s="2"/>
      <c r="F128" s="3"/>
      <c r="G128" s="2"/>
      <c r="H128" s="4" t="str">
        <f>IF($C$9="Y","OR","...")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</row>
    <row r="129" spans="1:100" x14ac:dyDescent="0.35">
      <c r="A129" s="1" t="str">
        <f>IF($D$9="Y",'Population Definitions'!$B$6,"...")</f>
        <v>...</v>
      </c>
      <c r="B129" s="4" t="str">
        <f>IF($D$9="Y","---&gt;","...")</f>
        <v>...</v>
      </c>
      <c r="C129" s="1" t="str">
        <f>IF($D$9="Y",'Population Definitions'!$B$4,"...")</f>
        <v>...</v>
      </c>
      <c r="E129" s="2"/>
      <c r="F129" s="3"/>
      <c r="G129" s="2"/>
      <c r="H129" s="4" t="str">
        <f>IF($D$9="Y","OR","...")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</row>
    <row r="130" spans="1:100" x14ac:dyDescent="0.35">
      <c r="A130" s="1" t="str">
        <f>IF($E$9="Y",'Population Definitions'!$B$6,"...")</f>
        <v>...</v>
      </c>
      <c r="B130" s="4" t="str">
        <f>IF($E$9="Y","---&gt;","...")</f>
        <v>...</v>
      </c>
      <c r="C130" s="1" t="str">
        <f>IF($E$9="Y",'Population Definitions'!$B$5,"...")</f>
        <v>...</v>
      </c>
      <c r="E130" s="2"/>
      <c r="F130" s="3"/>
      <c r="G130" s="2"/>
      <c r="H130" s="4" t="str">
        <f>IF($E$9="Y","OR","...")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</row>
    <row r="131" spans="1:100" x14ac:dyDescent="0.35">
      <c r="A131" s="1" t="str">
        <f>IF($F$9="Y",'Population Definitions'!$B$6,"...")</f>
        <v>...</v>
      </c>
      <c r="B131" s="4" t="str">
        <f>IF($F$9="Y","---&gt;","...")</f>
        <v>...</v>
      </c>
      <c r="C131" s="1" t="str">
        <f>IF($F$9="Y",'Population Definitions'!$B$6,"...")</f>
        <v>...</v>
      </c>
      <c r="E131" s="2"/>
      <c r="F131" s="3"/>
      <c r="G131" s="2"/>
      <c r="H131" s="4" t="str">
        <f>IF($F$9="Y","OR","...")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</row>
    <row r="132" spans="1:100" x14ac:dyDescent="0.35">
      <c r="A132" s="1" t="str">
        <f>IF($G$9="Y",'Population Definitions'!$B$6,"...")</f>
        <v>atsi_15-64_F</v>
      </c>
      <c r="B132" s="4" t="str">
        <f>IF($G$9="Y","---&gt;","...")</f>
        <v>---&gt;</v>
      </c>
      <c r="C132" s="1" t="str">
        <f>IF($G$9="Y",'Population Definitions'!$B$7,"...")</f>
        <v>atsi_65+_F</v>
      </c>
      <c r="E132" s="2" t="s">
        <v>49</v>
      </c>
      <c r="F132" s="3"/>
      <c r="G132" s="2"/>
      <c r="H132" s="4" t="str">
        <f>IF($G$9="Y","OR","...")</f>
        <v>OR</v>
      </c>
      <c r="I132">
        <v>6.5828799031793618E-3</v>
      </c>
      <c r="J132">
        <v>6.4811728593677119E-3</v>
      </c>
      <c r="K132">
        <v>6.6894358218289847E-3</v>
      </c>
      <c r="L132">
        <v>6.3546051180539635E-3</v>
      </c>
      <c r="M132">
        <v>6.3268767361165899E-3</v>
      </c>
      <c r="N132">
        <v>6.6961339937161449E-3</v>
      </c>
      <c r="O132">
        <v>6.3574888452125619E-3</v>
      </c>
      <c r="P132">
        <v>6.346916793600982E-3</v>
      </c>
      <c r="Q132">
        <v>6.3026067832096418E-3</v>
      </c>
      <c r="R132">
        <v>6.4635228051188017E-3</v>
      </c>
      <c r="S132">
        <v>6.1890542534369019E-3</v>
      </c>
      <c r="T132">
        <v>6.0511606064691621E-3</v>
      </c>
      <c r="U132">
        <v>6.1976095408142621E-3</v>
      </c>
      <c r="V132">
        <v>6.0264953593009941E-3</v>
      </c>
      <c r="W132">
        <v>6.2036242621734163E-3</v>
      </c>
      <c r="X132">
        <v>6.0848148272756248E-3</v>
      </c>
      <c r="Y132">
        <v>6.1428561910848115E-3</v>
      </c>
      <c r="Z132">
        <v>6.140056682725336E-3</v>
      </c>
      <c r="AA132">
        <v>5.9514776825824777E-3</v>
      </c>
      <c r="AB132">
        <v>5.9500270553739494E-3</v>
      </c>
      <c r="AC132">
        <v>5.9271425198873656E-3</v>
      </c>
      <c r="AD132">
        <v>5.8705639771503915E-3</v>
      </c>
      <c r="AE132">
        <v>6.0323483152095085E-3</v>
      </c>
      <c r="AF132">
        <v>5.9045270156380496E-3</v>
      </c>
      <c r="AG132">
        <v>5.8623158467710976E-3</v>
      </c>
      <c r="AH132">
        <v>5.7325618531814436E-3</v>
      </c>
      <c r="AI132">
        <v>5.7916682462013725E-3</v>
      </c>
      <c r="AJ132">
        <v>5.8194395008523796E-3</v>
      </c>
      <c r="AK132">
        <v>5.9603565167676417E-3</v>
      </c>
      <c r="AL132">
        <v>5.681258850411354E-3</v>
      </c>
      <c r="AM132">
        <v>5.6812251125397863E-3</v>
      </c>
      <c r="AN132">
        <v>8.7109435145207442E-3</v>
      </c>
      <c r="AO132">
        <v>8.3597400185476175E-3</v>
      </c>
      <c r="AP132">
        <v>8.9152607379656343E-3</v>
      </c>
      <c r="AQ132">
        <v>9.8254207777913136E-3</v>
      </c>
      <c r="AR132">
        <v>1.0196581659740189E-2</v>
      </c>
      <c r="AS132">
        <v>1.0406065180565062E-2</v>
      </c>
      <c r="AT132">
        <v>1.0943044212574677E-2</v>
      </c>
      <c r="AU132">
        <v>1.0946448803227999E-2</v>
      </c>
      <c r="AV132">
        <v>1.1207197643321542E-2</v>
      </c>
      <c r="AW132">
        <v>1.1109962313656123E-2</v>
      </c>
      <c r="AX132">
        <v>1.121393189177089E-2</v>
      </c>
      <c r="AY132">
        <v>1.128785194435712E-2</v>
      </c>
      <c r="AZ132">
        <v>1.158916792995696E-2</v>
      </c>
      <c r="BA132">
        <v>1.1956787503472337E-2</v>
      </c>
      <c r="BB132">
        <v>1.2932320164559382E-2</v>
      </c>
      <c r="BC132">
        <v>1.2812808225250443E-2</v>
      </c>
      <c r="BD132">
        <v>1.3030192090625241E-2</v>
      </c>
      <c r="BE132">
        <v>1.2841411146730323E-2</v>
      </c>
      <c r="BF132">
        <v>1.2914400814003293E-2</v>
      </c>
      <c r="BG132">
        <v>1.2917145101747832E-2</v>
      </c>
      <c r="BH132">
        <v>1.3275121270684562E-2</v>
      </c>
      <c r="BI132">
        <v>1.3350005398849099E-2</v>
      </c>
      <c r="BJ132">
        <v>1.3438462002987464E-2</v>
      </c>
      <c r="BK132">
        <v>1.3532441473676524E-2</v>
      </c>
      <c r="BL132">
        <v>1.364384859648334E-2</v>
      </c>
      <c r="BM132">
        <v>1.3738523720039838E-2</v>
      </c>
      <c r="BN132">
        <v>1.385856975062941E-2</v>
      </c>
      <c r="BO132">
        <v>1.4001138474829726E-2</v>
      </c>
      <c r="BP132">
        <v>1.4157154260623025E-2</v>
      </c>
      <c r="BQ132">
        <v>1.4326009060282448E-2</v>
      </c>
      <c r="BR132">
        <v>1.449764432955287E-2</v>
      </c>
      <c r="BS132">
        <v>1.4668024847612772E-2</v>
      </c>
      <c r="BT132">
        <v>1.482771380604447E-2</v>
      </c>
      <c r="BU132">
        <v>1.4970700863647036E-2</v>
      </c>
      <c r="BV132">
        <v>1.5102607145646471E-2</v>
      </c>
      <c r="BW132">
        <v>1.5210060671270696E-2</v>
      </c>
      <c r="BX132">
        <v>1.5301592826568653E-2</v>
      </c>
      <c r="BY132">
        <v>1.5375051912279246E-2</v>
      </c>
      <c r="BZ132">
        <v>1.5441262035010313E-2</v>
      </c>
      <c r="CA132">
        <v>1.5495750746856036E-2</v>
      </c>
      <c r="CB132">
        <v>1.5543577191402263E-2</v>
      </c>
      <c r="CC132">
        <v>1.5583902713031814E-2</v>
      </c>
      <c r="CD132">
        <v>1.5613756549810771E-2</v>
      </c>
      <c r="CE132">
        <v>1.5634945963588741E-2</v>
      </c>
      <c r="CF132">
        <v>1.564115355704588E-2</v>
      </c>
      <c r="CG132">
        <v>1.5640983143927256E-2</v>
      </c>
      <c r="CH132">
        <v>1.5642046662094573E-2</v>
      </c>
      <c r="CI132">
        <v>1.5640549323877827E-2</v>
      </c>
      <c r="CJ132">
        <v>1.5641400938766977E-2</v>
      </c>
      <c r="CK132">
        <v>1.5641139735368417E-2</v>
      </c>
      <c r="CL132">
        <v>1.5653306210079893E-2</v>
      </c>
      <c r="CM132">
        <v>1.5677314788899898E-2</v>
      </c>
      <c r="CN132">
        <v>1.5710526998547202E-2</v>
      </c>
      <c r="CO132">
        <v>1.5748332173971164E-2</v>
      </c>
      <c r="CP132">
        <v>1.5779705261721143E-2</v>
      </c>
      <c r="CQ132">
        <v>1.5816409242655427E-2</v>
      </c>
      <c r="CR132">
        <v>1.586316651964461E-2</v>
      </c>
      <c r="CS132">
        <v>1.5909345298625737E-2</v>
      </c>
      <c r="CT132">
        <v>1.5954332802140092E-2</v>
      </c>
      <c r="CU132">
        <v>1.5998994762656878E-2</v>
      </c>
      <c r="CV132" s="2"/>
    </row>
    <row r="133" spans="1:100" x14ac:dyDescent="0.35">
      <c r="A133" s="1" t="str">
        <f>IF($H$9="Y",'Population Definitions'!$B$6,"...")</f>
        <v>...</v>
      </c>
      <c r="B133" s="4" t="str">
        <f>IF($H$9="Y","---&gt;","...")</f>
        <v>...</v>
      </c>
      <c r="C133" s="1" t="str">
        <f>IF($H$9="Y",'Population Definitions'!$B$8,"...")</f>
        <v>...</v>
      </c>
      <c r="E133" s="2"/>
      <c r="F133" s="3"/>
      <c r="G133" s="2"/>
      <c r="H133" s="4" t="str">
        <f>IF($H$9="Y","OR","...")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</row>
    <row r="134" spans="1:100" x14ac:dyDescent="0.35">
      <c r="A134" s="1" t="str">
        <f>IF($I$9="Y",'Population Definitions'!$B$6,"...")</f>
        <v>...</v>
      </c>
      <c r="B134" s="4" t="str">
        <f>IF($I$9="Y","---&gt;","...")</f>
        <v>...</v>
      </c>
      <c r="C134" s="1" t="str">
        <f>IF($I$9="Y",'Population Definitions'!$B$9,"...")</f>
        <v>...</v>
      </c>
      <c r="E134" s="2"/>
      <c r="F134" s="3"/>
      <c r="G134" s="2"/>
      <c r="H134" s="4" t="str">
        <f>IF($I$9="Y","OR","...")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</row>
    <row r="135" spans="1:100" x14ac:dyDescent="0.35">
      <c r="A135" s="1" t="str">
        <f>IF($J$9="Y",'Population Definitions'!$B$6,"...")</f>
        <v>...</v>
      </c>
      <c r="B135" s="4" t="str">
        <f>IF($J$9="Y","---&gt;","...")</f>
        <v>...</v>
      </c>
      <c r="C135" s="1" t="str">
        <f>IF($J$9="Y",'Population Definitions'!$B$10,"...")</f>
        <v>...</v>
      </c>
      <c r="E135" s="2"/>
      <c r="F135" s="3"/>
      <c r="G135" s="2"/>
      <c r="H135" s="4" t="str">
        <f>IF($J$9="Y","OR","...")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</row>
    <row r="136" spans="1:100" x14ac:dyDescent="0.35">
      <c r="A136" s="1" t="str">
        <f>IF($K$9="Y",'Population Definitions'!$B$6,"...")</f>
        <v>...</v>
      </c>
      <c r="B136" s="4" t="str">
        <f>IF($K$9="Y","---&gt;","...")</f>
        <v>...</v>
      </c>
      <c r="C136" s="1" t="str">
        <f>IF($K$9="Y",'Population Definitions'!$B$11,"...")</f>
        <v>...</v>
      </c>
      <c r="E136" s="2"/>
      <c r="F136" s="3"/>
      <c r="G136" s="2"/>
      <c r="H136" s="4" t="str">
        <f>IF($K$9="Y","OR","...")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</row>
    <row r="137" spans="1:100" x14ac:dyDescent="0.35">
      <c r="A137" s="1" t="str">
        <f>IF($L$9="Y",'Population Definitions'!$B$6,"...")</f>
        <v>...</v>
      </c>
      <c r="B137" s="4" t="str">
        <f>IF($L$9="Y","---&gt;","...")</f>
        <v>...</v>
      </c>
      <c r="C137" s="1" t="str">
        <f>IF($L$9="Y",'Population Definitions'!$B$12,"...")</f>
        <v>...</v>
      </c>
      <c r="E137" s="2"/>
      <c r="F137" s="3"/>
      <c r="G137" s="2"/>
      <c r="H137" s="4" t="str">
        <f>IF($L$9="Y","OR","...")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</row>
    <row r="138" spans="1:100" x14ac:dyDescent="0.35">
      <c r="A138" s="1" t="str">
        <f>IF($M$9="Y",'Population Definitions'!$B$6,"...")</f>
        <v>...</v>
      </c>
      <c r="B138" s="4" t="str">
        <f>IF($M$9="Y","---&gt;","...")</f>
        <v>...</v>
      </c>
      <c r="C138" s="1" t="str">
        <f>IF($M$9="Y",'Population Definitions'!$B$13,"...")</f>
        <v>...</v>
      </c>
      <c r="E138" s="2"/>
      <c r="F138" s="3"/>
      <c r="G138" s="2"/>
      <c r="H138" s="4" t="str">
        <f>IF($M$9="Y","OR","...")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</row>
    <row r="139" spans="1:100" x14ac:dyDescent="0.35">
      <c r="A139" s="1" t="str">
        <f>IF($N$9="Y",'Population Definitions'!$B$6,"...")</f>
        <v>...</v>
      </c>
      <c r="B139" s="4" t="str">
        <f>IF($N$9="Y","---&gt;","...")</f>
        <v>...</v>
      </c>
      <c r="C139" s="1" t="str">
        <f>IF($N$9="Y",'Population Definitions'!$B$14,"...")</f>
        <v>...</v>
      </c>
      <c r="E139" s="2"/>
      <c r="F139" s="3"/>
      <c r="G139" s="2"/>
      <c r="H139" s="4" t="str">
        <f>IF($N$9="Y","OR","...")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</row>
    <row r="140" spans="1:100" x14ac:dyDescent="0.35">
      <c r="A140" s="1" t="str">
        <f>IF($O$9="Y",'Population Definitions'!$B$6,"...")</f>
        <v>...</v>
      </c>
      <c r="B140" s="4" t="str">
        <f>IF($O$9="Y","---&gt;","...")</f>
        <v>...</v>
      </c>
      <c r="C140" s="1" t="str">
        <f>IF($O$9="Y",'Population Definitions'!$B$15,"...")</f>
        <v>...</v>
      </c>
      <c r="E140" s="2"/>
      <c r="F140" s="3"/>
      <c r="G140" s="2"/>
      <c r="H140" s="4" t="str">
        <f>IF($O$9="Y","OR","...")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</row>
    <row r="141" spans="1:100" x14ac:dyDescent="0.35">
      <c r="A141" s="1" t="str">
        <f>IF($P$9="Y",'Population Definitions'!$B$6,"...")</f>
        <v>...</v>
      </c>
      <c r="B141" s="4" t="str">
        <f>IF($P$9="Y","---&gt;","...")</f>
        <v>...</v>
      </c>
      <c r="C141" s="1" t="str">
        <f>IF($P$9="Y",'Population Definitions'!$B$16,"...")</f>
        <v>...</v>
      </c>
      <c r="E141" s="2"/>
      <c r="F141" s="3"/>
      <c r="G141" s="2"/>
      <c r="H141" s="4" t="str">
        <f>IF($P$9="Y","OR","...")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</row>
    <row r="142" spans="1:100" x14ac:dyDescent="0.35">
      <c r="A142" s="1" t="str">
        <f>IF($Q$9="Y",'Population Definitions'!$B$6,"...")</f>
        <v>...</v>
      </c>
      <c r="B142" s="4" t="str">
        <f>IF($Q$9="Y","---&gt;","...")</f>
        <v>...</v>
      </c>
      <c r="C142" s="1" t="str">
        <f>IF($Q$9="Y",'Population Definitions'!$B$17,"...")</f>
        <v>...</v>
      </c>
      <c r="E142" s="2"/>
      <c r="F142" s="3"/>
      <c r="G142" s="2"/>
      <c r="H142" s="4" t="str">
        <f>IF($Q$9="Y","OR","...")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</row>
    <row r="143" spans="1:100" x14ac:dyDescent="0.35">
      <c r="A143" s="1" t="str">
        <f>IF($R$9="Y",'Population Definitions'!$B$6,"...")</f>
        <v>...</v>
      </c>
      <c r="B143" s="4" t="str">
        <f>IF($R$9="Y","---&gt;","...")</f>
        <v>...</v>
      </c>
      <c r="C143" s="1" t="str">
        <f>IF($R$9="Y",'Population Definitions'!$B$18,"...")</f>
        <v>...</v>
      </c>
      <c r="E143" s="2"/>
      <c r="F143" s="3"/>
      <c r="G143" s="2"/>
      <c r="H143" s="4" t="str">
        <f>IF($R$9="Y","OR","...")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</row>
    <row r="144" spans="1:100" x14ac:dyDescent="0.35">
      <c r="A144" s="1" t="str">
        <f>IF($S$9="Y",'Population Definitions'!$B$6,"...")</f>
        <v>...</v>
      </c>
      <c r="B144" s="4" t="str">
        <f>IF($S$9="Y","---&gt;","...")</f>
        <v>...</v>
      </c>
      <c r="C144" s="1" t="str">
        <f>IF($S$9="Y",'Population Definitions'!$B$19,"...")</f>
        <v>...</v>
      </c>
      <c r="E144" s="2"/>
      <c r="F144" s="3"/>
      <c r="G144" s="2"/>
      <c r="H144" s="4" t="str">
        <f>IF($S$9="Y","OR","...")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</row>
    <row r="145" spans="1:100" x14ac:dyDescent="0.35">
      <c r="A145" s="1" t="str">
        <f>IF($T$9="Y",'Population Definitions'!$B$6,"...")</f>
        <v>...</v>
      </c>
      <c r="B145" s="4" t="str">
        <f>IF($T$9="Y","---&gt;","...")</f>
        <v>...</v>
      </c>
      <c r="C145" s="1" t="str">
        <f>IF($T$9="Y",'Population Definitions'!$B$20,"...")</f>
        <v>...</v>
      </c>
      <c r="E145" s="2"/>
      <c r="F145" s="3"/>
      <c r="G145" s="2"/>
      <c r="H145" s="4" t="str">
        <f>IF($T$9="Y","OR","...")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</row>
    <row r="146" spans="1:100" x14ac:dyDescent="0.35">
      <c r="A146" s="1" t="str">
        <f>IF($U$9="Y",'Population Definitions'!$B$6,"...")</f>
        <v>...</v>
      </c>
      <c r="B146" s="4" t="str">
        <f>IF($U$9="Y","---&gt;","...")</f>
        <v>...</v>
      </c>
      <c r="C146" s="1" t="str">
        <f>IF($U$9="Y",'Population Definitions'!$B$21,"...")</f>
        <v>...</v>
      </c>
      <c r="E146" s="2"/>
      <c r="F146" s="3"/>
      <c r="G146" s="2"/>
      <c r="H146" s="4" t="str">
        <f>IF($U$9="Y","OR","...")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</row>
    <row r="147" spans="1:100" x14ac:dyDescent="0.35">
      <c r="A147" s="1" t="str">
        <f>IF($V$9="Y",'Population Definitions'!$B$6,"...")</f>
        <v>...</v>
      </c>
      <c r="B147" s="4" t="str">
        <f>IF($V$9="Y","---&gt;","...")</f>
        <v>...</v>
      </c>
      <c r="C147" s="1" t="str">
        <f>IF($V$9="Y",'Population Definitions'!$B$22,"...")</f>
        <v>...</v>
      </c>
      <c r="E147" s="2"/>
      <c r="F147" s="3"/>
      <c r="G147" s="2"/>
      <c r="H147" s="4" t="str">
        <f>IF($V$9="Y","OR","...")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</row>
    <row r="148" spans="1:100" x14ac:dyDescent="0.35">
      <c r="A148" s="1" t="str">
        <f>IF($W$9="Y",'Population Definitions'!$B$6,"...")</f>
        <v>...</v>
      </c>
      <c r="B148" s="4" t="str">
        <f>IF($W$9="Y","---&gt;","...")</f>
        <v>...</v>
      </c>
      <c r="C148" s="1" t="str">
        <f>IF($W$9="Y",'Population Definitions'!$B$23,"...")</f>
        <v>...</v>
      </c>
      <c r="E148" s="2"/>
      <c r="F148" s="3"/>
      <c r="G148" s="2"/>
      <c r="H148" s="4" t="str">
        <f>IF($W$9="Y","OR","...")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</row>
    <row r="149" spans="1:100" x14ac:dyDescent="0.35">
      <c r="A149" s="1" t="str">
        <f>IF($X$9="Y",'Population Definitions'!$B$6,"...")</f>
        <v>...</v>
      </c>
      <c r="B149" s="4" t="str">
        <f>IF($X$9="Y","---&gt;","...")</f>
        <v>...</v>
      </c>
      <c r="C149" s="1" t="str">
        <f>IF($X$9="Y",'Population Definitions'!$B$24,"...")</f>
        <v>...</v>
      </c>
      <c r="E149" s="2"/>
      <c r="F149" s="3"/>
      <c r="G149" s="2"/>
      <c r="H149" s="4" t="str">
        <f>IF($X$9="Y","OR","...")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</row>
    <row r="150" spans="1:100" x14ac:dyDescent="0.35">
      <c r="A150" s="1" t="str">
        <f>IF($Y$9="Y",'Population Definitions'!$B$6,"...")</f>
        <v>...</v>
      </c>
      <c r="B150" s="4" t="str">
        <f>IF($Y$9="Y","---&gt;","...")</f>
        <v>...</v>
      </c>
      <c r="C150" s="1" t="str">
        <f>IF($Y$9="Y",'Population Definitions'!$B$25,"...")</f>
        <v>...</v>
      </c>
      <c r="E150" s="2"/>
      <c r="F150" s="3"/>
      <c r="G150" s="2"/>
      <c r="H150" s="4" t="str">
        <f>IF($Y$9="Y","OR","...")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</row>
    <row r="151" spans="1:100" x14ac:dyDescent="0.35">
      <c r="A151" s="1" t="str">
        <f>IF($B$10="Y",'Population Definitions'!$B$7,"...")</f>
        <v>...</v>
      </c>
      <c r="B151" s="4" t="str">
        <f>IF($B$10="Y","---&gt;","...")</f>
        <v>...</v>
      </c>
      <c r="C151" s="1" t="str">
        <f>IF($B$10="Y",'Population Definitions'!$B$2,"...")</f>
        <v>...</v>
      </c>
      <c r="E151" s="2"/>
      <c r="F151" s="3"/>
      <c r="G151" s="2"/>
      <c r="H151" s="4" t="str">
        <f>IF($B$10="Y","OR","...")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</row>
    <row r="152" spans="1:100" x14ac:dyDescent="0.35">
      <c r="A152" s="1" t="str">
        <f>IF($C$10="Y",'Population Definitions'!$B$7,"...")</f>
        <v>...</v>
      </c>
      <c r="B152" s="4" t="str">
        <f>IF($C$10="Y","---&gt;","...")</f>
        <v>...</v>
      </c>
      <c r="C152" s="1" t="str">
        <f>IF($C$10="Y",'Population Definitions'!$B$3,"...")</f>
        <v>...</v>
      </c>
      <c r="E152" s="2"/>
      <c r="F152" s="3"/>
      <c r="G152" s="2"/>
      <c r="H152" s="4" t="str">
        <f>IF($C$10="Y","OR","...")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</row>
    <row r="153" spans="1:100" x14ac:dyDescent="0.35">
      <c r="A153" s="1" t="str">
        <f>IF($D$10="Y",'Population Definitions'!$B$7,"...")</f>
        <v>...</v>
      </c>
      <c r="B153" s="4" t="str">
        <f>IF($D$10="Y","---&gt;","...")</f>
        <v>...</v>
      </c>
      <c r="C153" s="1" t="str">
        <f>IF($D$10="Y",'Population Definitions'!$B$4,"...")</f>
        <v>...</v>
      </c>
      <c r="E153" s="2"/>
      <c r="F153" s="3"/>
      <c r="G153" s="2"/>
      <c r="H153" s="4" t="str">
        <f>IF($D$10="Y","OR","...")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</row>
    <row r="154" spans="1:100" x14ac:dyDescent="0.35">
      <c r="A154" s="1" t="str">
        <f>IF($E$10="Y",'Population Definitions'!$B$7,"...")</f>
        <v>...</v>
      </c>
      <c r="B154" s="4" t="str">
        <f>IF($E$10="Y","---&gt;","...")</f>
        <v>...</v>
      </c>
      <c r="C154" s="1" t="str">
        <f>IF($E$10="Y",'Population Definitions'!$B$5,"...")</f>
        <v>...</v>
      </c>
      <c r="E154" s="2"/>
      <c r="F154" s="3"/>
      <c r="G154" s="2"/>
      <c r="H154" s="4" t="str">
        <f>IF($E$10="Y","OR","...")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</row>
    <row r="155" spans="1:100" x14ac:dyDescent="0.35">
      <c r="A155" s="1" t="str">
        <f>IF($F$10="Y",'Population Definitions'!$B$7,"...")</f>
        <v>...</v>
      </c>
      <c r="B155" s="4" t="str">
        <f>IF($F$10="Y","---&gt;","...")</f>
        <v>...</v>
      </c>
      <c r="C155" s="1" t="str">
        <f>IF($F$10="Y",'Population Definitions'!$B$6,"...")</f>
        <v>...</v>
      </c>
      <c r="E155" s="2"/>
      <c r="F155" s="3"/>
      <c r="G155" s="2"/>
      <c r="H155" s="4" t="str">
        <f>IF($F$10="Y","OR","...")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</row>
    <row r="156" spans="1:100" x14ac:dyDescent="0.35">
      <c r="A156" s="1" t="str">
        <f>IF($G$10="Y",'Population Definitions'!$B$7,"...")</f>
        <v>...</v>
      </c>
      <c r="B156" s="4" t="str">
        <f>IF($G$10="Y","---&gt;","...")</f>
        <v>...</v>
      </c>
      <c r="C156" s="1" t="str">
        <f>IF($G$10="Y",'Population Definitions'!$B$7,"...")</f>
        <v>...</v>
      </c>
      <c r="E156" s="2"/>
      <c r="F156" s="3"/>
      <c r="G156" s="2"/>
      <c r="H156" s="4" t="str">
        <f>IF($G$10="Y","OR","...")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</row>
    <row r="157" spans="1:100" x14ac:dyDescent="0.35">
      <c r="A157" s="1" t="str">
        <f>IF($H$10="Y",'Population Definitions'!$B$7,"...")</f>
        <v>...</v>
      </c>
      <c r="B157" s="4" t="str">
        <f>IF($H$10="Y","---&gt;","...")</f>
        <v>...</v>
      </c>
      <c r="C157" s="1" t="str">
        <f>IF($H$10="Y",'Population Definitions'!$B$8,"...")</f>
        <v>...</v>
      </c>
      <c r="E157" s="2"/>
      <c r="F157" s="3"/>
      <c r="G157" s="2"/>
      <c r="H157" s="4" t="str">
        <f>IF($H$10="Y","OR","...")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</row>
    <row r="158" spans="1:100" x14ac:dyDescent="0.35">
      <c r="A158" s="1" t="str">
        <f>IF($I$10="Y",'Population Definitions'!$B$7,"...")</f>
        <v>...</v>
      </c>
      <c r="B158" s="4" t="str">
        <f>IF($I$10="Y","---&gt;","...")</f>
        <v>...</v>
      </c>
      <c r="C158" s="1" t="str">
        <f>IF($I$10="Y",'Population Definitions'!$B$9,"...")</f>
        <v>...</v>
      </c>
      <c r="E158" s="2"/>
      <c r="F158" s="3"/>
      <c r="G158" s="2"/>
      <c r="H158" s="4" t="str">
        <f>IF($I$10="Y","OR","...")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</row>
    <row r="159" spans="1:100" x14ac:dyDescent="0.35">
      <c r="A159" s="1" t="str">
        <f>IF($J$10="Y",'Population Definitions'!$B$7,"...")</f>
        <v>...</v>
      </c>
      <c r="B159" s="4" t="str">
        <f>IF($J$10="Y","---&gt;","...")</f>
        <v>...</v>
      </c>
      <c r="C159" s="1" t="str">
        <f>IF($J$10="Y",'Population Definitions'!$B$10,"...")</f>
        <v>...</v>
      </c>
      <c r="E159" s="2"/>
      <c r="F159" s="3"/>
      <c r="G159" s="2"/>
      <c r="H159" s="4" t="str">
        <f>IF($J$10="Y","OR","...")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</row>
    <row r="160" spans="1:100" x14ac:dyDescent="0.35">
      <c r="A160" s="1" t="str">
        <f>IF($K$10="Y",'Population Definitions'!$B$7,"...")</f>
        <v>...</v>
      </c>
      <c r="B160" s="4" t="str">
        <f>IF($K$10="Y","---&gt;","...")</f>
        <v>...</v>
      </c>
      <c r="C160" s="1" t="str">
        <f>IF($K$10="Y",'Population Definitions'!$B$11,"...")</f>
        <v>...</v>
      </c>
      <c r="E160" s="2"/>
      <c r="F160" s="3"/>
      <c r="G160" s="2"/>
      <c r="H160" s="4" t="str">
        <f>IF($K$10="Y","OR","...")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</row>
    <row r="161" spans="1:100" x14ac:dyDescent="0.35">
      <c r="A161" s="1" t="str">
        <f>IF($L$10="Y",'Population Definitions'!$B$7,"...")</f>
        <v>...</v>
      </c>
      <c r="B161" s="4" t="str">
        <f>IF($L$10="Y","---&gt;","...")</f>
        <v>...</v>
      </c>
      <c r="C161" s="1" t="str">
        <f>IF($L$10="Y",'Population Definitions'!$B$12,"...")</f>
        <v>...</v>
      </c>
      <c r="E161" s="2"/>
      <c r="F161" s="3"/>
      <c r="G161" s="2"/>
      <c r="H161" s="4" t="str">
        <f>IF($L$10="Y","OR","...")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</row>
    <row r="162" spans="1:100" x14ac:dyDescent="0.35">
      <c r="A162" s="1" t="str">
        <f>IF($M$10="Y",'Population Definitions'!$B$7,"...")</f>
        <v>...</v>
      </c>
      <c r="B162" s="4" t="str">
        <f>IF($M$10="Y","---&gt;","...")</f>
        <v>...</v>
      </c>
      <c r="C162" s="1" t="str">
        <f>IF($M$10="Y",'Population Definitions'!$B$13,"...")</f>
        <v>...</v>
      </c>
      <c r="E162" s="2"/>
      <c r="F162" s="3"/>
      <c r="G162" s="2"/>
      <c r="H162" s="4" t="str">
        <f>IF($M$10="Y","OR","...")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</row>
    <row r="163" spans="1:100" x14ac:dyDescent="0.35">
      <c r="A163" s="1" t="str">
        <f>IF($N$10="Y",'Population Definitions'!$B$7,"...")</f>
        <v>...</v>
      </c>
      <c r="B163" s="4" t="str">
        <f>IF($N$10="Y","---&gt;","...")</f>
        <v>...</v>
      </c>
      <c r="C163" s="1" t="str">
        <f>IF($N$10="Y",'Population Definitions'!$B$14,"...")</f>
        <v>...</v>
      </c>
      <c r="E163" s="2"/>
      <c r="F163" s="3"/>
      <c r="G163" s="2"/>
      <c r="H163" s="4" t="str">
        <f>IF($N$10="Y","OR","...")</f>
        <v>...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</row>
    <row r="164" spans="1:100" x14ac:dyDescent="0.35">
      <c r="A164" s="1" t="str">
        <f>IF($O$10="Y",'Population Definitions'!$B$7,"...")</f>
        <v>...</v>
      </c>
      <c r="B164" s="4" t="str">
        <f>IF($O$10="Y","---&gt;","...")</f>
        <v>...</v>
      </c>
      <c r="C164" s="1" t="str">
        <f>IF($O$10="Y",'Population Definitions'!$B$15,"...")</f>
        <v>...</v>
      </c>
      <c r="E164" s="2"/>
      <c r="F164" s="3"/>
      <c r="G164" s="2"/>
      <c r="H164" s="4" t="str">
        <f>IF($O$10="Y","OR","...")</f>
        <v>...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</row>
    <row r="165" spans="1:100" x14ac:dyDescent="0.35">
      <c r="A165" s="1" t="str">
        <f>IF($P$10="Y",'Population Definitions'!$B$7,"...")</f>
        <v>...</v>
      </c>
      <c r="B165" s="4" t="str">
        <f>IF($P$10="Y","---&gt;","...")</f>
        <v>...</v>
      </c>
      <c r="C165" s="1" t="str">
        <f>IF($P$10="Y",'Population Definitions'!$B$16,"...")</f>
        <v>...</v>
      </c>
      <c r="E165" s="2"/>
      <c r="F165" s="3"/>
      <c r="G165" s="2"/>
      <c r="H165" s="4" t="str">
        <f>IF($P$10="Y","OR","...")</f>
        <v>...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</row>
    <row r="166" spans="1:100" x14ac:dyDescent="0.35">
      <c r="A166" s="1" t="str">
        <f>IF($Q$10="Y",'Population Definitions'!$B$7,"...")</f>
        <v>...</v>
      </c>
      <c r="B166" s="4" t="str">
        <f>IF($Q$10="Y","---&gt;","...")</f>
        <v>...</v>
      </c>
      <c r="C166" s="1" t="str">
        <f>IF($Q$10="Y",'Population Definitions'!$B$17,"...")</f>
        <v>...</v>
      </c>
      <c r="E166" s="2"/>
      <c r="F166" s="3"/>
      <c r="G166" s="2"/>
      <c r="H166" s="4" t="str">
        <f>IF($Q$10="Y","OR","...")</f>
        <v>...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</row>
    <row r="167" spans="1:100" x14ac:dyDescent="0.35">
      <c r="A167" s="1" t="str">
        <f>IF($R$10="Y",'Population Definitions'!$B$7,"...")</f>
        <v>...</v>
      </c>
      <c r="B167" s="4" t="str">
        <f>IF($R$10="Y","---&gt;","...")</f>
        <v>...</v>
      </c>
      <c r="C167" s="1" t="str">
        <f>IF($R$10="Y",'Population Definitions'!$B$18,"...")</f>
        <v>...</v>
      </c>
      <c r="E167" s="2"/>
      <c r="F167" s="3"/>
      <c r="G167" s="2"/>
      <c r="H167" s="4" t="str">
        <f>IF($R$10="Y","OR","...")</f>
        <v>...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</row>
    <row r="168" spans="1:100" x14ac:dyDescent="0.35">
      <c r="A168" s="1" t="str">
        <f>IF($S$10="Y",'Population Definitions'!$B$7,"...")</f>
        <v>...</v>
      </c>
      <c r="B168" s="4" t="str">
        <f>IF($S$10="Y","---&gt;","...")</f>
        <v>...</v>
      </c>
      <c r="C168" s="1" t="str">
        <f>IF($S$10="Y",'Population Definitions'!$B$19,"...")</f>
        <v>...</v>
      </c>
      <c r="E168" s="2"/>
      <c r="F168" s="3"/>
      <c r="G168" s="2"/>
      <c r="H168" s="4" t="str">
        <f>IF($S$10="Y","OR","...")</f>
        <v>...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</row>
    <row r="169" spans="1:100" x14ac:dyDescent="0.35">
      <c r="A169" s="1" t="str">
        <f>IF($T$10="Y",'Population Definitions'!$B$7,"...")</f>
        <v>...</v>
      </c>
      <c r="B169" s="4" t="str">
        <f>IF($T$10="Y","---&gt;","...")</f>
        <v>...</v>
      </c>
      <c r="C169" s="1" t="str">
        <f>IF($T$10="Y",'Population Definitions'!$B$20,"...")</f>
        <v>...</v>
      </c>
      <c r="E169" s="2"/>
      <c r="F169" s="3"/>
      <c r="G169" s="2"/>
      <c r="H169" s="4" t="str">
        <f>IF($T$10="Y","OR","...")</f>
        <v>...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</row>
    <row r="170" spans="1:100" x14ac:dyDescent="0.35">
      <c r="A170" s="1" t="str">
        <f>IF($U$10="Y",'Population Definitions'!$B$7,"...")</f>
        <v>...</v>
      </c>
      <c r="B170" s="4" t="str">
        <f>IF($U$10="Y","---&gt;","...")</f>
        <v>...</v>
      </c>
      <c r="C170" s="1" t="str">
        <f>IF($U$10="Y",'Population Definitions'!$B$21,"...")</f>
        <v>...</v>
      </c>
      <c r="E170" s="2"/>
      <c r="F170" s="3"/>
      <c r="G170" s="2"/>
      <c r="H170" s="4" t="str">
        <f>IF($U$10="Y","OR","...")</f>
        <v>...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</row>
    <row r="171" spans="1:100" x14ac:dyDescent="0.35">
      <c r="A171" s="1" t="str">
        <f>IF($V$10="Y",'Population Definitions'!$B$7,"...")</f>
        <v>...</v>
      </c>
      <c r="B171" s="4" t="str">
        <f>IF($V$10="Y","---&gt;","...")</f>
        <v>...</v>
      </c>
      <c r="C171" s="1" t="str">
        <f>IF($V$10="Y",'Population Definitions'!$B$22,"...")</f>
        <v>...</v>
      </c>
      <c r="E171" s="2"/>
      <c r="F171" s="3"/>
      <c r="G171" s="2"/>
      <c r="H171" s="4" t="str">
        <f>IF($V$10="Y","OR","...")</f>
        <v>...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</row>
    <row r="172" spans="1:100" x14ac:dyDescent="0.35">
      <c r="A172" s="1" t="str">
        <f>IF($W$10="Y",'Population Definitions'!$B$7,"...")</f>
        <v>...</v>
      </c>
      <c r="B172" s="4" t="str">
        <f>IF($W$10="Y","---&gt;","...")</f>
        <v>...</v>
      </c>
      <c r="C172" s="1" t="str">
        <f>IF($W$10="Y",'Population Definitions'!$B$23,"...")</f>
        <v>...</v>
      </c>
      <c r="E172" s="2"/>
      <c r="F172" s="3"/>
      <c r="G172" s="2"/>
      <c r="H172" s="4" t="str">
        <f>IF($W$10="Y","OR","...")</f>
        <v>...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</row>
    <row r="173" spans="1:100" x14ac:dyDescent="0.35">
      <c r="A173" s="1" t="str">
        <f>IF($X$10="Y",'Population Definitions'!$B$7,"...")</f>
        <v>...</v>
      </c>
      <c r="B173" s="4" t="str">
        <f>IF($X$10="Y","---&gt;","...")</f>
        <v>...</v>
      </c>
      <c r="C173" s="1" t="str">
        <f>IF($X$10="Y",'Population Definitions'!$B$24,"...")</f>
        <v>...</v>
      </c>
      <c r="E173" s="2"/>
      <c r="F173" s="3"/>
      <c r="G173" s="2"/>
      <c r="H173" s="4" t="str">
        <f>IF($X$10="Y","OR","...")</f>
        <v>...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</row>
    <row r="174" spans="1:100" x14ac:dyDescent="0.35">
      <c r="A174" s="1" t="str">
        <f>IF($Y$10="Y",'Population Definitions'!$B$7,"...")</f>
        <v>...</v>
      </c>
      <c r="B174" s="4" t="str">
        <f>IF($Y$10="Y","---&gt;","...")</f>
        <v>...</v>
      </c>
      <c r="C174" s="1" t="str">
        <f>IF($Y$10="Y",'Population Definitions'!$B$25,"...")</f>
        <v>...</v>
      </c>
      <c r="E174" s="2"/>
      <c r="F174" s="3"/>
      <c r="G174" s="2"/>
      <c r="H174" s="4" t="str">
        <f>IF($Y$10="Y","OR","...")</f>
        <v>...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</row>
    <row r="175" spans="1:100" x14ac:dyDescent="0.35">
      <c r="A175" s="1" t="str">
        <f>IF($B$11="Y",'Population Definitions'!$B$8,"...")</f>
        <v>...</v>
      </c>
      <c r="B175" s="4" t="str">
        <f>IF($B$11="Y","---&gt;","...")</f>
        <v>...</v>
      </c>
      <c r="C175" s="1" t="str">
        <f>IF($B$11="Y",'Population Definitions'!$B$2,"...")</f>
        <v>...</v>
      </c>
      <c r="E175" s="2"/>
      <c r="F175" s="3"/>
      <c r="G175" s="2"/>
      <c r="H175" s="4" t="str">
        <f>IF($B$11="Y","OR","...")</f>
        <v>...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</row>
    <row r="176" spans="1:100" x14ac:dyDescent="0.35">
      <c r="A176" s="1" t="str">
        <f>IF($C$11="Y",'Population Definitions'!$B$8,"...")</f>
        <v>...</v>
      </c>
      <c r="B176" s="4" t="str">
        <f>IF($C$11="Y","---&gt;","...")</f>
        <v>...</v>
      </c>
      <c r="C176" s="1" t="str">
        <f>IF($C$11="Y",'Population Definitions'!$B$3,"...")</f>
        <v>...</v>
      </c>
      <c r="E176" s="2"/>
      <c r="F176" s="3"/>
      <c r="G176" s="2"/>
      <c r="H176" s="4" t="str">
        <f>IF($C$11="Y","OR","...")</f>
        <v>...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</row>
    <row r="177" spans="1:100" x14ac:dyDescent="0.35">
      <c r="A177" s="1" t="str">
        <f>IF($D$11="Y",'Population Definitions'!$B$8,"...")</f>
        <v>...</v>
      </c>
      <c r="B177" s="4" t="str">
        <f>IF($D$11="Y","---&gt;","...")</f>
        <v>...</v>
      </c>
      <c r="C177" s="1" t="str">
        <f>IF($D$11="Y",'Population Definitions'!$B$4,"...")</f>
        <v>...</v>
      </c>
      <c r="E177" s="2"/>
      <c r="F177" s="3"/>
      <c r="G177" s="2"/>
      <c r="H177" s="4" t="str">
        <f>IF($D$11="Y","OR","...")</f>
        <v>...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</row>
    <row r="178" spans="1:100" x14ac:dyDescent="0.35">
      <c r="A178" s="1" t="str">
        <f>IF($E$11="Y",'Population Definitions'!$B$8,"...")</f>
        <v>...</v>
      </c>
      <c r="B178" s="4" t="str">
        <f>IF($E$11="Y","---&gt;","...")</f>
        <v>...</v>
      </c>
      <c r="C178" s="1" t="str">
        <f>IF($E$11="Y",'Population Definitions'!$B$5,"...")</f>
        <v>...</v>
      </c>
      <c r="E178" s="2"/>
      <c r="F178" s="3"/>
      <c r="G178" s="2"/>
      <c r="H178" s="4" t="str">
        <f>IF($E$11="Y","OR","...")</f>
        <v>...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</row>
    <row r="179" spans="1:100" x14ac:dyDescent="0.35">
      <c r="A179" s="1" t="str">
        <f>IF($F$11="Y",'Population Definitions'!$B$8,"...")</f>
        <v>...</v>
      </c>
      <c r="B179" s="4" t="str">
        <f>IF($F$11="Y","---&gt;","...")</f>
        <v>...</v>
      </c>
      <c r="C179" s="1" t="str">
        <f>IF($F$11="Y",'Population Definitions'!$B$6,"...")</f>
        <v>...</v>
      </c>
      <c r="E179" s="2"/>
      <c r="F179" s="3"/>
      <c r="G179" s="2"/>
      <c r="H179" s="4" t="str">
        <f>IF($F$11="Y","OR","...")</f>
        <v>...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</row>
    <row r="180" spans="1:100" x14ac:dyDescent="0.35">
      <c r="A180" s="1" t="str">
        <f>IF($G$11="Y",'Population Definitions'!$B$8,"...")</f>
        <v>...</v>
      </c>
      <c r="B180" s="4" t="str">
        <f>IF($G$11="Y","---&gt;","...")</f>
        <v>...</v>
      </c>
      <c r="C180" s="1" t="str">
        <f>IF($G$11="Y",'Population Definitions'!$B$7,"...")</f>
        <v>...</v>
      </c>
      <c r="E180" s="2"/>
      <c r="F180" s="3"/>
      <c r="G180" s="2"/>
      <c r="H180" s="4" t="str">
        <f>IF($G$11="Y","OR","...")</f>
        <v>...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</row>
    <row r="181" spans="1:100" x14ac:dyDescent="0.35">
      <c r="A181" s="1" t="str">
        <f>IF($H$11="Y",'Population Definitions'!$B$8,"...")</f>
        <v>...</v>
      </c>
      <c r="B181" s="4" t="str">
        <f>IF($H$11="Y","---&gt;","...")</f>
        <v>...</v>
      </c>
      <c r="C181" s="1" t="str">
        <f>IF($H$11="Y",'Population Definitions'!$B$8,"...")</f>
        <v>...</v>
      </c>
      <c r="E181" s="2"/>
      <c r="F181" s="3"/>
      <c r="G181" s="2"/>
      <c r="H181" s="4" t="str">
        <f>IF($H$11="Y","OR","...")</f>
        <v>...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</row>
    <row r="182" spans="1:100" x14ac:dyDescent="0.35">
      <c r="A182" s="1" t="str">
        <f>IF($I$11="Y",'Population Definitions'!$B$8,"...")</f>
        <v>ausb_0-14_M</v>
      </c>
      <c r="B182" s="4" t="str">
        <f>IF($I$11="Y","---&gt;","...")</f>
        <v>---&gt;</v>
      </c>
      <c r="C182" s="1" t="str">
        <f>IF($I$11="Y",'Population Definitions'!$B$9,"...")</f>
        <v>ausb_15-64_M</v>
      </c>
      <c r="E182" s="2" t="s">
        <v>49</v>
      </c>
      <c r="F182" s="3"/>
      <c r="G182">
        <f>1/15</f>
        <v>6.6666666666666666E-2</v>
      </c>
      <c r="H182" s="4" t="str">
        <f>IF($I$11="Y","OR","...")</f>
        <v>OR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</row>
    <row r="183" spans="1:100" x14ac:dyDescent="0.35">
      <c r="A183" s="1" t="str">
        <f>IF($J$11="Y",'Population Definitions'!$B$8,"...")</f>
        <v>...</v>
      </c>
      <c r="B183" s="4" t="str">
        <f>IF($J$11="Y","---&gt;","...")</f>
        <v>...</v>
      </c>
      <c r="C183" s="1" t="str">
        <f>IF($J$11="Y",'Population Definitions'!$B$10,"...")</f>
        <v>...</v>
      </c>
      <c r="E183" s="2"/>
      <c r="F183" s="3"/>
      <c r="G183" s="2"/>
      <c r="H183" s="4" t="str">
        <f>IF($J$11="Y","OR","...")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</row>
    <row r="184" spans="1:100" x14ac:dyDescent="0.35">
      <c r="A184" s="1" t="str">
        <f>IF($K$11="Y",'Population Definitions'!$B$8,"...")</f>
        <v>...</v>
      </c>
      <c r="B184" s="4" t="str">
        <f>IF($K$11="Y","---&gt;","...")</f>
        <v>...</v>
      </c>
      <c r="C184" s="1" t="str">
        <f>IF($K$11="Y",'Population Definitions'!$B$11,"...")</f>
        <v>...</v>
      </c>
      <c r="E184" s="2"/>
      <c r="F184" s="3"/>
      <c r="G184" s="2"/>
      <c r="H184" s="4" t="str">
        <f>IF($K$11="Y","OR","...")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</row>
    <row r="185" spans="1:100" x14ac:dyDescent="0.35">
      <c r="A185" s="1" t="str">
        <f>IF($L$11="Y",'Population Definitions'!$B$8,"...")</f>
        <v>...</v>
      </c>
      <c r="B185" s="4" t="str">
        <f>IF($L$11="Y","---&gt;","...")</f>
        <v>...</v>
      </c>
      <c r="C185" s="1" t="str">
        <f>IF($L$11="Y",'Population Definitions'!$B$12,"...")</f>
        <v>...</v>
      </c>
      <c r="E185" s="2"/>
      <c r="F185" s="3"/>
      <c r="G185" s="2"/>
      <c r="H185" s="4" t="str">
        <f>IF($L$11="Y","OR","...")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</row>
    <row r="186" spans="1:100" x14ac:dyDescent="0.35">
      <c r="A186" s="1" t="str">
        <f>IF($M$11="Y",'Population Definitions'!$B$8,"...")</f>
        <v>...</v>
      </c>
      <c r="B186" s="4" t="str">
        <f>IF($M$11="Y","---&gt;","...")</f>
        <v>...</v>
      </c>
      <c r="C186" s="1" t="str">
        <f>IF($M$11="Y",'Population Definitions'!$B$13,"...")</f>
        <v>...</v>
      </c>
      <c r="E186" s="2"/>
      <c r="F186" s="3"/>
      <c r="G186" s="2"/>
      <c r="H186" s="4" t="str">
        <f>IF($M$11="Y","OR","...")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</row>
    <row r="187" spans="1:100" x14ac:dyDescent="0.35">
      <c r="A187" s="1" t="str">
        <f>IF($N$11="Y",'Population Definitions'!$B$8,"...")</f>
        <v>...</v>
      </c>
      <c r="B187" s="4" t="str">
        <f>IF($N$11="Y","---&gt;","...")</f>
        <v>...</v>
      </c>
      <c r="C187" s="1" t="str">
        <f>IF($N$11="Y",'Population Definitions'!$B$14,"...")</f>
        <v>...</v>
      </c>
      <c r="E187" s="2"/>
      <c r="F187" s="3"/>
      <c r="G187" s="2"/>
      <c r="H187" s="4" t="str">
        <f>IF($N$11="Y","OR","...")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</row>
    <row r="188" spans="1:100" x14ac:dyDescent="0.35">
      <c r="A188" s="1" t="str">
        <f>IF($O$11="Y",'Population Definitions'!$B$8,"...")</f>
        <v>...</v>
      </c>
      <c r="B188" s="4" t="str">
        <f>IF($O$11="Y","---&gt;","...")</f>
        <v>...</v>
      </c>
      <c r="C188" s="1" t="str">
        <f>IF($O$11="Y",'Population Definitions'!$B$15,"...")</f>
        <v>...</v>
      </c>
      <c r="E188" s="2"/>
      <c r="F188" s="3"/>
      <c r="G188" s="2"/>
      <c r="H188" s="4" t="str">
        <f>IF($O$11="Y","OR","...")</f>
        <v>...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</row>
    <row r="189" spans="1:100" x14ac:dyDescent="0.35">
      <c r="A189" s="1" t="str">
        <f>IF($P$11="Y",'Population Definitions'!$B$8,"...")</f>
        <v>...</v>
      </c>
      <c r="B189" s="4" t="str">
        <f>IF($P$11="Y","---&gt;","...")</f>
        <v>...</v>
      </c>
      <c r="C189" s="1" t="str">
        <f>IF($P$11="Y",'Population Definitions'!$B$16,"...")</f>
        <v>...</v>
      </c>
      <c r="E189" s="2"/>
      <c r="F189" s="3"/>
      <c r="G189" s="2"/>
      <c r="H189" s="4" t="str">
        <f>IF($P$11="Y","OR","...")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</row>
    <row r="190" spans="1:100" x14ac:dyDescent="0.35">
      <c r="A190" s="1" t="str">
        <f>IF($Q$11="Y",'Population Definitions'!$B$8,"...")</f>
        <v>...</v>
      </c>
      <c r="B190" s="4" t="str">
        <f>IF($Q$11="Y","---&gt;","...")</f>
        <v>...</v>
      </c>
      <c r="C190" s="1" t="str">
        <f>IF($Q$11="Y",'Population Definitions'!$B$17,"...")</f>
        <v>...</v>
      </c>
      <c r="E190" s="2"/>
      <c r="F190" s="3"/>
      <c r="G190" s="2"/>
      <c r="H190" s="4" t="str">
        <f>IF($Q$11="Y","OR","...")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</row>
    <row r="191" spans="1:100" x14ac:dyDescent="0.35">
      <c r="A191" s="1" t="str">
        <f>IF($R$11="Y",'Population Definitions'!$B$8,"...")</f>
        <v>...</v>
      </c>
      <c r="B191" s="4" t="str">
        <f>IF($R$11="Y","---&gt;","...")</f>
        <v>...</v>
      </c>
      <c r="C191" s="1" t="str">
        <f>IF($R$11="Y",'Population Definitions'!$B$18,"...")</f>
        <v>...</v>
      </c>
      <c r="E191" s="2"/>
      <c r="F191" s="3"/>
      <c r="G191" s="2"/>
      <c r="H191" s="4" t="str">
        <f>IF($R$11="Y","OR","...")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</row>
    <row r="192" spans="1:100" x14ac:dyDescent="0.35">
      <c r="A192" s="1" t="str">
        <f>IF($S$11="Y",'Population Definitions'!$B$8,"...")</f>
        <v>...</v>
      </c>
      <c r="B192" s="4" t="str">
        <f>IF($S$11="Y","---&gt;","...")</f>
        <v>...</v>
      </c>
      <c r="C192" s="1" t="str">
        <f>IF($S$11="Y",'Population Definitions'!$B$19,"...")</f>
        <v>...</v>
      </c>
      <c r="E192" s="2"/>
      <c r="F192" s="3"/>
      <c r="G192" s="2"/>
      <c r="H192" s="4" t="str">
        <f>IF($S$11="Y","OR","...")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</row>
    <row r="193" spans="1:100" x14ac:dyDescent="0.35">
      <c r="A193" s="1" t="str">
        <f>IF($T$11="Y",'Population Definitions'!$B$8,"...")</f>
        <v>...</v>
      </c>
      <c r="B193" s="4" t="str">
        <f>IF($T$11="Y","---&gt;","...")</f>
        <v>...</v>
      </c>
      <c r="C193" s="1" t="str">
        <f>IF($T$11="Y",'Population Definitions'!$B$20,"...")</f>
        <v>...</v>
      </c>
      <c r="E193" s="2"/>
      <c r="F193" s="3"/>
      <c r="G193" s="2"/>
      <c r="H193" s="4" t="str">
        <f>IF($T$11="Y","OR","...")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</row>
    <row r="194" spans="1:100" x14ac:dyDescent="0.35">
      <c r="A194" s="1" t="str">
        <f>IF($U$11="Y",'Population Definitions'!$B$8,"...")</f>
        <v>...</v>
      </c>
      <c r="B194" s="4" t="str">
        <f>IF($U$11="Y","---&gt;","...")</f>
        <v>...</v>
      </c>
      <c r="C194" s="1" t="str">
        <f>IF($U$11="Y",'Population Definitions'!$B$21,"...")</f>
        <v>...</v>
      </c>
      <c r="E194" s="2"/>
      <c r="F194" s="3"/>
      <c r="G194" s="2"/>
      <c r="H194" s="4" t="str">
        <f>IF($U$11="Y","OR","...")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</row>
    <row r="195" spans="1:100" x14ac:dyDescent="0.35">
      <c r="A195" s="1" t="str">
        <f>IF($V$11="Y",'Population Definitions'!$B$8,"...")</f>
        <v>...</v>
      </c>
      <c r="B195" s="4" t="str">
        <f>IF($V$11="Y","---&gt;","...")</f>
        <v>...</v>
      </c>
      <c r="C195" s="1" t="str">
        <f>IF($V$11="Y",'Population Definitions'!$B$22,"...")</f>
        <v>...</v>
      </c>
      <c r="E195" s="2"/>
      <c r="F195" s="3"/>
      <c r="G195" s="2"/>
      <c r="H195" s="4" t="str">
        <f>IF($V$11="Y","OR","...")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</row>
    <row r="196" spans="1:100" x14ac:dyDescent="0.35">
      <c r="A196" s="1" t="str">
        <f>IF($W$11="Y",'Population Definitions'!$B$8,"...")</f>
        <v>...</v>
      </c>
      <c r="B196" s="4" t="str">
        <f>IF($W$11="Y","---&gt;","...")</f>
        <v>...</v>
      </c>
      <c r="C196" s="1" t="str">
        <f>IF($W$11="Y",'Population Definitions'!$B$23,"...")</f>
        <v>...</v>
      </c>
      <c r="E196" s="2"/>
      <c r="F196" s="3"/>
      <c r="G196" s="2"/>
      <c r="H196" s="4" t="str">
        <f>IF($W$11="Y","OR","...")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</row>
    <row r="197" spans="1:100" x14ac:dyDescent="0.35">
      <c r="A197" s="1" t="str">
        <f>IF($X$11="Y",'Population Definitions'!$B$8,"...")</f>
        <v>...</v>
      </c>
      <c r="B197" s="4" t="str">
        <f>IF($X$11="Y","---&gt;","...")</f>
        <v>...</v>
      </c>
      <c r="C197" s="1" t="str">
        <f>IF($X$11="Y",'Population Definitions'!$B$24,"...")</f>
        <v>...</v>
      </c>
      <c r="E197" s="2"/>
      <c r="F197" s="3"/>
      <c r="G197" s="2"/>
      <c r="H197" s="4" t="str">
        <f>IF($X$11="Y","OR","...")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</row>
    <row r="198" spans="1:100" x14ac:dyDescent="0.35">
      <c r="A198" s="1" t="str">
        <f>IF($Y$11="Y",'Population Definitions'!$B$8,"...")</f>
        <v>...</v>
      </c>
      <c r="B198" s="4" t="str">
        <f>IF($Y$11="Y","---&gt;","...")</f>
        <v>...</v>
      </c>
      <c r="C198" s="1" t="str">
        <f>IF($Y$11="Y",'Population Definitions'!$B$25,"...")</f>
        <v>...</v>
      </c>
      <c r="E198" s="2"/>
      <c r="F198" s="3"/>
      <c r="G198" s="2"/>
      <c r="H198" s="4" t="str">
        <f>IF($Y$11="Y","OR","...")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</row>
    <row r="199" spans="1:100" x14ac:dyDescent="0.35">
      <c r="A199" s="1" t="str">
        <f>IF($B$12="Y",'Population Definitions'!$B$9,"...")</f>
        <v>...</v>
      </c>
      <c r="B199" s="4" t="str">
        <f>IF($B$12="Y","---&gt;","...")</f>
        <v>...</v>
      </c>
      <c r="C199" s="1" t="str">
        <f>IF($B$12="Y",'Population Definitions'!$B$2,"...")</f>
        <v>...</v>
      </c>
      <c r="E199" s="2"/>
      <c r="F199" s="3"/>
      <c r="G199" s="2"/>
      <c r="H199" s="4" t="str">
        <f>IF($B$12="Y","OR","...")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</row>
    <row r="200" spans="1:100" x14ac:dyDescent="0.35">
      <c r="A200" s="1" t="str">
        <f>IF($C$12="Y",'Population Definitions'!$B$9,"...")</f>
        <v>...</v>
      </c>
      <c r="B200" s="4" t="str">
        <f>IF($C$12="Y","---&gt;","...")</f>
        <v>...</v>
      </c>
      <c r="C200" s="1" t="str">
        <f>IF($C$12="Y",'Population Definitions'!$B$3,"...")</f>
        <v>...</v>
      </c>
      <c r="E200" s="2"/>
      <c r="F200" s="3"/>
      <c r="G200" s="2"/>
      <c r="H200" s="4" t="str">
        <f>IF($C$12="Y","OR","...")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</row>
    <row r="201" spans="1:100" x14ac:dyDescent="0.35">
      <c r="A201" s="1" t="str">
        <f>IF($D$12="Y",'Population Definitions'!$B$9,"...")</f>
        <v>...</v>
      </c>
      <c r="B201" s="4" t="str">
        <f>IF($D$12="Y","---&gt;","...")</f>
        <v>...</v>
      </c>
      <c r="C201" s="1" t="str">
        <f>IF($D$12="Y",'Population Definitions'!$B$4,"...")</f>
        <v>...</v>
      </c>
      <c r="E201" s="2"/>
      <c r="F201" s="3"/>
      <c r="G201" s="2"/>
      <c r="H201" s="4" t="str">
        <f>IF($D$12="Y","OR","...")</f>
        <v>...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</row>
    <row r="202" spans="1:100" x14ac:dyDescent="0.35">
      <c r="A202" s="1" t="str">
        <f>IF($E$12="Y",'Population Definitions'!$B$9,"...")</f>
        <v>...</v>
      </c>
      <c r="B202" s="4" t="str">
        <f>IF($E$12="Y","---&gt;","...")</f>
        <v>...</v>
      </c>
      <c r="C202" s="1" t="str">
        <f>IF($E$12="Y",'Population Definitions'!$B$5,"...")</f>
        <v>...</v>
      </c>
      <c r="E202" s="2"/>
      <c r="F202" s="3"/>
      <c r="G202" s="2"/>
      <c r="H202" s="4" t="str">
        <f>IF($E$12="Y","OR","...")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</row>
    <row r="203" spans="1:100" x14ac:dyDescent="0.35">
      <c r="A203" s="1" t="str">
        <f>IF($F$12="Y",'Population Definitions'!$B$9,"...")</f>
        <v>...</v>
      </c>
      <c r="B203" s="4" t="str">
        <f>IF($F$12="Y","---&gt;","...")</f>
        <v>...</v>
      </c>
      <c r="C203" s="1" t="str">
        <f>IF($F$12="Y",'Population Definitions'!$B$6,"...")</f>
        <v>...</v>
      </c>
      <c r="E203" s="2"/>
      <c r="F203" s="3"/>
      <c r="G203" s="2"/>
      <c r="H203" s="4" t="str">
        <f>IF($F$12="Y","OR","...")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</row>
    <row r="204" spans="1:100" x14ac:dyDescent="0.35">
      <c r="A204" s="1" t="str">
        <f>IF($G$12="Y",'Population Definitions'!$B$9,"...")</f>
        <v>...</v>
      </c>
      <c r="B204" s="4" t="str">
        <f>IF($G$12="Y","---&gt;","...")</f>
        <v>...</v>
      </c>
      <c r="C204" s="1" t="str">
        <f>IF($G$12="Y",'Population Definitions'!$B$7,"...")</f>
        <v>...</v>
      </c>
      <c r="E204" s="2"/>
      <c r="F204" s="3"/>
      <c r="G204" s="2"/>
      <c r="H204" s="4" t="str">
        <f>IF($G$12="Y","OR","...")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</row>
    <row r="205" spans="1:100" x14ac:dyDescent="0.35">
      <c r="A205" s="1" t="str">
        <f>IF($H$12="Y",'Population Definitions'!$B$9,"...")</f>
        <v>...</v>
      </c>
      <c r="B205" s="4" t="str">
        <f>IF($H$12="Y","---&gt;","...")</f>
        <v>...</v>
      </c>
      <c r="C205" s="1" t="str">
        <f>IF($H$12="Y",'Population Definitions'!$B$8,"...")</f>
        <v>...</v>
      </c>
      <c r="E205" s="2"/>
      <c r="F205" s="3"/>
      <c r="G205" s="2"/>
      <c r="H205" s="4" t="str">
        <f>IF($H$12="Y","OR","...")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</row>
    <row r="206" spans="1:100" x14ac:dyDescent="0.35">
      <c r="A206" s="1" t="str">
        <f>IF($I$12="Y",'Population Definitions'!$B$9,"...")</f>
        <v>...</v>
      </c>
      <c r="B206" s="4" t="str">
        <f>IF($I$12="Y","---&gt;","...")</f>
        <v>...</v>
      </c>
      <c r="C206" s="1" t="str">
        <f>IF($I$12="Y",'Population Definitions'!$B$9,"...")</f>
        <v>...</v>
      </c>
      <c r="E206" s="2"/>
      <c r="F206" s="3"/>
      <c r="G206" s="2"/>
      <c r="H206" s="4" t="str">
        <f>IF($I$12="Y","OR","...")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</row>
    <row r="207" spans="1:100" x14ac:dyDescent="0.35">
      <c r="A207" s="1" t="str">
        <f>IF($J$12="Y",'Population Definitions'!$B$9,"...")</f>
        <v>ausb_15-64_M</v>
      </c>
      <c r="B207" s="4" t="str">
        <f>IF($J$12="Y","---&gt;","...")</f>
        <v>---&gt;</v>
      </c>
      <c r="C207" s="1" t="str">
        <f>IF($J$12="Y",'Population Definitions'!$B$10,"...")</f>
        <v>ausb_65+_M</v>
      </c>
      <c r="E207" s="2" t="s">
        <v>49</v>
      </c>
      <c r="F207" s="3"/>
      <c r="G207">
        <f>1/40</f>
        <v>2.5000000000000001E-2</v>
      </c>
      <c r="H207" s="4" t="str">
        <f>IF($J$12="Y","OR","...")</f>
        <v>OR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</row>
    <row r="208" spans="1:100" x14ac:dyDescent="0.35">
      <c r="A208" s="1" t="str">
        <f>IF($K$12="Y",'Population Definitions'!$B$9,"...")</f>
        <v>...</v>
      </c>
      <c r="B208" s="4" t="str">
        <f>IF($K$12="Y","---&gt;","...")</f>
        <v>...</v>
      </c>
      <c r="C208" s="1" t="str">
        <f>IF($K$12="Y",'Population Definitions'!$B$11,"...")</f>
        <v>...</v>
      </c>
      <c r="E208" s="2"/>
      <c r="F208" s="3"/>
      <c r="G208" s="2"/>
      <c r="H208" s="4" t="str">
        <f>IF($K$12="Y","OR","...")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</row>
    <row r="209" spans="1:100" x14ac:dyDescent="0.35">
      <c r="A209" s="1" t="str">
        <f>IF($L$12="Y",'Population Definitions'!$B$9,"...")</f>
        <v>...</v>
      </c>
      <c r="B209" s="4" t="str">
        <f>IF($L$12="Y","---&gt;","...")</f>
        <v>...</v>
      </c>
      <c r="C209" s="1" t="str">
        <f>IF($L$12="Y",'Population Definitions'!$B$12,"...")</f>
        <v>...</v>
      </c>
      <c r="E209" s="2"/>
      <c r="F209" s="3"/>
      <c r="G209" s="2"/>
      <c r="H209" s="4" t="str">
        <f>IF($L$12="Y","OR","...")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</row>
    <row r="210" spans="1:100" x14ac:dyDescent="0.35">
      <c r="A210" s="1" t="str">
        <f>IF($M$12="Y",'Population Definitions'!$B$9,"...")</f>
        <v>...</v>
      </c>
      <c r="B210" s="4" t="str">
        <f>IF($M$12="Y","---&gt;","...")</f>
        <v>...</v>
      </c>
      <c r="C210" s="1" t="str">
        <f>IF($M$12="Y",'Population Definitions'!$B$13,"...")</f>
        <v>...</v>
      </c>
      <c r="E210" s="2"/>
      <c r="F210" s="3"/>
      <c r="G210" s="2"/>
      <c r="H210" s="4" t="str">
        <f>IF($M$12="Y","OR","...")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</row>
    <row r="211" spans="1:100" x14ac:dyDescent="0.35">
      <c r="A211" s="1" t="str">
        <f>IF($N$12="Y",'Population Definitions'!$B$9,"...")</f>
        <v>...</v>
      </c>
      <c r="B211" s="4" t="str">
        <f>IF($N$12="Y","---&gt;","...")</f>
        <v>...</v>
      </c>
      <c r="C211" s="1" t="str">
        <f>IF($N$12="Y",'Population Definitions'!$B$14,"...")</f>
        <v>...</v>
      </c>
      <c r="E211" s="2"/>
      <c r="F211" s="3"/>
      <c r="G211" s="2"/>
      <c r="H211" s="4" t="str">
        <f>IF($N$12="Y","OR","...")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</row>
    <row r="212" spans="1:100" x14ac:dyDescent="0.35">
      <c r="A212" s="1" t="str">
        <f>IF($O$12="Y",'Population Definitions'!$B$9,"...")</f>
        <v>...</v>
      </c>
      <c r="B212" s="4" t="str">
        <f>IF($O$12="Y","---&gt;","...")</f>
        <v>...</v>
      </c>
      <c r="C212" s="1" t="str">
        <f>IF($O$12="Y",'Population Definitions'!$B$15,"...")</f>
        <v>...</v>
      </c>
      <c r="E212" s="2"/>
      <c r="F212" s="3"/>
      <c r="G212" s="2"/>
      <c r="H212" s="4" t="str">
        <f>IF($O$12="Y","OR","...")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</row>
    <row r="213" spans="1:100" x14ac:dyDescent="0.35">
      <c r="A213" s="1" t="str">
        <f>IF($P$12="Y",'Population Definitions'!$B$9,"...")</f>
        <v>...</v>
      </c>
      <c r="B213" s="4" t="str">
        <f>IF($P$12="Y","---&gt;","...")</f>
        <v>...</v>
      </c>
      <c r="C213" s="1" t="str">
        <f>IF($P$12="Y",'Population Definitions'!$B$16,"...")</f>
        <v>...</v>
      </c>
      <c r="E213" s="2"/>
      <c r="F213" s="3"/>
      <c r="G213" s="2"/>
      <c r="H213" s="4" t="str">
        <f>IF($P$12="Y","OR","...")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</row>
    <row r="214" spans="1:100" x14ac:dyDescent="0.35">
      <c r="A214" s="1" t="str">
        <f>IF($Q$12="Y",'Population Definitions'!$B$9,"...")</f>
        <v>...</v>
      </c>
      <c r="B214" s="4" t="str">
        <f>IF($Q$12="Y","---&gt;","...")</f>
        <v>...</v>
      </c>
      <c r="C214" s="1" t="str">
        <f>IF($Q$12="Y",'Population Definitions'!$B$17,"...")</f>
        <v>...</v>
      </c>
      <c r="E214" s="2"/>
      <c r="F214" s="3"/>
      <c r="G214" s="2"/>
      <c r="H214" s="4" t="str">
        <f>IF($Q$12="Y","OR","...")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</row>
    <row r="215" spans="1:100" x14ac:dyDescent="0.35">
      <c r="A215" s="1" t="str">
        <f>IF($R$12="Y",'Population Definitions'!$B$9,"...")</f>
        <v>...</v>
      </c>
      <c r="B215" s="4" t="str">
        <f>IF($R$12="Y","---&gt;","...")</f>
        <v>...</v>
      </c>
      <c r="C215" s="1" t="str">
        <f>IF($R$12="Y",'Population Definitions'!$B$18,"...")</f>
        <v>...</v>
      </c>
      <c r="E215" s="2"/>
      <c r="F215" s="3"/>
      <c r="G215" s="2"/>
      <c r="H215" s="4" t="str">
        <f>IF($R$12="Y","OR","...")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</row>
    <row r="216" spans="1:100" x14ac:dyDescent="0.35">
      <c r="A216" s="1" t="str">
        <f>IF($S$12="Y",'Population Definitions'!$B$9,"...")</f>
        <v>...</v>
      </c>
      <c r="B216" s="4" t="str">
        <f>IF($S$12="Y","---&gt;","...")</f>
        <v>...</v>
      </c>
      <c r="C216" s="1" t="str">
        <f>IF($S$12="Y",'Population Definitions'!$B$19,"...")</f>
        <v>...</v>
      </c>
      <c r="E216" s="2"/>
      <c r="F216" s="3"/>
      <c r="G216" s="2"/>
      <c r="H216" s="4" t="str">
        <f>IF($S$12="Y","OR","...")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</row>
    <row r="217" spans="1:100" x14ac:dyDescent="0.35">
      <c r="A217" s="1" t="str">
        <f>IF($T$12="Y",'Population Definitions'!$B$9,"...")</f>
        <v>...</v>
      </c>
      <c r="B217" s="4" t="str">
        <f>IF($T$12="Y","---&gt;","...")</f>
        <v>...</v>
      </c>
      <c r="C217" s="1" t="str">
        <f>IF($T$12="Y",'Population Definitions'!$B$20,"...")</f>
        <v>...</v>
      </c>
      <c r="E217" s="2"/>
      <c r="F217" s="3"/>
      <c r="G217" s="2"/>
      <c r="H217" s="4" t="str">
        <f>IF($T$12="Y","OR","...")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</row>
    <row r="218" spans="1:100" x14ac:dyDescent="0.35">
      <c r="A218" s="1" t="str">
        <f>IF($U$12="Y",'Population Definitions'!$B$9,"...")</f>
        <v>...</v>
      </c>
      <c r="B218" s="4" t="str">
        <f>IF($U$12="Y","---&gt;","...")</f>
        <v>...</v>
      </c>
      <c r="C218" s="1" t="str">
        <f>IF($U$12="Y",'Population Definitions'!$B$21,"...")</f>
        <v>...</v>
      </c>
      <c r="E218" s="2"/>
      <c r="F218" s="3"/>
      <c r="G218" s="2"/>
      <c r="H218" s="4" t="str">
        <f>IF($U$12="Y","OR","...")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</row>
    <row r="219" spans="1:100" x14ac:dyDescent="0.35">
      <c r="A219" s="1" t="str">
        <f>IF($V$12="Y",'Population Definitions'!$B$9,"...")</f>
        <v>...</v>
      </c>
      <c r="B219" s="4" t="str">
        <f>IF($V$12="Y","---&gt;","...")</f>
        <v>...</v>
      </c>
      <c r="C219" s="1" t="str">
        <f>IF($V$12="Y",'Population Definitions'!$B$22,"...")</f>
        <v>...</v>
      </c>
      <c r="E219" s="2"/>
      <c r="F219" s="3"/>
      <c r="G219" s="2"/>
      <c r="H219" s="4" t="str">
        <f>IF($V$12="Y","OR","...")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</row>
    <row r="220" spans="1:100" x14ac:dyDescent="0.35">
      <c r="A220" s="1" t="str">
        <f>IF($W$12="Y",'Population Definitions'!$B$9,"...")</f>
        <v>...</v>
      </c>
      <c r="B220" s="4" t="str">
        <f>IF($W$12="Y","---&gt;","...")</f>
        <v>...</v>
      </c>
      <c r="C220" s="1" t="str">
        <f>IF($W$12="Y",'Population Definitions'!$B$23,"...")</f>
        <v>...</v>
      </c>
      <c r="E220" s="2"/>
      <c r="F220" s="3"/>
      <c r="G220" s="2"/>
      <c r="H220" s="4" t="str">
        <f>IF($W$12="Y","OR","...")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</row>
    <row r="221" spans="1:100" x14ac:dyDescent="0.35">
      <c r="A221" s="1" t="str">
        <f>IF($X$12="Y",'Population Definitions'!$B$9,"...")</f>
        <v>...</v>
      </c>
      <c r="B221" s="4" t="str">
        <f>IF($X$12="Y","---&gt;","...")</f>
        <v>...</v>
      </c>
      <c r="C221" s="1" t="str">
        <f>IF($X$12="Y",'Population Definitions'!$B$24,"...")</f>
        <v>...</v>
      </c>
      <c r="E221" s="2"/>
      <c r="F221" s="3"/>
      <c r="G221" s="2"/>
      <c r="H221" s="4" t="str">
        <f>IF($X$12="Y","OR","...")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</row>
    <row r="222" spans="1:100" x14ac:dyDescent="0.35">
      <c r="A222" s="1" t="str">
        <f>IF($Y$12="Y",'Population Definitions'!$B$9,"...")</f>
        <v>...</v>
      </c>
      <c r="B222" s="4" t="str">
        <f>IF($Y$12="Y","---&gt;","...")</f>
        <v>...</v>
      </c>
      <c r="C222" s="1" t="str">
        <f>IF($Y$12="Y",'Population Definitions'!$B$25,"...")</f>
        <v>...</v>
      </c>
      <c r="E222" s="2"/>
      <c r="F222" s="3"/>
      <c r="G222" s="2"/>
      <c r="H222" s="4" t="str">
        <f>IF($Y$12="Y","OR","...")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</row>
    <row r="223" spans="1:100" x14ac:dyDescent="0.35">
      <c r="A223" s="1" t="str">
        <f>IF($B$13="Y",'Population Definitions'!$B$10,"...")</f>
        <v>...</v>
      </c>
      <c r="B223" s="4" t="str">
        <f>IF($B$13="Y","---&gt;","...")</f>
        <v>...</v>
      </c>
      <c r="C223" s="1" t="str">
        <f>IF($B$13="Y",'Population Definitions'!$B$2,"...")</f>
        <v>...</v>
      </c>
      <c r="E223" s="2"/>
      <c r="F223" s="3"/>
      <c r="G223" s="2"/>
      <c r="H223" s="4" t="str">
        <f>IF($B$13="Y","OR","...")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</row>
    <row r="224" spans="1:100" x14ac:dyDescent="0.35">
      <c r="A224" s="1" t="str">
        <f>IF($C$13="Y",'Population Definitions'!$B$10,"...")</f>
        <v>...</v>
      </c>
      <c r="B224" s="4" t="str">
        <f>IF($C$13="Y","---&gt;","...")</f>
        <v>...</v>
      </c>
      <c r="C224" s="1" t="str">
        <f>IF($C$13="Y",'Population Definitions'!$B$3,"...")</f>
        <v>...</v>
      </c>
      <c r="E224" s="2"/>
      <c r="F224" s="3"/>
      <c r="G224" s="2"/>
      <c r="H224" s="4" t="str">
        <f>IF($C$13="Y","OR","...")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</row>
    <row r="225" spans="1:100" x14ac:dyDescent="0.35">
      <c r="A225" s="1" t="str">
        <f>IF($D$13="Y",'Population Definitions'!$B$10,"...")</f>
        <v>...</v>
      </c>
      <c r="B225" s="4" t="str">
        <f>IF($D$13="Y","---&gt;","...")</f>
        <v>...</v>
      </c>
      <c r="C225" s="1" t="str">
        <f>IF($D$13="Y",'Population Definitions'!$B$4,"...")</f>
        <v>...</v>
      </c>
      <c r="E225" s="2"/>
      <c r="F225" s="3"/>
      <c r="G225" s="2"/>
      <c r="H225" s="4" t="str">
        <f>IF($D$13="Y","OR","...")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</row>
    <row r="226" spans="1:100" x14ac:dyDescent="0.35">
      <c r="A226" s="1" t="str">
        <f>IF($E$13="Y",'Population Definitions'!$B$10,"...")</f>
        <v>...</v>
      </c>
      <c r="B226" s="4" t="str">
        <f>IF($E$13="Y","---&gt;","...")</f>
        <v>...</v>
      </c>
      <c r="C226" s="1" t="str">
        <f>IF($E$13="Y",'Population Definitions'!$B$5,"...")</f>
        <v>...</v>
      </c>
      <c r="E226" s="2"/>
      <c r="F226" s="3"/>
      <c r="G226" s="2"/>
      <c r="H226" s="4" t="str">
        <f>IF($E$13="Y","OR","...")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</row>
    <row r="227" spans="1:100" x14ac:dyDescent="0.35">
      <c r="A227" s="1" t="str">
        <f>IF($F$13="Y",'Population Definitions'!$B$10,"...")</f>
        <v>...</v>
      </c>
      <c r="B227" s="4" t="str">
        <f>IF($F$13="Y","---&gt;","...")</f>
        <v>...</v>
      </c>
      <c r="C227" s="1" t="str">
        <f>IF($F$13="Y",'Population Definitions'!$B$6,"...")</f>
        <v>...</v>
      </c>
      <c r="E227" s="2"/>
      <c r="F227" s="3"/>
      <c r="G227" s="2"/>
      <c r="H227" s="4" t="str">
        <f>IF($F$13="Y","OR","...")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</row>
    <row r="228" spans="1:100" x14ac:dyDescent="0.35">
      <c r="A228" s="1" t="str">
        <f>IF($G$13="Y",'Population Definitions'!$B$10,"...")</f>
        <v>...</v>
      </c>
      <c r="B228" s="4" t="str">
        <f>IF($G$13="Y","---&gt;","...")</f>
        <v>...</v>
      </c>
      <c r="C228" s="1" t="str">
        <f>IF($G$13="Y",'Population Definitions'!$B$7,"...")</f>
        <v>...</v>
      </c>
      <c r="E228" s="2"/>
      <c r="F228" s="3"/>
      <c r="G228" s="2"/>
      <c r="H228" s="4" t="str">
        <f>IF($G$13="Y","OR","...")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</row>
    <row r="229" spans="1:100" x14ac:dyDescent="0.35">
      <c r="A229" s="1" t="str">
        <f>IF($H$13="Y",'Population Definitions'!$B$10,"...")</f>
        <v>...</v>
      </c>
      <c r="B229" s="4" t="str">
        <f>IF($H$13="Y","---&gt;","...")</f>
        <v>...</v>
      </c>
      <c r="C229" s="1" t="str">
        <f>IF($H$13="Y",'Population Definitions'!$B$8,"...")</f>
        <v>...</v>
      </c>
      <c r="E229" s="2"/>
      <c r="F229" s="3"/>
      <c r="G229" s="2"/>
      <c r="H229" s="4" t="str">
        <f>IF($H$13="Y","OR","...")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</row>
    <row r="230" spans="1:100" x14ac:dyDescent="0.35">
      <c r="A230" s="1" t="str">
        <f>IF($I$13="Y",'Population Definitions'!$B$10,"...")</f>
        <v>...</v>
      </c>
      <c r="B230" s="4" t="str">
        <f>IF($I$13="Y","---&gt;","...")</f>
        <v>...</v>
      </c>
      <c r="C230" s="1" t="str">
        <f>IF($I$13="Y",'Population Definitions'!$B$9,"...")</f>
        <v>...</v>
      </c>
      <c r="E230" s="2"/>
      <c r="F230" s="3"/>
      <c r="G230" s="2"/>
      <c r="H230" s="4" t="str">
        <f>IF($I$13="Y","OR","...")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</row>
    <row r="231" spans="1:100" x14ac:dyDescent="0.35">
      <c r="A231" s="1" t="str">
        <f>IF($J$13="Y",'Population Definitions'!$B$10,"...")</f>
        <v>...</v>
      </c>
      <c r="B231" s="4" t="str">
        <f>IF($J$13="Y","---&gt;","...")</f>
        <v>...</v>
      </c>
      <c r="C231" s="1" t="str">
        <f>IF($J$13="Y",'Population Definitions'!$B$10,"...")</f>
        <v>...</v>
      </c>
      <c r="E231" s="2"/>
      <c r="F231" s="3"/>
      <c r="G231" s="2"/>
      <c r="H231" s="4" t="str">
        <f>IF($J$13="Y","OR","...")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</row>
    <row r="232" spans="1:100" x14ac:dyDescent="0.35">
      <c r="A232" s="1" t="str">
        <f>IF($K$13="Y",'Population Definitions'!$B$10,"...")</f>
        <v>...</v>
      </c>
      <c r="B232" s="4" t="str">
        <f>IF($K$13="Y","---&gt;","...")</f>
        <v>...</v>
      </c>
      <c r="C232" s="1" t="str">
        <f>IF($K$13="Y",'Population Definitions'!$B$11,"...")</f>
        <v>...</v>
      </c>
      <c r="E232" s="2"/>
      <c r="F232" s="3"/>
      <c r="G232" s="2"/>
      <c r="H232" s="4" t="str">
        <f>IF($K$13="Y","OR","...")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</row>
    <row r="233" spans="1:100" x14ac:dyDescent="0.35">
      <c r="A233" s="1" t="str">
        <f>IF($L$13="Y",'Population Definitions'!$B$10,"...")</f>
        <v>...</v>
      </c>
      <c r="B233" s="4" t="str">
        <f>IF($L$13="Y","---&gt;","...")</f>
        <v>...</v>
      </c>
      <c r="C233" s="1" t="str">
        <f>IF($L$13="Y",'Population Definitions'!$B$12,"...")</f>
        <v>...</v>
      </c>
      <c r="E233" s="2"/>
      <c r="F233" s="3"/>
      <c r="G233" s="2"/>
      <c r="H233" s="4" t="str">
        <f>IF($L$13="Y","OR","...")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</row>
    <row r="234" spans="1:100" x14ac:dyDescent="0.35">
      <c r="A234" s="1" t="str">
        <f>IF($M$13="Y",'Population Definitions'!$B$10,"...")</f>
        <v>...</v>
      </c>
      <c r="B234" s="4" t="str">
        <f>IF($M$13="Y","---&gt;","...")</f>
        <v>...</v>
      </c>
      <c r="C234" s="1" t="str">
        <f>IF($M$13="Y",'Population Definitions'!$B$13,"...")</f>
        <v>...</v>
      </c>
      <c r="E234" s="2"/>
      <c r="F234" s="3"/>
      <c r="G234" s="2"/>
      <c r="H234" s="4" t="str">
        <f>IF($M$13="Y","OR","...")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</row>
    <row r="235" spans="1:100" x14ac:dyDescent="0.35">
      <c r="A235" s="1" t="str">
        <f>IF($N$13="Y",'Population Definitions'!$B$10,"...")</f>
        <v>...</v>
      </c>
      <c r="B235" s="4" t="str">
        <f>IF($N$13="Y","---&gt;","...")</f>
        <v>...</v>
      </c>
      <c r="C235" s="1" t="str">
        <f>IF($N$13="Y",'Population Definitions'!$B$14,"...")</f>
        <v>...</v>
      </c>
      <c r="E235" s="2"/>
      <c r="F235" s="3"/>
      <c r="G235" s="2"/>
      <c r="H235" s="4" t="str">
        <f>IF($N$13="Y","OR","...")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</row>
    <row r="236" spans="1:100" x14ac:dyDescent="0.35">
      <c r="A236" s="1" t="str">
        <f>IF($O$13="Y",'Population Definitions'!$B$10,"...")</f>
        <v>...</v>
      </c>
      <c r="B236" s="4" t="str">
        <f>IF($O$13="Y","---&gt;","...")</f>
        <v>...</v>
      </c>
      <c r="C236" s="1" t="str">
        <f>IF($O$13="Y",'Population Definitions'!$B$15,"...")</f>
        <v>...</v>
      </c>
      <c r="E236" s="2"/>
      <c r="F236" s="3"/>
      <c r="G236" s="2"/>
      <c r="H236" s="4" t="str">
        <f>IF($O$13="Y","OR","...")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</row>
    <row r="237" spans="1:100" x14ac:dyDescent="0.35">
      <c r="A237" s="1" t="str">
        <f>IF($P$13="Y",'Population Definitions'!$B$10,"...")</f>
        <v>...</v>
      </c>
      <c r="B237" s="4" t="str">
        <f>IF($P$13="Y","---&gt;","...")</f>
        <v>...</v>
      </c>
      <c r="C237" s="1" t="str">
        <f>IF($P$13="Y",'Population Definitions'!$B$16,"...")</f>
        <v>...</v>
      </c>
      <c r="E237" s="2"/>
      <c r="F237" s="3"/>
      <c r="G237" s="2"/>
      <c r="H237" s="4" t="str">
        <f>IF($P$13="Y","OR","...")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</row>
    <row r="238" spans="1:100" x14ac:dyDescent="0.35">
      <c r="A238" s="1" t="str">
        <f>IF($Q$13="Y",'Population Definitions'!$B$10,"...")</f>
        <v>...</v>
      </c>
      <c r="B238" s="4" t="str">
        <f>IF($Q$13="Y","---&gt;","...")</f>
        <v>...</v>
      </c>
      <c r="C238" s="1" t="str">
        <f>IF($Q$13="Y",'Population Definitions'!$B$17,"...")</f>
        <v>...</v>
      </c>
      <c r="E238" s="2"/>
      <c r="F238" s="3"/>
      <c r="G238" s="2"/>
      <c r="H238" s="4" t="str">
        <f>IF($Q$13="Y","OR","...")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</row>
    <row r="239" spans="1:100" x14ac:dyDescent="0.35">
      <c r="A239" s="1" t="str">
        <f>IF($R$13="Y",'Population Definitions'!$B$10,"...")</f>
        <v>...</v>
      </c>
      <c r="B239" s="4" t="str">
        <f>IF($R$13="Y","---&gt;","...")</f>
        <v>...</v>
      </c>
      <c r="C239" s="1" t="str">
        <f>IF($R$13="Y",'Population Definitions'!$B$18,"...")</f>
        <v>...</v>
      </c>
      <c r="E239" s="2"/>
      <c r="F239" s="3"/>
      <c r="G239" s="2"/>
      <c r="H239" s="4" t="str">
        <f>IF($R$13="Y","OR","...")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</row>
    <row r="240" spans="1:100" x14ac:dyDescent="0.35">
      <c r="A240" s="1" t="str">
        <f>IF($S$13="Y",'Population Definitions'!$B$10,"...")</f>
        <v>...</v>
      </c>
      <c r="B240" s="4" t="str">
        <f>IF($S$13="Y","---&gt;","...")</f>
        <v>...</v>
      </c>
      <c r="C240" s="1" t="str">
        <f>IF($S$13="Y",'Population Definitions'!$B$19,"...")</f>
        <v>...</v>
      </c>
      <c r="E240" s="2"/>
      <c r="F240" s="3"/>
      <c r="G240" s="2"/>
      <c r="H240" s="4" t="str">
        <f>IF($S$13="Y","OR","...")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</row>
    <row r="241" spans="1:100" x14ac:dyDescent="0.35">
      <c r="A241" s="1" t="str">
        <f>IF($T$13="Y",'Population Definitions'!$B$10,"...")</f>
        <v>...</v>
      </c>
      <c r="B241" s="4" t="str">
        <f>IF($T$13="Y","---&gt;","...")</f>
        <v>...</v>
      </c>
      <c r="C241" s="1" t="str">
        <f>IF($T$13="Y",'Population Definitions'!$B$20,"...")</f>
        <v>...</v>
      </c>
      <c r="E241" s="2"/>
      <c r="F241" s="3"/>
      <c r="G241" s="2"/>
      <c r="H241" s="4" t="str">
        <f>IF($T$13="Y","OR","...")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</row>
    <row r="242" spans="1:100" x14ac:dyDescent="0.35">
      <c r="A242" s="1" t="str">
        <f>IF($U$13="Y",'Population Definitions'!$B$10,"...")</f>
        <v>...</v>
      </c>
      <c r="B242" s="4" t="str">
        <f>IF($U$13="Y","---&gt;","...")</f>
        <v>...</v>
      </c>
      <c r="C242" s="1" t="str">
        <f>IF($U$13="Y",'Population Definitions'!$B$21,"...")</f>
        <v>...</v>
      </c>
      <c r="E242" s="2"/>
      <c r="F242" s="3"/>
      <c r="G242" s="2"/>
      <c r="H242" s="4" t="str">
        <f>IF($U$13="Y","OR","...")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</row>
    <row r="243" spans="1:100" x14ac:dyDescent="0.35">
      <c r="A243" s="1" t="str">
        <f>IF($V$13="Y",'Population Definitions'!$B$10,"...")</f>
        <v>...</v>
      </c>
      <c r="B243" s="4" t="str">
        <f>IF($V$13="Y","---&gt;","...")</f>
        <v>...</v>
      </c>
      <c r="C243" s="1" t="str">
        <f>IF($V$13="Y",'Population Definitions'!$B$22,"...")</f>
        <v>...</v>
      </c>
      <c r="E243" s="2"/>
      <c r="F243" s="3"/>
      <c r="G243" s="2"/>
      <c r="H243" s="4" t="str">
        <f>IF($V$13="Y","OR","...")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</row>
    <row r="244" spans="1:100" x14ac:dyDescent="0.35">
      <c r="A244" s="1" t="str">
        <f>IF($W$13="Y",'Population Definitions'!$B$10,"...")</f>
        <v>...</v>
      </c>
      <c r="B244" s="4" t="str">
        <f>IF($W$13="Y","---&gt;","...")</f>
        <v>...</v>
      </c>
      <c r="C244" s="1" t="str">
        <f>IF($W$13="Y",'Population Definitions'!$B$23,"...")</f>
        <v>...</v>
      </c>
      <c r="E244" s="2"/>
      <c r="F244" s="3"/>
      <c r="G244" s="2"/>
      <c r="H244" s="4" t="str">
        <f>IF($W$13="Y","OR","...")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</row>
    <row r="245" spans="1:100" x14ac:dyDescent="0.35">
      <c r="A245" s="1" t="str">
        <f>IF($X$13="Y",'Population Definitions'!$B$10,"...")</f>
        <v>...</v>
      </c>
      <c r="B245" s="4" t="str">
        <f>IF($X$13="Y","---&gt;","...")</f>
        <v>...</v>
      </c>
      <c r="C245" s="1" t="str">
        <f>IF($X$13="Y",'Population Definitions'!$B$24,"...")</f>
        <v>...</v>
      </c>
      <c r="E245" s="2"/>
      <c r="F245" s="3"/>
      <c r="G245" s="2"/>
      <c r="H245" s="4" t="str">
        <f>IF($X$13="Y","OR","...")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</row>
    <row r="246" spans="1:100" x14ac:dyDescent="0.35">
      <c r="A246" s="1" t="str">
        <f>IF($Y$13="Y",'Population Definitions'!$B$10,"...")</f>
        <v>...</v>
      </c>
      <c r="B246" s="4" t="str">
        <f>IF($Y$13="Y","---&gt;","...")</f>
        <v>...</v>
      </c>
      <c r="C246" s="1" t="str">
        <f>IF($Y$13="Y",'Population Definitions'!$B$25,"...")</f>
        <v>...</v>
      </c>
      <c r="E246" s="2"/>
      <c r="F246" s="3"/>
      <c r="G246" s="2"/>
      <c r="H246" s="4" t="str">
        <f>IF($Y$13="Y","OR","...")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</row>
    <row r="247" spans="1:100" x14ac:dyDescent="0.35">
      <c r="A247" s="1" t="str">
        <f>IF($B$14="Y",'Population Definitions'!$B$11,"...")</f>
        <v>...</v>
      </c>
      <c r="B247" s="4" t="str">
        <f>IF($B$14="Y","---&gt;","...")</f>
        <v>...</v>
      </c>
      <c r="C247" s="1" t="str">
        <f>IF($B$14="Y",'Population Definitions'!$B$2,"...")</f>
        <v>...</v>
      </c>
      <c r="E247" s="2"/>
      <c r="F247" s="3"/>
      <c r="G247" s="2"/>
      <c r="H247" s="4" t="str">
        <f>IF($B$14="Y","OR","...")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</row>
    <row r="248" spans="1:100" x14ac:dyDescent="0.35">
      <c r="A248" s="1" t="str">
        <f>IF($C$14="Y",'Population Definitions'!$B$11,"...")</f>
        <v>...</v>
      </c>
      <c r="B248" s="4" t="str">
        <f>IF($C$14="Y","---&gt;","...")</f>
        <v>...</v>
      </c>
      <c r="C248" s="1" t="str">
        <f>IF($C$14="Y",'Population Definitions'!$B$3,"...")</f>
        <v>...</v>
      </c>
      <c r="E248" s="2"/>
      <c r="F248" s="3"/>
      <c r="G248" s="2"/>
      <c r="H248" s="4" t="str">
        <f>IF($C$14="Y","OR","...")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</row>
    <row r="249" spans="1:100" x14ac:dyDescent="0.35">
      <c r="A249" s="1" t="str">
        <f>IF($D$14="Y",'Population Definitions'!$B$11,"...")</f>
        <v>...</v>
      </c>
      <c r="B249" s="4" t="str">
        <f>IF($D$14="Y","---&gt;","...")</f>
        <v>...</v>
      </c>
      <c r="C249" s="1" t="str">
        <f>IF($D$14="Y",'Population Definitions'!$B$4,"...")</f>
        <v>...</v>
      </c>
      <c r="E249" s="2"/>
      <c r="F249" s="3"/>
      <c r="G249" s="2"/>
      <c r="H249" s="4" t="str">
        <f>IF($D$14="Y","OR","...")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</row>
    <row r="250" spans="1:100" x14ac:dyDescent="0.35">
      <c r="A250" s="1" t="str">
        <f>IF($E$14="Y",'Population Definitions'!$B$11,"...")</f>
        <v>...</v>
      </c>
      <c r="B250" s="4" t="str">
        <f>IF($E$14="Y","---&gt;","...")</f>
        <v>...</v>
      </c>
      <c r="C250" s="1" t="str">
        <f>IF($E$14="Y",'Population Definitions'!$B$5,"...")</f>
        <v>...</v>
      </c>
      <c r="E250" s="2"/>
      <c r="F250" s="3"/>
      <c r="G250" s="2"/>
      <c r="H250" s="4" t="str">
        <f>IF($E$14="Y","OR","...")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</row>
    <row r="251" spans="1:100" x14ac:dyDescent="0.35">
      <c r="A251" s="1" t="str">
        <f>IF($F$14="Y",'Population Definitions'!$B$11,"...")</f>
        <v>...</v>
      </c>
      <c r="B251" s="4" t="str">
        <f>IF($F$14="Y","---&gt;","...")</f>
        <v>...</v>
      </c>
      <c r="C251" s="1" t="str">
        <f>IF($F$14="Y",'Population Definitions'!$B$6,"...")</f>
        <v>...</v>
      </c>
      <c r="E251" s="2"/>
      <c r="F251" s="3"/>
      <c r="G251" s="2"/>
      <c r="H251" s="4" t="str">
        <f>IF($F$14="Y","OR","...")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</row>
    <row r="252" spans="1:100" x14ac:dyDescent="0.35">
      <c r="A252" s="1" t="str">
        <f>IF($G$14="Y",'Population Definitions'!$B$11,"...")</f>
        <v>...</v>
      </c>
      <c r="B252" s="4" t="str">
        <f>IF($G$14="Y","---&gt;","...")</f>
        <v>...</v>
      </c>
      <c r="C252" s="1" t="str">
        <f>IF($G$14="Y",'Population Definitions'!$B$7,"...")</f>
        <v>...</v>
      </c>
      <c r="E252" s="2"/>
      <c r="F252" s="3"/>
      <c r="G252" s="2"/>
      <c r="H252" s="4" t="str">
        <f>IF($G$14="Y","OR","...")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</row>
    <row r="253" spans="1:100" x14ac:dyDescent="0.35">
      <c r="A253" s="1" t="str">
        <f>IF($H$14="Y",'Population Definitions'!$B$11,"...")</f>
        <v>...</v>
      </c>
      <c r="B253" s="4" t="str">
        <f>IF($H$14="Y","---&gt;","...")</f>
        <v>...</v>
      </c>
      <c r="C253" s="1" t="str">
        <f>IF($H$14="Y",'Population Definitions'!$B$8,"...")</f>
        <v>...</v>
      </c>
      <c r="E253" s="2"/>
      <c r="F253" s="3"/>
      <c r="G253" s="2"/>
      <c r="H253" s="4" t="str">
        <f>IF($H$14="Y","OR","...")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</row>
    <row r="254" spans="1:100" x14ac:dyDescent="0.35">
      <c r="A254" s="1" t="str">
        <f>IF($I$14="Y",'Population Definitions'!$B$11,"...")</f>
        <v>...</v>
      </c>
      <c r="B254" s="4" t="str">
        <f>IF($I$14="Y","---&gt;","...")</f>
        <v>...</v>
      </c>
      <c r="C254" s="1" t="str">
        <f>IF($I$14="Y",'Population Definitions'!$B$9,"...")</f>
        <v>...</v>
      </c>
      <c r="E254" s="2"/>
      <c r="F254" s="3"/>
      <c r="G254" s="2"/>
      <c r="H254" s="4" t="str">
        <f>IF($I$14="Y","OR","...")</f>
        <v>...</v>
      </c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</row>
    <row r="255" spans="1:100" x14ac:dyDescent="0.35">
      <c r="A255" s="1" t="str">
        <f>IF($J$14="Y",'Population Definitions'!$B$11,"...")</f>
        <v>...</v>
      </c>
      <c r="B255" s="4" t="str">
        <f>IF($J$14="Y","---&gt;","...")</f>
        <v>...</v>
      </c>
      <c r="C255" s="1" t="str">
        <f>IF($J$14="Y",'Population Definitions'!$B$10,"...")</f>
        <v>...</v>
      </c>
      <c r="E255" s="2"/>
      <c r="F255" s="3"/>
      <c r="G255" s="2"/>
      <c r="H255" s="4" t="str">
        <f>IF($J$14="Y","OR","...")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</row>
    <row r="256" spans="1:100" x14ac:dyDescent="0.35">
      <c r="A256" s="1" t="str">
        <f>IF($K$14="Y",'Population Definitions'!$B$11,"...")</f>
        <v>...</v>
      </c>
      <c r="B256" s="4" t="str">
        <f>IF($K$14="Y","---&gt;","...")</f>
        <v>...</v>
      </c>
      <c r="C256" s="1" t="str">
        <f>IF($K$14="Y",'Population Definitions'!$B$11,"...")</f>
        <v>...</v>
      </c>
      <c r="E256" s="2"/>
      <c r="F256" s="3"/>
      <c r="G256" s="2"/>
      <c r="H256" s="4" t="str">
        <f>IF($K$14="Y","OR","...")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</row>
    <row r="257" spans="1:100" x14ac:dyDescent="0.35">
      <c r="A257" s="1" t="str">
        <f>IF($L$14="Y",'Population Definitions'!$B$11,"...")</f>
        <v>ausb_0-14_F</v>
      </c>
      <c r="B257" s="4" t="str">
        <f>IF($L$14="Y","---&gt;","...")</f>
        <v>---&gt;</v>
      </c>
      <c r="C257" s="1" t="str">
        <f>IF($L$14="Y",'Population Definitions'!$B$12,"...")</f>
        <v>ausb_15-64_F</v>
      </c>
      <c r="E257" s="2" t="s">
        <v>49</v>
      </c>
      <c r="F257" s="3"/>
      <c r="G257">
        <f t="shared" ref="G257" si="0">1/15</f>
        <v>6.6666666666666666E-2</v>
      </c>
      <c r="H257" s="4" t="str">
        <f>IF($L$14="Y","OR","...")</f>
        <v>OR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</row>
    <row r="258" spans="1:100" x14ac:dyDescent="0.35">
      <c r="A258" s="1" t="str">
        <f>IF($M$14="Y",'Population Definitions'!$B$11,"...")</f>
        <v>...</v>
      </c>
      <c r="B258" s="4" t="str">
        <f>IF($M$14="Y","---&gt;","...")</f>
        <v>...</v>
      </c>
      <c r="C258" s="1" t="str">
        <f>IF($M$14="Y",'Population Definitions'!$B$13,"...")</f>
        <v>...</v>
      </c>
      <c r="E258" s="2"/>
      <c r="F258" s="3"/>
      <c r="G258" s="2"/>
      <c r="H258" s="4" t="str">
        <f>IF($M$14="Y","OR","...")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</row>
    <row r="259" spans="1:100" x14ac:dyDescent="0.35">
      <c r="A259" s="1" t="str">
        <f>IF($N$14="Y",'Population Definitions'!$B$11,"...")</f>
        <v>...</v>
      </c>
      <c r="B259" s="4" t="str">
        <f>IF($N$14="Y","---&gt;","...")</f>
        <v>...</v>
      </c>
      <c r="C259" s="1" t="str">
        <f>IF($N$14="Y",'Population Definitions'!$B$14,"...")</f>
        <v>...</v>
      </c>
      <c r="E259" s="2"/>
      <c r="F259" s="3"/>
      <c r="G259" s="2"/>
      <c r="H259" s="4" t="str">
        <f>IF($N$14="Y","OR","...")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</row>
    <row r="260" spans="1:100" x14ac:dyDescent="0.35">
      <c r="A260" s="1" t="str">
        <f>IF($O$14="Y",'Population Definitions'!$B$11,"...")</f>
        <v>...</v>
      </c>
      <c r="B260" s="4" t="str">
        <f>IF($O$14="Y","---&gt;","...")</f>
        <v>...</v>
      </c>
      <c r="C260" s="1" t="str">
        <f>IF($O$14="Y",'Population Definitions'!$B$15,"...")</f>
        <v>...</v>
      </c>
      <c r="E260" s="2"/>
      <c r="F260" s="3"/>
      <c r="G260" s="2"/>
      <c r="H260" s="4" t="str">
        <f>IF($O$14="Y","OR","...")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</row>
    <row r="261" spans="1:100" x14ac:dyDescent="0.35">
      <c r="A261" s="1" t="str">
        <f>IF($P$14="Y",'Population Definitions'!$B$11,"...")</f>
        <v>...</v>
      </c>
      <c r="B261" s="4" t="str">
        <f>IF($P$14="Y","---&gt;","...")</f>
        <v>...</v>
      </c>
      <c r="C261" s="1" t="str">
        <f>IF($P$14="Y",'Population Definitions'!$B$16,"...")</f>
        <v>...</v>
      </c>
      <c r="E261" s="2"/>
      <c r="F261" s="3"/>
      <c r="G261" s="2"/>
      <c r="H261" s="4" t="str">
        <f>IF($P$14="Y","OR","...")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</row>
    <row r="262" spans="1:100" x14ac:dyDescent="0.35">
      <c r="A262" s="1" t="str">
        <f>IF($Q$14="Y",'Population Definitions'!$B$11,"...")</f>
        <v>...</v>
      </c>
      <c r="B262" s="4" t="str">
        <f>IF($Q$14="Y","---&gt;","...")</f>
        <v>...</v>
      </c>
      <c r="C262" s="1" t="str">
        <f>IF($Q$14="Y",'Population Definitions'!$B$17,"...")</f>
        <v>...</v>
      </c>
      <c r="E262" s="2"/>
      <c r="F262" s="3"/>
      <c r="G262" s="2"/>
      <c r="H262" s="4" t="str">
        <f>IF($Q$14="Y","OR","...")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</row>
    <row r="263" spans="1:100" x14ac:dyDescent="0.35">
      <c r="A263" s="1" t="str">
        <f>IF($R$14="Y",'Population Definitions'!$B$11,"...")</f>
        <v>...</v>
      </c>
      <c r="B263" s="4" t="str">
        <f>IF($R$14="Y","---&gt;","...")</f>
        <v>...</v>
      </c>
      <c r="C263" s="1" t="str">
        <f>IF($R$14="Y",'Population Definitions'!$B$18,"...")</f>
        <v>...</v>
      </c>
      <c r="E263" s="2"/>
      <c r="F263" s="3"/>
      <c r="G263" s="2"/>
      <c r="H263" s="4" t="str">
        <f>IF($R$14="Y","OR","...")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</row>
    <row r="264" spans="1:100" x14ac:dyDescent="0.35">
      <c r="A264" s="1" t="str">
        <f>IF($S$14="Y",'Population Definitions'!$B$11,"...")</f>
        <v>...</v>
      </c>
      <c r="B264" s="4" t="str">
        <f>IF($S$14="Y","---&gt;","...")</f>
        <v>...</v>
      </c>
      <c r="C264" s="1" t="str">
        <f>IF($S$14="Y",'Population Definitions'!$B$19,"...")</f>
        <v>...</v>
      </c>
      <c r="E264" s="2"/>
      <c r="F264" s="3"/>
      <c r="G264" s="2"/>
      <c r="H264" s="4" t="str">
        <f>IF($S$14="Y","OR","...")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</row>
    <row r="265" spans="1:100" x14ac:dyDescent="0.35">
      <c r="A265" s="1" t="str">
        <f>IF($T$14="Y",'Population Definitions'!$B$11,"...")</f>
        <v>...</v>
      </c>
      <c r="B265" s="4" t="str">
        <f>IF($T$14="Y","---&gt;","...")</f>
        <v>...</v>
      </c>
      <c r="C265" s="1" t="str">
        <f>IF($T$14="Y",'Population Definitions'!$B$20,"...")</f>
        <v>...</v>
      </c>
      <c r="E265" s="2"/>
      <c r="F265" s="3"/>
      <c r="G265" s="2"/>
      <c r="H265" s="4" t="str">
        <f>IF($T$14="Y","OR","...")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</row>
    <row r="266" spans="1:100" x14ac:dyDescent="0.35">
      <c r="A266" s="1" t="str">
        <f>IF($U$14="Y",'Population Definitions'!$B$11,"...")</f>
        <v>...</v>
      </c>
      <c r="B266" s="4" t="str">
        <f>IF($U$14="Y","---&gt;","...")</f>
        <v>...</v>
      </c>
      <c r="C266" s="1" t="str">
        <f>IF($U$14="Y",'Population Definitions'!$B$21,"...")</f>
        <v>...</v>
      </c>
      <c r="E266" s="2"/>
      <c r="F266" s="3"/>
      <c r="G266" s="2"/>
      <c r="H266" s="4" t="str">
        <f>IF($U$14="Y","OR","...")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</row>
    <row r="267" spans="1:100" x14ac:dyDescent="0.35">
      <c r="A267" s="1" t="str">
        <f>IF($V$14="Y",'Population Definitions'!$B$11,"...")</f>
        <v>...</v>
      </c>
      <c r="B267" s="4" t="str">
        <f>IF($V$14="Y","---&gt;","...")</f>
        <v>...</v>
      </c>
      <c r="C267" s="1" t="str">
        <f>IF($V$14="Y",'Population Definitions'!$B$22,"...")</f>
        <v>...</v>
      </c>
      <c r="E267" s="2"/>
      <c r="F267" s="3"/>
      <c r="G267" s="2"/>
      <c r="H267" s="4" t="str">
        <f>IF($V$14="Y","OR","...")</f>
        <v>...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</row>
    <row r="268" spans="1:100" x14ac:dyDescent="0.35">
      <c r="A268" s="1" t="str">
        <f>IF($W$14="Y",'Population Definitions'!$B$11,"...")</f>
        <v>...</v>
      </c>
      <c r="B268" s="4" t="str">
        <f>IF($W$14="Y","---&gt;","...")</f>
        <v>...</v>
      </c>
      <c r="C268" s="1" t="str">
        <f>IF($W$14="Y",'Population Definitions'!$B$23,"...")</f>
        <v>...</v>
      </c>
      <c r="E268" s="2"/>
      <c r="F268" s="3"/>
      <c r="G268" s="2"/>
      <c r="H268" s="4" t="str">
        <f>IF($W$14="Y","OR","...")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</row>
    <row r="269" spans="1:100" x14ac:dyDescent="0.35">
      <c r="A269" s="1" t="str">
        <f>IF($X$14="Y",'Population Definitions'!$B$11,"...")</f>
        <v>...</v>
      </c>
      <c r="B269" s="4" t="str">
        <f>IF($X$14="Y","---&gt;","...")</f>
        <v>...</v>
      </c>
      <c r="C269" s="1" t="str">
        <f>IF($X$14="Y",'Population Definitions'!$B$24,"...")</f>
        <v>...</v>
      </c>
      <c r="E269" s="2"/>
      <c r="F269" s="3"/>
      <c r="G269" s="2"/>
      <c r="H269" s="4" t="str">
        <f>IF($X$14="Y","OR","...")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</row>
    <row r="270" spans="1:100" x14ac:dyDescent="0.35">
      <c r="A270" s="1" t="str">
        <f>IF($Y$14="Y",'Population Definitions'!$B$11,"...")</f>
        <v>...</v>
      </c>
      <c r="B270" s="4" t="str">
        <f>IF($Y$14="Y","---&gt;","...")</f>
        <v>...</v>
      </c>
      <c r="C270" s="1" t="str">
        <f>IF($Y$14="Y",'Population Definitions'!$B$25,"...")</f>
        <v>...</v>
      </c>
      <c r="E270" s="2"/>
      <c r="F270" s="3"/>
      <c r="G270" s="2"/>
      <c r="H270" s="4" t="str">
        <f>IF($Y$14="Y","OR","...")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</row>
    <row r="271" spans="1:100" x14ac:dyDescent="0.35">
      <c r="A271" s="1" t="str">
        <f>IF($B$15="Y",'Population Definitions'!$B$12,"...")</f>
        <v>...</v>
      </c>
      <c r="B271" s="4" t="str">
        <f>IF($B$15="Y","---&gt;","...")</f>
        <v>...</v>
      </c>
      <c r="C271" s="1" t="str">
        <f>IF($B$15="Y",'Population Definitions'!$B$2,"...")</f>
        <v>...</v>
      </c>
      <c r="E271" s="2"/>
      <c r="F271" s="3"/>
      <c r="G271" s="2"/>
      <c r="H271" s="4" t="str">
        <f>IF($B$15="Y","OR","...")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</row>
    <row r="272" spans="1:100" x14ac:dyDescent="0.35">
      <c r="A272" s="1" t="str">
        <f>IF($C$15="Y",'Population Definitions'!$B$12,"...")</f>
        <v>...</v>
      </c>
      <c r="B272" s="4" t="str">
        <f>IF($C$15="Y","---&gt;","...")</f>
        <v>...</v>
      </c>
      <c r="C272" s="1" t="str">
        <f>IF($C$15="Y",'Population Definitions'!$B$3,"...")</f>
        <v>...</v>
      </c>
      <c r="E272" s="2"/>
      <c r="F272" s="3"/>
      <c r="G272" s="2"/>
      <c r="H272" s="4" t="str">
        <f>IF($C$15="Y","OR","...")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</row>
    <row r="273" spans="1:100" x14ac:dyDescent="0.35">
      <c r="A273" s="1" t="str">
        <f>IF($D$15="Y",'Population Definitions'!$B$12,"...")</f>
        <v>...</v>
      </c>
      <c r="B273" s="4" t="str">
        <f>IF($D$15="Y","---&gt;","...")</f>
        <v>...</v>
      </c>
      <c r="C273" s="1" t="str">
        <f>IF($D$15="Y",'Population Definitions'!$B$4,"...")</f>
        <v>...</v>
      </c>
      <c r="E273" s="2"/>
      <c r="F273" s="3"/>
      <c r="G273" s="2"/>
      <c r="H273" s="4" t="str">
        <f>IF($D$15="Y","OR","...")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</row>
    <row r="274" spans="1:100" x14ac:dyDescent="0.35">
      <c r="A274" s="1" t="str">
        <f>IF($E$15="Y",'Population Definitions'!$B$12,"...")</f>
        <v>...</v>
      </c>
      <c r="B274" s="4" t="str">
        <f>IF($E$15="Y","---&gt;","...")</f>
        <v>...</v>
      </c>
      <c r="C274" s="1" t="str">
        <f>IF($E$15="Y",'Population Definitions'!$B$5,"...")</f>
        <v>...</v>
      </c>
      <c r="E274" s="2"/>
      <c r="F274" s="3"/>
      <c r="G274" s="2"/>
      <c r="H274" s="4" t="str">
        <f>IF($E$15="Y","OR","...")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</row>
    <row r="275" spans="1:100" x14ac:dyDescent="0.35">
      <c r="A275" s="1" t="str">
        <f>IF($F$15="Y",'Population Definitions'!$B$12,"...")</f>
        <v>...</v>
      </c>
      <c r="B275" s="4" t="str">
        <f>IF($F$15="Y","---&gt;","...")</f>
        <v>...</v>
      </c>
      <c r="C275" s="1" t="str">
        <f>IF($F$15="Y",'Population Definitions'!$B$6,"...")</f>
        <v>...</v>
      </c>
      <c r="E275" s="2"/>
      <c r="F275" s="3"/>
      <c r="G275" s="2"/>
      <c r="H275" s="4" t="str">
        <f>IF($F$15="Y","OR","...")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</row>
    <row r="276" spans="1:100" x14ac:dyDescent="0.35">
      <c r="A276" s="1" t="str">
        <f>IF($G$15="Y",'Population Definitions'!$B$12,"...")</f>
        <v>...</v>
      </c>
      <c r="B276" s="4" t="str">
        <f>IF($G$15="Y","---&gt;","...")</f>
        <v>...</v>
      </c>
      <c r="C276" s="1" t="str">
        <f>IF($G$15="Y",'Population Definitions'!$B$7,"...")</f>
        <v>...</v>
      </c>
      <c r="E276" s="2"/>
      <c r="F276" s="3"/>
      <c r="G276" s="2"/>
      <c r="H276" s="4" t="str">
        <f>IF($G$15="Y","OR","...")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</row>
    <row r="277" spans="1:100" x14ac:dyDescent="0.35">
      <c r="A277" s="1" t="str">
        <f>IF($H$15="Y",'Population Definitions'!$B$12,"...")</f>
        <v>...</v>
      </c>
      <c r="B277" s="4" t="str">
        <f>IF($H$15="Y","---&gt;","...")</f>
        <v>...</v>
      </c>
      <c r="C277" s="1" t="str">
        <f>IF($H$15="Y",'Population Definitions'!$B$8,"...")</f>
        <v>...</v>
      </c>
      <c r="E277" s="2"/>
      <c r="F277" s="3"/>
      <c r="G277" s="2"/>
      <c r="H277" s="4" t="str">
        <f>IF($H$15="Y","OR","...")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</row>
    <row r="278" spans="1:100" x14ac:dyDescent="0.35">
      <c r="A278" s="1" t="str">
        <f>IF($I$15="Y",'Population Definitions'!$B$12,"...")</f>
        <v>...</v>
      </c>
      <c r="B278" s="4" t="str">
        <f>IF($I$15="Y","---&gt;","...")</f>
        <v>...</v>
      </c>
      <c r="C278" s="1" t="str">
        <f>IF($I$15="Y",'Population Definitions'!$B$9,"...")</f>
        <v>...</v>
      </c>
      <c r="E278" s="2"/>
      <c r="F278" s="3"/>
      <c r="G278" s="2"/>
      <c r="H278" s="4" t="str">
        <f>IF($I$15="Y","OR","...")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</row>
    <row r="279" spans="1:100" x14ac:dyDescent="0.35">
      <c r="A279" s="1" t="str">
        <f>IF($J$15="Y",'Population Definitions'!$B$12,"...")</f>
        <v>...</v>
      </c>
      <c r="B279" s="4" t="str">
        <f>IF($J$15="Y","---&gt;","...")</f>
        <v>...</v>
      </c>
      <c r="C279" s="1" t="str">
        <f>IF($J$15="Y",'Population Definitions'!$B$10,"...")</f>
        <v>...</v>
      </c>
      <c r="E279" s="2"/>
      <c r="F279" s="3"/>
      <c r="G279" s="2"/>
      <c r="H279" s="4" t="str">
        <f>IF($J$15="Y","OR","...")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</row>
    <row r="280" spans="1:100" x14ac:dyDescent="0.35">
      <c r="A280" s="1" t="str">
        <f>IF($K$15="Y",'Population Definitions'!$B$12,"...")</f>
        <v>...</v>
      </c>
      <c r="B280" s="4" t="str">
        <f>IF($K$15="Y","---&gt;","...")</f>
        <v>...</v>
      </c>
      <c r="C280" s="1" t="str">
        <f>IF($K$15="Y",'Population Definitions'!$B$11,"...")</f>
        <v>...</v>
      </c>
      <c r="E280" s="2"/>
      <c r="F280" s="3"/>
      <c r="G280" s="2"/>
      <c r="H280" s="4" t="str">
        <f>IF($K$15="Y","OR","...")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</row>
    <row r="281" spans="1:100" x14ac:dyDescent="0.35">
      <c r="A281" s="1" t="str">
        <f>IF($L$15="Y",'Population Definitions'!$B$12,"...")</f>
        <v>...</v>
      </c>
      <c r="B281" s="4" t="str">
        <f>IF($L$15="Y","---&gt;","...")</f>
        <v>...</v>
      </c>
      <c r="C281" s="1" t="str">
        <f>IF($L$15="Y",'Population Definitions'!$B$12,"...")</f>
        <v>...</v>
      </c>
      <c r="E281" s="2"/>
      <c r="F281" s="3"/>
      <c r="G281" s="2"/>
      <c r="H281" s="4" t="str">
        <f>IF($L$15="Y","OR","...")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</row>
    <row r="282" spans="1:100" x14ac:dyDescent="0.35">
      <c r="A282" s="1" t="str">
        <f>IF($M$15="Y",'Population Definitions'!$B$12,"...")</f>
        <v>ausb_15-64_F</v>
      </c>
      <c r="B282" s="4" t="str">
        <f>IF($M$15="Y","---&gt;","...")</f>
        <v>---&gt;</v>
      </c>
      <c r="C282" s="1" t="str">
        <f>IF($M$15="Y",'Population Definitions'!$B$13,"...")</f>
        <v>ausb_65+_F</v>
      </c>
      <c r="E282" s="2" t="s">
        <v>49</v>
      </c>
      <c r="F282" s="3"/>
      <c r="G282">
        <f t="shared" ref="G282" si="1">1/40</f>
        <v>2.5000000000000001E-2</v>
      </c>
      <c r="H282" s="4" t="str">
        <f>IF($M$15="Y","OR","...")</f>
        <v>OR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</row>
    <row r="283" spans="1:100" x14ac:dyDescent="0.35">
      <c r="A283" s="1" t="str">
        <f>IF($N$15="Y",'Population Definitions'!$B$12,"...")</f>
        <v>...</v>
      </c>
      <c r="B283" s="4" t="str">
        <f>IF($N$15="Y","---&gt;","...")</f>
        <v>...</v>
      </c>
      <c r="C283" s="1" t="str">
        <f>IF($N$15="Y",'Population Definitions'!$B$14,"...")</f>
        <v>...</v>
      </c>
      <c r="E283" s="2"/>
      <c r="F283" s="3"/>
      <c r="G283" s="2"/>
      <c r="H283" s="4" t="str">
        <f>IF($N$15="Y","OR","...")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</row>
    <row r="284" spans="1:100" x14ac:dyDescent="0.35">
      <c r="A284" s="1" t="str">
        <f>IF($O$15="Y",'Population Definitions'!$B$12,"...")</f>
        <v>...</v>
      </c>
      <c r="B284" s="4" t="str">
        <f>IF($O$15="Y","---&gt;","...")</f>
        <v>...</v>
      </c>
      <c r="C284" s="1" t="str">
        <f>IF($O$15="Y",'Population Definitions'!$B$15,"...")</f>
        <v>...</v>
      </c>
      <c r="E284" s="2"/>
      <c r="F284" s="3"/>
      <c r="G284" s="2"/>
      <c r="H284" s="4" t="str">
        <f>IF($O$15="Y","OR","...")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</row>
    <row r="285" spans="1:100" x14ac:dyDescent="0.35">
      <c r="A285" s="1" t="str">
        <f>IF($P$15="Y",'Population Definitions'!$B$12,"...")</f>
        <v>...</v>
      </c>
      <c r="B285" s="4" t="str">
        <f>IF($P$15="Y","---&gt;","...")</f>
        <v>...</v>
      </c>
      <c r="C285" s="1" t="str">
        <f>IF($P$15="Y",'Population Definitions'!$B$16,"...")</f>
        <v>...</v>
      </c>
      <c r="E285" s="2"/>
      <c r="F285" s="3"/>
      <c r="G285" s="2"/>
      <c r="H285" s="4" t="str">
        <f>IF($P$15="Y","OR","...")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</row>
    <row r="286" spans="1:100" x14ac:dyDescent="0.35">
      <c r="A286" s="1" t="str">
        <f>IF($Q$15="Y",'Population Definitions'!$B$12,"...")</f>
        <v>...</v>
      </c>
      <c r="B286" s="4" t="str">
        <f>IF($Q$15="Y","---&gt;","...")</f>
        <v>...</v>
      </c>
      <c r="C286" s="1" t="str">
        <f>IF($Q$15="Y",'Population Definitions'!$B$17,"...")</f>
        <v>...</v>
      </c>
      <c r="E286" s="2"/>
      <c r="F286" s="3"/>
      <c r="G286" s="2"/>
      <c r="H286" s="4" t="str">
        <f>IF($Q$15="Y","OR","...")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</row>
    <row r="287" spans="1:100" x14ac:dyDescent="0.35">
      <c r="A287" s="1" t="str">
        <f>IF($R$15="Y",'Population Definitions'!$B$12,"...")</f>
        <v>...</v>
      </c>
      <c r="B287" s="4" t="str">
        <f>IF($R$15="Y","---&gt;","...")</f>
        <v>...</v>
      </c>
      <c r="C287" s="1" t="str">
        <f>IF($R$15="Y",'Population Definitions'!$B$18,"...")</f>
        <v>...</v>
      </c>
      <c r="E287" s="2"/>
      <c r="F287" s="3"/>
      <c r="G287" s="2"/>
      <c r="H287" s="4" t="str">
        <f>IF($R$15="Y","OR","...")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</row>
    <row r="288" spans="1:100" x14ac:dyDescent="0.35">
      <c r="A288" s="1" t="str">
        <f>IF($S$15="Y",'Population Definitions'!$B$12,"...")</f>
        <v>...</v>
      </c>
      <c r="B288" s="4" t="str">
        <f>IF($S$15="Y","---&gt;","...")</f>
        <v>...</v>
      </c>
      <c r="C288" s="1" t="str">
        <f>IF($S$15="Y",'Population Definitions'!$B$19,"...")</f>
        <v>...</v>
      </c>
      <c r="E288" s="2"/>
      <c r="F288" s="3"/>
      <c r="G288" s="2"/>
      <c r="H288" s="4" t="str">
        <f>IF($S$15="Y","OR","...")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</row>
    <row r="289" spans="1:100" x14ac:dyDescent="0.35">
      <c r="A289" s="1" t="str">
        <f>IF($T$15="Y",'Population Definitions'!$B$12,"...")</f>
        <v>...</v>
      </c>
      <c r="B289" s="4" t="str">
        <f>IF($T$15="Y","---&gt;","...")</f>
        <v>...</v>
      </c>
      <c r="C289" s="1" t="str">
        <f>IF($T$15="Y",'Population Definitions'!$B$20,"...")</f>
        <v>...</v>
      </c>
      <c r="E289" s="2"/>
      <c r="F289" s="3"/>
      <c r="G289" s="2"/>
      <c r="H289" s="4" t="str">
        <f>IF($T$15="Y","OR","...")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</row>
    <row r="290" spans="1:100" x14ac:dyDescent="0.35">
      <c r="A290" s="1" t="str">
        <f>IF($U$15="Y",'Population Definitions'!$B$12,"...")</f>
        <v>...</v>
      </c>
      <c r="B290" s="4" t="str">
        <f>IF($U$15="Y","---&gt;","...")</f>
        <v>...</v>
      </c>
      <c r="C290" s="1" t="str">
        <f>IF($U$15="Y",'Population Definitions'!$B$21,"...")</f>
        <v>...</v>
      </c>
      <c r="E290" s="2"/>
      <c r="F290" s="3"/>
      <c r="G290" s="2"/>
      <c r="H290" s="4" t="str">
        <f>IF($U$15="Y","OR","...")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</row>
    <row r="291" spans="1:100" x14ac:dyDescent="0.35">
      <c r="A291" s="1" t="str">
        <f>IF($V$15="Y",'Population Definitions'!$B$12,"...")</f>
        <v>...</v>
      </c>
      <c r="B291" s="4" t="str">
        <f>IF($V$15="Y","---&gt;","...")</f>
        <v>...</v>
      </c>
      <c r="C291" s="1" t="str">
        <f>IF($V$15="Y",'Population Definitions'!$B$22,"...")</f>
        <v>...</v>
      </c>
      <c r="E291" s="2"/>
      <c r="F291" s="3"/>
      <c r="G291" s="2"/>
      <c r="H291" s="4" t="str">
        <f>IF($V$15="Y","OR","...")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</row>
    <row r="292" spans="1:100" x14ac:dyDescent="0.35">
      <c r="A292" s="1" t="str">
        <f>IF($W$15="Y",'Population Definitions'!$B$12,"...")</f>
        <v>...</v>
      </c>
      <c r="B292" s="4" t="str">
        <f>IF($W$15="Y","---&gt;","...")</f>
        <v>...</v>
      </c>
      <c r="C292" s="1" t="str">
        <f>IF($W$15="Y",'Population Definitions'!$B$23,"...")</f>
        <v>...</v>
      </c>
      <c r="E292" s="2"/>
      <c r="F292" s="3"/>
      <c r="G292" s="2"/>
      <c r="H292" s="4" t="str">
        <f>IF($W$15="Y","OR","...")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</row>
    <row r="293" spans="1:100" x14ac:dyDescent="0.35">
      <c r="A293" s="1" t="str">
        <f>IF($X$15="Y",'Population Definitions'!$B$12,"...")</f>
        <v>...</v>
      </c>
      <c r="B293" s="4" t="str">
        <f>IF($X$15="Y","---&gt;","...")</f>
        <v>...</v>
      </c>
      <c r="C293" s="1" t="str">
        <f>IF($X$15="Y",'Population Definitions'!$B$24,"...")</f>
        <v>...</v>
      </c>
      <c r="E293" s="2"/>
      <c r="F293" s="3"/>
      <c r="G293" s="2"/>
      <c r="H293" s="4" t="str">
        <f>IF($X$15="Y","OR","...")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</row>
    <row r="294" spans="1:100" x14ac:dyDescent="0.35">
      <c r="A294" s="1" t="str">
        <f>IF($Y$15="Y",'Population Definitions'!$B$12,"...")</f>
        <v>...</v>
      </c>
      <c r="B294" s="4" t="str">
        <f>IF($Y$15="Y","---&gt;","...")</f>
        <v>...</v>
      </c>
      <c r="C294" s="1" t="str">
        <f>IF($Y$15="Y",'Population Definitions'!$B$25,"...")</f>
        <v>...</v>
      </c>
      <c r="E294" s="2"/>
      <c r="F294" s="3"/>
      <c r="G294" s="2"/>
      <c r="H294" s="4" t="str">
        <f>IF($Y$15="Y","OR","...")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</row>
    <row r="295" spans="1:100" x14ac:dyDescent="0.35">
      <c r="A295" s="1" t="str">
        <f>IF($B$16="Y",'Population Definitions'!$B$13,"...")</f>
        <v>...</v>
      </c>
      <c r="B295" s="4" t="str">
        <f>IF($B$16="Y","---&gt;","...")</f>
        <v>...</v>
      </c>
      <c r="C295" s="1" t="str">
        <f>IF($B$16="Y",'Population Definitions'!$B$2,"...")</f>
        <v>...</v>
      </c>
      <c r="E295" s="2"/>
      <c r="F295" s="3"/>
      <c r="G295" s="2"/>
      <c r="H295" s="4" t="str">
        <f>IF($B$16="Y","OR","...")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</row>
    <row r="296" spans="1:100" x14ac:dyDescent="0.35">
      <c r="A296" s="1" t="str">
        <f>IF($C$16="Y",'Population Definitions'!$B$13,"...")</f>
        <v>...</v>
      </c>
      <c r="B296" s="4" t="str">
        <f>IF($C$16="Y","---&gt;","...")</f>
        <v>...</v>
      </c>
      <c r="C296" s="1" t="str">
        <f>IF($C$16="Y",'Population Definitions'!$B$3,"...")</f>
        <v>...</v>
      </c>
      <c r="E296" s="2"/>
      <c r="F296" s="3"/>
      <c r="G296" s="2"/>
      <c r="H296" s="4" t="str">
        <f>IF($C$16="Y","OR","...")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</row>
    <row r="297" spans="1:100" x14ac:dyDescent="0.35">
      <c r="A297" s="1" t="str">
        <f>IF($D$16="Y",'Population Definitions'!$B$13,"...")</f>
        <v>...</v>
      </c>
      <c r="B297" s="4" t="str">
        <f>IF($D$16="Y","---&gt;","...")</f>
        <v>...</v>
      </c>
      <c r="C297" s="1" t="str">
        <f>IF($D$16="Y",'Population Definitions'!$B$4,"...")</f>
        <v>...</v>
      </c>
      <c r="E297" s="2"/>
      <c r="F297" s="3"/>
      <c r="G297" s="2"/>
      <c r="H297" s="4" t="str">
        <f>IF($D$16="Y","OR","...")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</row>
    <row r="298" spans="1:100" x14ac:dyDescent="0.35">
      <c r="A298" s="1" t="str">
        <f>IF($E$16="Y",'Population Definitions'!$B$13,"...")</f>
        <v>...</v>
      </c>
      <c r="B298" s="4" t="str">
        <f>IF($E$16="Y","---&gt;","...")</f>
        <v>...</v>
      </c>
      <c r="C298" s="1" t="str">
        <f>IF($E$16="Y",'Population Definitions'!$B$5,"...")</f>
        <v>...</v>
      </c>
      <c r="E298" s="2"/>
      <c r="F298" s="3"/>
      <c r="G298" s="2"/>
      <c r="H298" s="4" t="str">
        <f>IF($E$16="Y","OR","...")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</row>
    <row r="299" spans="1:100" x14ac:dyDescent="0.35">
      <c r="A299" s="1" t="str">
        <f>IF($F$16="Y",'Population Definitions'!$B$13,"...")</f>
        <v>...</v>
      </c>
      <c r="B299" s="4" t="str">
        <f>IF($F$16="Y","---&gt;","...")</f>
        <v>...</v>
      </c>
      <c r="C299" s="1" t="str">
        <f>IF($F$16="Y",'Population Definitions'!$B$6,"...")</f>
        <v>...</v>
      </c>
      <c r="E299" s="2"/>
      <c r="F299" s="3"/>
      <c r="G299" s="2"/>
      <c r="H299" s="4" t="str">
        <f>IF($F$16="Y","OR","...")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</row>
    <row r="300" spans="1:100" x14ac:dyDescent="0.35">
      <c r="A300" s="1" t="str">
        <f>IF($G$16="Y",'Population Definitions'!$B$13,"...")</f>
        <v>...</v>
      </c>
      <c r="B300" s="4" t="str">
        <f>IF($G$16="Y","---&gt;","...")</f>
        <v>...</v>
      </c>
      <c r="C300" s="1" t="str">
        <f>IF($G$16="Y",'Population Definitions'!$B$7,"...")</f>
        <v>...</v>
      </c>
      <c r="E300" s="2"/>
      <c r="F300" s="3"/>
      <c r="G300" s="2"/>
      <c r="H300" s="4" t="str">
        <f>IF($G$16="Y","OR","...")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</row>
    <row r="301" spans="1:100" x14ac:dyDescent="0.35">
      <c r="A301" s="1" t="str">
        <f>IF($H$16="Y",'Population Definitions'!$B$13,"...")</f>
        <v>...</v>
      </c>
      <c r="B301" s="4" t="str">
        <f>IF($H$16="Y","---&gt;","...")</f>
        <v>...</v>
      </c>
      <c r="C301" s="1" t="str">
        <f>IF($H$16="Y",'Population Definitions'!$B$8,"...")</f>
        <v>...</v>
      </c>
      <c r="E301" s="2"/>
      <c r="F301" s="3"/>
      <c r="G301" s="2"/>
      <c r="H301" s="4" t="str">
        <f>IF($H$16="Y","OR","...")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</row>
    <row r="302" spans="1:100" x14ac:dyDescent="0.35">
      <c r="A302" s="1" t="str">
        <f>IF($I$16="Y",'Population Definitions'!$B$13,"...")</f>
        <v>...</v>
      </c>
      <c r="B302" s="4" t="str">
        <f>IF($I$16="Y","---&gt;","...")</f>
        <v>...</v>
      </c>
      <c r="C302" s="1" t="str">
        <f>IF($I$16="Y",'Population Definitions'!$B$9,"...")</f>
        <v>...</v>
      </c>
      <c r="E302" s="2"/>
      <c r="F302" s="3"/>
      <c r="G302" s="2"/>
      <c r="H302" s="4" t="str">
        <f>IF($I$16="Y","OR","...")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</row>
    <row r="303" spans="1:100" x14ac:dyDescent="0.35">
      <c r="A303" s="1" t="str">
        <f>IF($J$16="Y",'Population Definitions'!$B$13,"...")</f>
        <v>...</v>
      </c>
      <c r="B303" s="4" t="str">
        <f>IF($J$16="Y","---&gt;","...")</f>
        <v>...</v>
      </c>
      <c r="C303" s="1" t="str">
        <f>IF($J$16="Y",'Population Definitions'!$B$10,"...")</f>
        <v>...</v>
      </c>
      <c r="E303" s="2"/>
      <c r="F303" s="3"/>
      <c r="G303" s="2"/>
      <c r="H303" s="4" t="str">
        <f>IF($J$16="Y","OR","...")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</row>
    <row r="304" spans="1:100" x14ac:dyDescent="0.35">
      <c r="A304" s="1" t="str">
        <f>IF($K$16="Y",'Population Definitions'!$B$13,"...")</f>
        <v>...</v>
      </c>
      <c r="B304" s="4" t="str">
        <f>IF($K$16="Y","---&gt;","...")</f>
        <v>...</v>
      </c>
      <c r="C304" s="1" t="str">
        <f>IF($K$16="Y",'Population Definitions'!$B$11,"...")</f>
        <v>...</v>
      </c>
      <c r="E304" s="2"/>
      <c r="F304" s="3"/>
      <c r="G304" s="2"/>
      <c r="H304" s="4" t="str">
        <f>IF($K$16="Y","OR","...")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</row>
    <row r="305" spans="1:100" x14ac:dyDescent="0.35">
      <c r="A305" s="1" t="str">
        <f>IF($L$16="Y",'Population Definitions'!$B$13,"...")</f>
        <v>...</v>
      </c>
      <c r="B305" s="4" t="str">
        <f>IF($L$16="Y","---&gt;","...")</f>
        <v>...</v>
      </c>
      <c r="C305" s="1" t="str">
        <f>IF($L$16="Y",'Population Definitions'!$B$12,"...")</f>
        <v>...</v>
      </c>
      <c r="E305" s="2"/>
      <c r="F305" s="3"/>
      <c r="G305" s="2"/>
      <c r="H305" s="4" t="str">
        <f>IF($L$16="Y","OR","...")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</row>
    <row r="306" spans="1:100" x14ac:dyDescent="0.35">
      <c r="A306" s="1" t="str">
        <f>IF($M$16="Y",'Population Definitions'!$B$13,"...")</f>
        <v>...</v>
      </c>
      <c r="B306" s="4" t="str">
        <f>IF($M$16="Y","---&gt;","...")</f>
        <v>...</v>
      </c>
      <c r="C306" s="1" t="str">
        <f>IF($M$16="Y",'Population Definitions'!$B$13,"...")</f>
        <v>...</v>
      </c>
      <c r="E306" s="2"/>
      <c r="F306" s="3"/>
      <c r="G306" s="2"/>
      <c r="H306" s="4" t="str">
        <f>IF($M$16="Y","OR","...")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</row>
    <row r="307" spans="1:100" x14ac:dyDescent="0.35">
      <c r="A307" s="1" t="str">
        <f>IF($N$16="Y",'Population Definitions'!$B$13,"...")</f>
        <v>...</v>
      </c>
      <c r="B307" s="4" t="str">
        <f>IF($N$16="Y","---&gt;","...")</f>
        <v>...</v>
      </c>
      <c r="C307" s="1" t="str">
        <f>IF($N$16="Y",'Population Definitions'!$B$14,"...")</f>
        <v>...</v>
      </c>
      <c r="E307" s="2"/>
      <c r="F307" s="3"/>
      <c r="G307" s="2"/>
      <c r="H307" s="4" t="str">
        <f>IF($N$16="Y","OR","...")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</row>
    <row r="308" spans="1:100" x14ac:dyDescent="0.35">
      <c r="A308" s="1" t="str">
        <f>IF($O$16="Y",'Population Definitions'!$B$13,"...")</f>
        <v>...</v>
      </c>
      <c r="B308" s="4" t="str">
        <f>IF($O$16="Y","---&gt;","...")</f>
        <v>...</v>
      </c>
      <c r="C308" s="1" t="str">
        <f>IF($O$16="Y",'Population Definitions'!$B$15,"...")</f>
        <v>...</v>
      </c>
      <c r="E308" s="2"/>
      <c r="F308" s="3"/>
      <c r="G308" s="2"/>
      <c r="H308" s="4" t="str">
        <f>IF($O$16="Y","OR","...")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</row>
    <row r="309" spans="1:100" x14ac:dyDescent="0.35">
      <c r="A309" s="1" t="str">
        <f>IF($P$16="Y",'Population Definitions'!$B$13,"...")</f>
        <v>...</v>
      </c>
      <c r="B309" s="4" t="str">
        <f>IF($P$16="Y","---&gt;","...")</f>
        <v>...</v>
      </c>
      <c r="C309" s="1" t="str">
        <f>IF($P$16="Y",'Population Definitions'!$B$16,"...")</f>
        <v>...</v>
      </c>
      <c r="E309" s="2"/>
      <c r="F309" s="3"/>
      <c r="G309" s="2"/>
      <c r="H309" s="4" t="str">
        <f>IF($P$16="Y","OR","...")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</row>
    <row r="310" spans="1:100" x14ac:dyDescent="0.35">
      <c r="A310" s="1" t="str">
        <f>IF($Q$16="Y",'Population Definitions'!$B$13,"...")</f>
        <v>...</v>
      </c>
      <c r="B310" s="4" t="str">
        <f>IF($Q$16="Y","---&gt;","...")</f>
        <v>...</v>
      </c>
      <c r="C310" s="1" t="str">
        <f>IF($Q$16="Y",'Population Definitions'!$B$17,"...")</f>
        <v>...</v>
      </c>
      <c r="E310" s="2"/>
      <c r="F310" s="3"/>
      <c r="G310" s="2"/>
      <c r="H310" s="4" t="str">
        <f>IF($Q$16="Y","OR","...")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</row>
    <row r="311" spans="1:100" x14ac:dyDescent="0.35">
      <c r="A311" s="1" t="str">
        <f>IF($R$16="Y",'Population Definitions'!$B$13,"...")</f>
        <v>...</v>
      </c>
      <c r="B311" s="4" t="str">
        <f>IF($R$16="Y","---&gt;","...")</f>
        <v>...</v>
      </c>
      <c r="C311" s="1" t="str">
        <f>IF($R$16="Y",'Population Definitions'!$B$18,"...")</f>
        <v>...</v>
      </c>
      <c r="E311" s="2"/>
      <c r="F311" s="3"/>
      <c r="G311" s="2"/>
      <c r="H311" s="4" t="str">
        <f>IF($R$16="Y","OR","...")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</row>
    <row r="312" spans="1:100" x14ac:dyDescent="0.35">
      <c r="A312" s="1" t="str">
        <f>IF($S$16="Y",'Population Definitions'!$B$13,"...")</f>
        <v>...</v>
      </c>
      <c r="B312" s="4" t="str">
        <f>IF($S$16="Y","---&gt;","...")</f>
        <v>...</v>
      </c>
      <c r="C312" s="1" t="str">
        <f>IF($S$16="Y",'Population Definitions'!$B$19,"...")</f>
        <v>...</v>
      </c>
      <c r="E312" s="2"/>
      <c r="F312" s="3"/>
      <c r="G312" s="2"/>
      <c r="H312" s="4" t="str">
        <f>IF($S$16="Y","OR","...")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</row>
    <row r="313" spans="1:100" x14ac:dyDescent="0.35">
      <c r="A313" s="1" t="str">
        <f>IF($T$16="Y",'Population Definitions'!$B$13,"...")</f>
        <v>...</v>
      </c>
      <c r="B313" s="4" t="str">
        <f>IF($T$16="Y","---&gt;","...")</f>
        <v>...</v>
      </c>
      <c r="C313" s="1" t="str">
        <f>IF($T$16="Y",'Population Definitions'!$B$20,"...")</f>
        <v>...</v>
      </c>
      <c r="E313" s="2"/>
      <c r="F313" s="3"/>
      <c r="G313" s="2"/>
      <c r="H313" s="4" t="str">
        <f>IF($T$16="Y","OR","...")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</row>
    <row r="314" spans="1:100" x14ac:dyDescent="0.35">
      <c r="A314" s="1" t="str">
        <f>IF($U$16="Y",'Population Definitions'!$B$13,"...")</f>
        <v>...</v>
      </c>
      <c r="B314" s="4" t="str">
        <f>IF($U$16="Y","---&gt;","...")</f>
        <v>...</v>
      </c>
      <c r="C314" s="1" t="str">
        <f>IF($U$16="Y",'Population Definitions'!$B$21,"...")</f>
        <v>...</v>
      </c>
      <c r="E314" s="2"/>
      <c r="F314" s="3"/>
      <c r="G314" s="2"/>
      <c r="H314" s="4" t="str">
        <f>IF($U$16="Y","OR","...")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</row>
    <row r="315" spans="1:100" x14ac:dyDescent="0.35">
      <c r="A315" s="1" t="str">
        <f>IF($V$16="Y",'Population Definitions'!$B$13,"...")</f>
        <v>...</v>
      </c>
      <c r="B315" s="4" t="str">
        <f>IF($V$16="Y","---&gt;","...")</f>
        <v>...</v>
      </c>
      <c r="C315" s="1" t="str">
        <f>IF($V$16="Y",'Population Definitions'!$B$22,"...")</f>
        <v>...</v>
      </c>
      <c r="E315" s="2"/>
      <c r="F315" s="3"/>
      <c r="G315" s="2"/>
      <c r="H315" s="4" t="str">
        <f>IF($V$16="Y","OR","...")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</row>
    <row r="316" spans="1:100" x14ac:dyDescent="0.35">
      <c r="A316" s="1" t="str">
        <f>IF($W$16="Y",'Population Definitions'!$B$13,"...")</f>
        <v>...</v>
      </c>
      <c r="B316" s="4" t="str">
        <f>IF($W$16="Y","---&gt;","...")</f>
        <v>...</v>
      </c>
      <c r="C316" s="1" t="str">
        <f>IF($W$16="Y",'Population Definitions'!$B$23,"...")</f>
        <v>...</v>
      </c>
      <c r="E316" s="2"/>
      <c r="F316" s="3"/>
      <c r="G316" s="2"/>
      <c r="H316" s="4" t="str">
        <f>IF($W$16="Y","OR","...")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</row>
    <row r="317" spans="1:100" x14ac:dyDescent="0.35">
      <c r="A317" s="1" t="str">
        <f>IF($X$16="Y",'Population Definitions'!$B$13,"...")</f>
        <v>...</v>
      </c>
      <c r="B317" s="4" t="str">
        <f>IF($X$16="Y","---&gt;","...")</f>
        <v>...</v>
      </c>
      <c r="C317" s="1" t="str">
        <f>IF($X$16="Y",'Population Definitions'!$B$24,"...")</f>
        <v>...</v>
      </c>
      <c r="E317" s="2"/>
      <c r="F317" s="3"/>
      <c r="G317" s="2"/>
      <c r="H317" s="4" t="str">
        <f>IF($X$16="Y","OR","...")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</row>
    <row r="318" spans="1:100" x14ac:dyDescent="0.35">
      <c r="A318" s="1" t="str">
        <f>IF($Y$16="Y",'Population Definitions'!$B$13,"...")</f>
        <v>...</v>
      </c>
      <c r="B318" s="4" t="str">
        <f>IF($Y$16="Y","---&gt;","...")</f>
        <v>...</v>
      </c>
      <c r="C318" s="1" t="str">
        <f>IF($Y$16="Y",'Population Definitions'!$B$25,"...")</f>
        <v>...</v>
      </c>
      <c r="E318" s="2"/>
      <c r="F318" s="3"/>
      <c r="G318" s="2"/>
      <c r="H318" s="4" t="str">
        <f>IF($Y$16="Y","OR","...")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</row>
    <row r="319" spans="1:100" x14ac:dyDescent="0.35">
      <c r="A319" s="1" t="str">
        <f>IF($B$17="Y",'Population Definitions'!$B$14,"...")</f>
        <v>...</v>
      </c>
      <c r="B319" s="4" t="str">
        <f>IF($B$17="Y","---&gt;","...")</f>
        <v>...</v>
      </c>
      <c r="C319" s="1" t="str">
        <f>IF($B$17="Y",'Population Definitions'!$B$2,"...")</f>
        <v>...</v>
      </c>
      <c r="E319" s="2"/>
      <c r="F319" s="3"/>
      <c r="G319" s="2"/>
      <c r="H319" s="4" t="str">
        <f>IF($B$17="Y","OR","...")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</row>
    <row r="320" spans="1:100" x14ac:dyDescent="0.35">
      <c r="A320" s="1" t="str">
        <f>IF($C$17="Y",'Population Definitions'!$B$14,"...")</f>
        <v>...</v>
      </c>
      <c r="B320" s="4" t="str">
        <f>IF($C$17="Y","---&gt;","...")</f>
        <v>...</v>
      </c>
      <c r="C320" s="1" t="str">
        <f>IF($C$17="Y",'Population Definitions'!$B$3,"...")</f>
        <v>...</v>
      </c>
      <c r="E320" s="2"/>
      <c r="F320" s="3"/>
      <c r="G320" s="2"/>
      <c r="H320" s="4" t="str">
        <f>IF($C$17="Y","OR","...")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</row>
    <row r="321" spans="1:100" x14ac:dyDescent="0.35">
      <c r="A321" s="1" t="str">
        <f>IF($D$17="Y",'Population Definitions'!$B$14,"...")</f>
        <v>...</v>
      </c>
      <c r="B321" s="4" t="str">
        <f>IF($D$17="Y","---&gt;","...")</f>
        <v>...</v>
      </c>
      <c r="C321" s="1" t="str">
        <f>IF($D$17="Y",'Population Definitions'!$B$4,"...")</f>
        <v>...</v>
      </c>
      <c r="E321" s="2"/>
      <c r="F321" s="3"/>
      <c r="G321" s="2"/>
      <c r="H321" s="4" t="str">
        <f>IF($D$17="Y","OR","...")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</row>
    <row r="322" spans="1:100" x14ac:dyDescent="0.35">
      <c r="A322" s="1" t="str">
        <f>IF($E$17="Y",'Population Definitions'!$B$14,"...")</f>
        <v>...</v>
      </c>
      <c r="B322" s="4" t="str">
        <f>IF($E$17="Y","---&gt;","...")</f>
        <v>...</v>
      </c>
      <c r="C322" s="1" t="str">
        <f>IF($E$17="Y",'Population Definitions'!$B$5,"...")</f>
        <v>...</v>
      </c>
      <c r="E322" s="2"/>
      <c r="F322" s="3"/>
      <c r="G322" s="2"/>
      <c r="H322" s="4" t="str">
        <f>IF($E$17="Y","OR","...")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</row>
    <row r="323" spans="1:100" x14ac:dyDescent="0.35">
      <c r="A323" s="1" t="str">
        <f>IF($F$17="Y",'Population Definitions'!$B$14,"...")</f>
        <v>...</v>
      </c>
      <c r="B323" s="4" t="str">
        <f>IF($F$17="Y","---&gt;","...")</f>
        <v>...</v>
      </c>
      <c r="C323" s="1" t="str">
        <f>IF($F$17="Y",'Population Definitions'!$B$6,"...")</f>
        <v>...</v>
      </c>
      <c r="E323" s="2"/>
      <c r="F323" s="3"/>
      <c r="G323" s="2"/>
      <c r="H323" s="4" t="str">
        <f>IF($F$17="Y","OR","...")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</row>
    <row r="324" spans="1:100" x14ac:dyDescent="0.35">
      <c r="A324" s="1" t="str">
        <f>IF($G$17="Y",'Population Definitions'!$B$14,"...")</f>
        <v>...</v>
      </c>
      <c r="B324" s="4" t="str">
        <f>IF($G$17="Y","---&gt;","...")</f>
        <v>...</v>
      </c>
      <c r="C324" s="1" t="str">
        <f>IF($G$17="Y",'Population Definitions'!$B$7,"...")</f>
        <v>...</v>
      </c>
      <c r="E324" s="2"/>
      <c r="F324" s="3"/>
      <c r="G324" s="2"/>
      <c r="H324" s="4" t="str">
        <f>IF($G$17="Y","OR","...")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</row>
    <row r="325" spans="1:100" x14ac:dyDescent="0.35">
      <c r="A325" s="1" t="str">
        <f>IF($H$17="Y",'Population Definitions'!$B$14,"...")</f>
        <v>...</v>
      </c>
      <c r="B325" s="4" t="str">
        <f>IF($H$17="Y","---&gt;","...")</f>
        <v>...</v>
      </c>
      <c r="C325" s="1" t="str">
        <f>IF($H$17="Y",'Population Definitions'!$B$8,"...")</f>
        <v>...</v>
      </c>
      <c r="E325" s="2"/>
      <c r="F325" s="3"/>
      <c r="G325" s="2"/>
      <c r="H325" s="4" t="str">
        <f>IF($H$17="Y","OR","...")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</row>
    <row r="326" spans="1:100" x14ac:dyDescent="0.35">
      <c r="A326" s="1" t="str">
        <f>IF($I$17="Y",'Population Definitions'!$B$14,"...")</f>
        <v>...</v>
      </c>
      <c r="B326" s="4" t="str">
        <f>IF($I$17="Y","---&gt;","...")</f>
        <v>...</v>
      </c>
      <c r="C326" s="1" t="str">
        <f>IF($I$17="Y",'Population Definitions'!$B$9,"...")</f>
        <v>...</v>
      </c>
      <c r="E326" s="2"/>
      <c r="F326" s="3"/>
      <c r="G326" s="2"/>
      <c r="H326" s="4" t="str">
        <f>IF($I$17="Y","OR","...")</f>
        <v>...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</row>
    <row r="327" spans="1:100" x14ac:dyDescent="0.35">
      <c r="A327" s="1" t="str">
        <f>IF($J$17="Y",'Population Definitions'!$B$14,"...")</f>
        <v>...</v>
      </c>
      <c r="B327" s="4" t="str">
        <f>IF($J$17="Y","---&gt;","...")</f>
        <v>...</v>
      </c>
      <c r="C327" s="1" t="str">
        <f>IF($J$17="Y",'Population Definitions'!$B$10,"...")</f>
        <v>...</v>
      </c>
      <c r="E327" s="2"/>
      <c r="F327" s="3"/>
      <c r="G327" s="2"/>
      <c r="H327" s="4" t="str">
        <f>IF($J$17="Y","OR","...")</f>
        <v>...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</row>
    <row r="328" spans="1:100" x14ac:dyDescent="0.35">
      <c r="A328" s="1" t="str">
        <f>IF($K$17="Y",'Population Definitions'!$B$14,"...")</f>
        <v>...</v>
      </c>
      <c r="B328" s="4" t="str">
        <f>IF($K$17="Y","---&gt;","...")</f>
        <v>...</v>
      </c>
      <c r="C328" s="1" t="str">
        <f>IF($K$17="Y",'Population Definitions'!$B$11,"...")</f>
        <v>...</v>
      </c>
      <c r="E328" s="2"/>
      <c r="F328" s="3"/>
      <c r="G328" s="2"/>
      <c r="H328" s="4" t="str">
        <f>IF($K$17="Y","OR","...")</f>
        <v>...</v>
      </c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</row>
    <row r="329" spans="1:100" x14ac:dyDescent="0.35">
      <c r="A329" s="1" t="str">
        <f>IF($L$17="Y",'Population Definitions'!$B$14,"...")</f>
        <v>...</v>
      </c>
      <c r="B329" s="4" t="str">
        <f>IF($L$17="Y","---&gt;","...")</f>
        <v>...</v>
      </c>
      <c r="C329" s="1" t="str">
        <f>IF($L$17="Y",'Population Definitions'!$B$12,"...")</f>
        <v>...</v>
      </c>
      <c r="E329" s="2"/>
      <c r="F329" s="3"/>
      <c r="G329" s="2"/>
      <c r="H329" s="4" t="str">
        <f>IF($L$17="Y","OR","...")</f>
        <v>...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</row>
    <row r="330" spans="1:100" x14ac:dyDescent="0.35">
      <c r="A330" s="1" t="str">
        <f>IF($M$17="Y",'Population Definitions'!$B$14,"...")</f>
        <v>...</v>
      </c>
      <c r="B330" s="4" t="str">
        <f>IF($M$17="Y","---&gt;","...")</f>
        <v>...</v>
      </c>
      <c r="C330" s="1" t="str">
        <f>IF($M$17="Y",'Population Definitions'!$B$13,"...")</f>
        <v>...</v>
      </c>
      <c r="E330" s="2"/>
      <c r="F330" s="3"/>
      <c r="G330" s="2"/>
      <c r="H330" s="4" t="str">
        <f>IF($M$17="Y","OR","...")</f>
        <v>...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</row>
    <row r="331" spans="1:100" x14ac:dyDescent="0.35">
      <c r="A331" s="1" t="str">
        <f>IF($N$17="Y",'Population Definitions'!$B$14,"...")</f>
        <v>...</v>
      </c>
      <c r="B331" s="4" t="str">
        <f>IF($N$17="Y","---&gt;","...")</f>
        <v>...</v>
      </c>
      <c r="C331" s="1" t="str">
        <f>IF($N$17="Y",'Population Definitions'!$B$14,"...")</f>
        <v>...</v>
      </c>
      <c r="E331" s="2"/>
      <c r="F331" s="3"/>
      <c r="G331" s="2"/>
      <c r="H331" s="4" t="str">
        <f>IF($N$17="Y","OR","...")</f>
        <v>...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</row>
    <row r="332" spans="1:100" x14ac:dyDescent="0.35">
      <c r="A332" s="1" t="str">
        <f>IF($O$17="Y",'Population Definitions'!$B$14,"...")</f>
        <v>lros_0-14_M</v>
      </c>
      <c r="B332" s="4" t="str">
        <f>IF($O$17="Y","---&gt;","...")</f>
        <v>---&gt;</v>
      </c>
      <c r="C332" s="1" t="str">
        <f>IF($O$17="Y",'Population Definitions'!$B$15,"...")</f>
        <v>lros_15-64_M</v>
      </c>
      <c r="E332" s="2" t="s">
        <v>49</v>
      </c>
      <c r="F332" s="3"/>
      <c r="G332">
        <f>1/15</f>
        <v>6.6666666666666666E-2</v>
      </c>
      <c r="H332" s="4" t="str">
        <f>IF($O$17="Y","OR","...")</f>
        <v>OR</v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</row>
    <row r="333" spans="1:100" x14ac:dyDescent="0.35">
      <c r="A333" s="1" t="str">
        <f>IF($P$17="Y",'Population Definitions'!$B$14,"...")</f>
        <v>...</v>
      </c>
      <c r="B333" s="4" t="str">
        <f>IF($P$17="Y","---&gt;","...")</f>
        <v>...</v>
      </c>
      <c r="C333" s="1" t="str">
        <f>IF($P$17="Y",'Population Definitions'!$B$16,"...")</f>
        <v>...</v>
      </c>
      <c r="E333" s="2"/>
      <c r="F333" s="3"/>
      <c r="G333" s="2"/>
      <c r="H333" s="4" t="str">
        <f>IF($P$17="Y","OR","...")</f>
        <v>...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</row>
    <row r="334" spans="1:100" x14ac:dyDescent="0.35">
      <c r="A334" s="1" t="str">
        <f>IF($Q$17="Y",'Population Definitions'!$B$14,"...")</f>
        <v>...</v>
      </c>
      <c r="B334" s="4" t="str">
        <f>IF($Q$17="Y","---&gt;","...")</f>
        <v>...</v>
      </c>
      <c r="C334" s="1" t="str">
        <f>IF($Q$17="Y",'Population Definitions'!$B$17,"...")</f>
        <v>...</v>
      </c>
      <c r="E334" s="2"/>
      <c r="F334" s="3"/>
      <c r="G334" s="2"/>
      <c r="H334" s="4" t="str">
        <f>IF($Q$17="Y","OR","...")</f>
        <v>...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</row>
    <row r="335" spans="1:100" x14ac:dyDescent="0.35">
      <c r="A335" s="1" t="str">
        <f>IF($R$17="Y",'Population Definitions'!$B$14,"...")</f>
        <v>...</v>
      </c>
      <c r="B335" s="4" t="str">
        <f>IF($R$17="Y","---&gt;","...")</f>
        <v>...</v>
      </c>
      <c r="C335" s="1" t="str">
        <f>IF($R$17="Y",'Population Definitions'!$B$18,"...")</f>
        <v>...</v>
      </c>
      <c r="E335" s="2"/>
      <c r="F335" s="3"/>
      <c r="G335" s="2"/>
      <c r="H335" s="4" t="str">
        <f>IF($R$17="Y","OR","...")</f>
        <v>...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</row>
    <row r="336" spans="1:100" x14ac:dyDescent="0.35">
      <c r="A336" s="1" t="str">
        <f>IF($S$17="Y",'Population Definitions'!$B$14,"...")</f>
        <v>...</v>
      </c>
      <c r="B336" s="4" t="str">
        <f>IF($S$17="Y","---&gt;","...")</f>
        <v>...</v>
      </c>
      <c r="C336" s="1" t="str">
        <f>IF($S$17="Y",'Population Definitions'!$B$19,"...")</f>
        <v>...</v>
      </c>
      <c r="E336" s="2"/>
      <c r="F336" s="3"/>
      <c r="G336" s="2"/>
      <c r="H336" s="4" t="str">
        <f>IF($S$17="Y","OR","...")</f>
        <v>...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</row>
    <row r="337" spans="1:100" x14ac:dyDescent="0.35">
      <c r="A337" s="1" t="str">
        <f>IF($T$17="Y",'Population Definitions'!$B$14,"...")</f>
        <v>...</v>
      </c>
      <c r="B337" s="4" t="str">
        <f>IF($T$17="Y","---&gt;","...")</f>
        <v>...</v>
      </c>
      <c r="C337" s="1" t="str">
        <f>IF($T$17="Y",'Population Definitions'!$B$20,"...")</f>
        <v>...</v>
      </c>
      <c r="E337" s="2"/>
      <c r="F337" s="3"/>
      <c r="G337" s="2"/>
      <c r="H337" s="4" t="str">
        <f>IF($T$17="Y","OR","...")</f>
        <v>...</v>
      </c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</row>
    <row r="338" spans="1:100" x14ac:dyDescent="0.35">
      <c r="A338" s="1" t="str">
        <f>IF($U$17="Y",'Population Definitions'!$B$14,"...")</f>
        <v>...</v>
      </c>
      <c r="B338" s="4" t="str">
        <f>IF($U$17="Y","---&gt;","...")</f>
        <v>...</v>
      </c>
      <c r="C338" s="1" t="str">
        <f>IF($U$17="Y",'Population Definitions'!$B$21,"...")</f>
        <v>...</v>
      </c>
      <c r="E338" s="2"/>
      <c r="F338" s="3"/>
      <c r="G338" s="2"/>
      <c r="H338" s="4" t="str">
        <f>IF($U$17="Y","OR","...")</f>
        <v>...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</row>
    <row r="339" spans="1:100" x14ac:dyDescent="0.35">
      <c r="A339" s="1" t="str">
        <f>IF($V$17="Y",'Population Definitions'!$B$14,"...")</f>
        <v>...</v>
      </c>
      <c r="B339" s="4" t="str">
        <f>IF($V$17="Y","---&gt;","...")</f>
        <v>...</v>
      </c>
      <c r="C339" s="1" t="str">
        <f>IF($V$17="Y",'Population Definitions'!$B$22,"...")</f>
        <v>...</v>
      </c>
      <c r="E339" s="2"/>
      <c r="F339" s="3"/>
      <c r="G339" s="2"/>
      <c r="H339" s="4" t="str">
        <f>IF($V$17="Y","OR","...")</f>
        <v>...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</row>
    <row r="340" spans="1:100" x14ac:dyDescent="0.35">
      <c r="A340" s="1" t="str">
        <f>IF($W$17="Y",'Population Definitions'!$B$14,"...")</f>
        <v>...</v>
      </c>
      <c r="B340" s="4" t="str">
        <f>IF($W$17="Y","---&gt;","...")</f>
        <v>...</v>
      </c>
      <c r="C340" s="1" t="str">
        <f>IF($W$17="Y",'Population Definitions'!$B$23,"...")</f>
        <v>...</v>
      </c>
      <c r="E340" s="2"/>
      <c r="F340" s="3"/>
      <c r="G340" s="2"/>
      <c r="H340" s="4" t="str">
        <f>IF($W$17="Y","OR","...")</f>
        <v>...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</row>
    <row r="341" spans="1:100" x14ac:dyDescent="0.35">
      <c r="A341" s="1" t="str">
        <f>IF($X$17="Y",'Population Definitions'!$B$14,"...")</f>
        <v>...</v>
      </c>
      <c r="B341" s="4" t="str">
        <f>IF($X$17="Y","---&gt;","...")</f>
        <v>...</v>
      </c>
      <c r="C341" s="1" t="str">
        <f>IF($X$17="Y",'Population Definitions'!$B$24,"...")</f>
        <v>...</v>
      </c>
      <c r="E341" s="2"/>
      <c r="F341" s="3"/>
      <c r="G341" s="2"/>
      <c r="H341" s="4" t="str">
        <f>IF($X$17="Y","OR","...")</f>
        <v>...</v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</row>
    <row r="342" spans="1:100" x14ac:dyDescent="0.35">
      <c r="A342" s="1" t="str">
        <f>IF($Y$17="Y",'Population Definitions'!$B$14,"...")</f>
        <v>...</v>
      </c>
      <c r="B342" s="4" t="str">
        <f>IF($Y$17="Y","---&gt;","...")</f>
        <v>...</v>
      </c>
      <c r="C342" s="1" t="str">
        <f>IF($Y$17="Y",'Population Definitions'!$B$25,"...")</f>
        <v>...</v>
      </c>
      <c r="E342" s="2"/>
      <c r="F342" s="3"/>
      <c r="G342" s="2"/>
      <c r="H342" s="4" t="str">
        <f>IF($Y$17="Y","OR","...")</f>
        <v>...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</row>
    <row r="343" spans="1:100" x14ac:dyDescent="0.35">
      <c r="A343" s="1" t="str">
        <f>IF($B$18="Y",'Population Definitions'!$B$15,"...")</f>
        <v>...</v>
      </c>
      <c r="B343" s="4" t="str">
        <f>IF($B$18="Y","---&gt;","...")</f>
        <v>...</v>
      </c>
      <c r="C343" s="1" t="str">
        <f>IF($B$18="Y",'Population Definitions'!$B$2,"...")</f>
        <v>...</v>
      </c>
      <c r="E343" s="2"/>
      <c r="F343" s="3"/>
      <c r="G343" s="2"/>
      <c r="H343" s="4" t="str">
        <f>IF($B$18="Y","OR","...")</f>
        <v>...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</row>
    <row r="344" spans="1:100" x14ac:dyDescent="0.35">
      <c r="A344" s="1" t="str">
        <f>IF($C$18="Y",'Population Definitions'!$B$15,"...")</f>
        <v>...</v>
      </c>
      <c r="B344" s="4" t="str">
        <f>IF($C$18="Y","---&gt;","...")</f>
        <v>...</v>
      </c>
      <c r="C344" s="1" t="str">
        <f>IF($C$18="Y",'Population Definitions'!$B$3,"...")</f>
        <v>...</v>
      </c>
      <c r="E344" s="2"/>
      <c r="F344" s="3"/>
      <c r="G344" s="2"/>
      <c r="H344" s="4" t="str">
        <f>IF($C$18="Y","OR","...")</f>
        <v>...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</row>
    <row r="345" spans="1:100" x14ac:dyDescent="0.35">
      <c r="A345" s="1" t="str">
        <f>IF($D$18="Y",'Population Definitions'!$B$15,"...")</f>
        <v>...</v>
      </c>
      <c r="B345" s="4" t="str">
        <f>IF($D$18="Y","---&gt;","...")</f>
        <v>...</v>
      </c>
      <c r="C345" s="1" t="str">
        <f>IF($D$18="Y",'Population Definitions'!$B$4,"...")</f>
        <v>...</v>
      </c>
      <c r="E345" s="2"/>
      <c r="F345" s="3"/>
      <c r="G345" s="2"/>
      <c r="H345" s="4" t="str">
        <f>IF($D$18="Y","OR","...")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</row>
    <row r="346" spans="1:100" x14ac:dyDescent="0.35">
      <c r="A346" s="1" t="str">
        <f>IF($E$18="Y",'Population Definitions'!$B$15,"...")</f>
        <v>...</v>
      </c>
      <c r="B346" s="4" t="str">
        <f>IF($E$18="Y","---&gt;","...")</f>
        <v>...</v>
      </c>
      <c r="C346" s="1" t="str">
        <f>IF($E$18="Y",'Population Definitions'!$B$5,"...")</f>
        <v>...</v>
      </c>
      <c r="E346" s="2"/>
      <c r="F346" s="3"/>
      <c r="G346" s="2"/>
      <c r="H346" s="4" t="str">
        <f>IF($E$18="Y","OR","...")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</row>
    <row r="347" spans="1:100" x14ac:dyDescent="0.35">
      <c r="A347" s="1" t="str">
        <f>IF($F$18="Y",'Population Definitions'!$B$15,"...")</f>
        <v>...</v>
      </c>
      <c r="B347" s="4" t="str">
        <f>IF($F$18="Y","---&gt;","...")</f>
        <v>...</v>
      </c>
      <c r="C347" s="1" t="str">
        <f>IF($F$18="Y",'Population Definitions'!$B$6,"...")</f>
        <v>...</v>
      </c>
      <c r="E347" s="2"/>
      <c r="F347" s="3"/>
      <c r="G347" s="2"/>
      <c r="H347" s="4" t="str">
        <f>IF($F$18="Y","OR","...")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</row>
    <row r="348" spans="1:100" x14ac:dyDescent="0.35">
      <c r="A348" s="1" t="str">
        <f>IF($G$18="Y",'Population Definitions'!$B$15,"...")</f>
        <v>...</v>
      </c>
      <c r="B348" s="4" t="str">
        <f>IF($G$18="Y","---&gt;","...")</f>
        <v>...</v>
      </c>
      <c r="C348" s="1" t="str">
        <f>IF($G$18="Y",'Population Definitions'!$B$7,"...")</f>
        <v>...</v>
      </c>
      <c r="E348" s="2"/>
      <c r="F348" s="3"/>
      <c r="G348" s="2"/>
      <c r="H348" s="4" t="str">
        <f>IF($G$18="Y","OR","...")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</row>
    <row r="349" spans="1:100" x14ac:dyDescent="0.35">
      <c r="A349" s="1" t="str">
        <f>IF($H$18="Y",'Population Definitions'!$B$15,"...")</f>
        <v>...</v>
      </c>
      <c r="B349" s="4" t="str">
        <f>IF($H$18="Y","---&gt;","...")</f>
        <v>...</v>
      </c>
      <c r="C349" s="1" t="str">
        <f>IF($H$18="Y",'Population Definitions'!$B$8,"...")</f>
        <v>...</v>
      </c>
      <c r="E349" s="2"/>
      <c r="F349" s="3"/>
      <c r="G349" s="2"/>
      <c r="H349" s="4" t="str">
        <f>IF($H$18="Y","OR","...")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</row>
    <row r="350" spans="1:100" x14ac:dyDescent="0.35">
      <c r="A350" s="1" t="str">
        <f>IF($I$18="Y",'Population Definitions'!$B$15,"...")</f>
        <v>...</v>
      </c>
      <c r="B350" s="4" t="str">
        <f>IF($I$18="Y","---&gt;","...")</f>
        <v>...</v>
      </c>
      <c r="C350" s="1" t="str">
        <f>IF($I$18="Y",'Population Definitions'!$B$9,"...")</f>
        <v>...</v>
      </c>
      <c r="E350" s="2"/>
      <c r="F350" s="3"/>
      <c r="G350" s="2"/>
      <c r="H350" s="4" t="str">
        <f>IF($I$18="Y","OR","...")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</row>
    <row r="351" spans="1:100" x14ac:dyDescent="0.35">
      <c r="A351" s="1" t="str">
        <f>IF($J$18="Y",'Population Definitions'!$B$15,"...")</f>
        <v>...</v>
      </c>
      <c r="B351" s="4" t="str">
        <f>IF($J$18="Y","---&gt;","...")</f>
        <v>...</v>
      </c>
      <c r="C351" s="1" t="str">
        <f>IF($J$18="Y",'Population Definitions'!$B$10,"...")</f>
        <v>...</v>
      </c>
      <c r="E351" s="2"/>
      <c r="F351" s="3"/>
      <c r="G351" s="2"/>
      <c r="H351" s="4" t="str">
        <f>IF($J$18="Y","OR","...")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</row>
    <row r="352" spans="1:100" x14ac:dyDescent="0.35">
      <c r="A352" s="1" t="str">
        <f>IF($K$18="Y",'Population Definitions'!$B$15,"...")</f>
        <v>...</v>
      </c>
      <c r="B352" s="4" t="str">
        <f>IF($K$18="Y","---&gt;","...")</f>
        <v>...</v>
      </c>
      <c r="C352" s="1" t="str">
        <f>IF($K$18="Y",'Population Definitions'!$B$11,"...")</f>
        <v>...</v>
      </c>
      <c r="E352" s="2"/>
      <c r="F352" s="3"/>
      <c r="G352" s="2"/>
      <c r="H352" s="4" t="str">
        <f>IF($K$18="Y","OR","...")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</row>
    <row r="353" spans="1:100" x14ac:dyDescent="0.35">
      <c r="A353" s="1" t="str">
        <f>IF($L$18="Y",'Population Definitions'!$B$15,"...")</f>
        <v>...</v>
      </c>
      <c r="B353" s="4" t="str">
        <f>IF($L$18="Y","---&gt;","...")</f>
        <v>...</v>
      </c>
      <c r="C353" s="1" t="str">
        <f>IF($L$18="Y",'Population Definitions'!$B$12,"...")</f>
        <v>...</v>
      </c>
      <c r="E353" s="2"/>
      <c r="F353" s="3"/>
      <c r="G353" s="2"/>
      <c r="H353" s="4" t="str">
        <f>IF($L$18="Y","OR","...")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</row>
    <row r="354" spans="1:100" x14ac:dyDescent="0.35">
      <c r="A354" s="1" t="str">
        <f>IF($M$18="Y",'Population Definitions'!$B$15,"...")</f>
        <v>...</v>
      </c>
      <c r="B354" s="4" t="str">
        <f>IF($M$18="Y","---&gt;","...")</f>
        <v>...</v>
      </c>
      <c r="C354" s="1" t="str">
        <f>IF($M$18="Y",'Population Definitions'!$B$13,"...")</f>
        <v>...</v>
      </c>
      <c r="E354" s="2"/>
      <c r="F354" s="3"/>
      <c r="G354" s="2"/>
      <c r="H354" s="4" t="str">
        <f>IF($M$18="Y","OR","...")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</row>
    <row r="355" spans="1:100" x14ac:dyDescent="0.35">
      <c r="A355" s="1" t="str">
        <f>IF($N$18="Y",'Population Definitions'!$B$15,"...")</f>
        <v>...</v>
      </c>
      <c r="B355" s="4" t="str">
        <f>IF($N$18="Y","---&gt;","...")</f>
        <v>...</v>
      </c>
      <c r="C355" s="1" t="str">
        <f>IF($N$18="Y",'Population Definitions'!$B$14,"...")</f>
        <v>...</v>
      </c>
      <c r="E355" s="2"/>
      <c r="F355" s="3"/>
      <c r="G355" s="2"/>
      <c r="H355" s="4" t="str">
        <f>IF($N$18="Y","OR","...")</f>
        <v>...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</row>
    <row r="356" spans="1:100" x14ac:dyDescent="0.35">
      <c r="A356" s="1" t="str">
        <f>IF($O$18="Y",'Population Definitions'!$B$15,"...")</f>
        <v>...</v>
      </c>
      <c r="B356" s="4" t="str">
        <f>IF($O$18="Y","---&gt;","...")</f>
        <v>...</v>
      </c>
      <c r="C356" s="1" t="str">
        <f>IF($O$18="Y",'Population Definitions'!$B$15,"...")</f>
        <v>...</v>
      </c>
      <c r="E356" s="2"/>
      <c r="F356" s="3"/>
      <c r="G356" s="2"/>
      <c r="H356" s="4" t="str">
        <f>IF($O$18="Y","OR","...")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</row>
    <row r="357" spans="1:100" x14ac:dyDescent="0.35">
      <c r="A357" s="1" t="str">
        <f>IF($P$18="Y",'Population Definitions'!$B$15,"...")</f>
        <v>lros_15-64_M</v>
      </c>
      <c r="B357" s="4" t="str">
        <f>IF($P$18="Y","---&gt;","...")</f>
        <v>---&gt;</v>
      </c>
      <c r="C357" s="1" t="str">
        <f>IF($P$18="Y",'Population Definitions'!$B$16,"...")</f>
        <v>lros_65+_M</v>
      </c>
      <c r="E357" s="2" t="s">
        <v>49</v>
      </c>
      <c r="F357" s="3"/>
      <c r="G357" s="2">
        <f>1/40</f>
        <v>2.5000000000000001E-2</v>
      </c>
      <c r="H357" s="4" t="str">
        <f>IF($P$18="Y","OR","...")</f>
        <v>OR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</row>
    <row r="358" spans="1:100" x14ac:dyDescent="0.35">
      <c r="A358" s="1" t="str">
        <f>IF($Q$18="Y",'Population Definitions'!$B$15,"...")</f>
        <v>...</v>
      </c>
      <c r="B358" s="4" t="str">
        <f>IF($Q$18="Y","---&gt;","...")</f>
        <v>...</v>
      </c>
      <c r="C358" s="1" t="str">
        <f>IF($Q$18="Y",'Population Definitions'!$B$17,"...")</f>
        <v>...</v>
      </c>
      <c r="E358" s="2"/>
      <c r="F358" s="3"/>
      <c r="G358" s="2"/>
      <c r="H358" s="4" t="str">
        <f>IF($Q$18="Y","OR","...")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</row>
    <row r="359" spans="1:100" x14ac:dyDescent="0.35">
      <c r="A359" s="1" t="str">
        <f>IF($R$18="Y",'Population Definitions'!$B$15,"...")</f>
        <v>...</v>
      </c>
      <c r="B359" s="4" t="str">
        <f>IF($R$18="Y","---&gt;","...")</f>
        <v>...</v>
      </c>
      <c r="C359" s="1" t="str">
        <f>IF($R$18="Y",'Population Definitions'!$B$18,"...")</f>
        <v>...</v>
      </c>
      <c r="E359" s="2"/>
      <c r="F359" s="3"/>
      <c r="G359" s="2"/>
      <c r="H359" s="4" t="str">
        <f>IF($R$18="Y","OR","...")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</row>
    <row r="360" spans="1:100" x14ac:dyDescent="0.35">
      <c r="A360" s="1" t="str">
        <f>IF($S$18="Y",'Population Definitions'!$B$15,"...")</f>
        <v>...</v>
      </c>
      <c r="B360" s="4" t="str">
        <f>IF($S$18="Y","---&gt;","...")</f>
        <v>...</v>
      </c>
      <c r="C360" s="1" t="str">
        <f>IF($S$18="Y",'Population Definitions'!$B$19,"...")</f>
        <v>...</v>
      </c>
      <c r="E360" s="2"/>
      <c r="F360" s="3"/>
      <c r="G360" s="2"/>
      <c r="H360" s="4" t="str">
        <f>IF($S$18="Y","OR","...")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</row>
    <row r="361" spans="1:100" x14ac:dyDescent="0.35">
      <c r="A361" s="1" t="str">
        <f>IF($T$18="Y",'Population Definitions'!$B$15,"...")</f>
        <v>...</v>
      </c>
      <c r="B361" s="4" t="str">
        <f>IF($T$18="Y","---&gt;","...")</f>
        <v>...</v>
      </c>
      <c r="C361" s="1" t="str">
        <f>IF($T$18="Y",'Population Definitions'!$B$20,"...")</f>
        <v>...</v>
      </c>
      <c r="E361" s="2"/>
      <c r="F361" s="3"/>
      <c r="G361" s="2"/>
      <c r="H361" s="4" t="str">
        <f>IF($T$18="Y","OR","...")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</row>
    <row r="362" spans="1:100" x14ac:dyDescent="0.35">
      <c r="A362" s="1" t="str">
        <f>IF($U$18="Y",'Population Definitions'!$B$15,"...")</f>
        <v>...</v>
      </c>
      <c r="B362" s="4" t="str">
        <f>IF($U$18="Y","---&gt;","...")</f>
        <v>...</v>
      </c>
      <c r="C362" s="1" t="str">
        <f>IF($U$18="Y",'Population Definitions'!$B$21,"...")</f>
        <v>...</v>
      </c>
      <c r="E362" s="2"/>
      <c r="F362" s="3"/>
      <c r="G362" s="2"/>
      <c r="H362" s="4" t="str">
        <f>IF($U$18="Y","OR","...")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</row>
    <row r="363" spans="1:100" x14ac:dyDescent="0.35">
      <c r="A363" s="1" t="str">
        <f>IF($V$18="Y",'Population Definitions'!$B$15,"...")</f>
        <v>...</v>
      </c>
      <c r="B363" s="4" t="str">
        <f>IF($V$18="Y","---&gt;","...")</f>
        <v>...</v>
      </c>
      <c r="C363" s="1" t="str">
        <f>IF($V$18="Y",'Population Definitions'!$B$22,"...")</f>
        <v>...</v>
      </c>
      <c r="E363" s="2"/>
      <c r="F363" s="3"/>
      <c r="G363" s="2"/>
      <c r="H363" s="4" t="str">
        <f>IF($V$18="Y","OR","...")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</row>
    <row r="364" spans="1:100" x14ac:dyDescent="0.35">
      <c r="A364" s="1" t="str">
        <f>IF($W$18="Y",'Population Definitions'!$B$15,"...")</f>
        <v>...</v>
      </c>
      <c r="B364" s="4" t="str">
        <f>IF($W$18="Y","---&gt;","...")</f>
        <v>...</v>
      </c>
      <c r="C364" s="1" t="str">
        <f>IF($W$18="Y",'Population Definitions'!$B$23,"...")</f>
        <v>...</v>
      </c>
      <c r="E364" s="2"/>
      <c r="F364" s="3"/>
      <c r="G364" s="2"/>
      <c r="H364" s="4" t="str">
        <f>IF($W$18="Y","OR","...")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</row>
    <row r="365" spans="1:100" x14ac:dyDescent="0.35">
      <c r="A365" s="1" t="str">
        <f>IF($X$18="Y",'Population Definitions'!$B$15,"...")</f>
        <v>...</v>
      </c>
      <c r="B365" s="4" t="str">
        <f>IF($X$18="Y","---&gt;","...")</f>
        <v>...</v>
      </c>
      <c r="C365" s="1" t="str">
        <f>IF($X$18="Y",'Population Definitions'!$B$24,"...")</f>
        <v>...</v>
      </c>
      <c r="E365" s="2"/>
      <c r="F365" s="3"/>
      <c r="G365" s="2"/>
      <c r="H365" s="4" t="str">
        <f>IF($X$18="Y","OR","...")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</row>
    <row r="366" spans="1:100" x14ac:dyDescent="0.35">
      <c r="A366" s="1" t="str">
        <f>IF($Y$18="Y",'Population Definitions'!$B$15,"...")</f>
        <v>...</v>
      </c>
      <c r="B366" s="4" t="str">
        <f>IF($Y$18="Y","---&gt;","...")</f>
        <v>...</v>
      </c>
      <c r="C366" s="1" t="str">
        <f>IF($Y$18="Y",'Population Definitions'!$B$25,"...")</f>
        <v>...</v>
      </c>
      <c r="E366" s="2"/>
      <c r="F366" s="3"/>
      <c r="G366" s="2"/>
      <c r="H366" s="4" t="str">
        <f>IF($Y$18="Y","OR","...")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</row>
    <row r="367" spans="1:100" x14ac:dyDescent="0.35">
      <c r="A367" s="1" t="str">
        <f>IF($B$19="Y",'Population Definitions'!$B$16,"...")</f>
        <v>...</v>
      </c>
      <c r="B367" s="4" t="str">
        <f>IF($B$19="Y","---&gt;","...")</f>
        <v>...</v>
      </c>
      <c r="C367" s="1" t="str">
        <f>IF($B$19="Y",'Population Definitions'!$B$2,"...")</f>
        <v>...</v>
      </c>
      <c r="E367" s="2"/>
      <c r="F367" s="3"/>
      <c r="G367" s="2"/>
      <c r="H367" s="4" t="str">
        <f>IF($B$19="Y","OR","...")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</row>
    <row r="368" spans="1:100" x14ac:dyDescent="0.35">
      <c r="A368" s="1" t="str">
        <f>IF($C$19="Y",'Population Definitions'!$B$16,"...")</f>
        <v>...</v>
      </c>
      <c r="B368" s="4" t="str">
        <f>IF($C$19="Y","---&gt;","...")</f>
        <v>...</v>
      </c>
      <c r="C368" s="1" t="str">
        <f>IF($C$19="Y",'Population Definitions'!$B$3,"...")</f>
        <v>...</v>
      </c>
      <c r="E368" s="2"/>
      <c r="F368" s="3"/>
      <c r="G368" s="2"/>
      <c r="H368" s="4" t="str">
        <f>IF($C$19="Y","OR","...")</f>
        <v>...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</row>
    <row r="369" spans="1:100" x14ac:dyDescent="0.35">
      <c r="A369" s="1" t="str">
        <f>IF($D$19="Y",'Population Definitions'!$B$16,"...")</f>
        <v>...</v>
      </c>
      <c r="B369" s="4" t="str">
        <f>IF($D$19="Y","---&gt;","...")</f>
        <v>...</v>
      </c>
      <c r="C369" s="1" t="str">
        <f>IF($D$19="Y",'Population Definitions'!$B$4,"...")</f>
        <v>...</v>
      </c>
      <c r="E369" s="2"/>
      <c r="F369" s="3"/>
      <c r="G369" s="2"/>
      <c r="H369" s="4" t="str">
        <f>IF($D$19="Y","OR","...")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</row>
    <row r="370" spans="1:100" x14ac:dyDescent="0.35">
      <c r="A370" s="1" t="str">
        <f>IF($E$19="Y",'Population Definitions'!$B$16,"...")</f>
        <v>...</v>
      </c>
      <c r="B370" s="4" t="str">
        <f>IF($E$19="Y","---&gt;","...")</f>
        <v>...</v>
      </c>
      <c r="C370" s="1" t="str">
        <f>IF($E$19="Y",'Population Definitions'!$B$5,"...")</f>
        <v>...</v>
      </c>
      <c r="E370" s="2"/>
      <c r="F370" s="3"/>
      <c r="G370" s="2"/>
      <c r="H370" s="4" t="str">
        <f>IF($E$19="Y","OR","...")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</row>
    <row r="371" spans="1:100" x14ac:dyDescent="0.35">
      <c r="A371" s="1" t="str">
        <f>IF($F$19="Y",'Population Definitions'!$B$16,"...")</f>
        <v>...</v>
      </c>
      <c r="B371" s="4" t="str">
        <f>IF($F$19="Y","---&gt;","...")</f>
        <v>...</v>
      </c>
      <c r="C371" s="1" t="str">
        <f>IF($F$19="Y",'Population Definitions'!$B$6,"...")</f>
        <v>...</v>
      </c>
      <c r="E371" s="2"/>
      <c r="F371" s="3"/>
      <c r="G371" s="2"/>
      <c r="H371" s="4" t="str">
        <f>IF($F$19="Y","OR","...")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</row>
    <row r="372" spans="1:100" x14ac:dyDescent="0.35">
      <c r="A372" s="1" t="str">
        <f>IF($G$19="Y",'Population Definitions'!$B$16,"...")</f>
        <v>...</v>
      </c>
      <c r="B372" s="4" t="str">
        <f>IF($G$19="Y","---&gt;","...")</f>
        <v>...</v>
      </c>
      <c r="C372" s="1" t="str">
        <f>IF($G$19="Y",'Population Definitions'!$B$7,"...")</f>
        <v>...</v>
      </c>
      <c r="E372" s="2"/>
      <c r="F372" s="3"/>
      <c r="G372" s="2"/>
      <c r="H372" s="4" t="str">
        <f>IF($G$19="Y","OR","...")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</row>
    <row r="373" spans="1:100" x14ac:dyDescent="0.35">
      <c r="A373" s="1" t="str">
        <f>IF($H$19="Y",'Population Definitions'!$B$16,"...")</f>
        <v>...</v>
      </c>
      <c r="B373" s="4" t="str">
        <f>IF($H$19="Y","---&gt;","...")</f>
        <v>...</v>
      </c>
      <c r="C373" s="1" t="str">
        <f>IF($H$19="Y",'Population Definitions'!$B$8,"...")</f>
        <v>...</v>
      </c>
      <c r="E373" s="2"/>
      <c r="F373" s="3"/>
      <c r="G373" s="2"/>
      <c r="H373" s="4" t="str">
        <f>IF($H$19="Y","OR","...")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</row>
    <row r="374" spans="1:100" x14ac:dyDescent="0.35">
      <c r="A374" s="1" t="str">
        <f>IF($I$19="Y",'Population Definitions'!$B$16,"...")</f>
        <v>...</v>
      </c>
      <c r="B374" s="4" t="str">
        <f>IF($I$19="Y","---&gt;","...")</f>
        <v>...</v>
      </c>
      <c r="C374" s="1" t="str">
        <f>IF($I$19="Y",'Population Definitions'!$B$9,"...")</f>
        <v>...</v>
      </c>
      <c r="E374" s="2"/>
      <c r="F374" s="3"/>
      <c r="G374" s="2"/>
      <c r="H374" s="4" t="str">
        <f>IF($I$19="Y","OR","...")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</row>
    <row r="375" spans="1:100" x14ac:dyDescent="0.35">
      <c r="A375" s="1" t="str">
        <f>IF($J$19="Y",'Population Definitions'!$B$16,"...")</f>
        <v>...</v>
      </c>
      <c r="B375" s="4" t="str">
        <f>IF($J$19="Y","---&gt;","...")</f>
        <v>...</v>
      </c>
      <c r="C375" s="1" t="str">
        <f>IF($J$19="Y",'Population Definitions'!$B$10,"...")</f>
        <v>...</v>
      </c>
      <c r="E375" s="2"/>
      <c r="F375" s="3"/>
      <c r="G375" s="2"/>
      <c r="H375" s="4" t="str">
        <f>IF($J$19="Y","OR","...")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</row>
    <row r="376" spans="1:100" x14ac:dyDescent="0.35">
      <c r="A376" s="1" t="str">
        <f>IF($K$19="Y",'Population Definitions'!$B$16,"...")</f>
        <v>...</v>
      </c>
      <c r="B376" s="4" t="str">
        <f>IF($K$19="Y","---&gt;","...")</f>
        <v>...</v>
      </c>
      <c r="C376" s="1" t="str">
        <f>IF($K$19="Y",'Population Definitions'!$B$11,"...")</f>
        <v>...</v>
      </c>
      <c r="E376" s="2"/>
      <c r="F376" s="3"/>
      <c r="G376" s="2"/>
      <c r="H376" s="4" t="str">
        <f>IF($K$19="Y","OR","...")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</row>
    <row r="377" spans="1:100" x14ac:dyDescent="0.35">
      <c r="A377" s="1" t="str">
        <f>IF($L$19="Y",'Population Definitions'!$B$16,"...")</f>
        <v>...</v>
      </c>
      <c r="B377" s="4" t="str">
        <f>IF($L$19="Y","---&gt;","...")</f>
        <v>...</v>
      </c>
      <c r="C377" s="1" t="str">
        <f>IF($L$19="Y",'Population Definitions'!$B$12,"...")</f>
        <v>...</v>
      </c>
      <c r="E377" s="2"/>
      <c r="F377" s="3"/>
      <c r="G377" s="2"/>
      <c r="H377" s="4" t="str">
        <f>IF($L$19="Y","OR","...")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</row>
    <row r="378" spans="1:100" x14ac:dyDescent="0.35">
      <c r="A378" s="1" t="str">
        <f>IF($M$19="Y",'Population Definitions'!$B$16,"...")</f>
        <v>...</v>
      </c>
      <c r="B378" s="4" t="str">
        <f>IF($M$19="Y","---&gt;","...")</f>
        <v>...</v>
      </c>
      <c r="C378" s="1" t="str">
        <f>IF($M$19="Y",'Population Definitions'!$B$13,"...")</f>
        <v>...</v>
      </c>
      <c r="E378" s="2"/>
      <c r="F378" s="3"/>
      <c r="G378" s="2"/>
      <c r="H378" s="4" t="str">
        <f>IF($M$19="Y","OR","...")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</row>
    <row r="379" spans="1:100" x14ac:dyDescent="0.35">
      <c r="A379" s="1" t="str">
        <f>IF($N$19="Y",'Population Definitions'!$B$16,"...")</f>
        <v>...</v>
      </c>
      <c r="B379" s="4" t="str">
        <f>IF($N$19="Y","---&gt;","...")</f>
        <v>...</v>
      </c>
      <c r="C379" s="1" t="str">
        <f>IF($N$19="Y",'Population Definitions'!$B$14,"...")</f>
        <v>...</v>
      </c>
      <c r="E379" s="2"/>
      <c r="F379" s="3"/>
      <c r="G379" s="2"/>
      <c r="H379" s="4" t="str">
        <f>IF($N$19="Y","OR","...")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</row>
    <row r="380" spans="1:100" x14ac:dyDescent="0.35">
      <c r="A380" s="1" t="str">
        <f>IF($O$19="Y",'Population Definitions'!$B$16,"...")</f>
        <v>...</v>
      </c>
      <c r="B380" s="4" t="str">
        <f>IF($O$19="Y","---&gt;","...")</f>
        <v>...</v>
      </c>
      <c r="C380" s="1" t="str">
        <f>IF($O$19="Y",'Population Definitions'!$B$15,"...")</f>
        <v>...</v>
      </c>
      <c r="E380" s="2"/>
      <c r="F380" s="3"/>
      <c r="G380" s="2"/>
      <c r="H380" s="4" t="str">
        <f>IF($O$19="Y","OR","...")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</row>
    <row r="381" spans="1:100" x14ac:dyDescent="0.35">
      <c r="A381" s="1" t="str">
        <f>IF($P$19="Y",'Population Definitions'!$B$16,"...")</f>
        <v>...</v>
      </c>
      <c r="B381" s="4" t="str">
        <f>IF($P$19="Y","---&gt;","...")</f>
        <v>...</v>
      </c>
      <c r="C381" s="1" t="str">
        <f>IF($P$19="Y",'Population Definitions'!$B$16,"...")</f>
        <v>...</v>
      </c>
      <c r="E381" s="2"/>
      <c r="F381" s="3"/>
      <c r="G381" s="2"/>
      <c r="H381" s="4" t="str">
        <f>IF($P$19="Y","OR","...")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</row>
    <row r="382" spans="1:100" x14ac:dyDescent="0.35">
      <c r="A382" s="1" t="str">
        <f>IF($Q$19="Y",'Population Definitions'!$B$16,"...")</f>
        <v>...</v>
      </c>
      <c r="B382" s="4" t="str">
        <f>IF($Q$19="Y","---&gt;","...")</f>
        <v>...</v>
      </c>
      <c r="C382" s="1" t="str">
        <f>IF($Q$19="Y",'Population Definitions'!$B$17,"...")</f>
        <v>...</v>
      </c>
      <c r="E382" s="2"/>
      <c r="F382" s="3"/>
      <c r="G382" s="2"/>
      <c r="H382" s="4" t="str">
        <f>IF($Q$19="Y","OR","...")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</row>
    <row r="383" spans="1:100" x14ac:dyDescent="0.35">
      <c r="A383" s="1" t="str">
        <f>IF($R$19="Y",'Population Definitions'!$B$16,"...")</f>
        <v>...</v>
      </c>
      <c r="B383" s="4" t="str">
        <f>IF($R$19="Y","---&gt;","...")</f>
        <v>...</v>
      </c>
      <c r="C383" s="1" t="str">
        <f>IF($R$19="Y",'Population Definitions'!$B$18,"...")</f>
        <v>...</v>
      </c>
      <c r="E383" s="2"/>
      <c r="F383" s="3"/>
      <c r="G383" s="2"/>
      <c r="H383" s="4" t="str">
        <f>IF($R$19="Y","OR","...")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</row>
    <row r="384" spans="1:100" x14ac:dyDescent="0.35">
      <c r="A384" s="1" t="str">
        <f>IF($S$19="Y",'Population Definitions'!$B$16,"...")</f>
        <v>...</v>
      </c>
      <c r="B384" s="4" t="str">
        <f>IF($S$19="Y","---&gt;","...")</f>
        <v>...</v>
      </c>
      <c r="C384" s="1" t="str">
        <f>IF($S$19="Y",'Population Definitions'!$B$19,"...")</f>
        <v>...</v>
      </c>
      <c r="E384" s="2"/>
      <c r="F384" s="3"/>
      <c r="G384" s="2"/>
      <c r="H384" s="4" t="str">
        <f>IF($S$19="Y","OR","...")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</row>
    <row r="385" spans="1:100" x14ac:dyDescent="0.35">
      <c r="A385" s="1" t="str">
        <f>IF($T$19="Y",'Population Definitions'!$B$16,"...")</f>
        <v>...</v>
      </c>
      <c r="B385" s="4" t="str">
        <f>IF($T$19="Y","---&gt;","...")</f>
        <v>...</v>
      </c>
      <c r="C385" s="1" t="str">
        <f>IF($T$19="Y",'Population Definitions'!$B$20,"...")</f>
        <v>...</v>
      </c>
      <c r="E385" s="2"/>
      <c r="F385" s="3"/>
      <c r="G385" s="2"/>
      <c r="H385" s="4" t="str">
        <f>IF($T$19="Y","OR","...")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</row>
    <row r="386" spans="1:100" x14ac:dyDescent="0.35">
      <c r="A386" s="1" t="str">
        <f>IF($U$19="Y",'Population Definitions'!$B$16,"...")</f>
        <v>...</v>
      </c>
      <c r="B386" s="4" t="str">
        <f>IF($U$19="Y","---&gt;","...")</f>
        <v>...</v>
      </c>
      <c r="C386" s="1" t="str">
        <f>IF($U$19="Y",'Population Definitions'!$B$21,"...")</f>
        <v>...</v>
      </c>
      <c r="E386" s="2"/>
      <c r="F386" s="3"/>
      <c r="G386" s="2"/>
      <c r="H386" s="4" t="str">
        <f>IF($U$19="Y","OR","...")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</row>
    <row r="387" spans="1:100" x14ac:dyDescent="0.35">
      <c r="A387" s="1" t="str">
        <f>IF($V$19="Y",'Population Definitions'!$B$16,"...")</f>
        <v>...</v>
      </c>
      <c r="B387" s="4" t="str">
        <f>IF($V$19="Y","---&gt;","...")</f>
        <v>...</v>
      </c>
      <c r="C387" s="1" t="str">
        <f>IF($V$19="Y",'Population Definitions'!$B$22,"...")</f>
        <v>...</v>
      </c>
      <c r="E387" s="2"/>
      <c r="F387" s="3"/>
      <c r="G387" s="2"/>
      <c r="H387" s="4" t="str">
        <f>IF($V$19="Y","OR","...")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</row>
    <row r="388" spans="1:100" x14ac:dyDescent="0.35">
      <c r="A388" s="1" t="str">
        <f>IF($W$19="Y",'Population Definitions'!$B$16,"...")</f>
        <v>...</v>
      </c>
      <c r="B388" s="4" t="str">
        <f>IF($W$19="Y","---&gt;","...")</f>
        <v>...</v>
      </c>
      <c r="C388" s="1" t="str">
        <f>IF($W$19="Y",'Population Definitions'!$B$23,"...")</f>
        <v>...</v>
      </c>
      <c r="E388" s="2"/>
      <c r="F388" s="3"/>
      <c r="G388" s="2"/>
      <c r="H388" s="4" t="str">
        <f>IF($W$19="Y","OR","...")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</row>
    <row r="389" spans="1:100" x14ac:dyDescent="0.35">
      <c r="A389" s="1" t="str">
        <f>IF($X$19="Y",'Population Definitions'!$B$16,"...")</f>
        <v>...</v>
      </c>
      <c r="B389" s="4" t="str">
        <f>IF($X$19="Y","---&gt;","...")</f>
        <v>...</v>
      </c>
      <c r="C389" s="1" t="str">
        <f>IF($X$19="Y",'Population Definitions'!$B$24,"...")</f>
        <v>...</v>
      </c>
      <c r="E389" s="2"/>
      <c r="F389" s="3"/>
      <c r="G389" s="2"/>
      <c r="H389" s="4" t="str">
        <f>IF($X$19="Y","OR","...")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</row>
    <row r="390" spans="1:100" x14ac:dyDescent="0.35">
      <c r="A390" s="1" t="str">
        <f>IF($Y$19="Y",'Population Definitions'!$B$16,"...")</f>
        <v>...</v>
      </c>
      <c r="B390" s="4" t="str">
        <f>IF($Y$19="Y","---&gt;","...")</f>
        <v>...</v>
      </c>
      <c r="C390" s="1" t="str">
        <f>IF($Y$19="Y",'Population Definitions'!$B$25,"...")</f>
        <v>...</v>
      </c>
      <c r="E390" s="2"/>
      <c r="F390" s="3"/>
      <c r="G390" s="2"/>
      <c r="H390" s="4" t="str">
        <f>IF($Y$19="Y","OR","...")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</row>
    <row r="391" spans="1:100" x14ac:dyDescent="0.35">
      <c r="A391" s="1" t="str">
        <f>IF($B$20="Y",'Population Definitions'!$B$17,"...")</f>
        <v>...</v>
      </c>
      <c r="B391" s="4" t="str">
        <f>IF($B$20="Y","---&gt;","...")</f>
        <v>...</v>
      </c>
      <c r="C391" s="1" t="str">
        <f>IF($B$20="Y",'Population Definitions'!$B$2,"...")</f>
        <v>...</v>
      </c>
      <c r="E391" s="2"/>
      <c r="F391" s="3"/>
      <c r="G391" s="2"/>
      <c r="H391" s="4" t="str">
        <f>IF($B$20="Y","OR","...")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</row>
    <row r="392" spans="1:100" x14ac:dyDescent="0.35">
      <c r="A392" s="1" t="str">
        <f>IF($C$20="Y",'Population Definitions'!$B$17,"...")</f>
        <v>...</v>
      </c>
      <c r="B392" s="4" t="str">
        <f>IF($C$20="Y","---&gt;","...")</f>
        <v>...</v>
      </c>
      <c r="C392" s="1" t="str">
        <f>IF($C$20="Y",'Population Definitions'!$B$3,"...")</f>
        <v>...</v>
      </c>
      <c r="E392" s="2"/>
      <c r="F392" s="3"/>
      <c r="G392" s="2"/>
      <c r="H392" s="4" t="str">
        <f>IF($C$20="Y","OR","...")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</row>
    <row r="393" spans="1:100" x14ac:dyDescent="0.35">
      <c r="A393" s="1" t="str">
        <f>IF($D$20="Y",'Population Definitions'!$B$17,"...")</f>
        <v>...</v>
      </c>
      <c r="B393" s="4" t="str">
        <f>IF($D$20="Y","---&gt;","...")</f>
        <v>...</v>
      </c>
      <c r="C393" s="1" t="str">
        <f>IF($D$20="Y",'Population Definitions'!$B$4,"...")</f>
        <v>...</v>
      </c>
      <c r="E393" s="2"/>
      <c r="F393" s="3"/>
      <c r="G393" s="2"/>
      <c r="H393" s="4" t="str">
        <f>IF($D$20="Y","OR","...")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</row>
    <row r="394" spans="1:100" x14ac:dyDescent="0.35">
      <c r="A394" s="1" t="str">
        <f>IF($E$20="Y",'Population Definitions'!$B$17,"...")</f>
        <v>...</v>
      </c>
      <c r="B394" s="4" t="str">
        <f>IF($E$20="Y","---&gt;","...")</f>
        <v>...</v>
      </c>
      <c r="C394" s="1" t="str">
        <f>IF($E$20="Y",'Population Definitions'!$B$5,"...")</f>
        <v>...</v>
      </c>
      <c r="E394" s="2"/>
      <c r="F394" s="3"/>
      <c r="G394" s="2"/>
      <c r="H394" s="4" t="str">
        <f>IF($E$20="Y","OR","...")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</row>
    <row r="395" spans="1:100" x14ac:dyDescent="0.35">
      <c r="A395" s="1" t="str">
        <f>IF($F$20="Y",'Population Definitions'!$B$17,"...")</f>
        <v>...</v>
      </c>
      <c r="B395" s="4" t="str">
        <f>IF($F$20="Y","---&gt;","...")</f>
        <v>...</v>
      </c>
      <c r="C395" s="1" t="str">
        <f>IF($F$20="Y",'Population Definitions'!$B$6,"...")</f>
        <v>...</v>
      </c>
      <c r="E395" s="2"/>
      <c r="F395" s="3"/>
      <c r="G395" s="2"/>
      <c r="H395" s="4" t="str">
        <f>IF($F$20="Y","OR","...")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</row>
    <row r="396" spans="1:100" x14ac:dyDescent="0.35">
      <c r="A396" s="1" t="str">
        <f>IF($G$20="Y",'Population Definitions'!$B$17,"...")</f>
        <v>...</v>
      </c>
      <c r="B396" s="4" t="str">
        <f>IF($G$20="Y","---&gt;","...")</f>
        <v>...</v>
      </c>
      <c r="C396" s="1" t="str">
        <f>IF($G$20="Y",'Population Definitions'!$B$7,"...")</f>
        <v>...</v>
      </c>
      <c r="E396" s="2"/>
      <c r="F396" s="3"/>
      <c r="G396" s="2"/>
      <c r="H396" s="4" t="str">
        <f>IF($G$20="Y","OR","...")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</row>
    <row r="397" spans="1:100" x14ac:dyDescent="0.35">
      <c r="A397" s="1" t="str">
        <f>IF($H$20="Y",'Population Definitions'!$B$17,"...")</f>
        <v>...</v>
      </c>
      <c r="B397" s="4" t="str">
        <f>IF($H$20="Y","---&gt;","...")</f>
        <v>...</v>
      </c>
      <c r="C397" s="1" t="str">
        <f>IF($H$20="Y",'Population Definitions'!$B$8,"...")</f>
        <v>...</v>
      </c>
      <c r="E397" s="2"/>
      <c r="F397" s="3"/>
      <c r="G397" s="2"/>
      <c r="H397" s="4" t="str">
        <f>IF($H$20="Y","OR","...")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</row>
    <row r="398" spans="1:100" x14ac:dyDescent="0.35">
      <c r="A398" s="1" t="str">
        <f>IF($I$20="Y",'Population Definitions'!$B$17,"...")</f>
        <v>...</v>
      </c>
      <c r="B398" s="4" t="str">
        <f>IF($I$20="Y","---&gt;","...")</f>
        <v>...</v>
      </c>
      <c r="C398" s="1" t="str">
        <f>IF($I$20="Y",'Population Definitions'!$B$9,"...")</f>
        <v>...</v>
      </c>
      <c r="E398" s="2"/>
      <c r="F398" s="3"/>
      <c r="G398" s="2"/>
      <c r="H398" s="4" t="str">
        <f>IF($I$20="Y","OR","...")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</row>
    <row r="399" spans="1:100" x14ac:dyDescent="0.35">
      <c r="A399" s="1" t="str">
        <f>IF($J$20="Y",'Population Definitions'!$B$17,"...")</f>
        <v>...</v>
      </c>
      <c r="B399" s="4" t="str">
        <f>IF($J$20="Y","---&gt;","...")</f>
        <v>...</v>
      </c>
      <c r="C399" s="1" t="str">
        <f>IF($J$20="Y",'Population Definitions'!$B$10,"...")</f>
        <v>...</v>
      </c>
      <c r="E399" s="2"/>
      <c r="F399" s="3"/>
      <c r="G399" s="2"/>
      <c r="H399" s="4" t="str">
        <f>IF($J$20="Y","OR","...")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</row>
    <row r="400" spans="1:100" x14ac:dyDescent="0.35">
      <c r="A400" s="1" t="str">
        <f>IF($K$20="Y",'Population Definitions'!$B$17,"...")</f>
        <v>...</v>
      </c>
      <c r="B400" s="4" t="str">
        <f>IF($K$20="Y","---&gt;","...")</f>
        <v>...</v>
      </c>
      <c r="C400" s="1" t="str">
        <f>IF($K$20="Y",'Population Definitions'!$B$11,"...")</f>
        <v>...</v>
      </c>
      <c r="E400" s="2"/>
      <c r="F400" s="3"/>
      <c r="G400" s="2"/>
      <c r="H400" s="4" t="str">
        <f>IF($K$20="Y","OR","...")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</row>
    <row r="401" spans="1:100" x14ac:dyDescent="0.35">
      <c r="A401" s="1" t="str">
        <f>IF($L$20="Y",'Population Definitions'!$B$17,"...")</f>
        <v>...</v>
      </c>
      <c r="B401" s="4" t="str">
        <f>IF($L$20="Y","---&gt;","...")</f>
        <v>...</v>
      </c>
      <c r="C401" s="1" t="str">
        <f>IF($L$20="Y",'Population Definitions'!$B$12,"...")</f>
        <v>...</v>
      </c>
      <c r="E401" s="2"/>
      <c r="F401" s="3"/>
      <c r="G401" s="2"/>
      <c r="H401" s="4" t="str">
        <f>IF($L$20="Y","OR","...")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</row>
    <row r="402" spans="1:100" x14ac:dyDescent="0.35">
      <c r="A402" s="1" t="str">
        <f>IF($M$20="Y",'Population Definitions'!$B$17,"...")</f>
        <v>...</v>
      </c>
      <c r="B402" s="4" t="str">
        <f>IF($M$20="Y","---&gt;","...")</f>
        <v>...</v>
      </c>
      <c r="C402" s="1" t="str">
        <f>IF($M$20="Y",'Population Definitions'!$B$13,"...")</f>
        <v>...</v>
      </c>
      <c r="E402" s="2"/>
      <c r="F402" s="3"/>
      <c r="G402" s="2"/>
      <c r="H402" s="4" t="str">
        <f>IF($M$20="Y","OR","...")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</row>
    <row r="403" spans="1:100" x14ac:dyDescent="0.35">
      <c r="A403" s="1" t="str">
        <f>IF($N$20="Y",'Population Definitions'!$B$17,"...")</f>
        <v>...</v>
      </c>
      <c r="B403" s="4" t="str">
        <f>IF($N$20="Y","---&gt;","...")</f>
        <v>...</v>
      </c>
      <c r="C403" s="1" t="str">
        <f>IF($N$20="Y",'Population Definitions'!$B$14,"...")</f>
        <v>...</v>
      </c>
      <c r="E403" s="2"/>
      <c r="F403" s="3"/>
      <c r="G403" s="2"/>
      <c r="H403" s="4" t="str">
        <f>IF($N$20="Y","OR","...")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</row>
    <row r="404" spans="1:100" x14ac:dyDescent="0.35">
      <c r="A404" s="1" t="str">
        <f>IF($O$20="Y",'Population Definitions'!$B$17,"...")</f>
        <v>...</v>
      </c>
      <c r="B404" s="4" t="str">
        <f>IF($O$20="Y","---&gt;","...")</f>
        <v>...</v>
      </c>
      <c r="C404" s="1" t="str">
        <f>IF($O$20="Y",'Population Definitions'!$B$15,"...")</f>
        <v>...</v>
      </c>
      <c r="E404" s="2"/>
      <c r="F404" s="3"/>
      <c r="G404" s="2"/>
      <c r="H404" s="4" t="str">
        <f>IF($O$20="Y","OR","...")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</row>
    <row r="405" spans="1:100" x14ac:dyDescent="0.35">
      <c r="A405" s="1" t="str">
        <f>IF($P$20="Y",'Population Definitions'!$B$17,"...")</f>
        <v>...</v>
      </c>
      <c r="B405" s="4" t="str">
        <f>IF($P$20="Y","---&gt;","...")</f>
        <v>...</v>
      </c>
      <c r="C405" s="1" t="str">
        <f>IF($P$20="Y",'Population Definitions'!$B$16,"...")</f>
        <v>...</v>
      </c>
      <c r="E405" s="2"/>
      <c r="F405" s="3"/>
      <c r="G405" s="2"/>
      <c r="H405" s="4" t="str">
        <f>IF($P$20="Y","OR","...")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</row>
    <row r="406" spans="1:100" x14ac:dyDescent="0.35">
      <c r="A406" s="1" t="str">
        <f>IF($Q$20="Y",'Population Definitions'!$B$17,"...")</f>
        <v>...</v>
      </c>
      <c r="B406" s="4" t="str">
        <f>IF($Q$20="Y","---&gt;","...")</f>
        <v>...</v>
      </c>
      <c r="C406" s="1" t="str">
        <f>IF($Q$20="Y",'Population Definitions'!$B$17,"...")</f>
        <v>...</v>
      </c>
      <c r="E406" s="2"/>
      <c r="F406" s="3"/>
      <c r="G406" s="2"/>
      <c r="H406" s="4" t="str">
        <f>IF($Q$20="Y","OR","...")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</row>
    <row r="407" spans="1:100" x14ac:dyDescent="0.35">
      <c r="A407" s="1" t="str">
        <f>IF($R$20="Y",'Population Definitions'!$B$17,"...")</f>
        <v>lros_0-14_F</v>
      </c>
      <c r="B407" s="4" t="str">
        <f>IF($R$20="Y","---&gt;","...")</f>
        <v>---&gt;</v>
      </c>
      <c r="C407" s="1" t="str">
        <f>IF($R$20="Y",'Population Definitions'!$B$18,"...")</f>
        <v>lros_15-64_F</v>
      </c>
      <c r="E407" s="2" t="s">
        <v>49</v>
      </c>
      <c r="F407" s="3"/>
      <c r="G407" s="2">
        <f>1/15</f>
        <v>6.6666666666666666E-2</v>
      </c>
      <c r="H407" s="4" t="str">
        <f>IF($R$20="Y","OR","...")</f>
        <v>OR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</row>
    <row r="408" spans="1:100" x14ac:dyDescent="0.35">
      <c r="A408" s="1" t="str">
        <f>IF($S$20="Y",'Population Definitions'!$B$17,"...")</f>
        <v>...</v>
      </c>
      <c r="B408" s="4" t="str">
        <f>IF($S$20="Y","---&gt;","...")</f>
        <v>...</v>
      </c>
      <c r="C408" s="1" t="str">
        <f>IF($S$20="Y",'Population Definitions'!$B$19,"...")</f>
        <v>...</v>
      </c>
      <c r="E408" s="2"/>
      <c r="F408" s="3"/>
      <c r="G408" s="2"/>
      <c r="H408" s="4" t="str">
        <f>IF($S$20="Y","OR","...")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</row>
    <row r="409" spans="1:100" x14ac:dyDescent="0.35">
      <c r="A409" s="1" t="str">
        <f>IF($T$20="Y",'Population Definitions'!$B$17,"...")</f>
        <v>...</v>
      </c>
      <c r="B409" s="4" t="str">
        <f>IF($T$20="Y","---&gt;","...")</f>
        <v>...</v>
      </c>
      <c r="C409" s="1" t="str">
        <f>IF($T$20="Y",'Population Definitions'!$B$20,"...")</f>
        <v>...</v>
      </c>
      <c r="E409" s="2"/>
      <c r="F409" s="3"/>
      <c r="G409" s="2"/>
      <c r="H409" s="4" t="str">
        <f>IF($T$20="Y","OR","...")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</row>
    <row r="410" spans="1:100" x14ac:dyDescent="0.35">
      <c r="A410" s="1" t="str">
        <f>IF($U$20="Y",'Population Definitions'!$B$17,"...")</f>
        <v>...</v>
      </c>
      <c r="B410" s="4" t="str">
        <f>IF($U$20="Y","---&gt;","...")</f>
        <v>...</v>
      </c>
      <c r="C410" s="1" t="str">
        <f>IF($U$20="Y",'Population Definitions'!$B$21,"...")</f>
        <v>...</v>
      </c>
      <c r="E410" s="2"/>
      <c r="F410" s="3"/>
      <c r="G410" s="2"/>
      <c r="H410" s="4" t="str">
        <f>IF($U$20="Y","OR","...")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</row>
    <row r="411" spans="1:100" x14ac:dyDescent="0.35">
      <c r="A411" s="1" t="str">
        <f>IF($V$20="Y",'Population Definitions'!$B$17,"...")</f>
        <v>...</v>
      </c>
      <c r="B411" s="4" t="str">
        <f>IF($V$20="Y","---&gt;","...")</f>
        <v>...</v>
      </c>
      <c r="C411" s="1" t="str">
        <f>IF($V$20="Y",'Population Definitions'!$B$22,"...")</f>
        <v>...</v>
      </c>
      <c r="E411" s="2"/>
      <c r="F411" s="3"/>
      <c r="G411" s="2"/>
      <c r="H411" s="4" t="str">
        <f>IF($V$20="Y","OR","...")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</row>
    <row r="412" spans="1:100" x14ac:dyDescent="0.35">
      <c r="A412" s="1" t="str">
        <f>IF($W$20="Y",'Population Definitions'!$B$17,"...")</f>
        <v>...</v>
      </c>
      <c r="B412" s="4" t="str">
        <f>IF($W$20="Y","---&gt;","...")</f>
        <v>...</v>
      </c>
      <c r="C412" s="1" t="str">
        <f>IF($W$20="Y",'Population Definitions'!$B$23,"...")</f>
        <v>...</v>
      </c>
      <c r="E412" s="2"/>
      <c r="F412" s="3"/>
      <c r="G412" s="2"/>
      <c r="H412" s="4" t="str">
        <f>IF($W$20="Y","OR","...")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</row>
    <row r="413" spans="1:100" x14ac:dyDescent="0.35">
      <c r="A413" s="1" t="str">
        <f>IF($X$20="Y",'Population Definitions'!$B$17,"...")</f>
        <v>...</v>
      </c>
      <c r="B413" s="4" t="str">
        <f>IF($X$20="Y","---&gt;","...")</f>
        <v>...</v>
      </c>
      <c r="C413" s="1" t="str">
        <f>IF($X$20="Y",'Population Definitions'!$B$24,"...")</f>
        <v>...</v>
      </c>
      <c r="E413" s="2"/>
      <c r="F413" s="3"/>
      <c r="G413" s="2"/>
      <c r="H413" s="4" t="str">
        <f>IF($X$20="Y","OR","...")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</row>
    <row r="414" spans="1:100" x14ac:dyDescent="0.35">
      <c r="A414" s="1" t="str">
        <f>IF($Y$20="Y",'Population Definitions'!$B$17,"...")</f>
        <v>...</v>
      </c>
      <c r="B414" s="4" t="str">
        <f>IF($Y$20="Y","---&gt;","...")</f>
        <v>...</v>
      </c>
      <c r="C414" s="1" t="str">
        <f>IF($Y$20="Y",'Population Definitions'!$B$25,"...")</f>
        <v>...</v>
      </c>
      <c r="E414" s="2"/>
      <c r="F414" s="3"/>
      <c r="G414" s="2"/>
      <c r="H414" s="4" t="str">
        <f>IF($Y$20="Y","OR","...")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</row>
    <row r="415" spans="1:100" x14ac:dyDescent="0.35">
      <c r="A415" s="1" t="str">
        <f>IF($B$21="Y",'Population Definitions'!$B$18,"...")</f>
        <v>...</v>
      </c>
      <c r="B415" s="4" t="str">
        <f>IF($B$21="Y","---&gt;","...")</f>
        <v>...</v>
      </c>
      <c r="C415" s="1" t="str">
        <f>IF($B$21="Y",'Population Definitions'!$B$2,"...")</f>
        <v>...</v>
      </c>
      <c r="E415" s="2"/>
      <c r="F415" s="3"/>
      <c r="G415" s="2"/>
      <c r="H415" s="4" t="str">
        <f>IF($B$21="Y","OR","...")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</row>
    <row r="416" spans="1:100" x14ac:dyDescent="0.35">
      <c r="A416" s="1" t="str">
        <f>IF($C$21="Y",'Population Definitions'!$B$18,"...")</f>
        <v>...</v>
      </c>
      <c r="B416" s="4" t="str">
        <f>IF($C$21="Y","---&gt;","...")</f>
        <v>...</v>
      </c>
      <c r="C416" s="1" t="str">
        <f>IF($C$21="Y",'Population Definitions'!$B$3,"...")</f>
        <v>...</v>
      </c>
      <c r="E416" s="2"/>
      <c r="F416" s="3"/>
      <c r="G416" s="2"/>
      <c r="H416" s="4" t="str">
        <f>IF($C$21="Y","OR","...")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</row>
    <row r="417" spans="1:100" x14ac:dyDescent="0.35">
      <c r="A417" s="1" t="str">
        <f>IF($D$21="Y",'Population Definitions'!$B$18,"...")</f>
        <v>...</v>
      </c>
      <c r="B417" s="4" t="str">
        <f>IF($D$21="Y","---&gt;","...")</f>
        <v>...</v>
      </c>
      <c r="C417" s="1" t="str">
        <f>IF($D$21="Y",'Population Definitions'!$B$4,"...")</f>
        <v>...</v>
      </c>
      <c r="E417" s="2"/>
      <c r="F417" s="3"/>
      <c r="G417" s="2"/>
      <c r="H417" s="4" t="str">
        <f>IF($D$21="Y","OR","...")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</row>
    <row r="418" spans="1:100" x14ac:dyDescent="0.35">
      <c r="A418" s="1" t="str">
        <f>IF($E$21="Y",'Population Definitions'!$B$18,"...")</f>
        <v>...</v>
      </c>
      <c r="B418" s="4" t="str">
        <f>IF($E$21="Y","---&gt;","...")</f>
        <v>...</v>
      </c>
      <c r="C418" s="1" t="str">
        <f>IF($E$21="Y",'Population Definitions'!$B$5,"...")</f>
        <v>...</v>
      </c>
      <c r="E418" s="2"/>
      <c r="F418" s="3"/>
      <c r="G418" s="2"/>
      <c r="H418" s="4" t="str">
        <f>IF($E$21="Y","OR","...")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</row>
    <row r="419" spans="1:100" x14ac:dyDescent="0.35">
      <c r="A419" s="1" t="str">
        <f>IF($F$21="Y",'Population Definitions'!$B$18,"...")</f>
        <v>...</v>
      </c>
      <c r="B419" s="4" t="str">
        <f>IF($F$21="Y","---&gt;","...")</f>
        <v>...</v>
      </c>
      <c r="C419" s="1" t="str">
        <f>IF($F$21="Y",'Population Definitions'!$B$6,"...")</f>
        <v>...</v>
      </c>
      <c r="E419" s="2"/>
      <c r="F419" s="3"/>
      <c r="G419" s="2"/>
      <c r="H419" s="4" t="str">
        <f>IF($F$21="Y","OR","...")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</row>
    <row r="420" spans="1:100" x14ac:dyDescent="0.35">
      <c r="A420" s="1" t="str">
        <f>IF($G$21="Y",'Population Definitions'!$B$18,"...")</f>
        <v>...</v>
      </c>
      <c r="B420" s="4" t="str">
        <f>IF($G$21="Y","---&gt;","...")</f>
        <v>...</v>
      </c>
      <c r="C420" s="1" t="str">
        <f>IF($G$21="Y",'Population Definitions'!$B$7,"...")</f>
        <v>...</v>
      </c>
      <c r="E420" s="2"/>
      <c r="F420" s="3"/>
      <c r="G420" s="2"/>
      <c r="H420" s="4" t="str">
        <f>IF($G$21="Y","OR","...")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</row>
    <row r="421" spans="1:100" x14ac:dyDescent="0.35">
      <c r="A421" s="1" t="str">
        <f>IF($H$21="Y",'Population Definitions'!$B$18,"...")</f>
        <v>...</v>
      </c>
      <c r="B421" s="4" t="str">
        <f>IF($H$21="Y","---&gt;","...")</f>
        <v>...</v>
      </c>
      <c r="C421" s="1" t="str">
        <f>IF($H$21="Y",'Population Definitions'!$B$8,"...")</f>
        <v>...</v>
      </c>
      <c r="E421" s="2"/>
      <c r="F421" s="3"/>
      <c r="G421" s="2"/>
      <c r="H421" s="4" t="str">
        <f>IF($H$21="Y","OR","...")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</row>
    <row r="422" spans="1:100" x14ac:dyDescent="0.35">
      <c r="A422" s="1" t="str">
        <f>IF($I$21="Y",'Population Definitions'!$B$18,"...")</f>
        <v>...</v>
      </c>
      <c r="B422" s="4" t="str">
        <f>IF($I$21="Y","---&gt;","...")</f>
        <v>...</v>
      </c>
      <c r="C422" s="1" t="str">
        <f>IF($I$21="Y",'Population Definitions'!$B$9,"...")</f>
        <v>...</v>
      </c>
      <c r="E422" s="2"/>
      <c r="F422" s="3"/>
      <c r="G422" s="2"/>
      <c r="H422" s="4" t="str">
        <f>IF($I$21="Y","OR","...")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</row>
    <row r="423" spans="1:100" x14ac:dyDescent="0.35">
      <c r="A423" s="1" t="str">
        <f>IF($J$21="Y",'Population Definitions'!$B$18,"...")</f>
        <v>...</v>
      </c>
      <c r="B423" s="4" t="str">
        <f>IF($J$21="Y","---&gt;","...")</f>
        <v>...</v>
      </c>
      <c r="C423" s="1" t="str">
        <f>IF($J$21="Y",'Population Definitions'!$B$10,"...")</f>
        <v>...</v>
      </c>
      <c r="E423" s="2"/>
      <c r="F423" s="3"/>
      <c r="G423" s="2"/>
      <c r="H423" s="4" t="str">
        <f>IF($J$21="Y","OR","...")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</row>
    <row r="424" spans="1:100" x14ac:dyDescent="0.35">
      <c r="A424" s="1" t="str">
        <f>IF($K$21="Y",'Population Definitions'!$B$18,"...")</f>
        <v>...</v>
      </c>
      <c r="B424" s="4" t="str">
        <f>IF($K$21="Y","---&gt;","...")</f>
        <v>...</v>
      </c>
      <c r="C424" s="1" t="str">
        <f>IF($K$21="Y",'Population Definitions'!$B$11,"...")</f>
        <v>...</v>
      </c>
      <c r="E424" s="2"/>
      <c r="F424" s="3"/>
      <c r="G424" s="2"/>
      <c r="H424" s="4" t="str">
        <f>IF($K$21="Y","OR","...")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</row>
    <row r="425" spans="1:100" x14ac:dyDescent="0.35">
      <c r="A425" s="1" t="str">
        <f>IF($L$21="Y",'Population Definitions'!$B$18,"...")</f>
        <v>...</v>
      </c>
      <c r="B425" s="4" t="str">
        <f>IF($L$21="Y","---&gt;","...")</f>
        <v>...</v>
      </c>
      <c r="C425" s="1" t="str">
        <f>IF($L$21="Y",'Population Definitions'!$B$12,"...")</f>
        <v>...</v>
      </c>
      <c r="E425" s="2"/>
      <c r="F425" s="3"/>
      <c r="G425" s="2"/>
      <c r="H425" s="4" t="str">
        <f>IF($L$21="Y","OR","...")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</row>
    <row r="426" spans="1:100" x14ac:dyDescent="0.35">
      <c r="A426" s="1" t="str">
        <f>IF($M$21="Y",'Population Definitions'!$B$18,"...")</f>
        <v>...</v>
      </c>
      <c r="B426" s="4" t="str">
        <f>IF($M$21="Y","---&gt;","...")</f>
        <v>...</v>
      </c>
      <c r="C426" s="1" t="str">
        <f>IF($M$21="Y",'Population Definitions'!$B$13,"...")</f>
        <v>...</v>
      </c>
      <c r="E426" s="2"/>
      <c r="F426" s="3"/>
      <c r="G426" s="2"/>
      <c r="H426" s="4" t="str">
        <f>IF($M$21="Y","OR","...")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</row>
    <row r="427" spans="1:100" x14ac:dyDescent="0.35">
      <c r="A427" s="1" t="str">
        <f>IF($N$21="Y",'Population Definitions'!$B$18,"...")</f>
        <v>...</v>
      </c>
      <c r="B427" s="4" t="str">
        <f>IF($N$21="Y","---&gt;","...")</f>
        <v>...</v>
      </c>
      <c r="C427" s="1" t="str">
        <f>IF($N$21="Y",'Population Definitions'!$B$14,"...")</f>
        <v>...</v>
      </c>
      <c r="E427" s="2"/>
      <c r="F427" s="3"/>
      <c r="G427" s="2"/>
      <c r="H427" s="4" t="str">
        <f>IF($N$21="Y","OR","...")</f>
        <v>...</v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</row>
    <row r="428" spans="1:100" x14ac:dyDescent="0.35">
      <c r="A428" s="1" t="str">
        <f>IF($O$21="Y",'Population Definitions'!$B$18,"...")</f>
        <v>...</v>
      </c>
      <c r="B428" s="4" t="str">
        <f>IF($O$21="Y","---&gt;","...")</f>
        <v>...</v>
      </c>
      <c r="C428" s="1" t="str">
        <f>IF($O$21="Y",'Population Definitions'!$B$15,"...")</f>
        <v>...</v>
      </c>
      <c r="E428" s="2"/>
      <c r="F428" s="3"/>
      <c r="G428" s="2"/>
      <c r="H428" s="4" t="str">
        <f>IF($O$21="Y","OR","...")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</row>
    <row r="429" spans="1:100" x14ac:dyDescent="0.35">
      <c r="A429" s="1" t="str">
        <f>IF($P$21="Y",'Population Definitions'!$B$18,"...")</f>
        <v>...</v>
      </c>
      <c r="B429" s="4" t="str">
        <f>IF($P$21="Y","---&gt;","...")</f>
        <v>...</v>
      </c>
      <c r="C429" s="1" t="str">
        <f>IF($P$21="Y",'Population Definitions'!$B$16,"...")</f>
        <v>...</v>
      </c>
      <c r="E429" s="2"/>
      <c r="F429" s="3"/>
      <c r="G429" s="2"/>
      <c r="H429" s="4" t="str">
        <f>IF($P$21="Y","OR","...")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</row>
    <row r="430" spans="1:100" x14ac:dyDescent="0.35">
      <c r="A430" s="1" t="str">
        <f>IF($Q$21="Y",'Population Definitions'!$B$18,"...")</f>
        <v>...</v>
      </c>
      <c r="B430" s="4" t="str">
        <f>IF($Q$21="Y","---&gt;","...")</f>
        <v>...</v>
      </c>
      <c r="C430" s="1" t="str">
        <f>IF($Q$21="Y",'Population Definitions'!$B$17,"...")</f>
        <v>...</v>
      </c>
      <c r="E430" s="2"/>
      <c r="F430" s="3"/>
      <c r="G430" s="2"/>
      <c r="H430" s="4" t="str">
        <f>IF($Q$21="Y","OR","...")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</row>
    <row r="431" spans="1:100" x14ac:dyDescent="0.35">
      <c r="A431" s="1" t="str">
        <f>IF($R$21="Y",'Population Definitions'!$B$18,"...")</f>
        <v>...</v>
      </c>
      <c r="B431" s="4" t="str">
        <f>IF($R$21="Y","---&gt;","...")</f>
        <v>...</v>
      </c>
      <c r="C431" s="1" t="str">
        <f>IF($R$21="Y",'Population Definitions'!$B$18,"...")</f>
        <v>...</v>
      </c>
      <c r="E431" s="2"/>
      <c r="F431" s="3"/>
      <c r="G431" s="2"/>
      <c r="H431" s="4" t="str">
        <f>IF($R$21="Y","OR","...")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</row>
    <row r="432" spans="1:100" x14ac:dyDescent="0.35">
      <c r="A432" s="1" t="str">
        <f>IF($S$21="Y",'Population Definitions'!$B$18,"...")</f>
        <v>lros_15-64_F</v>
      </c>
      <c r="B432" s="4" t="str">
        <f>IF($S$21="Y","---&gt;","...")</f>
        <v>---&gt;</v>
      </c>
      <c r="C432" s="1" t="str">
        <f>IF($S$21="Y",'Population Definitions'!$B$19,"...")</f>
        <v>lros_65+_F</v>
      </c>
      <c r="E432" s="2" t="s">
        <v>49</v>
      </c>
      <c r="F432" s="3"/>
      <c r="G432" s="2">
        <f>1/40</f>
        <v>2.5000000000000001E-2</v>
      </c>
      <c r="H432" s="4" t="str">
        <f>IF($S$21="Y","OR","...")</f>
        <v>OR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</row>
    <row r="433" spans="1:100" x14ac:dyDescent="0.35">
      <c r="A433" s="1" t="str">
        <f>IF($T$21="Y",'Population Definitions'!$B$18,"...")</f>
        <v>...</v>
      </c>
      <c r="B433" s="4" t="str">
        <f>IF($T$21="Y","---&gt;","...")</f>
        <v>...</v>
      </c>
      <c r="C433" s="1" t="str">
        <f>IF($T$21="Y",'Population Definitions'!$B$20,"...")</f>
        <v>...</v>
      </c>
      <c r="E433" s="2"/>
      <c r="F433" s="3"/>
      <c r="G433" s="2"/>
      <c r="H433" s="4" t="str">
        <f>IF($T$21="Y","OR","...")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</row>
    <row r="434" spans="1:100" x14ac:dyDescent="0.35">
      <c r="A434" s="1" t="str">
        <f>IF($U$21="Y",'Population Definitions'!$B$18,"...")</f>
        <v>...</v>
      </c>
      <c r="B434" s="4" t="str">
        <f>IF($U$21="Y","---&gt;","...")</f>
        <v>...</v>
      </c>
      <c r="C434" s="1" t="str">
        <f>IF($U$21="Y",'Population Definitions'!$B$21,"...")</f>
        <v>...</v>
      </c>
      <c r="E434" s="2"/>
      <c r="F434" s="3"/>
      <c r="G434" s="2"/>
      <c r="H434" s="4" t="str">
        <f>IF($U$21="Y","OR","...")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</row>
    <row r="435" spans="1:100" x14ac:dyDescent="0.35">
      <c r="A435" s="1" t="str">
        <f>IF($V$21="Y",'Population Definitions'!$B$18,"...")</f>
        <v>...</v>
      </c>
      <c r="B435" s="4" t="str">
        <f>IF($V$21="Y","---&gt;","...")</f>
        <v>...</v>
      </c>
      <c r="C435" s="1" t="str">
        <f>IF($V$21="Y",'Population Definitions'!$B$22,"...")</f>
        <v>...</v>
      </c>
      <c r="E435" s="2"/>
      <c r="F435" s="3"/>
      <c r="G435" s="2"/>
      <c r="H435" s="4" t="str">
        <f>IF($V$21="Y","OR","...")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</row>
    <row r="436" spans="1:100" x14ac:dyDescent="0.35">
      <c r="A436" s="1" t="str">
        <f>IF($W$21="Y",'Population Definitions'!$B$18,"...")</f>
        <v>...</v>
      </c>
      <c r="B436" s="4" t="str">
        <f>IF($W$21="Y","---&gt;","...")</f>
        <v>...</v>
      </c>
      <c r="C436" s="1" t="str">
        <f>IF($W$21="Y",'Population Definitions'!$B$23,"...")</f>
        <v>...</v>
      </c>
      <c r="E436" s="2"/>
      <c r="F436" s="3"/>
      <c r="G436" s="2"/>
      <c r="H436" s="4" t="str">
        <f>IF($W$21="Y","OR","...")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</row>
    <row r="437" spans="1:100" x14ac:dyDescent="0.35">
      <c r="A437" s="1" t="str">
        <f>IF($X$21="Y",'Population Definitions'!$B$18,"...")</f>
        <v>...</v>
      </c>
      <c r="B437" s="4" t="str">
        <f>IF($X$21="Y","---&gt;","...")</f>
        <v>...</v>
      </c>
      <c r="C437" s="1" t="str">
        <f>IF($X$21="Y",'Population Definitions'!$B$24,"...")</f>
        <v>...</v>
      </c>
      <c r="E437" s="2"/>
      <c r="F437" s="3"/>
      <c r="G437" s="2"/>
      <c r="H437" s="4" t="str">
        <f>IF($X$21="Y","OR","...")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</row>
    <row r="438" spans="1:100" x14ac:dyDescent="0.35">
      <c r="A438" s="1" t="str">
        <f>IF($Y$21="Y",'Population Definitions'!$B$18,"...")</f>
        <v>...</v>
      </c>
      <c r="B438" s="4" t="str">
        <f>IF($Y$21="Y","---&gt;","...")</f>
        <v>...</v>
      </c>
      <c r="C438" s="1" t="str">
        <f>IF($Y$21="Y",'Population Definitions'!$B$25,"...")</f>
        <v>...</v>
      </c>
      <c r="E438" s="2"/>
      <c r="F438" s="3"/>
      <c r="G438" s="2"/>
      <c r="H438" s="4" t="str">
        <f>IF($Y$21="Y","OR","...")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</row>
    <row r="439" spans="1:100" x14ac:dyDescent="0.35">
      <c r="A439" s="1" t="str">
        <f>IF($B$22="Y",'Population Definitions'!$B$19,"...")</f>
        <v>...</v>
      </c>
      <c r="B439" s="4" t="str">
        <f>IF($B$22="Y","---&gt;","...")</f>
        <v>...</v>
      </c>
      <c r="C439" s="1" t="str">
        <f>IF($B$22="Y",'Population Definitions'!$B$2,"...")</f>
        <v>...</v>
      </c>
      <c r="E439" s="2"/>
      <c r="F439" s="3"/>
      <c r="G439" s="2"/>
      <c r="H439" s="4" t="str">
        <f>IF($B$22="Y","OR","...")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</row>
    <row r="440" spans="1:100" x14ac:dyDescent="0.35">
      <c r="A440" s="1" t="str">
        <f>IF($C$22="Y",'Population Definitions'!$B$19,"...")</f>
        <v>...</v>
      </c>
      <c r="B440" s="4" t="str">
        <f>IF($C$22="Y","---&gt;","...")</f>
        <v>...</v>
      </c>
      <c r="C440" s="1" t="str">
        <f>IF($C$22="Y",'Population Definitions'!$B$3,"...")</f>
        <v>...</v>
      </c>
      <c r="E440" s="2"/>
      <c r="F440" s="3"/>
      <c r="G440" s="2"/>
      <c r="H440" s="4" t="str">
        <f>IF($C$22="Y","OR","...")</f>
        <v>...</v>
      </c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</row>
    <row r="441" spans="1:100" x14ac:dyDescent="0.35">
      <c r="A441" s="1" t="str">
        <f>IF($D$22="Y",'Population Definitions'!$B$19,"...")</f>
        <v>...</v>
      </c>
      <c r="B441" s="4" t="str">
        <f>IF($D$22="Y","---&gt;","...")</f>
        <v>...</v>
      </c>
      <c r="C441" s="1" t="str">
        <f>IF($D$22="Y",'Population Definitions'!$B$4,"...")</f>
        <v>...</v>
      </c>
      <c r="E441" s="2"/>
      <c r="F441" s="3"/>
      <c r="G441" s="2"/>
      <c r="H441" s="4" t="str">
        <f>IF($D$22="Y","OR","...")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</row>
    <row r="442" spans="1:100" x14ac:dyDescent="0.35">
      <c r="A442" s="1" t="str">
        <f>IF($E$22="Y",'Population Definitions'!$B$19,"...")</f>
        <v>...</v>
      </c>
      <c r="B442" s="4" t="str">
        <f>IF($E$22="Y","---&gt;","...")</f>
        <v>...</v>
      </c>
      <c r="C442" s="1" t="str">
        <f>IF($E$22="Y",'Population Definitions'!$B$5,"...")</f>
        <v>...</v>
      </c>
      <c r="E442" s="2"/>
      <c r="F442" s="3"/>
      <c r="G442" s="2"/>
      <c r="H442" s="4" t="str">
        <f>IF($E$22="Y","OR","...")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</row>
    <row r="443" spans="1:100" x14ac:dyDescent="0.35">
      <c r="A443" s="1" t="str">
        <f>IF($F$22="Y",'Population Definitions'!$B$19,"...")</f>
        <v>...</v>
      </c>
      <c r="B443" s="4" t="str">
        <f>IF($F$22="Y","---&gt;","...")</f>
        <v>...</v>
      </c>
      <c r="C443" s="1" t="str">
        <f>IF($F$22="Y",'Population Definitions'!$B$6,"...")</f>
        <v>...</v>
      </c>
      <c r="E443" s="2"/>
      <c r="F443" s="3"/>
      <c r="G443" s="2"/>
      <c r="H443" s="4" t="str">
        <f>IF($F$22="Y","OR","...")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</row>
    <row r="444" spans="1:100" x14ac:dyDescent="0.35">
      <c r="A444" s="1" t="str">
        <f>IF($G$22="Y",'Population Definitions'!$B$19,"...")</f>
        <v>...</v>
      </c>
      <c r="B444" s="4" t="str">
        <f>IF($G$22="Y","---&gt;","...")</f>
        <v>...</v>
      </c>
      <c r="C444" s="1" t="str">
        <f>IF($G$22="Y",'Population Definitions'!$B$7,"...")</f>
        <v>...</v>
      </c>
      <c r="E444" s="2"/>
      <c r="F444" s="3"/>
      <c r="G444" s="2"/>
      <c r="H444" s="4" t="str">
        <f>IF($G$22="Y","OR","...")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</row>
    <row r="445" spans="1:100" x14ac:dyDescent="0.35">
      <c r="A445" s="1" t="str">
        <f>IF($H$22="Y",'Population Definitions'!$B$19,"...")</f>
        <v>...</v>
      </c>
      <c r="B445" s="4" t="str">
        <f>IF($H$22="Y","---&gt;","...")</f>
        <v>...</v>
      </c>
      <c r="C445" s="1" t="str">
        <f>IF($H$22="Y",'Population Definitions'!$B$8,"...")</f>
        <v>...</v>
      </c>
      <c r="E445" s="2"/>
      <c r="F445" s="3"/>
      <c r="G445" s="2"/>
      <c r="H445" s="4" t="str">
        <f>IF($H$22="Y","OR","...")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</row>
    <row r="446" spans="1:100" x14ac:dyDescent="0.35">
      <c r="A446" s="1" t="str">
        <f>IF($I$22="Y",'Population Definitions'!$B$19,"...")</f>
        <v>...</v>
      </c>
      <c r="B446" s="4" t="str">
        <f>IF($I$22="Y","---&gt;","...")</f>
        <v>...</v>
      </c>
      <c r="C446" s="1" t="str">
        <f>IF($I$22="Y",'Population Definitions'!$B$9,"...")</f>
        <v>...</v>
      </c>
      <c r="E446" s="2"/>
      <c r="F446" s="3"/>
      <c r="G446" s="2"/>
      <c r="H446" s="4" t="str">
        <f>IF($I$22="Y","OR","...")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</row>
    <row r="447" spans="1:100" x14ac:dyDescent="0.35">
      <c r="A447" s="1" t="str">
        <f>IF($J$22="Y",'Population Definitions'!$B$19,"...")</f>
        <v>...</v>
      </c>
      <c r="B447" s="4" t="str">
        <f>IF($J$22="Y","---&gt;","...")</f>
        <v>...</v>
      </c>
      <c r="C447" s="1" t="str">
        <f>IF($J$22="Y",'Population Definitions'!$B$10,"...")</f>
        <v>...</v>
      </c>
      <c r="E447" s="2"/>
      <c r="F447" s="3"/>
      <c r="G447" s="2"/>
      <c r="H447" s="4" t="str">
        <f>IF($J$22="Y","OR","...")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</row>
    <row r="448" spans="1:100" x14ac:dyDescent="0.35">
      <c r="A448" s="1" t="str">
        <f>IF($K$22="Y",'Population Definitions'!$B$19,"...")</f>
        <v>...</v>
      </c>
      <c r="B448" s="4" t="str">
        <f>IF($K$22="Y","---&gt;","...")</f>
        <v>...</v>
      </c>
      <c r="C448" s="1" t="str">
        <f>IF($K$22="Y",'Population Definitions'!$B$11,"...")</f>
        <v>...</v>
      </c>
      <c r="E448" s="2"/>
      <c r="F448" s="3"/>
      <c r="G448" s="2"/>
      <c r="H448" s="4" t="str">
        <f>IF($K$22="Y","OR","...")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</row>
    <row r="449" spans="1:100" x14ac:dyDescent="0.35">
      <c r="A449" s="1" t="str">
        <f>IF($L$22="Y",'Population Definitions'!$B$19,"...")</f>
        <v>...</v>
      </c>
      <c r="B449" s="4" t="str">
        <f>IF($L$22="Y","---&gt;","...")</f>
        <v>...</v>
      </c>
      <c r="C449" s="1" t="str">
        <f>IF($L$22="Y",'Population Definitions'!$B$12,"...")</f>
        <v>...</v>
      </c>
      <c r="E449" s="2"/>
      <c r="F449" s="3"/>
      <c r="G449" s="2"/>
      <c r="H449" s="4" t="str">
        <f>IF($L$22="Y","OR","...")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</row>
    <row r="450" spans="1:100" x14ac:dyDescent="0.35">
      <c r="A450" s="1" t="str">
        <f>IF($M$22="Y",'Population Definitions'!$B$19,"...")</f>
        <v>...</v>
      </c>
      <c r="B450" s="4" t="str">
        <f>IF($M$22="Y","---&gt;","...")</f>
        <v>...</v>
      </c>
      <c r="C450" s="1" t="str">
        <f>IF($M$22="Y",'Population Definitions'!$B$13,"...")</f>
        <v>...</v>
      </c>
      <c r="E450" s="2"/>
      <c r="F450" s="3"/>
      <c r="G450" s="2"/>
      <c r="H450" s="4" t="str">
        <f>IF($M$22="Y","OR","...")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</row>
    <row r="451" spans="1:100" x14ac:dyDescent="0.35">
      <c r="A451" s="1" t="str">
        <f>IF($N$22="Y",'Population Definitions'!$B$19,"...")</f>
        <v>...</v>
      </c>
      <c r="B451" s="4" t="str">
        <f>IF($N$22="Y","---&gt;","...")</f>
        <v>...</v>
      </c>
      <c r="C451" s="1" t="str">
        <f>IF($N$22="Y",'Population Definitions'!$B$14,"...")</f>
        <v>...</v>
      </c>
      <c r="E451" s="2"/>
      <c r="F451" s="3"/>
      <c r="G451" s="2"/>
      <c r="H451" s="4" t="str">
        <f>IF($N$22="Y","OR","...")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</row>
    <row r="452" spans="1:100" x14ac:dyDescent="0.35">
      <c r="A452" s="1" t="str">
        <f>IF($O$22="Y",'Population Definitions'!$B$19,"...")</f>
        <v>...</v>
      </c>
      <c r="B452" s="4" t="str">
        <f>IF($O$22="Y","---&gt;","...")</f>
        <v>...</v>
      </c>
      <c r="C452" s="1" t="str">
        <f>IF($O$22="Y",'Population Definitions'!$B$15,"...")</f>
        <v>...</v>
      </c>
      <c r="E452" s="2"/>
      <c r="F452" s="3"/>
      <c r="G452" s="2"/>
      <c r="H452" s="4" t="str">
        <f>IF($O$22="Y","OR","...")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</row>
    <row r="453" spans="1:100" x14ac:dyDescent="0.35">
      <c r="A453" s="1" t="str">
        <f>IF($P$22="Y",'Population Definitions'!$B$19,"...")</f>
        <v>...</v>
      </c>
      <c r="B453" s="4" t="str">
        <f>IF($P$22="Y","---&gt;","...")</f>
        <v>...</v>
      </c>
      <c r="C453" s="1" t="str">
        <f>IF($P$22="Y",'Population Definitions'!$B$16,"...")</f>
        <v>...</v>
      </c>
      <c r="E453" s="2"/>
      <c r="F453" s="3"/>
      <c r="G453" s="2"/>
      <c r="H453" s="4" t="str">
        <f>IF($P$22="Y","OR","...")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</row>
    <row r="454" spans="1:100" x14ac:dyDescent="0.35">
      <c r="A454" s="1" t="str">
        <f>IF($Q$22="Y",'Population Definitions'!$B$19,"...")</f>
        <v>...</v>
      </c>
      <c r="B454" s="4" t="str">
        <f>IF($Q$22="Y","---&gt;","...")</f>
        <v>...</v>
      </c>
      <c r="C454" s="1" t="str">
        <f>IF($Q$22="Y",'Population Definitions'!$B$17,"...")</f>
        <v>...</v>
      </c>
      <c r="E454" s="2"/>
      <c r="F454" s="3"/>
      <c r="G454" s="2"/>
      <c r="H454" s="4" t="str">
        <f>IF($Q$22="Y","OR","...")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</row>
    <row r="455" spans="1:100" x14ac:dyDescent="0.35">
      <c r="A455" s="1" t="str">
        <f>IF($R$22="Y",'Population Definitions'!$B$19,"...")</f>
        <v>...</v>
      </c>
      <c r="B455" s="4" t="str">
        <f>IF($R$22="Y","---&gt;","...")</f>
        <v>...</v>
      </c>
      <c r="C455" s="1" t="str">
        <f>IF($R$22="Y",'Population Definitions'!$B$18,"...")</f>
        <v>...</v>
      </c>
      <c r="E455" s="2"/>
      <c r="F455" s="3"/>
      <c r="G455" s="2"/>
      <c r="H455" s="4" t="str">
        <f>IF($R$22="Y","OR","...")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</row>
    <row r="456" spans="1:100" x14ac:dyDescent="0.35">
      <c r="A456" s="1" t="str">
        <f>IF($S$22="Y",'Population Definitions'!$B$19,"...")</f>
        <v>...</v>
      </c>
      <c r="B456" s="4" t="str">
        <f>IF($S$22="Y","---&gt;","...")</f>
        <v>...</v>
      </c>
      <c r="C456" s="1" t="str">
        <f>IF($S$22="Y",'Population Definitions'!$B$19,"...")</f>
        <v>...</v>
      </c>
      <c r="E456" s="2"/>
      <c r="F456" s="3"/>
      <c r="G456" s="2"/>
      <c r="H456" s="4" t="str">
        <f>IF($S$22="Y","OR","...")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</row>
    <row r="457" spans="1:100" x14ac:dyDescent="0.35">
      <c r="A457" s="1" t="str">
        <f>IF($T$22="Y",'Population Definitions'!$B$19,"...")</f>
        <v>...</v>
      </c>
      <c r="B457" s="4" t="str">
        <f>IF($T$22="Y","---&gt;","...")</f>
        <v>...</v>
      </c>
      <c r="C457" s="1" t="str">
        <f>IF($T$22="Y",'Population Definitions'!$B$20,"...")</f>
        <v>...</v>
      </c>
      <c r="E457" s="2"/>
      <c r="F457" s="3"/>
      <c r="G457" s="2"/>
      <c r="H457" s="4" t="str">
        <f>IF($T$22="Y","OR","...")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</row>
    <row r="458" spans="1:100" x14ac:dyDescent="0.35">
      <c r="A458" s="1" t="str">
        <f>IF($U$22="Y",'Population Definitions'!$B$19,"...")</f>
        <v>...</v>
      </c>
      <c r="B458" s="4" t="str">
        <f>IF($U$22="Y","---&gt;","...")</f>
        <v>...</v>
      </c>
      <c r="C458" s="1" t="str">
        <f>IF($U$22="Y",'Population Definitions'!$B$21,"...")</f>
        <v>...</v>
      </c>
      <c r="E458" s="2"/>
      <c r="F458" s="3"/>
      <c r="G458" s="2"/>
      <c r="H458" s="4" t="str">
        <f>IF($U$22="Y","OR","...")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</row>
    <row r="459" spans="1:100" x14ac:dyDescent="0.35">
      <c r="A459" s="1" t="str">
        <f>IF($V$22="Y",'Population Definitions'!$B$19,"...")</f>
        <v>...</v>
      </c>
      <c r="B459" s="4" t="str">
        <f>IF($V$22="Y","---&gt;","...")</f>
        <v>...</v>
      </c>
      <c r="C459" s="1" t="str">
        <f>IF($V$22="Y",'Population Definitions'!$B$22,"...")</f>
        <v>...</v>
      </c>
      <c r="E459" s="2"/>
      <c r="F459" s="3"/>
      <c r="G459" s="2"/>
      <c r="H459" s="4" t="str">
        <f>IF($V$22="Y","OR","...")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</row>
    <row r="460" spans="1:100" x14ac:dyDescent="0.35">
      <c r="A460" s="1" t="str">
        <f>IF($W$22="Y",'Population Definitions'!$B$19,"...")</f>
        <v>...</v>
      </c>
      <c r="B460" s="4" t="str">
        <f>IF($W$22="Y","---&gt;","...")</f>
        <v>...</v>
      </c>
      <c r="C460" s="1" t="str">
        <f>IF($W$22="Y",'Population Definitions'!$B$23,"...")</f>
        <v>...</v>
      </c>
      <c r="E460" s="2"/>
      <c r="F460" s="3"/>
      <c r="G460" s="2"/>
      <c r="H460" s="4" t="str">
        <f>IF($W$22="Y","OR","...")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</row>
    <row r="461" spans="1:100" x14ac:dyDescent="0.35">
      <c r="A461" s="1" t="str">
        <f>IF($X$22="Y",'Population Definitions'!$B$19,"...")</f>
        <v>...</v>
      </c>
      <c r="B461" s="4" t="str">
        <f>IF($X$22="Y","---&gt;","...")</f>
        <v>...</v>
      </c>
      <c r="C461" s="1" t="str">
        <f>IF($X$22="Y",'Population Definitions'!$B$24,"...")</f>
        <v>...</v>
      </c>
      <c r="E461" s="2"/>
      <c r="F461" s="3"/>
      <c r="G461" s="2"/>
      <c r="H461" s="4" t="str">
        <f>IF($X$22="Y","OR","...")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</row>
    <row r="462" spans="1:100" x14ac:dyDescent="0.35">
      <c r="A462" s="1" t="str">
        <f>IF($Y$22="Y",'Population Definitions'!$B$19,"...")</f>
        <v>...</v>
      </c>
      <c r="B462" s="4" t="str">
        <f>IF($Y$22="Y","---&gt;","...")</f>
        <v>...</v>
      </c>
      <c r="C462" s="1" t="str">
        <f>IF($Y$22="Y",'Population Definitions'!$B$25,"...")</f>
        <v>...</v>
      </c>
      <c r="E462" s="2"/>
      <c r="F462" s="3"/>
      <c r="G462" s="2"/>
      <c r="H462" s="4" t="str">
        <f>IF($Y$22="Y","OR","...")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</row>
    <row r="463" spans="1:100" x14ac:dyDescent="0.35">
      <c r="A463" s="1" t="str">
        <f>IF($B$23="Y",'Population Definitions'!$B$20,"...")</f>
        <v>...</v>
      </c>
      <c r="B463" s="4" t="str">
        <f>IF($B$23="Y","---&gt;","...")</f>
        <v>...</v>
      </c>
      <c r="C463" s="1" t="str">
        <f>IF($B$23="Y",'Population Definitions'!$B$2,"...")</f>
        <v>...</v>
      </c>
      <c r="E463" s="2"/>
      <c r="F463" s="3"/>
      <c r="G463" s="2"/>
      <c r="H463" s="4" t="str">
        <f>IF($B$23="Y","OR","...")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</row>
    <row r="464" spans="1:100" x14ac:dyDescent="0.35">
      <c r="A464" s="1" t="str">
        <f>IF($C$23="Y",'Population Definitions'!$B$20,"...")</f>
        <v>...</v>
      </c>
      <c r="B464" s="4" t="str">
        <f>IF($C$23="Y","---&gt;","...")</f>
        <v>...</v>
      </c>
      <c r="C464" s="1" t="str">
        <f>IF($C$23="Y",'Population Definitions'!$B$3,"...")</f>
        <v>...</v>
      </c>
      <c r="E464" s="2"/>
      <c r="F464" s="3"/>
      <c r="G464" s="2"/>
      <c r="H464" s="4" t="str">
        <f>IF($C$23="Y","OR","...")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</row>
    <row r="465" spans="1:100" x14ac:dyDescent="0.35">
      <c r="A465" s="1" t="str">
        <f>IF($D$23="Y",'Population Definitions'!$B$20,"...")</f>
        <v>...</v>
      </c>
      <c r="B465" s="4" t="str">
        <f>IF($D$23="Y","---&gt;","...")</f>
        <v>...</v>
      </c>
      <c r="C465" s="1" t="str">
        <f>IF($D$23="Y",'Population Definitions'!$B$4,"...")</f>
        <v>...</v>
      </c>
      <c r="E465" s="2"/>
      <c r="F465" s="3"/>
      <c r="G465" s="2"/>
      <c r="H465" s="4" t="str">
        <f>IF($D$23="Y","OR","...")</f>
        <v>...</v>
      </c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</row>
    <row r="466" spans="1:100" x14ac:dyDescent="0.35">
      <c r="A466" s="1" t="str">
        <f>IF($E$23="Y",'Population Definitions'!$B$20,"...")</f>
        <v>...</v>
      </c>
      <c r="B466" s="4" t="str">
        <f>IF($E$23="Y","---&gt;","...")</f>
        <v>...</v>
      </c>
      <c r="C466" s="1" t="str">
        <f>IF($E$23="Y",'Population Definitions'!$B$5,"...")</f>
        <v>...</v>
      </c>
      <c r="E466" s="2"/>
      <c r="F466" s="3"/>
      <c r="G466" s="2"/>
      <c r="H466" s="4" t="str">
        <f>IF($E$23="Y","OR","...")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</row>
    <row r="467" spans="1:100" x14ac:dyDescent="0.35">
      <c r="A467" s="1" t="str">
        <f>IF($F$23="Y",'Population Definitions'!$B$20,"...")</f>
        <v>...</v>
      </c>
      <c r="B467" s="4" t="str">
        <f>IF($F$23="Y","---&gt;","...")</f>
        <v>...</v>
      </c>
      <c r="C467" s="1" t="str">
        <f>IF($F$23="Y",'Population Definitions'!$B$6,"...")</f>
        <v>...</v>
      </c>
      <c r="E467" s="2"/>
      <c r="F467" s="3"/>
      <c r="G467" s="2"/>
      <c r="H467" s="4" t="str">
        <f>IF($F$23="Y","OR","...")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</row>
    <row r="468" spans="1:100" x14ac:dyDescent="0.35">
      <c r="A468" s="1" t="str">
        <f>IF($G$23="Y",'Population Definitions'!$B$20,"...")</f>
        <v>...</v>
      </c>
      <c r="B468" s="4" t="str">
        <f>IF($G$23="Y","---&gt;","...")</f>
        <v>...</v>
      </c>
      <c r="C468" s="1" t="str">
        <f>IF($G$23="Y",'Population Definitions'!$B$7,"...")</f>
        <v>...</v>
      </c>
      <c r="E468" s="2"/>
      <c r="F468" s="3"/>
      <c r="G468" s="2"/>
      <c r="H468" s="4" t="str">
        <f>IF($G$23="Y","OR","...")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</row>
    <row r="469" spans="1:100" x14ac:dyDescent="0.35">
      <c r="A469" s="1" t="str">
        <f>IF($H$23="Y",'Population Definitions'!$B$20,"...")</f>
        <v>...</v>
      </c>
      <c r="B469" s="4" t="str">
        <f>IF($H$23="Y","---&gt;","...")</f>
        <v>...</v>
      </c>
      <c r="C469" s="1" t="str">
        <f>IF($H$23="Y",'Population Definitions'!$B$8,"...")</f>
        <v>...</v>
      </c>
      <c r="E469" s="2"/>
      <c r="F469" s="3"/>
      <c r="G469" s="2"/>
      <c r="H469" s="4" t="str">
        <f>IF($H$23="Y","OR","...")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</row>
    <row r="470" spans="1:100" x14ac:dyDescent="0.35">
      <c r="A470" s="1" t="str">
        <f>IF($I$23="Y",'Population Definitions'!$B$20,"...")</f>
        <v>...</v>
      </c>
      <c r="B470" s="4" t="str">
        <f>IF($I$23="Y","---&gt;","...")</f>
        <v>...</v>
      </c>
      <c r="C470" s="1" t="str">
        <f>IF($I$23="Y",'Population Definitions'!$B$9,"...")</f>
        <v>...</v>
      </c>
      <c r="E470" s="2"/>
      <c r="F470" s="3"/>
      <c r="G470" s="2"/>
      <c r="H470" s="4" t="str">
        <f>IF($I$23="Y","OR","...")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</row>
    <row r="471" spans="1:100" x14ac:dyDescent="0.35">
      <c r="A471" s="1" t="str">
        <f>IF($J$23="Y",'Population Definitions'!$B$20,"...")</f>
        <v>...</v>
      </c>
      <c r="B471" s="4" t="str">
        <f>IF($J$23="Y","---&gt;","...")</f>
        <v>...</v>
      </c>
      <c r="C471" s="1" t="str">
        <f>IF($J$23="Y",'Population Definitions'!$B$10,"...")</f>
        <v>...</v>
      </c>
      <c r="E471" s="2"/>
      <c r="F471" s="3"/>
      <c r="G471" s="2"/>
      <c r="H471" s="4" t="str">
        <f>IF($J$23="Y","OR","...")</f>
        <v>...</v>
      </c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</row>
    <row r="472" spans="1:100" x14ac:dyDescent="0.35">
      <c r="A472" s="1" t="str">
        <f>IF($K$23="Y",'Population Definitions'!$B$20,"...")</f>
        <v>...</v>
      </c>
      <c r="B472" s="4" t="str">
        <f>IF($K$23="Y","---&gt;","...")</f>
        <v>...</v>
      </c>
      <c r="C472" s="1" t="str">
        <f>IF($K$23="Y",'Population Definitions'!$B$11,"...")</f>
        <v>...</v>
      </c>
      <c r="E472" s="2"/>
      <c r="F472" s="3"/>
      <c r="G472" s="2"/>
      <c r="H472" s="4" t="str">
        <f>IF($K$23="Y","OR","...")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</row>
    <row r="473" spans="1:100" x14ac:dyDescent="0.35">
      <c r="A473" s="1" t="str">
        <f>IF($L$23="Y",'Population Definitions'!$B$20,"...")</f>
        <v>...</v>
      </c>
      <c r="B473" s="4" t="str">
        <f>IF($L$23="Y","---&gt;","...")</f>
        <v>...</v>
      </c>
      <c r="C473" s="1" t="str">
        <f>IF($L$23="Y",'Population Definitions'!$B$12,"...")</f>
        <v>...</v>
      </c>
      <c r="E473" s="2"/>
      <c r="F473" s="3"/>
      <c r="G473" s="2"/>
      <c r="H473" s="4" t="str">
        <f>IF($L$23="Y","OR","...")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</row>
    <row r="474" spans="1:100" x14ac:dyDescent="0.35">
      <c r="A474" s="1" t="str">
        <f>IF($M$23="Y",'Population Definitions'!$B$20,"...")</f>
        <v>...</v>
      </c>
      <c r="B474" s="4" t="str">
        <f>IF($M$23="Y","---&gt;","...")</f>
        <v>...</v>
      </c>
      <c r="C474" s="1" t="str">
        <f>IF($M$23="Y",'Population Definitions'!$B$13,"...")</f>
        <v>...</v>
      </c>
      <c r="E474" s="2"/>
      <c r="F474" s="3"/>
      <c r="G474" s="2"/>
      <c r="H474" s="4" t="str">
        <f>IF($M$23="Y","OR","...")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</row>
    <row r="475" spans="1:100" x14ac:dyDescent="0.35">
      <c r="A475" s="1" t="str">
        <f>IF($N$23="Y",'Population Definitions'!$B$20,"...")</f>
        <v>...</v>
      </c>
      <c r="B475" s="4" t="str">
        <f>IF($N$23="Y","---&gt;","...")</f>
        <v>...</v>
      </c>
      <c r="C475" s="1" t="str">
        <f>IF($N$23="Y",'Population Definitions'!$B$14,"...")</f>
        <v>...</v>
      </c>
      <c r="E475" s="2"/>
      <c r="F475" s="3"/>
      <c r="G475" s="2"/>
      <c r="H475" s="4" t="str">
        <f>IF($N$23="Y","OR","...")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</row>
    <row r="476" spans="1:100" x14ac:dyDescent="0.35">
      <c r="A476" s="1" t="str">
        <f>IF($O$23="Y",'Population Definitions'!$B$20,"...")</f>
        <v>...</v>
      </c>
      <c r="B476" s="4" t="str">
        <f>IF($O$23="Y","---&gt;","...")</f>
        <v>...</v>
      </c>
      <c r="C476" s="1" t="str">
        <f>IF($O$23="Y",'Population Definitions'!$B$15,"...")</f>
        <v>...</v>
      </c>
      <c r="E476" s="2"/>
      <c r="F476" s="3"/>
      <c r="G476" s="2"/>
      <c r="H476" s="4" t="str">
        <f>IF($O$23="Y","OR","...")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</row>
    <row r="477" spans="1:100" x14ac:dyDescent="0.35">
      <c r="A477" s="1" t="str">
        <f>IF($P$23="Y",'Population Definitions'!$B$20,"...")</f>
        <v>...</v>
      </c>
      <c r="B477" s="4" t="str">
        <f>IF($P$23="Y","---&gt;","...")</f>
        <v>...</v>
      </c>
      <c r="C477" s="1" t="str">
        <f>IF($P$23="Y",'Population Definitions'!$B$16,"...")</f>
        <v>...</v>
      </c>
      <c r="E477" s="2"/>
      <c r="F477" s="3"/>
      <c r="G477" s="2"/>
      <c r="H477" s="4" t="str">
        <f>IF($P$23="Y","OR","...")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</row>
    <row r="478" spans="1:100" x14ac:dyDescent="0.35">
      <c r="A478" s="1" t="str">
        <f>IF($Q$23="Y",'Population Definitions'!$B$20,"...")</f>
        <v>...</v>
      </c>
      <c r="B478" s="4" t="str">
        <f>IF($Q$23="Y","---&gt;","...")</f>
        <v>...</v>
      </c>
      <c r="C478" s="1" t="str">
        <f>IF($Q$23="Y",'Population Definitions'!$B$17,"...")</f>
        <v>...</v>
      </c>
      <c r="E478" s="2"/>
      <c r="F478" s="3"/>
      <c r="G478" s="2"/>
      <c r="H478" s="4" t="str">
        <f>IF($Q$23="Y","OR","...")</f>
        <v>...</v>
      </c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</row>
    <row r="479" spans="1:100" x14ac:dyDescent="0.35">
      <c r="A479" s="1" t="str">
        <f>IF($R$23="Y",'Population Definitions'!$B$20,"...")</f>
        <v>...</v>
      </c>
      <c r="B479" s="4" t="str">
        <f>IF($R$23="Y","---&gt;","...")</f>
        <v>...</v>
      </c>
      <c r="C479" s="1" t="str">
        <f>IF($R$23="Y",'Population Definitions'!$B$18,"...")</f>
        <v>...</v>
      </c>
      <c r="E479" s="2"/>
      <c r="F479" s="3"/>
      <c r="G479" s="2"/>
      <c r="H479" s="4" t="str">
        <f>IF($R$23="Y","OR","...")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</row>
    <row r="480" spans="1:100" x14ac:dyDescent="0.35">
      <c r="A480" s="1" t="str">
        <f>IF($S$23="Y",'Population Definitions'!$B$20,"...")</f>
        <v>...</v>
      </c>
      <c r="B480" s="4" t="str">
        <f>IF($S$23="Y","---&gt;","...")</f>
        <v>...</v>
      </c>
      <c r="C480" s="1" t="str">
        <f>IF($S$23="Y",'Population Definitions'!$B$19,"...")</f>
        <v>...</v>
      </c>
      <c r="E480" s="2"/>
      <c r="F480" s="3"/>
      <c r="G480" s="2"/>
      <c r="H480" s="4" t="str">
        <f>IF($S$23="Y","OR","...")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</row>
    <row r="481" spans="1:100" x14ac:dyDescent="0.35">
      <c r="A481" s="1" t="str">
        <f>IF($T$23="Y",'Population Definitions'!$B$20,"...")</f>
        <v>...</v>
      </c>
      <c r="B481" s="4" t="str">
        <f>IF($T$23="Y","---&gt;","...")</f>
        <v>...</v>
      </c>
      <c r="C481" s="1" t="str">
        <f>IF($T$23="Y",'Population Definitions'!$B$20,"...")</f>
        <v>...</v>
      </c>
      <c r="E481" s="2"/>
      <c r="F481" s="3"/>
      <c r="G481" s="2"/>
      <c r="H481" s="4" t="str">
        <f>IF($T$23="Y","OR","...")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</row>
    <row r="482" spans="1:100" x14ac:dyDescent="0.35">
      <c r="A482" s="1" t="str">
        <f>IF($U$23="Y",'Population Definitions'!$B$20,"...")</f>
        <v>hros_0-14_M</v>
      </c>
      <c r="B482" s="4" t="str">
        <f>IF($U$23="Y","---&gt;","...")</f>
        <v>---&gt;</v>
      </c>
      <c r="C482" s="1" t="str">
        <f>IF($U$23="Y",'Population Definitions'!$B$21,"...")</f>
        <v>hros_15-64_M</v>
      </c>
      <c r="E482" s="2" t="s">
        <v>49</v>
      </c>
      <c r="F482" s="3"/>
      <c r="G482" s="2">
        <f>1/15</f>
        <v>6.6666666666666666E-2</v>
      </c>
      <c r="H482" s="4" t="str">
        <f>IF($U$23="Y","OR","...")</f>
        <v>OR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</row>
    <row r="483" spans="1:100" x14ac:dyDescent="0.35">
      <c r="A483" s="1" t="str">
        <f>IF($V$23="Y",'Population Definitions'!$B$20,"...")</f>
        <v>...</v>
      </c>
      <c r="B483" s="4" t="str">
        <f>IF($V$23="Y","---&gt;","...")</f>
        <v>...</v>
      </c>
      <c r="C483" s="1" t="str">
        <f>IF($V$23="Y",'Population Definitions'!$B$22,"...")</f>
        <v>...</v>
      </c>
      <c r="E483" s="2"/>
      <c r="F483" s="3"/>
      <c r="G483" s="2"/>
      <c r="H483" s="4" t="str">
        <f>IF($V$23="Y","OR","...")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</row>
    <row r="484" spans="1:100" x14ac:dyDescent="0.35">
      <c r="A484" s="1" t="str">
        <f>IF($W$23="Y",'Population Definitions'!$B$20,"...")</f>
        <v>...</v>
      </c>
      <c r="B484" s="4" t="str">
        <f>IF($W$23="Y","---&gt;","...")</f>
        <v>...</v>
      </c>
      <c r="C484" s="1" t="str">
        <f>IF($W$23="Y",'Population Definitions'!$B$23,"...")</f>
        <v>...</v>
      </c>
      <c r="E484" s="2"/>
      <c r="F484" s="3"/>
      <c r="G484" s="2"/>
      <c r="H484" s="4" t="str">
        <f>IF($W$23="Y","OR","...")</f>
        <v>...</v>
      </c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</row>
    <row r="485" spans="1:100" x14ac:dyDescent="0.35">
      <c r="A485" s="1" t="str">
        <f>IF($X$23="Y",'Population Definitions'!$B$20,"...")</f>
        <v>...</v>
      </c>
      <c r="B485" s="4" t="str">
        <f>IF($X$23="Y","---&gt;","...")</f>
        <v>...</v>
      </c>
      <c r="C485" s="1" t="str">
        <f>IF($X$23="Y",'Population Definitions'!$B$24,"...")</f>
        <v>...</v>
      </c>
      <c r="E485" s="2"/>
      <c r="F485" s="3"/>
      <c r="G485" s="2"/>
      <c r="H485" s="4" t="str">
        <f>IF($X$23="Y","OR","...")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</row>
    <row r="486" spans="1:100" x14ac:dyDescent="0.35">
      <c r="A486" s="1" t="str">
        <f>IF($Y$23="Y",'Population Definitions'!$B$20,"...")</f>
        <v>...</v>
      </c>
      <c r="B486" s="4" t="str">
        <f>IF($Y$23="Y","---&gt;","...")</f>
        <v>...</v>
      </c>
      <c r="C486" s="1" t="str">
        <f>IF($Y$23="Y",'Population Definitions'!$B$25,"...")</f>
        <v>...</v>
      </c>
      <c r="E486" s="2"/>
      <c r="F486" s="3"/>
      <c r="G486" s="2"/>
      <c r="H486" s="4" t="str">
        <f>IF($Y$23="Y","OR","...")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</row>
    <row r="487" spans="1:100" x14ac:dyDescent="0.35">
      <c r="A487" s="1" t="str">
        <f>IF($B$24="Y",'Population Definitions'!$B$21,"...")</f>
        <v>...</v>
      </c>
      <c r="B487" s="4" t="str">
        <f>IF($B$24="Y","---&gt;","...")</f>
        <v>...</v>
      </c>
      <c r="C487" s="1" t="str">
        <f>IF($B$24="Y",'Population Definitions'!$B$2,"...")</f>
        <v>...</v>
      </c>
      <c r="E487" s="2"/>
      <c r="F487" s="3"/>
      <c r="G487" s="2"/>
      <c r="H487" s="4" t="str">
        <f>IF($B$24="Y","OR","...")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</row>
    <row r="488" spans="1:100" x14ac:dyDescent="0.35">
      <c r="A488" s="1" t="str">
        <f>IF($C$24="Y",'Population Definitions'!$B$21,"...")</f>
        <v>...</v>
      </c>
      <c r="B488" s="4" t="str">
        <f>IF($C$24="Y","---&gt;","...")</f>
        <v>...</v>
      </c>
      <c r="C488" s="1" t="str">
        <f>IF($C$24="Y",'Population Definitions'!$B$3,"...")</f>
        <v>...</v>
      </c>
      <c r="E488" s="2"/>
      <c r="F488" s="3"/>
      <c r="G488" s="2"/>
      <c r="H488" s="4" t="str">
        <f>IF($C$24="Y","OR","...")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</row>
    <row r="489" spans="1:100" x14ac:dyDescent="0.35">
      <c r="A489" s="1" t="str">
        <f>IF($D$24="Y",'Population Definitions'!$B$21,"...")</f>
        <v>...</v>
      </c>
      <c r="B489" s="4" t="str">
        <f>IF($D$24="Y","---&gt;","...")</f>
        <v>...</v>
      </c>
      <c r="C489" s="1" t="str">
        <f>IF($D$24="Y",'Population Definitions'!$B$4,"...")</f>
        <v>...</v>
      </c>
      <c r="E489" s="2"/>
      <c r="F489" s="3"/>
      <c r="G489" s="2"/>
      <c r="H489" s="4" t="str">
        <f>IF($D$24="Y","OR","...")</f>
        <v>...</v>
      </c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</row>
    <row r="490" spans="1:100" x14ac:dyDescent="0.35">
      <c r="A490" s="1" t="str">
        <f>IF($E$24="Y",'Population Definitions'!$B$21,"...")</f>
        <v>...</v>
      </c>
      <c r="B490" s="4" t="str">
        <f>IF($E$24="Y","---&gt;","...")</f>
        <v>...</v>
      </c>
      <c r="C490" s="1" t="str">
        <f>IF($E$24="Y",'Population Definitions'!$B$5,"...")</f>
        <v>...</v>
      </c>
      <c r="E490" s="2"/>
      <c r="F490" s="3"/>
      <c r="G490" s="2"/>
      <c r="H490" s="4" t="str">
        <f>IF($E$24="Y","OR","...")</f>
        <v>...</v>
      </c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</row>
    <row r="491" spans="1:100" x14ac:dyDescent="0.35">
      <c r="A491" s="1" t="str">
        <f>IF($F$24="Y",'Population Definitions'!$B$21,"...")</f>
        <v>...</v>
      </c>
      <c r="B491" s="4" t="str">
        <f>IF($F$24="Y","---&gt;","...")</f>
        <v>...</v>
      </c>
      <c r="C491" s="1" t="str">
        <f>IF($F$24="Y",'Population Definitions'!$B$6,"...")</f>
        <v>...</v>
      </c>
      <c r="E491" s="2"/>
      <c r="F491" s="3"/>
      <c r="G491" s="2"/>
      <c r="H491" s="4" t="str">
        <f>IF($F$24="Y","OR","...")</f>
        <v>...</v>
      </c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</row>
    <row r="492" spans="1:100" x14ac:dyDescent="0.35">
      <c r="A492" s="1" t="str">
        <f>IF($G$24="Y",'Population Definitions'!$B$21,"...")</f>
        <v>...</v>
      </c>
      <c r="B492" s="4" t="str">
        <f>IF($G$24="Y","---&gt;","...")</f>
        <v>...</v>
      </c>
      <c r="C492" s="1" t="str">
        <f>IF($G$24="Y",'Population Definitions'!$B$7,"...")</f>
        <v>...</v>
      </c>
      <c r="E492" s="2"/>
      <c r="F492" s="3"/>
      <c r="G492" s="2"/>
      <c r="H492" s="4" t="str">
        <f>IF($G$24="Y","OR","...")</f>
        <v>...</v>
      </c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</row>
    <row r="493" spans="1:100" x14ac:dyDescent="0.35">
      <c r="A493" s="1" t="str">
        <f>IF($H$24="Y",'Population Definitions'!$B$21,"...")</f>
        <v>...</v>
      </c>
      <c r="B493" s="4" t="str">
        <f>IF($H$24="Y","---&gt;","...")</f>
        <v>...</v>
      </c>
      <c r="C493" s="1" t="str">
        <f>IF($H$24="Y",'Population Definitions'!$B$8,"...")</f>
        <v>...</v>
      </c>
      <c r="E493" s="2"/>
      <c r="F493" s="3"/>
      <c r="G493" s="2"/>
      <c r="H493" s="4" t="str">
        <f>IF($H$24="Y","OR","...")</f>
        <v>...</v>
      </c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</row>
    <row r="494" spans="1:100" x14ac:dyDescent="0.35">
      <c r="A494" s="1" t="str">
        <f>IF($I$24="Y",'Population Definitions'!$B$21,"...")</f>
        <v>...</v>
      </c>
      <c r="B494" s="4" t="str">
        <f>IF($I$24="Y","---&gt;","...")</f>
        <v>...</v>
      </c>
      <c r="C494" s="1" t="str">
        <f>IF($I$24="Y",'Population Definitions'!$B$9,"...")</f>
        <v>...</v>
      </c>
      <c r="E494" s="2"/>
      <c r="F494" s="3"/>
      <c r="G494" s="2"/>
      <c r="H494" s="4" t="str">
        <f>IF($I$24="Y","OR","...")</f>
        <v>...</v>
      </c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</row>
    <row r="495" spans="1:100" x14ac:dyDescent="0.35">
      <c r="A495" s="1" t="str">
        <f>IF($J$24="Y",'Population Definitions'!$B$21,"...")</f>
        <v>...</v>
      </c>
      <c r="B495" s="4" t="str">
        <f>IF($J$24="Y","---&gt;","...")</f>
        <v>...</v>
      </c>
      <c r="C495" s="1" t="str">
        <f>IF($J$24="Y",'Population Definitions'!$B$10,"...")</f>
        <v>...</v>
      </c>
      <c r="E495" s="2"/>
      <c r="F495" s="3"/>
      <c r="G495" s="2"/>
      <c r="H495" s="4" t="str">
        <f>IF($J$24="Y","OR","...")</f>
        <v>...</v>
      </c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</row>
    <row r="496" spans="1:100" x14ac:dyDescent="0.35">
      <c r="A496" s="1" t="str">
        <f>IF($K$24="Y",'Population Definitions'!$B$21,"...")</f>
        <v>...</v>
      </c>
      <c r="B496" s="4" t="str">
        <f>IF($K$24="Y","---&gt;","...")</f>
        <v>...</v>
      </c>
      <c r="C496" s="1" t="str">
        <f>IF($K$24="Y",'Population Definitions'!$B$11,"...")</f>
        <v>...</v>
      </c>
      <c r="E496" s="2"/>
      <c r="F496" s="3"/>
      <c r="G496" s="2"/>
      <c r="H496" s="4" t="str">
        <f>IF($K$24="Y","OR","...")</f>
        <v>...</v>
      </c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</row>
    <row r="497" spans="1:100" x14ac:dyDescent="0.35">
      <c r="A497" s="1" t="str">
        <f>IF($L$24="Y",'Population Definitions'!$B$21,"...")</f>
        <v>...</v>
      </c>
      <c r="B497" s="4" t="str">
        <f>IF($L$24="Y","---&gt;","...")</f>
        <v>...</v>
      </c>
      <c r="C497" s="1" t="str">
        <f>IF($L$24="Y",'Population Definitions'!$B$12,"...")</f>
        <v>...</v>
      </c>
      <c r="E497" s="2"/>
      <c r="F497" s="3"/>
      <c r="G497" s="2"/>
      <c r="H497" s="4" t="str">
        <f>IF($L$24="Y","OR","...")</f>
        <v>...</v>
      </c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</row>
    <row r="498" spans="1:100" x14ac:dyDescent="0.35">
      <c r="A498" s="1" t="str">
        <f>IF($M$24="Y",'Population Definitions'!$B$21,"...")</f>
        <v>...</v>
      </c>
      <c r="B498" s="4" t="str">
        <f>IF($M$24="Y","---&gt;","...")</f>
        <v>...</v>
      </c>
      <c r="C498" s="1" t="str">
        <f>IF($M$24="Y",'Population Definitions'!$B$13,"...")</f>
        <v>...</v>
      </c>
      <c r="E498" s="2"/>
      <c r="F498" s="3"/>
      <c r="G498" s="2"/>
      <c r="H498" s="4" t="str">
        <f>IF($M$24="Y","OR","...")</f>
        <v>...</v>
      </c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</row>
    <row r="499" spans="1:100" x14ac:dyDescent="0.35">
      <c r="A499" s="1" t="str">
        <f>IF($N$24="Y",'Population Definitions'!$B$21,"...")</f>
        <v>...</v>
      </c>
      <c r="B499" s="4" t="str">
        <f>IF($N$24="Y","---&gt;","...")</f>
        <v>...</v>
      </c>
      <c r="C499" s="1" t="str">
        <f>IF($N$24="Y",'Population Definitions'!$B$14,"...")</f>
        <v>...</v>
      </c>
      <c r="E499" s="2"/>
      <c r="F499" s="3"/>
      <c r="G499" s="2"/>
      <c r="H499" s="4" t="str">
        <f>IF($N$24="Y","OR","...")</f>
        <v>...</v>
      </c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</row>
    <row r="500" spans="1:100" x14ac:dyDescent="0.35">
      <c r="A500" s="1" t="str">
        <f>IF($O$24="Y",'Population Definitions'!$B$21,"...")</f>
        <v>...</v>
      </c>
      <c r="B500" s="4" t="str">
        <f>IF($O$24="Y","---&gt;","...")</f>
        <v>...</v>
      </c>
      <c r="C500" s="1" t="str">
        <f>IF($O$24="Y",'Population Definitions'!$B$15,"...")</f>
        <v>...</v>
      </c>
      <c r="E500" s="2"/>
      <c r="F500" s="3"/>
      <c r="G500" s="2"/>
      <c r="H500" s="4" t="str">
        <f>IF($O$24="Y","OR","...")</f>
        <v>...</v>
      </c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</row>
    <row r="501" spans="1:100" x14ac:dyDescent="0.35">
      <c r="A501" s="1" t="str">
        <f>IF($P$24="Y",'Population Definitions'!$B$21,"...")</f>
        <v>...</v>
      </c>
      <c r="B501" s="4" t="str">
        <f>IF($P$24="Y","---&gt;","...")</f>
        <v>...</v>
      </c>
      <c r="C501" s="1" t="str">
        <f>IF($P$24="Y",'Population Definitions'!$B$16,"...")</f>
        <v>...</v>
      </c>
      <c r="E501" s="2"/>
      <c r="F501" s="3"/>
      <c r="G501" s="2"/>
      <c r="H501" s="4" t="str">
        <f>IF($P$24="Y","OR","...")</f>
        <v>...</v>
      </c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</row>
    <row r="502" spans="1:100" x14ac:dyDescent="0.35">
      <c r="A502" s="1" t="str">
        <f>IF($Q$24="Y",'Population Definitions'!$B$21,"...")</f>
        <v>...</v>
      </c>
      <c r="B502" s="4" t="str">
        <f>IF($Q$24="Y","---&gt;","...")</f>
        <v>...</v>
      </c>
      <c r="C502" s="1" t="str">
        <f>IF($Q$24="Y",'Population Definitions'!$B$17,"...")</f>
        <v>...</v>
      </c>
      <c r="E502" s="2"/>
      <c r="F502" s="3"/>
      <c r="G502" s="2"/>
      <c r="H502" s="4" t="str">
        <f>IF($Q$24="Y","OR","...")</f>
        <v>...</v>
      </c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</row>
    <row r="503" spans="1:100" x14ac:dyDescent="0.35">
      <c r="A503" s="1" t="str">
        <f>IF($R$24="Y",'Population Definitions'!$B$21,"...")</f>
        <v>...</v>
      </c>
      <c r="B503" s="4" t="str">
        <f>IF($R$24="Y","---&gt;","...")</f>
        <v>...</v>
      </c>
      <c r="C503" s="1" t="str">
        <f>IF($R$24="Y",'Population Definitions'!$B$18,"...")</f>
        <v>...</v>
      </c>
      <c r="E503" s="2"/>
      <c r="F503" s="3"/>
      <c r="G503" s="2"/>
      <c r="H503" s="4" t="str">
        <f>IF($R$24="Y","OR","...")</f>
        <v>...</v>
      </c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</row>
    <row r="504" spans="1:100" x14ac:dyDescent="0.35">
      <c r="A504" s="1" t="str">
        <f>IF($S$24="Y",'Population Definitions'!$B$21,"...")</f>
        <v>...</v>
      </c>
      <c r="B504" s="4" t="str">
        <f>IF($S$24="Y","---&gt;","...")</f>
        <v>...</v>
      </c>
      <c r="C504" s="1" t="str">
        <f>IF($S$24="Y",'Population Definitions'!$B$19,"...")</f>
        <v>...</v>
      </c>
      <c r="E504" s="2"/>
      <c r="F504" s="3"/>
      <c r="G504" s="2"/>
      <c r="H504" s="4" t="str">
        <f>IF($S$24="Y","OR","...")</f>
        <v>...</v>
      </c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</row>
    <row r="505" spans="1:100" x14ac:dyDescent="0.35">
      <c r="A505" s="1" t="str">
        <f>IF($T$24="Y",'Population Definitions'!$B$21,"...")</f>
        <v>...</v>
      </c>
      <c r="B505" s="4" t="str">
        <f>IF($T$24="Y","---&gt;","...")</f>
        <v>...</v>
      </c>
      <c r="C505" s="1" t="str">
        <f>IF($T$24="Y",'Population Definitions'!$B$20,"...")</f>
        <v>...</v>
      </c>
      <c r="E505" s="2"/>
      <c r="F505" s="3"/>
      <c r="G505" s="2"/>
      <c r="H505" s="4" t="str">
        <f>IF($T$24="Y","OR","...")</f>
        <v>...</v>
      </c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</row>
    <row r="506" spans="1:100" x14ac:dyDescent="0.35">
      <c r="A506" s="1" t="str">
        <f>IF($U$24="Y",'Population Definitions'!$B$21,"...")</f>
        <v>...</v>
      </c>
      <c r="B506" s="4" t="str">
        <f>IF($U$24="Y","---&gt;","...")</f>
        <v>...</v>
      </c>
      <c r="C506" s="1" t="str">
        <f>IF($U$24="Y",'Population Definitions'!$B$21,"...")</f>
        <v>...</v>
      </c>
      <c r="E506" s="2"/>
      <c r="F506" s="3"/>
      <c r="G506" s="2"/>
      <c r="H506" s="4" t="str">
        <f>IF($U$24="Y","OR","...")</f>
        <v>...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</row>
    <row r="507" spans="1:100" x14ac:dyDescent="0.35">
      <c r="A507" s="1" t="str">
        <f>IF($V$24="Y",'Population Definitions'!$B$21,"...")</f>
        <v>hros_15-64_M</v>
      </c>
      <c r="B507" s="4" t="str">
        <f>IF($V$24="Y","---&gt;","...")</f>
        <v>---&gt;</v>
      </c>
      <c r="C507" s="1" t="str">
        <f>IF($V$24="Y",'Population Definitions'!$B$22,"...")</f>
        <v>hros_65+_M</v>
      </c>
      <c r="E507" s="2" t="s">
        <v>49</v>
      </c>
      <c r="F507" s="3"/>
      <c r="G507" s="2">
        <f>1/40</f>
        <v>2.5000000000000001E-2</v>
      </c>
      <c r="H507" s="4" t="str">
        <f>IF($V$24="Y","OR","...")</f>
        <v>OR</v>
      </c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</row>
    <row r="508" spans="1:100" x14ac:dyDescent="0.35">
      <c r="A508" s="1" t="str">
        <f>IF($W$24="Y",'Population Definitions'!$B$21,"...")</f>
        <v>...</v>
      </c>
      <c r="B508" s="4" t="str">
        <f>IF($W$24="Y","---&gt;","...")</f>
        <v>...</v>
      </c>
      <c r="C508" s="1" t="str">
        <f>IF($W$24="Y",'Population Definitions'!$B$23,"...")</f>
        <v>...</v>
      </c>
      <c r="E508" s="2"/>
      <c r="F508" s="3"/>
      <c r="G508" s="2"/>
      <c r="H508" s="4" t="str">
        <f>IF($W$24="Y","OR","...")</f>
        <v>...</v>
      </c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</row>
    <row r="509" spans="1:100" x14ac:dyDescent="0.35">
      <c r="A509" s="1" t="str">
        <f>IF($X$24="Y",'Population Definitions'!$B$21,"...")</f>
        <v>...</v>
      </c>
      <c r="B509" s="4" t="str">
        <f>IF($X$24="Y","---&gt;","...")</f>
        <v>...</v>
      </c>
      <c r="C509" s="1" t="str">
        <f>IF($X$24="Y",'Population Definitions'!$B$24,"...")</f>
        <v>...</v>
      </c>
      <c r="E509" s="2"/>
      <c r="F509" s="3"/>
      <c r="G509" s="2"/>
      <c r="H509" s="4" t="str">
        <f>IF($X$24="Y","OR","...")</f>
        <v>...</v>
      </c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</row>
    <row r="510" spans="1:100" x14ac:dyDescent="0.35">
      <c r="A510" s="1" t="str">
        <f>IF($Y$24="Y",'Population Definitions'!$B$21,"...")</f>
        <v>...</v>
      </c>
      <c r="B510" s="4" t="str">
        <f>IF($Y$24="Y","---&gt;","...")</f>
        <v>...</v>
      </c>
      <c r="C510" s="1" t="str">
        <f>IF($Y$24="Y",'Population Definitions'!$B$25,"...")</f>
        <v>...</v>
      </c>
      <c r="E510" s="2"/>
      <c r="F510" s="3"/>
      <c r="G510" s="2"/>
      <c r="H510" s="4" t="str">
        <f>IF($Y$24="Y","OR","...")</f>
        <v>...</v>
      </c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</row>
    <row r="511" spans="1:100" x14ac:dyDescent="0.35">
      <c r="A511" s="1" t="str">
        <f>IF($B$25="Y",'Population Definitions'!$B$22,"...")</f>
        <v>...</v>
      </c>
      <c r="B511" s="4" t="str">
        <f>IF($B$25="Y","---&gt;","...")</f>
        <v>...</v>
      </c>
      <c r="C511" s="1" t="str">
        <f>IF($B$25="Y",'Population Definitions'!$B$2,"...")</f>
        <v>...</v>
      </c>
      <c r="E511" s="2"/>
      <c r="F511" s="3"/>
      <c r="G511" s="2"/>
      <c r="H511" s="4" t="str">
        <f>IF($B$25="Y","OR","...")</f>
        <v>...</v>
      </c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</row>
    <row r="512" spans="1:100" x14ac:dyDescent="0.35">
      <c r="A512" s="1" t="str">
        <f>IF($C$25="Y",'Population Definitions'!$B$22,"...")</f>
        <v>...</v>
      </c>
      <c r="B512" s="4" t="str">
        <f>IF($C$25="Y","---&gt;","...")</f>
        <v>...</v>
      </c>
      <c r="C512" s="1" t="str">
        <f>IF($C$25="Y",'Population Definitions'!$B$3,"...")</f>
        <v>...</v>
      </c>
      <c r="E512" s="2"/>
      <c r="F512" s="3"/>
      <c r="G512" s="2"/>
      <c r="H512" s="4" t="str">
        <f>IF($C$25="Y","OR","...")</f>
        <v>...</v>
      </c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</row>
    <row r="513" spans="1:100" x14ac:dyDescent="0.35">
      <c r="A513" s="1" t="str">
        <f>IF($D$25="Y",'Population Definitions'!$B$22,"...")</f>
        <v>...</v>
      </c>
      <c r="B513" s="4" t="str">
        <f>IF($D$25="Y","---&gt;","...")</f>
        <v>...</v>
      </c>
      <c r="C513" s="1" t="str">
        <f>IF($D$25="Y",'Population Definitions'!$B$4,"...")</f>
        <v>...</v>
      </c>
      <c r="E513" s="2"/>
      <c r="F513" s="3"/>
      <c r="G513" s="2"/>
      <c r="H513" s="4" t="str">
        <f>IF($D$25="Y","OR","...")</f>
        <v>...</v>
      </c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</row>
    <row r="514" spans="1:100" x14ac:dyDescent="0.35">
      <c r="A514" s="1" t="str">
        <f>IF($E$25="Y",'Population Definitions'!$B$22,"...")</f>
        <v>...</v>
      </c>
      <c r="B514" s="4" t="str">
        <f>IF($E$25="Y","---&gt;","...")</f>
        <v>...</v>
      </c>
      <c r="C514" s="1" t="str">
        <f>IF($E$25="Y",'Population Definitions'!$B$5,"...")</f>
        <v>...</v>
      </c>
      <c r="E514" s="2"/>
      <c r="F514" s="3"/>
      <c r="G514" s="2"/>
      <c r="H514" s="4" t="str">
        <f>IF($E$25="Y","OR","...")</f>
        <v>...</v>
      </c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</row>
    <row r="515" spans="1:100" x14ac:dyDescent="0.35">
      <c r="A515" s="1" t="str">
        <f>IF($F$25="Y",'Population Definitions'!$B$22,"...")</f>
        <v>...</v>
      </c>
      <c r="B515" s="4" t="str">
        <f>IF($F$25="Y","---&gt;","...")</f>
        <v>...</v>
      </c>
      <c r="C515" s="1" t="str">
        <f>IF($F$25="Y",'Population Definitions'!$B$6,"...")</f>
        <v>...</v>
      </c>
      <c r="E515" s="2"/>
      <c r="F515" s="3"/>
      <c r="G515" s="2"/>
      <c r="H515" s="4" t="str">
        <f>IF($F$25="Y","OR","...")</f>
        <v>...</v>
      </c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</row>
    <row r="516" spans="1:100" x14ac:dyDescent="0.35">
      <c r="A516" s="1" t="str">
        <f>IF($G$25="Y",'Population Definitions'!$B$22,"...")</f>
        <v>...</v>
      </c>
      <c r="B516" s="4" t="str">
        <f>IF($G$25="Y","---&gt;","...")</f>
        <v>...</v>
      </c>
      <c r="C516" s="1" t="str">
        <f>IF($G$25="Y",'Population Definitions'!$B$7,"...")</f>
        <v>...</v>
      </c>
      <c r="E516" s="2"/>
      <c r="F516" s="3"/>
      <c r="G516" s="2"/>
      <c r="H516" s="4" t="str">
        <f>IF($G$25="Y","OR","...")</f>
        <v>...</v>
      </c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</row>
    <row r="517" spans="1:100" x14ac:dyDescent="0.35">
      <c r="A517" s="1" t="str">
        <f>IF($H$25="Y",'Population Definitions'!$B$22,"...")</f>
        <v>...</v>
      </c>
      <c r="B517" s="4" t="str">
        <f>IF($H$25="Y","---&gt;","...")</f>
        <v>...</v>
      </c>
      <c r="C517" s="1" t="str">
        <f>IF($H$25="Y",'Population Definitions'!$B$8,"...")</f>
        <v>...</v>
      </c>
      <c r="E517" s="2"/>
      <c r="F517" s="3"/>
      <c r="G517" s="2"/>
      <c r="H517" s="4" t="str">
        <f>IF($H$25="Y","OR","...")</f>
        <v>...</v>
      </c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</row>
    <row r="518" spans="1:100" x14ac:dyDescent="0.35">
      <c r="A518" s="1" t="str">
        <f>IF($I$25="Y",'Population Definitions'!$B$22,"...")</f>
        <v>...</v>
      </c>
      <c r="B518" s="4" t="str">
        <f>IF($I$25="Y","---&gt;","...")</f>
        <v>...</v>
      </c>
      <c r="C518" s="1" t="str">
        <f>IF($I$25="Y",'Population Definitions'!$B$9,"...")</f>
        <v>...</v>
      </c>
      <c r="E518" s="2"/>
      <c r="F518" s="3"/>
      <c r="G518" s="2"/>
      <c r="H518" s="4" t="str">
        <f>IF($I$25="Y","OR","...")</f>
        <v>...</v>
      </c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</row>
    <row r="519" spans="1:100" x14ac:dyDescent="0.35">
      <c r="A519" s="1" t="str">
        <f>IF($J$25="Y",'Population Definitions'!$B$22,"...")</f>
        <v>...</v>
      </c>
      <c r="B519" s="4" t="str">
        <f>IF($J$25="Y","---&gt;","...")</f>
        <v>...</v>
      </c>
      <c r="C519" s="1" t="str">
        <f>IF($J$25="Y",'Population Definitions'!$B$10,"...")</f>
        <v>...</v>
      </c>
      <c r="E519" s="2"/>
      <c r="F519" s="3"/>
      <c r="G519" s="2"/>
      <c r="H519" s="4" t="str">
        <f>IF($J$25="Y","OR","...")</f>
        <v>...</v>
      </c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</row>
    <row r="520" spans="1:100" x14ac:dyDescent="0.35">
      <c r="A520" s="1" t="str">
        <f>IF($K$25="Y",'Population Definitions'!$B$22,"...")</f>
        <v>...</v>
      </c>
      <c r="B520" s="4" t="str">
        <f>IF($K$25="Y","---&gt;","...")</f>
        <v>...</v>
      </c>
      <c r="C520" s="1" t="str">
        <f>IF($K$25="Y",'Population Definitions'!$B$11,"...")</f>
        <v>...</v>
      </c>
      <c r="E520" s="2"/>
      <c r="F520" s="3"/>
      <c r="G520" s="2"/>
      <c r="H520" s="4" t="str">
        <f>IF($K$25="Y","OR","...")</f>
        <v>...</v>
      </c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</row>
    <row r="521" spans="1:100" x14ac:dyDescent="0.35">
      <c r="A521" s="1" t="str">
        <f>IF($L$25="Y",'Population Definitions'!$B$22,"...")</f>
        <v>...</v>
      </c>
      <c r="B521" s="4" t="str">
        <f>IF($L$25="Y","---&gt;","...")</f>
        <v>...</v>
      </c>
      <c r="C521" s="1" t="str">
        <f>IF($L$25="Y",'Population Definitions'!$B$12,"...")</f>
        <v>...</v>
      </c>
      <c r="E521" s="2"/>
      <c r="F521" s="3"/>
      <c r="G521" s="2"/>
      <c r="H521" s="4" t="str">
        <f>IF($L$25="Y","OR","...")</f>
        <v>...</v>
      </c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</row>
    <row r="522" spans="1:100" x14ac:dyDescent="0.35">
      <c r="A522" s="1" t="str">
        <f>IF($M$25="Y",'Population Definitions'!$B$22,"...")</f>
        <v>...</v>
      </c>
      <c r="B522" s="4" t="str">
        <f>IF($M$25="Y","---&gt;","...")</f>
        <v>...</v>
      </c>
      <c r="C522" s="1" t="str">
        <f>IF($M$25="Y",'Population Definitions'!$B$13,"...")</f>
        <v>...</v>
      </c>
      <c r="E522" s="2"/>
      <c r="F522" s="3"/>
      <c r="G522" s="2"/>
      <c r="H522" s="4" t="str">
        <f>IF($M$25="Y","OR","...")</f>
        <v>...</v>
      </c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</row>
    <row r="523" spans="1:100" x14ac:dyDescent="0.35">
      <c r="A523" s="1" t="str">
        <f>IF($N$25="Y",'Population Definitions'!$B$22,"...")</f>
        <v>...</v>
      </c>
      <c r="B523" s="4" t="str">
        <f>IF($N$25="Y","---&gt;","...")</f>
        <v>...</v>
      </c>
      <c r="C523" s="1" t="str">
        <f>IF($N$25="Y",'Population Definitions'!$B$14,"...")</f>
        <v>...</v>
      </c>
      <c r="E523" s="2"/>
      <c r="F523" s="3"/>
      <c r="G523" s="2"/>
      <c r="H523" s="4" t="str">
        <f>IF($N$25="Y","OR","...")</f>
        <v>...</v>
      </c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</row>
    <row r="524" spans="1:100" x14ac:dyDescent="0.35">
      <c r="A524" s="1" t="str">
        <f>IF($O$25="Y",'Population Definitions'!$B$22,"...")</f>
        <v>...</v>
      </c>
      <c r="B524" s="4" t="str">
        <f>IF($O$25="Y","---&gt;","...")</f>
        <v>...</v>
      </c>
      <c r="C524" s="1" t="str">
        <f>IF($O$25="Y",'Population Definitions'!$B$15,"...")</f>
        <v>...</v>
      </c>
      <c r="E524" s="2"/>
      <c r="F524" s="3"/>
      <c r="G524" s="2"/>
      <c r="H524" s="4" t="str">
        <f>IF($O$25="Y","OR","...")</f>
        <v>...</v>
      </c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</row>
    <row r="525" spans="1:100" x14ac:dyDescent="0.35">
      <c r="A525" s="1" t="str">
        <f>IF($P$25="Y",'Population Definitions'!$B$22,"...")</f>
        <v>...</v>
      </c>
      <c r="B525" s="4" t="str">
        <f>IF($P$25="Y","---&gt;","...")</f>
        <v>...</v>
      </c>
      <c r="C525" s="1" t="str">
        <f>IF($P$25="Y",'Population Definitions'!$B$16,"...")</f>
        <v>...</v>
      </c>
      <c r="E525" s="2"/>
      <c r="F525" s="3"/>
      <c r="G525" s="2"/>
      <c r="H525" s="4" t="str">
        <f>IF($P$25="Y","OR","...")</f>
        <v>...</v>
      </c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</row>
    <row r="526" spans="1:100" x14ac:dyDescent="0.35">
      <c r="A526" s="1" t="str">
        <f>IF($Q$25="Y",'Population Definitions'!$B$22,"...")</f>
        <v>...</v>
      </c>
      <c r="B526" s="4" t="str">
        <f>IF($Q$25="Y","---&gt;","...")</f>
        <v>...</v>
      </c>
      <c r="C526" s="1" t="str">
        <f>IF($Q$25="Y",'Population Definitions'!$B$17,"...")</f>
        <v>...</v>
      </c>
      <c r="E526" s="2"/>
      <c r="F526" s="3"/>
      <c r="G526" s="2"/>
      <c r="H526" s="4" t="str">
        <f>IF($Q$25="Y","OR","...")</f>
        <v>...</v>
      </c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</row>
    <row r="527" spans="1:100" x14ac:dyDescent="0.35">
      <c r="A527" s="1" t="str">
        <f>IF($R$25="Y",'Population Definitions'!$B$22,"...")</f>
        <v>...</v>
      </c>
      <c r="B527" s="4" t="str">
        <f>IF($R$25="Y","---&gt;","...")</f>
        <v>...</v>
      </c>
      <c r="C527" s="1" t="str">
        <f>IF($R$25="Y",'Population Definitions'!$B$18,"...")</f>
        <v>...</v>
      </c>
      <c r="E527" s="2"/>
      <c r="F527" s="3"/>
      <c r="G527" s="2"/>
      <c r="H527" s="4" t="str">
        <f>IF($R$25="Y","OR","...")</f>
        <v>...</v>
      </c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</row>
    <row r="528" spans="1:100" x14ac:dyDescent="0.35">
      <c r="A528" s="1" t="str">
        <f>IF($S$25="Y",'Population Definitions'!$B$22,"...")</f>
        <v>...</v>
      </c>
      <c r="B528" s="4" t="str">
        <f>IF($S$25="Y","---&gt;","...")</f>
        <v>...</v>
      </c>
      <c r="C528" s="1" t="str">
        <f>IF($S$25="Y",'Population Definitions'!$B$19,"...")</f>
        <v>...</v>
      </c>
      <c r="E528" s="2"/>
      <c r="F528" s="3"/>
      <c r="G528" s="2"/>
      <c r="H528" s="4" t="str">
        <f>IF($S$25="Y","OR","...")</f>
        <v>...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</row>
    <row r="529" spans="1:100" x14ac:dyDescent="0.35">
      <c r="A529" s="1" t="str">
        <f>IF($T$25="Y",'Population Definitions'!$B$22,"...")</f>
        <v>...</v>
      </c>
      <c r="B529" s="4" t="str">
        <f>IF($T$25="Y","---&gt;","...")</f>
        <v>...</v>
      </c>
      <c r="C529" s="1" t="str">
        <f>IF($T$25="Y",'Population Definitions'!$B$20,"...")</f>
        <v>...</v>
      </c>
      <c r="E529" s="2"/>
      <c r="F529" s="3"/>
      <c r="G529" s="2"/>
      <c r="H529" s="4" t="str">
        <f>IF($T$25="Y","OR","...")</f>
        <v>...</v>
      </c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</row>
    <row r="530" spans="1:100" x14ac:dyDescent="0.35">
      <c r="A530" s="1" t="str">
        <f>IF($U$25="Y",'Population Definitions'!$B$22,"...")</f>
        <v>...</v>
      </c>
      <c r="B530" s="4" t="str">
        <f>IF($U$25="Y","---&gt;","...")</f>
        <v>...</v>
      </c>
      <c r="C530" s="1" t="str">
        <f>IF($U$25="Y",'Population Definitions'!$B$21,"...")</f>
        <v>...</v>
      </c>
      <c r="E530" s="2"/>
      <c r="F530" s="3"/>
      <c r="G530" s="2"/>
      <c r="H530" s="4" t="str">
        <f>IF($U$25="Y","OR","...")</f>
        <v>...</v>
      </c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</row>
    <row r="531" spans="1:100" x14ac:dyDescent="0.35">
      <c r="A531" s="1" t="str">
        <f>IF($V$25="Y",'Population Definitions'!$B$22,"...")</f>
        <v>...</v>
      </c>
      <c r="B531" s="4" t="str">
        <f>IF($V$25="Y","---&gt;","...")</f>
        <v>...</v>
      </c>
      <c r="C531" s="1" t="str">
        <f>IF($V$25="Y",'Population Definitions'!$B$22,"...")</f>
        <v>...</v>
      </c>
      <c r="E531" s="2"/>
      <c r="F531" s="3"/>
      <c r="G531" s="2"/>
      <c r="H531" s="4" t="str">
        <f>IF($V$25="Y","OR","...")</f>
        <v>...</v>
      </c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</row>
    <row r="532" spans="1:100" x14ac:dyDescent="0.35">
      <c r="A532" s="1" t="str">
        <f>IF($W$25="Y",'Population Definitions'!$B$22,"...")</f>
        <v>...</v>
      </c>
      <c r="B532" s="4" t="str">
        <f>IF($W$25="Y","---&gt;","...")</f>
        <v>...</v>
      </c>
      <c r="C532" s="1" t="str">
        <f>IF($W$25="Y",'Population Definitions'!$B$23,"...")</f>
        <v>...</v>
      </c>
      <c r="E532" s="2"/>
      <c r="F532" s="3"/>
      <c r="G532" s="2"/>
      <c r="H532" s="4" t="str">
        <f>IF($W$25="Y","OR","...")</f>
        <v>...</v>
      </c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</row>
    <row r="533" spans="1:100" x14ac:dyDescent="0.35">
      <c r="A533" s="1" t="str">
        <f>IF($X$25="Y",'Population Definitions'!$B$22,"...")</f>
        <v>...</v>
      </c>
      <c r="B533" s="4" t="str">
        <f>IF($X$25="Y","---&gt;","...")</f>
        <v>...</v>
      </c>
      <c r="C533" s="1" t="str">
        <f>IF($X$25="Y",'Population Definitions'!$B$24,"...")</f>
        <v>...</v>
      </c>
      <c r="E533" s="2"/>
      <c r="F533" s="3"/>
      <c r="G533" s="2"/>
      <c r="H533" s="4" t="str">
        <f>IF($X$25="Y","OR","...")</f>
        <v>...</v>
      </c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</row>
    <row r="534" spans="1:100" x14ac:dyDescent="0.35">
      <c r="A534" s="1" t="str">
        <f>IF($Y$25="Y",'Population Definitions'!$B$22,"...")</f>
        <v>...</v>
      </c>
      <c r="B534" s="4" t="str">
        <f>IF($Y$25="Y","---&gt;","...")</f>
        <v>...</v>
      </c>
      <c r="C534" s="1" t="str">
        <f>IF($Y$25="Y",'Population Definitions'!$B$25,"...")</f>
        <v>...</v>
      </c>
      <c r="E534" s="2"/>
      <c r="F534" s="3"/>
      <c r="G534" s="2"/>
      <c r="H534" s="4" t="str">
        <f>IF($Y$25="Y","OR","...")</f>
        <v>...</v>
      </c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</row>
    <row r="535" spans="1:100" x14ac:dyDescent="0.35">
      <c r="A535" s="1" t="str">
        <f>IF($B$26="Y",'Population Definitions'!$B$23,"...")</f>
        <v>...</v>
      </c>
      <c r="B535" s="4" t="str">
        <f>IF($B$26="Y","---&gt;","...")</f>
        <v>...</v>
      </c>
      <c r="C535" s="1" t="str">
        <f>IF($B$26="Y",'Population Definitions'!$B$2,"...")</f>
        <v>...</v>
      </c>
      <c r="E535" s="2"/>
      <c r="F535" s="3"/>
      <c r="G535" s="2"/>
      <c r="H535" s="4" t="str">
        <f>IF($B$26="Y","OR","...")</f>
        <v>...</v>
      </c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</row>
    <row r="536" spans="1:100" x14ac:dyDescent="0.35">
      <c r="A536" s="1" t="str">
        <f>IF($C$26="Y",'Population Definitions'!$B$23,"...")</f>
        <v>...</v>
      </c>
      <c r="B536" s="4" t="str">
        <f>IF($C$26="Y","---&gt;","...")</f>
        <v>...</v>
      </c>
      <c r="C536" s="1" t="str">
        <f>IF($C$26="Y",'Population Definitions'!$B$3,"...")</f>
        <v>...</v>
      </c>
      <c r="E536" s="2"/>
      <c r="F536" s="3"/>
      <c r="G536" s="2"/>
      <c r="H536" s="4" t="str">
        <f>IF($C$26="Y","OR","...")</f>
        <v>...</v>
      </c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</row>
    <row r="537" spans="1:100" x14ac:dyDescent="0.35">
      <c r="A537" s="1" t="str">
        <f>IF($D$26="Y",'Population Definitions'!$B$23,"...")</f>
        <v>...</v>
      </c>
      <c r="B537" s="4" t="str">
        <f>IF($D$26="Y","---&gt;","...")</f>
        <v>...</v>
      </c>
      <c r="C537" s="1" t="str">
        <f>IF($D$26="Y",'Population Definitions'!$B$4,"...")</f>
        <v>...</v>
      </c>
      <c r="E537" s="2"/>
      <c r="F537" s="3"/>
      <c r="G537" s="2"/>
      <c r="H537" s="4" t="str">
        <f>IF($D$26="Y","OR","...")</f>
        <v>...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</row>
    <row r="538" spans="1:100" x14ac:dyDescent="0.35">
      <c r="A538" s="1" t="str">
        <f>IF($E$26="Y",'Population Definitions'!$B$23,"...")</f>
        <v>...</v>
      </c>
      <c r="B538" s="4" t="str">
        <f>IF($E$26="Y","---&gt;","...")</f>
        <v>...</v>
      </c>
      <c r="C538" s="1" t="str">
        <f>IF($E$26="Y",'Population Definitions'!$B$5,"...")</f>
        <v>...</v>
      </c>
      <c r="E538" s="2"/>
      <c r="F538" s="3"/>
      <c r="G538" s="2"/>
      <c r="H538" s="4" t="str">
        <f>IF($E$26="Y","OR","...")</f>
        <v>...</v>
      </c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</row>
    <row r="539" spans="1:100" x14ac:dyDescent="0.35">
      <c r="A539" s="1" t="str">
        <f>IF($F$26="Y",'Population Definitions'!$B$23,"...")</f>
        <v>...</v>
      </c>
      <c r="B539" s="4" t="str">
        <f>IF($F$26="Y","---&gt;","...")</f>
        <v>...</v>
      </c>
      <c r="C539" s="1" t="str">
        <f>IF($F$26="Y",'Population Definitions'!$B$6,"...")</f>
        <v>...</v>
      </c>
      <c r="E539" s="2"/>
      <c r="F539" s="3"/>
      <c r="G539" s="2"/>
      <c r="H539" s="4" t="str">
        <f>IF($F$26="Y","OR","...")</f>
        <v>...</v>
      </c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</row>
    <row r="540" spans="1:100" x14ac:dyDescent="0.35">
      <c r="A540" s="1" t="str">
        <f>IF($G$26="Y",'Population Definitions'!$B$23,"...")</f>
        <v>...</v>
      </c>
      <c r="B540" s="4" t="str">
        <f>IF($G$26="Y","---&gt;","...")</f>
        <v>...</v>
      </c>
      <c r="C540" s="1" t="str">
        <f>IF($G$26="Y",'Population Definitions'!$B$7,"...")</f>
        <v>...</v>
      </c>
      <c r="E540" s="2"/>
      <c r="F540" s="3"/>
      <c r="G540" s="2"/>
      <c r="H540" s="4" t="str">
        <f>IF($G$26="Y","OR","...")</f>
        <v>...</v>
      </c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</row>
    <row r="541" spans="1:100" x14ac:dyDescent="0.35">
      <c r="A541" s="1" t="str">
        <f>IF($H$26="Y",'Population Definitions'!$B$23,"...")</f>
        <v>...</v>
      </c>
      <c r="B541" s="4" t="str">
        <f>IF($H$26="Y","---&gt;","...")</f>
        <v>...</v>
      </c>
      <c r="C541" s="1" t="str">
        <f>IF($H$26="Y",'Population Definitions'!$B$8,"...")</f>
        <v>...</v>
      </c>
      <c r="E541" s="2"/>
      <c r="F541" s="3"/>
      <c r="G541" s="2"/>
      <c r="H541" s="4" t="str">
        <f>IF($H$26="Y","OR","...")</f>
        <v>...</v>
      </c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</row>
    <row r="542" spans="1:100" x14ac:dyDescent="0.35">
      <c r="A542" s="1" t="str">
        <f>IF($I$26="Y",'Population Definitions'!$B$23,"...")</f>
        <v>...</v>
      </c>
      <c r="B542" s="4" t="str">
        <f>IF($I$26="Y","---&gt;","...")</f>
        <v>...</v>
      </c>
      <c r="C542" s="1" t="str">
        <f>IF($I$26="Y",'Population Definitions'!$B$9,"...")</f>
        <v>...</v>
      </c>
      <c r="E542" s="2"/>
      <c r="F542" s="3"/>
      <c r="G542" s="2"/>
      <c r="H542" s="4" t="str">
        <f>IF($I$26="Y","OR","...")</f>
        <v>...</v>
      </c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</row>
    <row r="543" spans="1:100" x14ac:dyDescent="0.35">
      <c r="A543" s="1" t="str">
        <f>IF($J$26="Y",'Population Definitions'!$B$23,"...")</f>
        <v>...</v>
      </c>
      <c r="B543" s="4" t="str">
        <f>IF($J$26="Y","---&gt;","...")</f>
        <v>...</v>
      </c>
      <c r="C543" s="1" t="str">
        <f>IF($J$26="Y",'Population Definitions'!$B$10,"...")</f>
        <v>...</v>
      </c>
      <c r="E543" s="2"/>
      <c r="F543" s="3"/>
      <c r="G543" s="2"/>
      <c r="H543" s="4" t="str">
        <f>IF($J$26="Y","OR","...")</f>
        <v>...</v>
      </c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</row>
    <row r="544" spans="1:100" x14ac:dyDescent="0.35">
      <c r="A544" s="1" t="str">
        <f>IF($K$26="Y",'Population Definitions'!$B$23,"...")</f>
        <v>...</v>
      </c>
      <c r="B544" s="4" t="str">
        <f>IF($K$26="Y","---&gt;","...")</f>
        <v>...</v>
      </c>
      <c r="C544" s="1" t="str">
        <f>IF($K$26="Y",'Population Definitions'!$B$11,"...")</f>
        <v>...</v>
      </c>
      <c r="E544" s="2"/>
      <c r="F544" s="3"/>
      <c r="G544" s="2"/>
      <c r="H544" s="4" t="str">
        <f>IF($K$26="Y","OR","...")</f>
        <v>...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</row>
    <row r="545" spans="1:100" x14ac:dyDescent="0.35">
      <c r="A545" s="1" t="str">
        <f>IF($L$26="Y",'Population Definitions'!$B$23,"...")</f>
        <v>...</v>
      </c>
      <c r="B545" s="4" t="str">
        <f>IF($L$26="Y","---&gt;","...")</f>
        <v>...</v>
      </c>
      <c r="C545" s="1" t="str">
        <f>IF($L$26="Y",'Population Definitions'!$B$12,"...")</f>
        <v>...</v>
      </c>
      <c r="E545" s="2"/>
      <c r="F545" s="3"/>
      <c r="G545" s="2"/>
      <c r="H545" s="4" t="str">
        <f>IF($L$26="Y","OR","...")</f>
        <v>...</v>
      </c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</row>
    <row r="546" spans="1:100" x14ac:dyDescent="0.35">
      <c r="A546" s="1" t="str">
        <f>IF($M$26="Y",'Population Definitions'!$B$23,"...")</f>
        <v>...</v>
      </c>
      <c r="B546" s="4" t="str">
        <f>IF($M$26="Y","---&gt;","...")</f>
        <v>...</v>
      </c>
      <c r="C546" s="1" t="str">
        <f>IF($M$26="Y",'Population Definitions'!$B$13,"...")</f>
        <v>...</v>
      </c>
      <c r="E546" s="2"/>
      <c r="F546" s="3"/>
      <c r="G546" s="2"/>
      <c r="H546" s="4" t="str">
        <f>IF($M$26="Y","OR","...")</f>
        <v>...</v>
      </c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</row>
    <row r="547" spans="1:100" x14ac:dyDescent="0.35">
      <c r="A547" s="1" t="str">
        <f>IF($N$26="Y",'Population Definitions'!$B$23,"...")</f>
        <v>...</v>
      </c>
      <c r="B547" s="4" t="str">
        <f>IF($N$26="Y","---&gt;","...")</f>
        <v>...</v>
      </c>
      <c r="C547" s="1" t="str">
        <f>IF($N$26="Y",'Population Definitions'!$B$14,"...")</f>
        <v>...</v>
      </c>
      <c r="E547" s="2"/>
      <c r="F547" s="3"/>
      <c r="G547" s="2"/>
      <c r="H547" s="4" t="str">
        <f>IF($N$26="Y","OR","...")</f>
        <v>...</v>
      </c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</row>
    <row r="548" spans="1:100" x14ac:dyDescent="0.35">
      <c r="A548" s="1" t="str">
        <f>IF($O$26="Y",'Population Definitions'!$B$23,"...")</f>
        <v>...</v>
      </c>
      <c r="B548" s="4" t="str">
        <f>IF($O$26="Y","---&gt;","...")</f>
        <v>...</v>
      </c>
      <c r="C548" s="1" t="str">
        <f>IF($O$26="Y",'Population Definitions'!$B$15,"...")</f>
        <v>...</v>
      </c>
      <c r="E548" s="2"/>
      <c r="F548" s="3"/>
      <c r="G548" s="2"/>
      <c r="H548" s="4" t="str">
        <f>IF($O$26="Y","OR","...")</f>
        <v>...</v>
      </c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</row>
    <row r="549" spans="1:100" x14ac:dyDescent="0.35">
      <c r="A549" s="1" t="str">
        <f>IF($P$26="Y",'Population Definitions'!$B$23,"...")</f>
        <v>...</v>
      </c>
      <c r="B549" s="4" t="str">
        <f>IF($P$26="Y","---&gt;","...")</f>
        <v>...</v>
      </c>
      <c r="C549" s="1" t="str">
        <f>IF($P$26="Y",'Population Definitions'!$B$16,"...")</f>
        <v>...</v>
      </c>
      <c r="E549" s="2"/>
      <c r="F549" s="3"/>
      <c r="G549" s="2"/>
      <c r="H549" s="4" t="str">
        <f>IF($P$26="Y","OR","...")</f>
        <v>...</v>
      </c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</row>
    <row r="550" spans="1:100" x14ac:dyDescent="0.35">
      <c r="A550" s="1" t="str">
        <f>IF($Q$26="Y",'Population Definitions'!$B$23,"...")</f>
        <v>...</v>
      </c>
      <c r="B550" s="4" t="str">
        <f>IF($Q$26="Y","---&gt;","...")</f>
        <v>...</v>
      </c>
      <c r="C550" s="1" t="str">
        <f>IF($Q$26="Y",'Population Definitions'!$B$17,"...")</f>
        <v>...</v>
      </c>
      <c r="E550" s="2"/>
      <c r="F550" s="3"/>
      <c r="G550" s="2"/>
      <c r="H550" s="4" t="str">
        <f>IF($Q$26="Y","OR","...")</f>
        <v>...</v>
      </c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</row>
    <row r="551" spans="1:100" x14ac:dyDescent="0.35">
      <c r="A551" s="1" t="str">
        <f>IF($R$26="Y",'Population Definitions'!$B$23,"...")</f>
        <v>...</v>
      </c>
      <c r="B551" s="4" t="str">
        <f>IF($R$26="Y","---&gt;","...")</f>
        <v>...</v>
      </c>
      <c r="C551" s="1" t="str">
        <f>IF($R$26="Y",'Population Definitions'!$B$18,"...")</f>
        <v>...</v>
      </c>
      <c r="E551" s="2"/>
      <c r="F551" s="3"/>
      <c r="G551" s="2"/>
      <c r="H551" s="4" t="str">
        <f>IF($R$26="Y","OR","...")</f>
        <v>...</v>
      </c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</row>
    <row r="552" spans="1:100" x14ac:dyDescent="0.35">
      <c r="A552" s="1" t="str">
        <f>IF($S$26="Y",'Population Definitions'!$B$23,"...")</f>
        <v>...</v>
      </c>
      <c r="B552" s="4" t="str">
        <f>IF($S$26="Y","---&gt;","...")</f>
        <v>...</v>
      </c>
      <c r="C552" s="1" t="str">
        <f>IF($S$26="Y",'Population Definitions'!$B$19,"...")</f>
        <v>...</v>
      </c>
      <c r="E552" s="2"/>
      <c r="F552" s="3"/>
      <c r="G552" s="2"/>
      <c r="H552" s="4" t="str">
        <f>IF($S$26="Y","OR","...")</f>
        <v>...</v>
      </c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</row>
    <row r="553" spans="1:100" x14ac:dyDescent="0.35">
      <c r="A553" s="1" t="str">
        <f>IF($T$26="Y",'Population Definitions'!$B$23,"...")</f>
        <v>...</v>
      </c>
      <c r="B553" s="4" t="str">
        <f>IF($T$26="Y","---&gt;","...")</f>
        <v>...</v>
      </c>
      <c r="C553" s="1" t="str">
        <f>IF($T$26="Y",'Population Definitions'!$B$20,"...")</f>
        <v>...</v>
      </c>
      <c r="E553" s="2"/>
      <c r="F553" s="3"/>
      <c r="G553" s="2"/>
      <c r="H553" s="4" t="str">
        <f>IF($T$26="Y","OR","...")</f>
        <v>...</v>
      </c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</row>
    <row r="554" spans="1:100" x14ac:dyDescent="0.35">
      <c r="A554" s="1" t="str">
        <f>IF($U$26="Y",'Population Definitions'!$B$23,"...")</f>
        <v>...</v>
      </c>
      <c r="B554" s="4" t="str">
        <f>IF($U$26="Y","---&gt;","...")</f>
        <v>...</v>
      </c>
      <c r="C554" s="1" t="str">
        <f>IF($U$26="Y",'Population Definitions'!$B$21,"...")</f>
        <v>...</v>
      </c>
      <c r="E554" s="2"/>
      <c r="F554" s="3"/>
      <c r="G554" s="2"/>
      <c r="H554" s="4" t="str">
        <f>IF($U$26="Y","OR","...")</f>
        <v>...</v>
      </c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</row>
    <row r="555" spans="1:100" x14ac:dyDescent="0.35">
      <c r="A555" s="1" t="str">
        <f>IF($V$26="Y",'Population Definitions'!$B$23,"...")</f>
        <v>...</v>
      </c>
      <c r="B555" s="4" t="str">
        <f>IF($V$26="Y","---&gt;","...")</f>
        <v>...</v>
      </c>
      <c r="C555" s="1" t="str">
        <f>IF($V$26="Y",'Population Definitions'!$B$22,"...")</f>
        <v>...</v>
      </c>
      <c r="E555" s="2"/>
      <c r="F555" s="3"/>
      <c r="G555" s="2"/>
      <c r="H555" s="4" t="str">
        <f>IF($V$26="Y","OR","...")</f>
        <v>...</v>
      </c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</row>
    <row r="556" spans="1:100" x14ac:dyDescent="0.35">
      <c r="A556" s="1" t="str">
        <f>IF($W$26="Y",'Population Definitions'!$B$23,"...")</f>
        <v>...</v>
      </c>
      <c r="B556" s="4" t="str">
        <f>IF($W$26="Y","---&gt;","...")</f>
        <v>...</v>
      </c>
      <c r="C556" s="1" t="str">
        <f>IF($W$26="Y",'Population Definitions'!$B$23,"...")</f>
        <v>...</v>
      </c>
      <c r="E556" s="2"/>
      <c r="F556" s="3"/>
      <c r="G556" s="2"/>
      <c r="H556" s="4" t="str">
        <f>IF($W$26="Y","OR","...")</f>
        <v>...</v>
      </c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</row>
    <row r="557" spans="1:100" x14ac:dyDescent="0.35">
      <c r="A557" s="1" t="str">
        <f>IF($X$26="Y",'Population Definitions'!$B$23,"...")</f>
        <v>hros_0-14_F</v>
      </c>
      <c r="B557" s="4" t="str">
        <f>IF($X$26="Y","---&gt;","...")</f>
        <v>---&gt;</v>
      </c>
      <c r="C557" s="1" t="str">
        <f>IF($X$26="Y",'Population Definitions'!$B$24,"...")</f>
        <v>hros_15-64_F</v>
      </c>
      <c r="E557" s="2" t="s">
        <v>49</v>
      </c>
      <c r="F557" s="3"/>
      <c r="G557" s="2">
        <f>1/15</f>
        <v>6.6666666666666666E-2</v>
      </c>
      <c r="H557" s="4" t="str">
        <f>IF($X$26="Y","OR","...")</f>
        <v>OR</v>
      </c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</row>
    <row r="558" spans="1:100" x14ac:dyDescent="0.35">
      <c r="A558" s="1" t="str">
        <f>IF($Y$26="Y",'Population Definitions'!$B$23,"...")</f>
        <v>...</v>
      </c>
      <c r="B558" s="4" t="str">
        <f>IF($Y$26="Y","---&gt;","...")</f>
        <v>...</v>
      </c>
      <c r="C558" s="1" t="str">
        <f>IF($Y$26="Y",'Population Definitions'!$B$25,"...")</f>
        <v>...</v>
      </c>
      <c r="E558" s="2"/>
      <c r="F558" s="3"/>
      <c r="G558" s="2"/>
      <c r="H558" s="4" t="str">
        <f>IF($Y$26="Y","OR","...")</f>
        <v>...</v>
      </c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</row>
    <row r="559" spans="1:100" x14ac:dyDescent="0.35">
      <c r="A559" s="1" t="str">
        <f>IF($B$27="Y",'Population Definitions'!$B$24,"...")</f>
        <v>...</v>
      </c>
      <c r="B559" s="4" t="str">
        <f>IF($B$27="Y","---&gt;","...")</f>
        <v>...</v>
      </c>
      <c r="C559" s="1" t="str">
        <f>IF($B$27="Y",'Population Definitions'!$B$2,"...")</f>
        <v>...</v>
      </c>
      <c r="E559" s="2"/>
      <c r="F559" s="3"/>
      <c r="G559" s="2"/>
      <c r="H559" s="4" t="str">
        <f>IF($B$27="Y","OR","...")</f>
        <v>...</v>
      </c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</row>
    <row r="560" spans="1:100" x14ac:dyDescent="0.35">
      <c r="A560" s="1" t="str">
        <f>IF($C$27="Y",'Population Definitions'!$B$24,"...")</f>
        <v>...</v>
      </c>
      <c r="B560" s="4" t="str">
        <f>IF($C$27="Y","---&gt;","...")</f>
        <v>...</v>
      </c>
      <c r="C560" s="1" t="str">
        <f>IF($C$27="Y",'Population Definitions'!$B$3,"...")</f>
        <v>...</v>
      </c>
      <c r="E560" s="2"/>
      <c r="F560" s="3"/>
      <c r="G560" s="2"/>
      <c r="H560" s="4" t="str">
        <f>IF($C$27="Y","OR","...")</f>
        <v>...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</row>
    <row r="561" spans="1:100" x14ac:dyDescent="0.35">
      <c r="A561" s="1" t="str">
        <f>IF($D$27="Y",'Population Definitions'!$B$24,"...")</f>
        <v>...</v>
      </c>
      <c r="B561" s="4" t="str">
        <f>IF($D$27="Y","---&gt;","...")</f>
        <v>...</v>
      </c>
      <c r="C561" s="1" t="str">
        <f>IF($D$27="Y",'Population Definitions'!$B$4,"...")</f>
        <v>...</v>
      </c>
      <c r="E561" s="2"/>
      <c r="F561" s="3"/>
      <c r="G561" s="2"/>
      <c r="H561" s="4" t="str">
        <f>IF($D$27="Y","OR","...")</f>
        <v>...</v>
      </c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</row>
    <row r="562" spans="1:100" x14ac:dyDescent="0.35">
      <c r="A562" s="1" t="str">
        <f>IF($E$27="Y",'Population Definitions'!$B$24,"...")</f>
        <v>...</v>
      </c>
      <c r="B562" s="4" t="str">
        <f>IF($E$27="Y","---&gt;","...")</f>
        <v>...</v>
      </c>
      <c r="C562" s="1" t="str">
        <f>IF($E$27="Y",'Population Definitions'!$B$5,"...")</f>
        <v>...</v>
      </c>
      <c r="E562" s="2"/>
      <c r="F562" s="3"/>
      <c r="G562" s="2"/>
      <c r="H562" s="4" t="str">
        <f>IF($E$27="Y","OR","...")</f>
        <v>...</v>
      </c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</row>
    <row r="563" spans="1:100" x14ac:dyDescent="0.35">
      <c r="A563" s="1" t="str">
        <f>IF($F$27="Y",'Population Definitions'!$B$24,"...")</f>
        <v>...</v>
      </c>
      <c r="B563" s="4" t="str">
        <f>IF($F$27="Y","---&gt;","...")</f>
        <v>...</v>
      </c>
      <c r="C563" s="1" t="str">
        <f>IF($F$27="Y",'Population Definitions'!$B$6,"...")</f>
        <v>...</v>
      </c>
      <c r="E563" s="2"/>
      <c r="F563" s="3"/>
      <c r="G563" s="2"/>
      <c r="H563" s="4" t="str">
        <f>IF($F$27="Y","OR","...")</f>
        <v>...</v>
      </c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</row>
    <row r="564" spans="1:100" x14ac:dyDescent="0.35">
      <c r="A564" s="1" t="str">
        <f>IF($G$27="Y",'Population Definitions'!$B$24,"...")</f>
        <v>...</v>
      </c>
      <c r="B564" s="4" t="str">
        <f>IF($G$27="Y","---&gt;","...")</f>
        <v>...</v>
      </c>
      <c r="C564" s="1" t="str">
        <f>IF($G$27="Y",'Population Definitions'!$B$7,"...")</f>
        <v>...</v>
      </c>
      <c r="E564" s="2"/>
      <c r="F564" s="3"/>
      <c r="G564" s="2"/>
      <c r="H564" s="4" t="str">
        <f>IF($G$27="Y","OR","...")</f>
        <v>...</v>
      </c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</row>
    <row r="565" spans="1:100" x14ac:dyDescent="0.35">
      <c r="A565" s="1" t="str">
        <f>IF($H$27="Y",'Population Definitions'!$B$24,"...")</f>
        <v>...</v>
      </c>
      <c r="B565" s="4" t="str">
        <f>IF($H$27="Y","---&gt;","...")</f>
        <v>...</v>
      </c>
      <c r="C565" s="1" t="str">
        <f>IF($H$27="Y",'Population Definitions'!$B$8,"...")</f>
        <v>...</v>
      </c>
      <c r="E565" s="2"/>
      <c r="F565" s="3"/>
      <c r="G565" s="2"/>
      <c r="H565" s="4" t="str">
        <f>IF($H$27="Y","OR","...")</f>
        <v>...</v>
      </c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</row>
    <row r="566" spans="1:100" x14ac:dyDescent="0.35">
      <c r="A566" s="1" t="str">
        <f>IF($I$27="Y",'Population Definitions'!$B$24,"...")</f>
        <v>...</v>
      </c>
      <c r="B566" s="4" t="str">
        <f>IF($I$27="Y","---&gt;","...")</f>
        <v>...</v>
      </c>
      <c r="C566" s="1" t="str">
        <f>IF($I$27="Y",'Population Definitions'!$B$9,"...")</f>
        <v>...</v>
      </c>
      <c r="E566" s="2"/>
      <c r="F566" s="3"/>
      <c r="G566" s="2"/>
      <c r="H566" s="4" t="str">
        <f>IF($I$27="Y","OR","...")</f>
        <v>...</v>
      </c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</row>
    <row r="567" spans="1:100" x14ac:dyDescent="0.35">
      <c r="A567" s="1" t="str">
        <f>IF($J$27="Y",'Population Definitions'!$B$24,"...")</f>
        <v>...</v>
      </c>
      <c r="B567" s="4" t="str">
        <f>IF($J$27="Y","---&gt;","...")</f>
        <v>...</v>
      </c>
      <c r="C567" s="1" t="str">
        <f>IF($J$27="Y",'Population Definitions'!$B$10,"...")</f>
        <v>...</v>
      </c>
      <c r="E567" s="2"/>
      <c r="F567" s="3"/>
      <c r="G567" s="2"/>
      <c r="H567" s="4" t="str">
        <f>IF($J$27="Y","OR","...")</f>
        <v>...</v>
      </c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</row>
    <row r="568" spans="1:100" x14ac:dyDescent="0.35">
      <c r="A568" s="1" t="str">
        <f>IF($K$27="Y",'Population Definitions'!$B$24,"...")</f>
        <v>...</v>
      </c>
      <c r="B568" s="4" t="str">
        <f>IF($K$27="Y","---&gt;","...")</f>
        <v>...</v>
      </c>
      <c r="C568" s="1" t="str">
        <f>IF($K$27="Y",'Population Definitions'!$B$11,"...")</f>
        <v>...</v>
      </c>
      <c r="E568" s="2"/>
      <c r="F568" s="3"/>
      <c r="G568" s="2"/>
      <c r="H568" s="4" t="str">
        <f>IF($K$27="Y","OR","...")</f>
        <v>...</v>
      </c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</row>
    <row r="569" spans="1:100" x14ac:dyDescent="0.35">
      <c r="A569" s="1" t="str">
        <f>IF($L$27="Y",'Population Definitions'!$B$24,"...")</f>
        <v>...</v>
      </c>
      <c r="B569" s="4" t="str">
        <f>IF($L$27="Y","---&gt;","...")</f>
        <v>...</v>
      </c>
      <c r="C569" s="1" t="str">
        <f>IF($L$27="Y",'Population Definitions'!$B$12,"...")</f>
        <v>...</v>
      </c>
      <c r="E569" s="2"/>
      <c r="F569" s="3"/>
      <c r="G569" s="2"/>
      <c r="H569" s="4" t="str">
        <f>IF($L$27="Y","OR","...")</f>
        <v>...</v>
      </c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</row>
    <row r="570" spans="1:100" x14ac:dyDescent="0.35">
      <c r="A570" s="1" t="str">
        <f>IF($M$27="Y",'Population Definitions'!$B$24,"...")</f>
        <v>...</v>
      </c>
      <c r="B570" s="4" t="str">
        <f>IF($M$27="Y","---&gt;","...")</f>
        <v>...</v>
      </c>
      <c r="C570" s="1" t="str">
        <f>IF($M$27="Y",'Population Definitions'!$B$13,"...")</f>
        <v>...</v>
      </c>
      <c r="E570" s="2"/>
      <c r="F570" s="3"/>
      <c r="G570" s="2"/>
      <c r="H570" s="4" t="str">
        <f>IF($M$27="Y","OR","...")</f>
        <v>...</v>
      </c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</row>
    <row r="571" spans="1:100" x14ac:dyDescent="0.35">
      <c r="A571" s="1" t="str">
        <f>IF($N$27="Y",'Population Definitions'!$B$24,"...")</f>
        <v>...</v>
      </c>
      <c r="B571" s="4" t="str">
        <f>IF($N$27="Y","---&gt;","...")</f>
        <v>...</v>
      </c>
      <c r="C571" s="1" t="str">
        <f>IF($N$27="Y",'Population Definitions'!$B$14,"...")</f>
        <v>...</v>
      </c>
      <c r="E571" s="2"/>
      <c r="F571" s="3"/>
      <c r="G571" s="2"/>
      <c r="H571" s="4" t="str">
        <f>IF($N$27="Y","OR","...")</f>
        <v>...</v>
      </c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</row>
    <row r="572" spans="1:100" x14ac:dyDescent="0.35">
      <c r="A572" s="1" t="str">
        <f>IF($O$27="Y",'Population Definitions'!$B$24,"...")</f>
        <v>...</v>
      </c>
      <c r="B572" s="4" t="str">
        <f>IF($O$27="Y","---&gt;","...")</f>
        <v>...</v>
      </c>
      <c r="C572" s="1" t="str">
        <f>IF($O$27="Y",'Population Definitions'!$B$15,"...")</f>
        <v>...</v>
      </c>
      <c r="E572" s="2"/>
      <c r="F572" s="3"/>
      <c r="G572" s="2"/>
      <c r="H572" s="4" t="str">
        <f>IF($O$27="Y","OR","...")</f>
        <v>...</v>
      </c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</row>
    <row r="573" spans="1:100" x14ac:dyDescent="0.35">
      <c r="A573" s="1" t="str">
        <f>IF($P$27="Y",'Population Definitions'!$B$24,"...")</f>
        <v>...</v>
      </c>
      <c r="B573" s="4" t="str">
        <f>IF($P$27="Y","---&gt;","...")</f>
        <v>...</v>
      </c>
      <c r="C573" s="1" t="str">
        <f>IF($P$27="Y",'Population Definitions'!$B$16,"...")</f>
        <v>...</v>
      </c>
      <c r="E573" s="2"/>
      <c r="F573" s="3"/>
      <c r="G573" s="2"/>
      <c r="H573" s="4" t="str">
        <f>IF($P$27="Y","OR","...")</f>
        <v>...</v>
      </c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</row>
    <row r="574" spans="1:100" x14ac:dyDescent="0.35">
      <c r="A574" s="1" t="str">
        <f>IF($Q$27="Y",'Population Definitions'!$B$24,"...")</f>
        <v>...</v>
      </c>
      <c r="B574" s="4" t="str">
        <f>IF($Q$27="Y","---&gt;","...")</f>
        <v>...</v>
      </c>
      <c r="C574" s="1" t="str">
        <f>IF($Q$27="Y",'Population Definitions'!$B$17,"...")</f>
        <v>...</v>
      </c>
      <c r="E574" s="2"/>
      <c r="F574" s="3"/>
      <c r="G574" s="2"/>
      <c r="H574" s="4" t="str">
        <f>IF($Q$27="Y","OR","...")</f>
        <v>...</v>
      </c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</row>
    <row r="575" spans="1:100" x14ac:dyDescent="0.35">
      <c r="A575" s="1" t="str">
        <f>IF($R$27="Y",'Population Definitions'!$B$24,"...")</f>
        <v>...</v>
      </c>
      <c r="B575" s="4" t="str">
        <f>IF($R$27="Y","---&gt;","...")</f>
        <v>...</v>
      </c>
      <c r="C575" s="1" t="str">
        <f>IF($R$27="Y",'Population Definitions'!$B$18,"...")</f>
        <v>...</v>
      </c>
      <c r="E575" s="2"/>
      <c r="F575" s="3"/>
      <c r="G575" s="2"/>
      <c r="H575" s="4" t="str">
        <f>IF($R$27="Y","OR","...")</f>
        <v>...</v>
      </c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</row>
    <row r="576" spans="1:100" x14ac:dyDescent="0.35">
      <c r="A576" s="1" t="str">
        <f>IF($S$27="Y",'Population Definitions'!$B$24,"...")</f>
        <v>...</v>
      </c>
      <c r="B576" s="4" t="str">
        <f>IF($S$27="Y","---&gt;","...")</f>
        <v>...</v>
      </c>
      <c r="C576" s="1" t="str">
        <f>IF($S$27="Y",'Population Definitions'!$B$19,"...")</f>
        <v>...</v>
      </c>
      <c r="E576" s="2"/>
      <c r="F576" s="3"/>
      <c r="G576" s="2"/>
      <c r="H576" s="4" t="str">
        <f>IF($S$27="Y","OR","...")</f>
        <v>...</v>
      </c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</row>
    <row r="577" spans="1:100" x14ac:dyDescent="0.35">
      <c r="A577" s="1" t="str">
        <f>IF($T$27="Y",'Population Definitions'!$B$24,"...")</f>
        <v>...</v>
      </c>
      <c r="B577" s="4" t="str">
        <f>IF($T$27="Y","---&gt;","...")</f>
        <v>...</v>
      </c>
      <c r="C577" s="1" t="str">
        <f>IF($T$27="Y",'Population Definitions'!$B$20,"...")</f>
        <v>...</v>
      </c>
      <c r="E577" s="2"/>
      <c r="F577" s="3"/>
      <c r="G577" s="2"/>
      <c r="H577" s="4" t="str">
        <f>IF($T$27="Y","OR","...")</f>
        <v>...</v>
      </c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</row>
    <row r="578" spans="1:100" x14ac:dyDescent="0.35">
      <c r="A578" s="1" t="str">
        <f>IF($U$27="Y",'Population Definitions'!$B$24,"...")</f>
        <v>...</v>
      </c>
      <c r="B578" s="4" t="str">
        <f>IF($U$27="Y","---&gt;","...")</f>
        <v>...</v>
      </c>
      <c r="C578" s="1" t="str">
        <f>IF($U$27="Y",'Population Definitions'!$B$21,"...")</f>
        <v>...</v>
      </c>
      <c r="E578" s="2"/>
      <c r="F578" s="3"/>
      <c r="G578" s="2"/>
      <c r="H578" s="4" t="str">
        <f>IF($U$27="Y","OR","...")</f>
        <v>...</v>
      </c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</row>
    <row r="579" spans="1:100" x14ac:dyDescent="0.35">
      <c r="A579" s="1" t="str">
        <f>IF($V$27="Y",'Population Definitions'!$B$24,"...")</f>
        <v>...</v>
      </c>
      <c r="B579" s="4" t="str">
        <f>IF($V$27="Y","---&gt;","...")</f>
        <v>...</v>
      </c>
      <c r="C579" s="1" t="str">
        <f>IF($V$27="Y",'Population Definitions'!$B$22,"...")</f>
        <v>...</v>
      </c>
      <c r="E579" s="2"/>
      <c r="F579" s="3"/>
      <c r="G579" s="2"/>
      <c r="H579" s="4" t="str">
        <f>IF($V$27="Y","OR","...")</f>
        <v>...</v>
      </c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</row>
    <row r="580" spans="1:100" x14ac:dyDescent="0.35">
      <c r="A580" s="1" t="str">
        <f>IF($W$27="Y",'Population Definitions'!$B$24,"...")</f>
        <v>...</v>
      </c>
      <c r="B580" s="4" t="str">
        <f>IF($W$27="Y","---&gt;","...")</f>
        <v>...</v>
      </c>
      <c r="C580" s="1" t="str">
        <f>IF($W$27="Y",'Population Definitions'!$B$23,"...")</f>
        <v>...</v>
      </c>
      <c r="E580" s="2"/>
      <c r="F580" s="3"/>
      <c r="G580" s="2"/>
      <c r="H580" s="4" t="str">
        <f>IF($W$27="Y","OR","...")</f>
        <v>...</v>
      </c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</row>
    <row r="581" spans="1:100" x14ac:dyDescent="0.35">
      <c r="A581" s="1" t="str">
        <f>IF($X$27="Y",'Population Definitions'!$B$24,"...")</f>
        <v>...</v>
      </c>
      <c r="B581" s="4" t="str">
        <f>IF($X$27="Y","---&gt;","...")</f>
        <v>...</v>
      </c>
      <c r="C581" s="1" t="str">
        <f>IF($X$27="Y",'Population Definitions'!$B$24,"...")</f>
        <v>...</v>
      </c>
      <c r="E581" s="2"/>
      <c r="F581" s="3"/>
      <c r="G581" s="2"/>
      <c r="H581" s="4" t="str">
        <f>IF($X$27="Y","OR","...")</f>
        <v>...</v>
      </c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</row>
    <row r="582" spans="1:100" x14ac:dyDescent="0.35">
      <c r="A582" s="1" t="str">
        <f>IF($Y$27="Y",'Population Definitions'!$B$24,"...")</f>
        <v>hros_15-64_F</v>
      </c>
      <c r="B582" s="4" t="str">
        <f>IF($Y$27="Y","---&gt;","...")</f>
        <v>---&gt;</v>
      </c>
      <c r="C582" s="1" t="str">
        <f>IF($Y$27="Y",'Population Definitions'!$B$25,"...")</f>
        <v>hros_65+_F</v>
      </c>
      <c r="E582" s="2" t="s">
        <v>49</v>
      </c>
      <c r="F582" s="3"/>
      <c r="G582" s="2">
        <f>1/40</f>
        <v>2.5000000000000001E-2</v>
      </c>
      <c r="H582" s="4" t="str">
        <f>IF($Y$27="Y","OR","...")</f>
        <v>OR</v>
      </c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</row>
    <row r="583" spans="1:100" x14ac:dyDescent="0.35">
      <c r="A583" s="1" t="str">
        <f>IF($B$28="Y",'Population Definitions'!$B$25,"...")</f>
        <v>...</v>
      </c>
      <c r="B583" s="4" t="str">
        <f>IF($B$28="Y","---&gt;","...")</f>
        <v>...</v>
      </c>
      <c r="C583" s="1" t="str">
        <f>IF($B$28="Y",'Population Definitions'!$B$2,"...")</f>
        <v>...</v>
      </c>
      <c r="E583" s="2"/>
      <c r="F583" s="3"/>
      <c r="G583" s="2"/>
      <c r="H583" s="4" t="str">
        <f>IF($B$28="Y","OR","...")</f>
        <v>...</v>
      </c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</row>
    <row r="584" spans="1:100" x14ac:dyDescent="0.35">
      <c r="A584" s="1" t="str">
        <f>IF($C$28="Y",'Population Definitions'!$B$25,"...")</f>
        <v>...</v>
      </c>
      <c r="B584" s="4" t="str">
        <f>IF($C$28="Y","---&gt;","...")</f>
        <v>...</v>
      </c>
      <c r="C584" s="1" t="str">
        <f>IF($C$28="Y",'Population Definitions'!$B$3,"...")</f>
        <v>...</v>
      </c>
      <c r="E584" s="2"/>
      <c r="F584" s="3"/>
      <c r="G584" s="2"/>
      <c r="H584" s="4" t="str">
        <f>IF($C$28="Y","OR","...")</f>
        <v>...</v>
      </c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</row>
    <row r="585" spans="1:100" x14ac:dyDescent="0.35">
      <c r="A585" s="1" t="str">
        <f>IF($D$28="Y",'Population Definitions'!$B$25,"...")</f>
        <v>...</v>
      </c>
      <c r="B585" s="4" t="str">
        <f>IF($D$28="Y","---&gt;","...")</f>
        <v>...</v>
      </c>
      <c r="C585" s="1" t="str">
        <f>IF($D$28="Y",'Population Definitions'!$B$4,"...")</f>
        <v>...</v>
      </c>
      <c r="E585" s="2"/>
      <c r="F585" s="3"/>
      <c r="G585" s="2"/>
      <c r="H585" s="4" t="str">
        <f>IF($D$28="Y","OR","...")</f>
        <v>...</v>
      </c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</row>
    <row r="586" spans="1:100" x14ac:dyDescent="0.35">
      <c r="A586" s="1" t="str">
        <f>IF($E$28="Y",'Population Definitions'!$B$25,"...")</f>
        <v>...</v>
      </c>
      <c r="B586" s="4" t="str">
        <f>IF($E$28="Y","---&gt;","...")</f>
        <v>...</v>
      </c>
      <c r="C586" s="1" t="str">
        <f>IF($E$28="Y",'Population Definitions'!$B$5,"...")</f>
        <v>...</v>
      </c>
      <c r="E586" s="2"/>
      <c r="F586" s="3"/>
      <c r="G586" s="2"/>
      <c r="H586" s="4" t="str">
        <f>IF($E$28="Y","OR","...")</f>
        <v>...</v>
      </c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</row>
    <row r="587" spans="1:100" x14ac:dyDescent="0.35">
      <c r="A587" s="1" t="str">
        <f>IF($F$28="Y",'Population Definitions'!$B$25,"...")</f>
        <v>...</v>
      </c>
      <c r="B587" s="4" t="str">
        <f>IF($F$28="Y","---&gt;","...")</f>
        <v>...</v>
      </c>
      <c r="C587" s="1" t="str">
        <f>IF($F$28="Y",'Population Definitions'!$B$6,"...")</f>
        <v>...</v>
      </c>
      <c r="E587" s="2"/>
      <c r="F587" s="3"/>
      <c r="G587" s="2"/>
      <c r="H587" s="4" t="str">
        <f>IF($F$28="Y","OR","...")</f>
        <v>...</v>
      </c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</row>
    <row r="588" spans="1:100" x14ac:dyDescent="0.35">
      <c r="A588" s="1" t="str">
        <f>IF($G$28="Y",'Population Definitions'!$B$25,"...")</f>
        <v>...</v>
      </c>
      <c r="B588" s="4" t="str">
        <f>IF($G$28="Y","---&gt;","...")</f>
        <v>...</v>
      </c>
      <c r="C588" s="1" t="str">
        <f>IF($G$28="Y",'Population Definitions'!$B$7,"...")</f>
        <v>...</v>
      </c>
      <c r="E588" s="2"/>
      <c r="F588" s="3"/>
      <c r="G588" s="2"/>
      <c r="H588" s="4" t="str">
        <f>IF($G$28="Y","OR","...")</f>
        <v>...</v>
      </c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</row>
    <row r="589" spans="1:100" x14ac:dyDescent="0.35">
      <c r="A589" s="1" t="str">
        <f>IF($H$28="Y",'Population Definitions'!$B$25,"...")</f>
        <v>...</v>
      </c>
      <c r="B589" s="4" t="str">
        <f>IF($H$28="Y","---&gt;","...")</f>
        <v>...</v>
      </c>
      <c r="C589" s="1" t="str">
        <f>IF($H$28="Y",'Population Definitions'!$B$8,"...")</f>
        <v>...</v>
      </c>
      <c r="E589" s="2"/>
      <c r="F589" s="3"/>
      <c r="G589" s="2"/>
      <c r="H589" s="4" t="str">
        <f>IF($H$28="Y","OR","...")</f>
        <v>...</v>
      </c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</row>
    <row r="590" spans="1:100" x14ac:dyDescent="0.35">
      <c r="A590" s="1" t="str">
        <f>IF($I$28="Y",'Population Definitions'!$B$25,"...")</f>
        <v>...</v>
      </c>
      <c r="B590" s="4" t="str">
        <f>IF($I$28="Y","---&gt;","...")</f>
        <v>...</v>
      </c>
      <c r="C590" s="1" t="str">
        <f>IF($I$28="Y",'Population Definitions'!$B$9,"...")</f>
        <v>...</v>
      </c>
      <c r="E590" s="2"/>
      <c r="F590" s="3"/>
      <c r="G590" s="2"/>
      <c r="H590" s="4" t="str">
        <f>IF($I$28="Y","OR","...")</f>
        <v>...</v>
      </c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</row>
    <row r="591" spans="1:100" x14ac:dyDescent="0.35">
      <c r="A591" s="1" t="str">
        <f>IF($J$28="Y",'Population Definitions'!$B$25,"...")</f>
        <v>...</v>
      </c>
      <c r="B591" s="4" t="str">
        <f>IF($J$28="Y","---&gt;","...")</f>
        <v>...</v>
      </c>
      <c r="C591" s="1" t="str">
        <f>IF($J$28="Y",'Population Definitions'!$B$10,"...")</f>
        <v>...</v>
      </c>
      <c r="E591" s="2"/>
      <c r="F591" s="3"/>
      <c r="G591" s="2"/>
      <c r="H591" s="4" t="str">
        <f>IF($J$28="Y","OR","...")</f>
        <v>...</v>
      </c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</row>
    <row r="592" spans="1:100" x14ac:dyDescent="0.35">
      <c r="A592" s="1" t="str">
        <f>IF($K$28="Y",'Population Definitions'!$B$25,"...")</f>
        <v>...</v>
      </c>
      <c r="B592" s="4" t="str">
        <f>IF($K$28="Y","---&gt;","...")</f>
        <v>...</v>
      </c>
      <c r="C592" s="1" t="str">
        <f>IF($K$28="Y",'Population Definitions'!$B$11,"...")</f>
        <v>...</v>
      </c>
      <c r="E592" s="2"/>
      <c r="F592" s="3"/>
      <c r="G592" s="2"/>
      <c r="H592" s="4" t="str">
        <f>IF($K$28="Y","OR","...")</f>
        <v>...</v>
      </c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</row>
    <row r="593" spans="1:100" x14ac:dyDescent="0.35">
      <c r="A593" s="1" t="str">
        <f>IF($L$28="Y",'Population Definitions'!$B$25,"...")</f>
        <v>...</v>
      </c>
      <c r="B593" s="4" t="str">
        <f>IF($L$28="Y","---&gt;","...")</f>
        <v>...</v>
      </c>
      <c r="C593" s="1" t="str">
        <f>IF($L$28="Y",'Population Definitions'!$B$12,"...")</f>
        <v>...</v>
      </c>
      <c r="E593" s="2"/>
      <c r="F593" s="3"/>
      <c r="G593" s="2"/>
      <c r="H593" s="4" t="str">
        <f>IF($L$28="Y","OR","...")</f>
        <v>...</v>
      </c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</row>
    <row r="594" spans="1:100" x14ac:dyDescent="0.35">
      <c r="A594" s="1" t="str">
        <f>IF($M$28="Y",'Population Definitions'!$B$25,"...")</f>
        <v>...</v>
      </c>
      <c r="B594" s="4" t="str">
        <f>IF($M$28="Y","---&gt;","...")</f>
        <v>...</v>
      </c>
      <c r="C594" s="1" t="str">
        <f>IF($M$28="Y",'Population Definitions'!$B$13,"...")</f>
        <v>...</v>
      </c>
      <c r="E594" s="2"/>
      <c r="F594" s="3"/>
      <c r="G594" s="2"/>
      <c r="H594" s="4" t="str">
        <f>IF($M$28="Y","OR","...")</f>
        <v>...</v>
      </c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</row>
    <row r="595" spans="1:100" x14ac:dyDescent="0.35">
      <c r="A595" s="1" t="str">
        <f>IF($N$28="Y",'Population Definitions'!$B$25,"...")</f>
        <v>...</v>
      </c>
      <c r="B595" s="4" t="str">
        <f>IF($N$28="Y","---&gt;","...")</f>
        <v>...</v>
      </c>
      <c r="C595" s="1" t="str">
        <f>IF($N$28="Y",'Population Definitions'!$B$14,"...")</f>
        <v>...</v>
      </c>
      <c r="E595" s="2"/>
      <c r="F595" s="3"/>
      <c r="G595" s="2"/>
      <c r="H595" s="4" t="str">
        <f>IF($N$28="Y","OR","...")</f>
        <v>...</v>
      </c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</row>
    <row r="596" spans="1:100" x14ac:dyDescent="0.35">
      <c r="A596" s="1" t="str">
        <f>IF($O$28="Y",'Population Definitions'!$B$25,"...")</f>
        <v>...</v>
      </c>
      <c r="B596" s="4" t="str">
        <f>IF($O$28="Y","---&gt;","...")</f>
        <v>...</v>
      </c>
      <c r="C596" s="1" t="str">
        <f>IF($O$28="Y",'Population Definitions'!$B$15,"...")</f>
        <v>...</v>
      </c>
      <c r="E596" s="2"/>
      <c r="F596" s="3"/>
      <c r="G596" s="2"/>
      <c r="H596" s="4" t="str">
        <f>IF($O$28="Y","OR","...")</f>
        <v>...</v>
      </c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</row>
    <row r="597" spans="1:100" x14ac:dyDescent="0.35">
      <c r="A597" s="1" t="str">
        <f>IF($P$28="Y",'Population Definitions'!$B$25,"...")</f>
        <v>...</v>
      </c>
      <c r="B597" s="4" t="str">
        <f>IF($P$28="Y","---&gt;","...")</f>
        <v>...</v>
      </c>
      <c r="C597" s="1" t="str">
        <f>IF($P$28="Y",'Population Definitions'!$B$16,"...")</f>
        <v>...</v>
      </c>
      <c r="E597" s="2"/>
      <c r="F597" s="3"/>
      <c r="G597" s="2"/>
      <c r="H597" s="4" t="str">
        <f>IF($P$28="Y","OR","...")</f>
        <v>...</v>
      </c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</row>
    <row r="598" spans="1:100" x14ac:dyDescent="0.35">
      <c r="A598" s="1" t="str">
        <f>IF($Q$28="Y",'Population Definitions'!$B$25,"...")</f>
        <v>...</v>
      </c>
      <c r="B598" s="4" t="str">
        <f>IF($Q$28="Y","---&gt;","...")</f>
        <v>...</v>
      </c>
      <c r="C598" s="1" t="str">
        <f>IF($Q$28="Y",'Population Definitions'!$B$17,"...")</f>
        <v>...</v>
      </c>
      <c r="E598" s="2"/>
      <c r="F598" s="3"/>
      <c r="G598" s="2"/>
      <c r="H598" s="4" t="str">
        <f>IF($Q$28="Y","OR","...")</f>
        <v>...</v>
      </c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</row>
    <row r="599" spans="1:100" x14ac:dyDescent="0.35">
      <c r="A599" s="1" t="str">
        <f>IF($R$28="Y",'Population Definitions'!$B$25,"...")</f>
        <v>...</v>
      </c>
      <c r="B599" s="4" t="str">
        <f>IF($R$28="Y","---&gt;","...")</f>
        <v>...</v>
      </c>
      <c r="C599" s="1" t="str">
        <f>IF($R$28="Y",'Population Definitions'!$B$18,"...")</f>
        <v>...</v>
      </c>
      <c r="E599" s="2"/>
      <c r="F599" s="3"/>
      <c r="G599" s="2"/>
      <c r="H599" s="4" t="str">
        <f>IF($R$28="Y","OR","...")</f>
        <v>...</v>
      </c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</row>
    <row r="600" spans="1:100" x14ac:dyDescent="0.35">
      <c r="A600" s="1" t="str">
        <f>IF($S$28="Y",'Population Definitions'!$B$25,"...")</f>
        <v>...</v>
      </c>
      <c r="B600" s="4" t="str">
        <f>IF($S$28="Y","---&gt;","...")</f>
        <v>...</v>
      </c>
      <c r="C600" s="1" t="str">
        <f>IF($S$28="Y",'Population Definitions'!$B$19,"...")</f>
        <v>...</v>
      </c>
      <c r="E600" s="2"/>
      <c r="F600" s="3"/>
      <c r="G600" s="2"/>
      <c r="H600" s="4" t="str">
        <f>IF($S$28="Y","OR","...")</f>
        <v>...</v>
      </c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</row>
    <row r="601" spans="1:100" x14ac:dyDescent="0.35">
      <c r="A601" s="1" t="str">
        <f>IF($T$28="Y",'Population Definitions'!$B$25,"...")</f>
        <v>...</v>
      </c>
      <c r="B601" s="4" t="str">
        <f>IF($T$28="Y","---&gt;","...")</f>
        <v>...</v>
      </c>
      <c r="C601" s="1" t="str">
        <f>IF($T$28="Y",'Population Definitions'!$B$20,"...")</f>
        <v>...</v>
      </c>
      <c r="E601" s="2"/>
      <c r="F601" s="3"/>
      <c r="G601" s="2"/>
      <c r="H601" s="4" t="str">
        <f>IF($T$28="Y","OR","...")</f>
        <v>...</v>
      </c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</row>
    <row r="602" spans="1:100" x14ac:dyDescent="0.35">
      <c r="A602" s="1" t="str">
        <f>IF($U$28="Y",'Population Definitions'!$B$25,"...")</f>
        <v>...</v>
      </c>
      <c r="B602" s="4" t="str">
        <f>IF($U$28="Y","---&gt;","...")</f>
        <v>...</v>
      </c>
      <c r="C602" s="1" t="str">
        <f>IF($U$28="Y",'Population Definitions'!$B$21,"...")</f>
        <v>...</v>
      </c>
      <c r="E602" s="2"/>
      <c r="F602" s="3"/>
      <c r="G602" s="2"/>
      <c r="H602" s="4" t="str">
        <f>IF($U$28="Y","OR","...")</f>
        <v>...</v>
      </c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</row>
    <row r="603" spans="1:100" x14ac:dyDescent="0.35">
      <c r="A603" s="1" t="str">
        <f>IF($V$28="Y",'Population Definitions'!$B$25,"...")</f>
        <v>...</v>
      </c>
      <c r="B603" s="4" t="str">
        <f>IF($V$28="Y","---&gt;","...")</f>
        <v>...</v>
      </c>
      <c r="C603" s="1" t="str">
        <f>IF($V$28="Y",'Population Definitions'!$B$22,"...")</f>
        <v>...</v>
      </c>
      <c r="E603" s="2"/>
      <c r="F603" s="3"/>
      <c r="G603" s="2"/>
      <c r="H603" s="4" t="str">
        <f>IF($V$28="Y","OR","...")</f>
        <v>...</v>
      </c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</row>
    <row r="604" spans="1:100" x14ac:dyDescent="0.35">
      <c r="A604" s="1" t="str">
        <f>IF($W$28="Y",'Population Definitions'!$B$25,"...")</f>
        <v>...</v>
      </c>
      <c r="B604" s="4" t="str">
        <f>IF($W$28="Y","---&gt;","...")</f>
        <v>...</v>
      </c>
      <c r="C604" s="1" t="str">
        <f>IF($W$28="Y",'Population Definitions'!$B$23,"...")</f>
        <v>...</v>
      </c>
      <c r="E604" s="2"/>
      <c r="F604" s="3"/>
      <c r="G604" s="2"/>
      <c r="H604" s="4" t="str">
        <f>IF($W$28="Y","OR","...")</f>
        <v>...</v>
      </c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</row>
    <row r="605" spans="1:100" x14ac:dyDescent="0.35">
      <c r="A605" s="1" t="str">
        <f>IF($X$28="Y",'Population Definitions'!$B$25,"...")</f>
        <v>...</v>
      </c>
      <c r="B605" s="4" t="str">
        <f>IF($X$28="Y","---&gt;","...")</f>
        <v>...</v>
      </c>
      <c r="C605" s="1" t="str">
        <f>IF($X$28="Y",'Population Definitions'!$B$24,"...")</f>
        <v>...</v>
      </c>
      <c r="E605" s="2"/>
      <c r="F605" s="3"/>
      <c r="G605" s="2"/>
      <c r="H605" s="4" t="str">
        <f>IF($X$28="Y","OR","...")</f>
        <v>...</v>
      </c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</row>
    <row r="606" spans="1:100" x14ac:dyDescent="0.35">
      <c r="A606" s="1" t="str">
        <f>IF($Y$28="Y",'Population Definitions'!$B$25,"...")</f>
        <v>...</v>
      </c>
      <c r="B606" s="4" t="str">
        <f>IF($Y$28="Y","---&gt;","...")</f>
        <v>...</v>
      </c>
      <c r="C606" s="1" t="str">
        <f>IF($Y$28="Y",'Population Definitions'!$B$25,"...")</f>
        <v>...</v>
      </c>
      <c r="E606" s="2"/>
      <c r="F606" s="3"/>
      <c r="G606" s="2"/>
      <c r="H606" s="4" t="str">
        <f>IF($Y$28="Y","OR","...")</f>
        <v>...</v>
      </c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</row>
  </sheetData>
  <conditionalFormatting sqref="B6:B28">
    <cfRule type="cellIs" dxfId="669" priority="48" operator="equal">
      <formula>"N"</formula>
    </cfRule>
    <cfRule type="cellIs" dxfId="668" priority="47" operator="equal">
      <formula>"Y"</formula>
    </cfRule>
  </conditionalFormatting>
  <conditionalFormatting sqref="C5">
    <cfRule type="cellIs" dxfId="667" priority="1" operator="equal">
      <formula>"Y"</formula>
    </cfRule>
    <cfRule type="cellIs" dxfId="666" priority="2" operator="equal">
      <formula>"N"</formula>
    </cfRule>
  </conditionalFormatting>
  <conditionalFormatting sqref="C7:C28">
    <cfRule type="cellIs" dxfId="665" priority="96" operator="equal">
      <formula>"N"</formula>
    </cfRule>
    <cfRule type="cellIs" dxfId="664" priority="95" operator="equal">
      <formula>"Y"</formula>
    </cfRule>
  </conditionalFormatting>
  <conditionalFormatting sqref="D5:D6">
    <cfRule type="cellIs" dxfId="663" priority="3" operator="equal">
      <formula>"Y"</formula>
    </cfRule>
    <cfRule type="cellIs" dxfId="662" priority="4" operator="equal">
      <formula>"N"</formula>
    </cfRule>
  </conditionalFormatting>
  <conditionalFormatting sqref="D8:D28">
    <cfRule type="cellIs" dxfId="661" priority="144" operator="equal">
      <formula>"N"</formula>
    </cfRule>
    <cfRule type="cellIs" dxfId="660" priority="143" operator="equal">
      <formula>"Y"</formula>
    </cfRule>
  </conditionalFormatting>
  <conditionalFormatting sqref="D31:CV31">
    <cfRule type="expression" dxfId="659" priority="1107">
      <formula>$B$5&lt;&gt;"Y"</formula>
    </cfRule>
  </conditionalFormatting>
  <conditionalFormatting sqref="D32:CV32">
    <cfRule type="expression" dxfId="658" priority="1110">
      <formula>$C$5&lt;&gt;"Y"</formula>
    </cfRule>
  </conditionalFormatting>
  <conditionalFormatting sqref="D33:CV33">
    <cfRule type="expression" dxfId="657" priority="1113">
      <formula>$D$5&lt;&gt;"Y"</formula>
    </cfRule>
  </conditionalFormatting>
  <conditionalFormatting sqref="D34:CV34">
    <cfRule type="expression" dxfId="656" priority="1116">
      <formula>$E$5&lt;&gt;"Y"</formula>
    </cfRule>
  </conditionalFormatting>
  <conditionalFormatting sqref="D35:CV35">
    <cfRule type="expression" dxfId="655" priority="1119">
      <formula>$F$5&lt;&gt;"Y"</formula>
    </cfRule>
  </conditionalFormatting>
  <conditionalFormatting sqref="D36:CV36">
    <cfRule type="expression" dxfId="654" priority="1122">
      <formula>$G$5&lt;&gt;"Y"</formula>
    </cfRule>
  </conditionalFormatting>
  <conditionalFormatting sqref="D37:CV37">
    <cfRule type="expression" dxfId="653" priority="1125">
      <formula>$H$5&lt;&gt;"Y"</formula>
    </cfRule>
  </conditionalFormatting>
  <conditionalFormatting sqref="D38:CV38">
    <cfRule type="expression" dxfId="652" priority="1128">
      <formula>$I$5&lt;&gt;"Y"</formula>
    </cfRule>
  </conditionalFormatting>
  <conditionalFormatting sqref="D39:CV39">
    <cfRule type="expression" dxfId="651" priority="1131">
      <formula>$J$5&lt;&gt;"Y"</formula>
    </cfRule>
  </conditionalFormatting>
  <conditionalFormatting sqref="D40:CV40">
    <cfRule type="expression" dxfId="650" priority="1134">
      <formula>$K$5&lt;&gt;"Y"</formula>
    </cfRule>
  </conditionalFormatting>
  <conditionalFormatting sqref="D41:CV41">
    <cfRule type="expression" dxfId="649" priority="1137">
      <formula>$L$5&lt;&gt;"Y"</formula>
    </cfRule>
  </conditionalFormatting>
  <conditionalFormatting sqref="D42:CV42">
    <cfRule type="expression" dxfId="648" priority="1140">
      <formula>$M$5&lt;&gt;"Y"</formula>
    </cfRule>
  </conditionalFormatting>
  <conditionalFormatting sqref="D43:CV43">
    <cfRule type="expression" dxfId="647" priority="1143">
      <formula>$N$5&lt;&gt;"Y"</formula>
    </cfRule>
  </conditionalFormatting>
  <conditionalFormatting sqref="D44:CV44">
    <cfRule type="expression" dxfId="646" priority="1146">
      <formula>$O$5&lt;&gt;"Y"</formula>
    </cfRule>
  </conditionalFormatting>
  <conditionalFormatting sqref="D45:CV45">
    <cfRule type="expression" dxfId="645" priority="1149">
      <formula>$P$5&lt;&gt;"Y"</formula>
    </cfRule>
  </conditionalFormatting>
  <conditionalFormatting sqref="D46:CV46">
    <cfRule type="expression" dxfId="644" priority="1152">
      <formula>$Q$5&lt;&gt;"Y"</formula>
    </cfRule>
  </conditionalFormatting>
  <conditionalFormatting sqref="D47:CV47">
    <cfRule type="expression" dxfId="643" priority="1155">
      <formula>$R$5&lt;&gt;"Y"</formula>
    </cfRule>
  </conditionalFormatting>
  <conditionalFormatting sqref="D48:CV48">
    <cfRule type="expression" dxfId="642" priority="1158">
      <formula>$S$5&lt;&gt;"Y"</formula>
    </cfRule>
  </conditionalFormatting>
  <conditionalFormatting sqref="D49:CV49">
    <cfRule type="expression" dxfId="641" priority="1161">
      <formula>$T$5&lt;&gt;"Y"</formula>
    </cfRule>
  </conditionalFormatting>
  <conditionalFormatting sqref="D50:CV50">
    <cfRule type="expression" dxfId="640" priority="1164">
      <formula>$U$5&lt;&gt;"Y"</formula>
    </cfRule>
  </conditionalFormatting>
  <conditionalFormatting sqref="D51:CV51">
    <cfRule type="expression" dxfId="639" priority="1167">
      <formula>$V$5&lt;&gt;"Y"</formula>
    </cfRule>
  </conditionalFormatting>
  <conditionalFormatting sqref="D52:CV52">
    <cfRule type="expression" dxfId="638" priority="1170">
      <formula>$W$5&lt;&gt;"Y"</formula>
    </cfRule>
  </conditionalFormatting>
  <conditionalFormatting sqref="D53:CV53">
    <cfRule type="expression" dxfId="637" priority="1173">
      <formula>$X$5&lt;&gt;"Y"</formula>
    </cfRule>
  </conditionalFormatting>
  <conditionalFormatting sqref="D54:CV54">
    <cfRule type="expression" dxfId="636" priority="1176">
      <formula>$Y$5&lt;&gt;"Y"</formula>
    </cfRule>
  </conditionalFormatting>
  <conditionalFormatting sqref="D55:CV55">
    <cfRule type="expression" dxfId="635" priority="1179">
      <formula>$B$6&lt;&gt;"Y"</formula>
    </cfRule>
  </conditionalFormatting>
  <conditionalFormatting sqref="D56:CV56">
    <cfRule type="expression" dxfId="634" priority="1182">
      <formula>$C$6&lt;&gt;"Y"</formula>
    </cfRule>
  </conditionalFormatting>
  <conditionalFormatting sqref="D57:CV57">
    <cfRule type="expression" dxfId="633" priority="1185">
      <formula>$D$6&lt;&gt;"Y"</formula>
    </cfRule>
  </conditionalFormatting>
  <conditionalFormatting sqref="D58:CV58">
    <cfRule type="expression" dxfId="632" priority="1188">
      <formula>$E$6&lt;&gt;"Y"</formula>
    </cfRule>
  </conditionalFormatting>
  <conditionalFormatting sqref="D59:CV59">
    <cfRule type="expression" dxfId="631" priority="1191">
      <formula>$F$6&lt;&gt;"Y"</formula>
    </cfRule>
  </conditionalFormatting>
  <conditionalFormatting sqref="D60:CV60">
    <cfRule type="expression" dxfId="630" priority="1194">
      <formula>$G$6&lt;&gt;"Y"</formula>
    </cfRule>
  </conditionalFormatting>
  <conditionalFormatting sqref="D61:CV61">
    <cfRule type="expression" dxfId="629" priority="1197">
      <formula>$H$6&lt;&gt;"Y"</formula>
    </cfRule>
  </conditionalFormatting>
  <conditionalFormatting sqref="D62:CV62">
    <cfRule type="expression" dxfId="628" priority="1200">
      <formula>$I$6&lt;&gt;"Y"</formula>
    </cfRule>
  </conditionalFormatting>
  <conditionalFormatting sqref="D63:CV63">
    <cfRule type="expression" dxfId="627" priority="1203">
      <formula>$J$6&lt;&gt;"Y"</formula>
    </cfRule>
  </conditionalFormatting>
  <conditionalFormatting sqref="D64:CV64">
    <cfRule type="expression" dxfId="626" priority="1206">
      <formula>$K$6&lt;&gt;"Y"</formula>
    </cfRule>
  </conditionalFormatting>
  <conditionalFormatting sqref="D65:CV65">
    <cfRule type="expression" dxfId="625" priority="1209">
      <formula>$L$6&lt;&gt;"Y"</formula>
    </cfRule>
  </conditionalFormatting>
  <conditionalFormatting sqref="D66:CV66">
    <cfRule type="expression" dxfId="624" priority="1212">
      <formula>$M$6&lt;&gt;"Y"</formula>
    </cfRule>
  </conditionalFormatting>
  <conditionalFormatting sqref="D67:CV67">
    <cfRule type="expression" dxfId="623" priority="1215">
      <formula>$N$6&lt;&gt;"Y"</formula>
    </cfRule>
  </conditionalFormatting>
  <conditionalFormatting sqref="D68:CV68">
    <cfRule type="expression" dxfId="622" priority="1218">
      <formula>$O$6&lt;&gt;"Y"</formula>
    </cfRule>
  </conditionalFormatting>
  <conditionalFormatting sqref="D69:CV69">
    <cfRule type="expression" dxfId="621" priority="1221">
      <formula>$P$6&lt;&gt;"Y"</formula>
    </cfRule>
  </conditionalFormatting>
  <conditionalFormatting sqref="D70:CV70">
    <cfRule type="expression" dxfId="620" priority="1224">
      <formula>$Q$6&lt;&gt;"Y"</formula>
    </cfRule>
  </conditionalFormatting>
  <conditionalFormatting sqref="D71:CV71">
    <cfRule type="expression" dxfId="619" priority="1227">
      <formula>$R$6&lt;&gt;"Y"</formula>
    </cfRule>
  </conditionalFormatting>
  <conditionalFormatting sqref="D72:CV72">
    <cfRule type="expression" dxfId="618" priority="1230">
      <formula>$S$6&lt;&gt;"Y"</formula>
    </cfRule>
  </conditionalFormatting>
  <conditionalFormatting sqref="D73:CV73">
    <cfRule type="expression" dxfId="617" priority="1233">
      <formula>$T$6&lt;&gt;"Y"</formula>
    </cfRule>
  </conditionalFormatting>
  <conditionalFormatting sqref="D74:CV74">
    <cfRule type="expression" dxfId="616" priority="1236">
      <formula>$U$6&lt;&gt;"Y"</formula>
    </cfRule>
  </conditionalFormatting>
  <conditionalFormatting sqref="D75:CV75">
    <cfRule type="expression" dxfId="615" priority="1239">
      <formula>$V$6&lt;&gt;"Y"</formula>
    </cfRule>
  </conditionalFormatting>
  <conditionalFormatting sqref="D76:CV76">
    <cfRule type="expression" dxfId="614" priority="1242">
      <formula>$W$6&lt;&gt;"Y"</formula>
    </cfRule>
  </conditionalFormatting>
  <conditionalFormatting sqref="D77:CV77">
    <cfRule type="expression" dxfId="613" priority="1245">
      <formula>$X$6&lt;&gt;"Y"</formula>
    </cfRule>
  </conditionalFormatting>
  <conditionalFormatting sqref="D78:CV78">
    <cfRule type="expression" dxfId="612" priority="1248">
      <formula>$Y$6&lt;&gt;"Y"</formula>
    </cfRule>
  </conditionalFormatting>
  <conditionalFormatting sqref="D79:CV79">
    <cfRule type="expression" dxfId="611" priority="1251">
      <formula>$B$7&lt;&gt;"Y"</formula>
    </cfRule>
  </conditionalFormatting>
  <conditionalFormatting sqref="D80:CV80">
    <cfRule type="expression" dxfId="610" priority="1254">
      <formula>$C$7&lt;&gt;"Y"</formula>
    </cfRule>
  </conditionalFormatting>
  <conditionalFormatting sqref="D81:CV81">
    <cfRule type="expression" dxfId="609" priority="1257">
      <formula>$D$7&lt;&gt;"Y"</formula>
    </cfRule>
  </conditionalFormatting>
  <conditionalFormatting sqref="D82:CV82">
    <cfRule type="expression" dxfId="608" priority="1260">
      <formula>$E$7&lt;&gt;"Y"</formula>
    </cfRule>
  </conditionalFormatting>
  <conditionalFormatting sqref="D83:CV83">
    <cfRule type="expression" dxfId="607" priority="1263">
      <formula>$F$7&lt;&gt;"Y"</formula>
    </cfRule>
  </conditionalFormatting>
  <conditionalFormatting sqref="D84:CV84">
    <cfRule type="expression" dxfId="606" priority="1266">
      <formula>$G$7&lt;&gt;"Y"</formula>
    </cfRule>
  </conditionalFormatting>
  <conditionalFormatting sqref="D85:CV85">
    <cfRule type="expression" dxfId="605" priority="1269">
      <formula>$H$7&lt;&gt;"Y"</formula>
    </cfRule>
  </conditionalFormatting>
  <conditionalFormatting sqref="D86:CV86">
    <cfRule type="expression" dxfId="604" priority="1272">
      <formula>$I$7&lt;&gt;"Y"</formula>
    </cfRule>
  </conditionalFormatting>
  <conditionalFormatting sqref="D87:CV87">
    <cfRule type="expression" dxfId="603" priority="1275">
      <formula>$J$7&lt;&gt;"Y"</formula>
    </cfRule>
  </conditionalFormatting>
  <conditionalFormatting sqref="D88:CV88">
    <cfRule type="expression" dxfId="602" priority="1278">
      <formula>$K$7&lt;&gt;"Y"</formula>
    </cfRule>
  </conditionalFormatting>
  <conditionalFormatting sqref="D89:CV89">
    <cfRule type="expression" dxfId="601" priority="1281">
      <formula>$L$7&lt;&gt;"Y"</formula>
    </cfRule>
  </conditionalFormatting>
  <conditionalFormatting sqref="D90:CV90">
    <cfRule type="expression" dxfId="600" priority="1284">
      <formula>$M$7&lt;&gt;"Y"</formula>
    </cfRule>
  </conditionalFormatting>
  <conditionalFormatting sqref="D91:CV91">
    <cfRule type="expression" dxfId="599" priority="1287">
      <formula>$N$7&lt;&gt;"Y"</formula>
    </cfRule>
  </conditionalFormatting>
  <conditionalFormatting sqref="D92:CV92">
    <cfRule type="expression" dxfId="598" priority="1290">
      <formula>$O$7&lt;&gt;"Y"</formula>
    </cfRule>
  </conditionalFormatting>
  <conditionalFormatting sqref="D93:CV93">
    <cfRule type="expression" dxfId="597" priority="1293">
      <formula>$P$7&lt;&gt;"Y"</formula>
    </cfRule>
  </conditionalFormatting>
  <conditionalFormatting sqref="D94:CV94">
    <cfRule type="expression" dxfId="596" priority="1296">
      <formula>$Q$7&lt;&gt;"Y"</formula>
    </cfRule>
  </conditionalFormatting>
  <conditionalFormatting sqref="D95:CV95">
    <cfRule type="expression" dxfId="595" priority="1299">
      <formula>$R$7&lt;&gt;"Y"</formula>
    </cfRule>
  </conditionalFormatting>
  <conditionalFormatting sqref="D96:CV96">
    <cfRule type="expression" dxfId="594" priority="1302">
      <formula>$S$7&lt;&gt;"Y"</formula>
    </cfRule>
  </conditionalFormatting>
  <conditionalFormatting sqref="D97:CV97">
    <cfRule type="expression" dxfId="593" priority="1305">
      <formula>$T$7&lt;&gt;"Y"</formula>
    </cfRule>
  </conditionalFormatting>
  <conditionalFormatting sqref="D98:CV98">
    <cfRule type="expression" dxfId="592" priority="1308">
      <formula>$U$7&lt;&gt;"Y"</formula>
    </cfRule>
  </conditionalFormatting>
  <conditionalFormatting sqref="D99:CV99">
    <cfRule type="expression" dxfId="591" priority="1311">
      <formula>$V$7&lt;&gt;"Y"</formula>
    </cfRule>
  </conditionalFormatting>
  <conditionalFormatting sqref="D100:CV100">
    <cfRule type="expression" dxfId="590" priority="1314">
      <formula>$W$7&lt;&gt;"Y"</formula>
    </cfRule>
  </conditionalFormatting>
  <conditionalFormatting sqref="D101:CV101">
    <cfRule type="expression" dxfId="589" priority="1317">
      <formula>$X$7&lt;&gt;"Y"</formula>
    </cfRule>
  </conditionalFormatting>
  <conditionalFormatting sqref="D102:CV102">
    <cfRule type="expression" dxfId="588" priority="1320">
      <formula>$Y$7&lt;&gt;"Y"</formula>
    </cfRule>
  </conditionalFormatting>
  <conditionalFormatting sqref="D103:CV103">
    <cfRule type="expression" dxfId="587" priority="1323">
      <formula>$B$8&lt;&gt;"Y"</formula>
    </cfRule>
  </conditionalFormatting>
  <conditionalFormatting sqref="D104:CV104">
    <cfRule type="expression" dxfId="586" priority="1326">
      <formula>$C$8&lt;&gt;"Y"</formula>
    </cfRule>
  </conditionalFormatting>
  <conditionalFormatting sqref="D105:CV105">
    <cfRule type="expression" dxfId="585" priority="1329">
      <formula>$D$8&lt;&gt;"Y"</formula>
    </cfRule>
  </conditionalFormatting>
  <conditionalFormatting sqref="D106:CV106">
    <cfRule type="expression" dxfId="584" priority="1332">
      <formula>$E$8&lt;&gt;"Y"</formula>
    </cfRule>
  </conditionalFormatting>
  <conditionalFormatting sqref="D107:CV107">
    <cfRule type="expression" dxfId="583" priority="1335">
      <formula>$F$8&lt;&gt;"Y"</formula>
    </cfRule>
  </conditionalFormatting>
  <conditionalFormatting sqref="D108:CV108">
    <cfRule type="expression" dxfId="582" priority="1338">
      <formula>$G$8&lt;&gt;"Y"</formula>
    </cfRule>
  </conditionalFormatting>
  <conditionalFormatting sqref="D109:CV109">
    <cfRule type="expression" dxfId="581" priority="1341">
      <formula>$H$8&lt;&gt;"Y"</formula>
    </cfRule>
  </conditionalFormatting>
  <conditionalFormatting sqref="D110:CV110">
    <cfRule type="expression" dxfId="580" priority="1344">
      <formula>$I$8&lt;&gt;"Y"</formula>
    </cfRule>
  </conditionalFormatting>
  <conditionalFormatting sqref="D111:CV111">
    <cfRule type="expression" dxfId="579" priority="1347">
      <formula>$J$8&lt;&gt;"Y"</formula>
    </cfRule>
  </conditionalFormatting>
  <conditionalFormatting sqref="D112:CV112">
    <cfRule type="expression" dxfId="578" priority="1350">
      <formula>$K$8&lt;&gt;"Y"</formula>
    </cfRule>
  </conditionalFormatting>
  <conditionalFormatting sqref="D113:CV113">
    <cfRule type="expression" dxfId="577" priority="1353">
      <formula>$L$8&lt;&gt;"Y"</formula>
    </cfRule>
  </conditionalFormatting>
  <conditionalFormatting sqref="D114:CV114">
    <cfRule type="expression" dxfId="576" priority="1356">
      <formula>$M$8&lt;&gt;"Y"</formula>
    </cfRule>
  </conditionalFormatting>
  <conditionalFormatting sqref="D115:CV115">
    <cfRule type="expression" dxfId="575" priority="1359">
      <formula>$N$8&lt;&gt;"Y"</formula>
    </cfRule>
  </conditionalFormatting>
  <conditionalFormatting sqref="D116:CV116">
    <cfRule type="expression" dxfId="574" priority="1362">
      <formula>$O$8&lt;&gt;"Y"</formula>
    </cfRule>
  </conditionalFormatting>
  <conditionalFormatting sqref="D117:CV117">
    <cfRule type="expression" dxfId="573" priority="1365">
      <formula>$P$8&lt;&gt;"Y"</formula>
    </cfRule>
  </conditionalFormatting>
  <conditionalFormatting sqref="D118:CV118">
    <cfRule type="expression" dxfId="572" priority="1368">
      <formula>$Q$8&lt;&gt;"Y"</formula>
    </cfRule>
  </conditionalFormatting>
  <conditionalFormatting sqref="D119:CV119">
    <cfRule type="expression" dxfId="571" priority="1371">
      <formula>$R$8&lt;&gt;"Y"</formula>
    </cfRule>
  </conditionalFormatting>
  <conditionalFormatting sqref="D120:CV120">
    <cfRule type="expression" dxfId="570" priority="1374">
      <formula>$S$8&lt;&gt;"Y"</formula>
    </cfRule>
  </conditionalFormatting>
  <conditionalFormatting sqref="D121:CV121">
    <cfRule type="expression" dxfId="569" priority="1377">
      <formula>$T$8&lt;&gt;"Y"</formula>
    </cfRule>
  </conditionalFormatting>
  <conditionalFormatting sqref="D122:CV122">
    <cfRule type="expression" dxfId="568" priority="1380">
      <formula>$U$8&lt;&gt;"Y"</formula>
    </cfRule>
  </conditionalFormatting>
  <conditionalFormatting sqref="D123:CV123">
    <cfRule type="expression" dxfId="567" priority="1383">
      <formula>$V$8&lt;&gt;"Y"</formula>
    </cfRule>
  </conditionalFormatting>
  <conditionalFormatting sqref="D124:CV124">
    <cfRule type="expression" dxfId="566" priority="1386">
      <formula>$W$8&lt;&gt;"Y"</formula>
    </cfRule>
  </conditionalFormatting>
  <conditionalFormatting sqref="D125:CV125">
    <cfRule type="expression" dxfId="565" priority="1389">
      <formula>$X$8&lt;&gt;"Y"</formula>
    </cfRule>
  </conditionalFormatting>
  <conditionalFormatting sqref="D126:CV126">
    <cfRule type="expression" dxfId="564" priority="1392">
      <formula>$Y$8&lt;&gt;"Y"</formula>
    </cfRule>
  </conditionalFormatting>
  <conditionalFormatting sqref="D127:CV127">
    <cfRule type="expression" dxfId="563" priority="1395">
      <formula>$B$9&lt;&gt;"Y"</formula>
    </cfRule>
  </conditionalFormatting>
  <conditionalFormatting sqref="D128:CV128">
    <cfRule type="expression" dxfId="562" priority="1398">
      <formula>$C$9&lt;&gt;"Y"</formula>
    </cfRule>
  </conditionalFormatting>
  <conditionalFormatting sqref="D129:CV129">
    <cfRule type="expression" dxfId="561" priority="1401">
      <formula>$D$9&lt;&gt;"Y"</formula>
    </cfRule>
  </conditionalFormatting>
  <conditionalFormatting sqref="D130:CV130">
    <cfRule type="expression" dxfId="560" priority="1404">
      <formula>$E$9&lt;&gt;"Y"</formula>
    </cfRule>
  </conditionalFormatting>
  <conditionalFormatting sqref="D131:CV131">
    <cfRule type="expression" dxfId="559" priority="1407">
      <formula>$F$9&lt;&gt;"Y"</formula>
    </cfRule>
  </conditionalFormatting>
  <conditionalFormatting sqref="D132:CV132">
    <cfRule type="expression" dxfId="558" priority="1410">
      <formula>$G$9&lt;&gt;"Y"</formula>
    </cfRule>
  </conditionalFormatting>
  <conditionalFormatting sqref="D133:CV133">
    <cfRule type="expression" dxfId="557" priority="1413">
      <formula>$H$9&lt;&gt;"Y"</formula>
    </cfRule>
  </conditionalFormatting>
  <conditionalFormatting sqref="D134:CV134">
    <cfRule type="expression" dxfId="556" priority="1416">
      <formula>$I$9&lt;&gt;"Y"</formula>
    </cfRule>
  </conditionalFormatting>
  <conditionalFormatting sqref="D135:CV135">
    <cfRule type="expression" dxfId="555" priority="1419">
      <formula>$J$9&lt;&gt;"Y"</formula>
    </cfRule>
  </conditionalFormatting>
  <conditionalFormatting sqref="D136:CV136">
    <cfRule type="expression" dxfId="554" priority="1422">
      <formula>$K$9&lt;&gt;"Y"</formula>
    </cfRule>
  </conditionalFormatting>
  <conditionalFormatting sqref="D137:CV137">
    <cfRule type="expression" dxfId="553" priority="1425">
      <formula>$L$9&lt;&gt;"Y"</formula>
    </cfRule>
  </conditionalFormatting>
  <conditionalFormatting sqref="D138:CV138">
    <cfRule type="expression" dxfId="552" priority="1428">
      <formula>$M$9&lt;&gt;"Y"</formula>
    </cfRule>
  </conditionalFormatting>
  <conditionalFormatting sqref="D139:CV139">
    <cfRule type="expression" dxfId="551" priority="1431">
      <formula>$N$9&lt;&gt;"Y"</formula>
    </cfRule>
  </conditionalFormatting>
  <conditionalFormatting sqref="D140:CV140">
    <cfRule type="expression" dxfId="550" priority="1434">
      <formula>$O$9&lt;&gt;"Y"</formula>
    </cfRule>
  </conditionalFormatting>
  <conditionalFormatting sqref="D141:CV141">
    <cfRule type="expression" dxfId="549" priority="1437">
      <formula>$P$9&lt;&gt;"Y"</formula>
    </cfRule>
  </conditionalFormatting>
  <conditionalFormatting sqref="D142:CV142">
    <cfRule type="expression" dxfId="548" priority="1440">
      <formula>$Q$9&lt;&gt;"Y"</formula>
    </cfRule>
  </conditionalFormatting>
  <conditionalFormatting sqref="D143:CV143">
    <cfRule type="expression" dxfId="547" priority="1443">
      <formula>$R$9&lt;&gt;"Y"</formula>
    </cfRule>
  </conditionalFormatting>
  <conditionalFormatting sqref="D144:CV144">
    <cfRule type="expression" dxfId="546" priority="1446">
      <formula>$S$9&lt;&gt;"Y"</formula>
    </cfRule>
  </conditionalFormatting>
  <conditionalFormatting sqref="D145:CV145">
    <cfRule type="expression" dxfId="545" priority="1449">
      <formula>$T$9&lt;&gt;"Y"</formula>
    </cfRule>
  </conditionalFormatting>
  <conditionalFormatting sqref="D146:CV146">
    <cfRule type="expression" dxfId="544" priority="1452">
      <formula>$U$9&lt;&gt;"Y"</formula>
    </cfRule>
  </conditionalFormatting>
  <conditionalFormatting sqref="D147:CV147">
    <cfRule type="expression" dxfId="543" priority="1455">
      <formula>$V$9&lt;&gt;"Y"</formula>
    </cfRule>
  </conditionalFormatting>
  <conditionalFormatting sqref="D148:CV148">
    <cfRule type="expression" dxfId="542" priority="1458">
      <formula>$W$9&lt;&gt;"Y"</formula>
    </cfRule>
  </conditionalFormatting>
  <conditionalFormatting sqref="D149:CV149">
    <cfRule type="expression" dxfId="541" priority="1461">
      <formula>$X$9&lt;&gt;"Y"</formula>
    </cfRule>
  </conditionalFormatting>
  <conditionalFormatting sqref="D150:CV150">
    <cfRule type="expression" dxfId="540" priority="1464">
      <formula>$Y$9&lt;&gt;"Y"</formula>
    </cfRule>
  </conditionalFormatting>
  <conditionalFormatting sqref="D151:CV151">
    <cfRule type="expression" dxfId="539" priority="1467">
      <formula>$B$10&lt;&gt;"Y"</formula>
    </cfRule>
  </conditionalFormatting>
  <conditionalFormatting sqref="D152:CV152">
    <cfRule type="expression" dxfId="538" priority="1470">
      <formula>$C$10&lt;&gt;"Y"</formula>
    </cfRule>
  </conditionalFormatting>
  <conditionalFormatting sqref="D153:CV153">
    <cfRule type="expression" dxfId="537" priority="1473">
      <formula>$D$10&lt;&gt;"Y"</formula>
    </cfRule>
  </conditionalFormatting>
  <conditionalFormatting sqref="D154:CV154">
    <cfRule type="expression" dxfId="536" priority="1476">
      <formula>$E$10&lt;&gt;"Y"</formula>
    </cfRule>
  </conditionalFormatting>
  <conditionalFormatting sqref="D155:CV155">
    <cfRule type="expression" dxfId="535" priority="1479">
      <formula>$F$10&lt;&gt;"Y"</formula>
    </cfRule>
  </conditionalFormatting>
  <conditionalFormatting sqref="D156:CV156">
    <cfRule type="expression" dxfId="534" priority="1482">
      <formula>$G$10&lt;&gt;"Y"</formula>
    </cfRule>
  </conditionalFormatting>
  <conditionalFormatting sqref="D157:CV157">
    <cfRule type="expression" dxfId="533" priority="1485">
      <formula>$H$10&lt;&gt;"Y"</formula>
    </cfRule>
  </conditionalFormatting>
  <conditionalFormatting sqref="D158:CV158">
    <cfRule type="expression" dxfId="532" priority="1488">
      <formula>$I$10&lt;&gt;"Y"</formula>
    </cfRule>
  </conditionalFormatting>
  <conditionalFormatting sqref="D159:CV159">
    <cfRule type="expression" dxfId="531" priority="1491">
      <formula>$J$10&lt;&gt;"Y"</formula>
    </cfRule>
  </conditionalFormatting>
  <conditionalFormatting sqref="D160:CV160">
    <cfRule type="expression" dxfId="530" priority="1494">
      <formula>$K$10&lt;&gt;"Y"</formula>
    </cfRule>
  </conditionalFormatting>
  <conditionalFormatting sqref="D161:CV161">
    <cfRule type="expression" dxfId="529" priority="1497">
      <formula>$L$10&lt;&gt;"Y"</formula>
    </cfRule>
  </conditionalFormatting>
  <conditionalFormatting sqref="D162:CV162">
    <cfRule type="expression" dxfId="528" priority="1500">
      <formula>$M$10&lt;&gt;"Y"</formula>
    </cfRule>
  </conditionalFormatting>
  <conditionalFormatting sqref="D163:CV163">
    <cfRule type="expression" dxfId="527" priority="1503">
      <formula>$N$10&lt;&gt;"Y"</formula>
    </cfRule>
  </conditionalFormatting>
  <conditionalFormatting sqref="D164:CV164">
    <cfRule type="expression" dxfId="526" priority="1506">
      <formula>$O$10&lt;&gt;"Y"</formula>
    </cfRule>
  </conditionalFormatting>
  <conditionalFormatting sqref="D165:CV165">
    <cfRule type="expression" dxfId="525" priority="1509">
      <formula>$P$10&lt;&gt;"Y"</formula>
    </cfRule>
  </conditionalFormatting>
  <conditionalFormatting sqref="D166:CV166">
    <cfRule type="expression" dxfId="524" priority="1512">
      <formula>$Q$10&lt;&gt;"Y"</formula>
    </cfRule>
  </conditionalFormatting>
  <conditionalFormatting sqref="D167:CV167">
    <cfRule type="expression" dxfId="523" priority="1515">
      <formula>$R$10&lt;&gt;"Y"</formula>
    </cfRule>
  </conditionalFormatting>
  <conditionalFormatting sqref="D168:CV168">
    <cfRule type="expression" dxfId="522" priority="1518">
      <formula>$S$10&lt;&gt;"Y"</formula>
    </cfRule>
  </conditionalFormatting>
  <conditionalFormatting sqref="D169:CV169">
    <cfRule type="expression" dxfId="521" priority="1521">
      <formula>$T$10&lt;&gt;"Y"</formula>
    </cfRule>
  </conditionalFormatting>
  <conditionalFormatting sqref="D170:CV170">
    <cfRule type="expression" dxfId="520" priority="1524">
      <formula>$U$10&lt;&gt;"Y"</formula>
    </cfRule>
  </conditionalFormatting>
  <conditionalFormatting sqref="D171:CV171">
    <cfRule type="expression" dxfId="519" priority="1527">
      <formula>$V$10&lt;&gt;"Y"</formula>
    </cfRule>
  </conditionalFormatting>
  <conditionalFormatting sqref="D172:CV172">
    <cfRule type="expression" dxfId="518" priority="1530">
      <formula>$W$10&lt;&gt;"Y"</formula>
    </cfRule>
  </conditionalFormatting>
  <conditionalFormatting sqref="D173:CV173">
    <cfRule type="expression" dxfId="517" priority="1533">
      <formula>$X$10&lt;&gt;"Y"</formula>
    </cfRule>
  </conditionalFormatting>
  <conditionalFormatting sqref="D174:CV174">
    <cfRule type="expression" dxfId="516" priority="1536">
      <formula>$Y$10&lt;&gt;"Y"</formula>
    </cfRule>
  </conditionalFormatting>
  <conditionalFormatting sqref="D175:CV175">
    <cfRule type="expression" dxfId="515" priority="1539">
      <formula>$B$11&lt;&gt;"Y"</formula>
    </cfRule>
  </conditionalFormatting>
  <conditionalFormatting sqref="D176:CV176">
    <cfRule type="expression" dxfId="514" priority="1542">
      <formula>$C$11&lt;&gt;"Y"</formula>
    </cfRule>
  </conditionalFormatting>
  <conditionalFormatting sqref="D177:CV177">
    <cfRule type="expression" dxfId="513" priority="1545">
      <formula>$D$11&lt;&gt;"Y"</formula>
    </cfRule>
  </conditionalFormatting>
  <conditionalFormatting sqref="D178:CV178">
    <cfRule type="expression" dxfId="512" priority="1548">
      <formula>$E$11&lt;&gt;"Y"</formula>
    </cfRule>
  </conditionalFormatting>
  <conditionalFormatting sqref="D179:CV179">
    <cfRule type="expression" dxfId="511" priority="1551">
      <formula>$F$11&lt;&gt;"Y"</formula>
    </cfRule>
  </conditionalFormatting>
  <conditionalFormatting sqref="D180:CV180">
    <cfRule type="expression" dxfId="510" priority="1554">
      <formula>$G$11&lt;&gt;"Y"</formula>
    </cfRule>
  </conditionalFormatting>
  <conditionalFormatting sqref="D181:CV181">
    <cfRule type="expression" dxfId="509" priority="1557">
      <formula>$H$11&lt;&gt;"Y"</formula>
    </cfRule>
  </conditionalFormatting>
  <conditionalFormatting sqref="D182:CV182">
    <cfRule type="expression" dxfId="508" priority="1560">
      <formula>$I$11&lt;&gt;"Y"</formula>
    </cfRule>
  </conditionalFormatting>
  <conditionalFormatting sqref="D183:CV183">
    <cfRule type="expression" dxfId="507" priority="1563">
      <formula>$J$11&lt;&gt;"Y"</formula>
    </cfRule>
  </conditionalFormatting>
  <conditionalFormatting sqref="D184:CV184">
    <cfRule type="expression" dxfId="506" priority="1566">
      <formula>$K$11&lt;&gt;"Y"</formula>
    </cfRule>
  </conditionalFormatting>
  <conditionalFormatting sqref="D185:CV185">
    <cfRule type="expression" dxfId="505" priority="1569">
      <formula>$L$11&lt;&gt;"Y"</formula>
    </cfRule>
  </conditionalFormatting>
  <conditionalFormatting sqref="D186:CV186">
    <cfRule type="expression" dxfId="504" priority="1572">
      <formula>$M$11&lt;&gt;"Y"</formula>
    </cfRule>
  </conditionalFormatting>
  <conditionalFormatting sqref="D187:CV187">
    <cfRule type="expression" dxfId="503" priority="1575">
      <formula>$N$11&lt;&gt;"Y"</formula>
    </cfRule>
  </conditionalFormatting>
  <conditionalFormatting sqref="D188:CV188">
    <cfRule type="expression" dxfId="502" priority="1578">
      <formula>$O$11&lt;&gt;"Y"</formula>
    </cfRule>
  </conditionalFormatting>
  <conditionalFormatting sqref="D189:CV189">
    <cfRule type="expression" dxfId="501" priority="1581">
      <formula>$P$11&lt;&gt;"Y"</formula>
    </cfRule>
  </conditionalFormatting>
  <conditionalFormatting sqref="D190:CV190">
    <cfRule type="expression" dxfId="500" priority="1584">
      <formula>$Q$11&lt;&gt;"Y"</formula>
    </cfRule>
  </conditionalFormatting>
  <conditionalFormatting sqref="D191:CV191">
    <cfRule type="expression" dxfId="499" priority="1587">
      <formula>$R$11&lt;&gt;"Y"</formula>
    </cfRule>
  </conditionalFormatting>
  <conditionalFormatting sqref="D192:CV192">
    <cfRule type="expression" dxfId="498" priority="1590">
      <formula>$S$11&lt;&gt;"Y"</formula>
    </cfRule>
  </conditionalFormatting>
  <conditionalFormatting sqref="D193:CV193">
    <cfRule type="expression" dxfId="497" priority="1593">
      <formula>$T$11&lt;&gt;"Y"</formula>
    </cfRule>
  </conditionalFormatting>
  <conditionalFormatting sqref="D194:CV194">
    <cfRule type="expression" dxfId="496" priority="1596">
      <formula>$U$11&lt;&gt;"Y"</formula>
    </cfRule>
  </conditionalFormatting>
  <conditionalFormatting sqref="D195:CV195">
    <cfRule type="expression" dxfId="495" priority="1599">
      <formula>$V$11&lt;&gt;"Y"</formula>
    </cfRule>
  </conditionalFormatting>
  <conditionalFormatting sqref="D196:CV196">
    <cfRule type="expression" dxfId="494" priority="1602">
      <formula>$W$11&lt;&gt;"Y"</formula>
    </cfRule>
  </conditionalFormatting>
  <conditionalFormatting sqref="D197:CV197">
    <cfRule type="expression" dxfId="493" priority="1605">
      <formula>$X$11&lt;&gt;"Y"</formula>
    </cfRule>
  </conditionalFormatting>
  <conditionalFormatting sqref="D198:CV198">
    <cfRule type="expression" dxfId="492" priority="1608">
      <formula>$Y$11&lt;&gt;"Y"</formula>
    </cfRule>
  </conditionalFormatting>
  <conditionalFormatting sqref="D199:CV199">
    <cfRule type="expression" dxfId="491" priority="1611">
      <formula>$B$12&lt;&gt;"Y"</formula>
    </cfRule>
  </conditionalFormatting>
  <conditionalFormatting sqref="D200:CV200">
    <cfRule type="expression" dxfId="490" priority="1614">
      <formula>$C$12&lt;&gt;"Y"</formula>
    </cfRule>
  </conditionalFormatting>
  <conditionalFormatting sqref="D201:CV201">
    <cfRule type="expression" dxfId="489" priority="1617">
      <formula>$D$12&lt;&gt;"Y"</formula>
    </cfRule>
  </conditionalFormatting>
  <conditionalFormatting sqref="D202:CV202">
    <cfRule type="expression" dxfId="488" priority="1620">
      <formula>$E$12&lt;&gt;"Y"</formula>
    </cfRule>
  </conditionalFormatting>
  <conditionalFormatting sqref="D203:CV203">
    <cfRule type="expression" dxfId="487" priority="1623">
      <formula>$F$12&lt;&gt;"Y"</formula>
    </cfRule>
  </conditionalFormatting>
  <conditionalFormatting sqref="D204:CV204">
    <cfRule type="expression" dxfId="486" priority="1626">
      <formula>$G$12&lt;&gt;"Y"</formula>
    </cfRule>
  </conditionalFormatting>
  <conditionalFormatting sqref="D205:CV205">
    <cfRule type="expression" dxfId="485" priority="1629">
      <formula>$H$12&lt;&gt;"Y"</formula>
    </cfRule>
  </conditionalFormatting>
  <conditionalFormatting sqref="D206:CV206">
    <cfRule type="expression" dxfId="484" priority="1632">
      <formula>$I$12&lt;&gt;"Y"</formula>
    </cfRule>
  </conditionalFormatting>
  <conditionalFormatting sqref="D207:CV207">
    <cfRule type="expression" dxfId="483" priority="1635">
      <formula>$J$12&lt;&gt;"Y"</formula>
    </cfRule>
  </conditionalFormatting>
  <conditionalFormatting sqref="D208:CV208">
    <cfRule type="expression" dxfId="482" priority="1638">
      <formula>$K$12&lt;&gt;"Y"</formula>
    </cfRule>
  </conditionalFormatting>
  <conditionalFormatting sqref="D209:CV209">
    <cfRule type="expression" dxfId="481" priority="1641">
      <formula>$L$12&lt;&gt;"Y"</formula>
    </cfRule>
  </conditionalFormatting>
  <conditionalFormatting sqref="D210:CV210">
    <cfRule type="expression" dxfId="480" priority="1644">
      <formula>$M$12&lt;&gt;"Y"</formula>
    </cfRule>
  </conditionalFormatting>
  <conditionalFormatting sqref="D211:CV211">
    <cfRule type="expression" dxfId="479" priority="1647">
      <formula>$N$12&lt;&gt;"Y"</formula>
    </cfRule>
  </conditionalFormatting>
  <conditionalFormatting sqref="D212:CV212">
    <cfRule type="expression" dxfId="478" priority="1650">
      <formula>$O$12&lt;&gt;"Y"</formula>
    </cfRule>
  </conditionalFormatting>
  <conditionalFormatting sqref="D213:CV213">
    <cfRule type="expression" dxfId="477" priority="1653">
      <formula>$P$12&lt;&gt;"Y"</formula>
    </cfRule>
  </conditionalFormatting>
  <conditionalFormatting sqref="D214:CV214">
    <cfRule type="expression" dxfId="476" priority="1656">
      <formula>$Q$12&lt;&gt;"Y"</formula>
    </cfRule>
  </conditionalFormatting>
  <conditionalFormatting sqref="D215:CV215">
    <cfRule type="expression" dxfId="475" priority="1659">
      <formula>$R$12&lt;&gt;"Y"</formula>
    </cfRule>
  </conditionalFormatting>
  <conditionalFormatting sqref="D216:CV216">
    <cfRule type="expression" dxfId="474" priority="1662">
      <formula>$S$12&lt;&gt;"Y"</formula>
    </cfRule>
  </conditionalFormatting>
  <conditionalFormatting sqref="D217:CV217">
    <cfRule type="expression" dxfId="473" priority="1665">
      <formula>$T$12&lt;&gt;"Y"</formula>
    </cfRule>
  </conditionalFormatting>
  <conditionalFormatting sqref="D218:CV218">
    <cfRule type="expression" dxfId="472" priority="1668">
      <formula>$U$12&lt;&gt;"Y"</formula>
    </cfRule>
  </conditionalFormatting>
  <conditionalFormatting sqref="D219:CV219">
    <cfRule type="expression" dxfId="471" priority="1671">
      <formula>$V$12&lt;&gt;"Y"</formula>
    </cfRule>
  </conditionalFormatting>
  <conditionalFormatting sqref="D220:CV220">
    <cfRule type="expression" dxfId="470" priority="1674">
      <formula>$W$12&lt;&gt;"Y"</formula>
    </cfRule>
  </conditionalFormatting>
  <conditionalFormatting sqref="D221:CV221">
    <cfRule type="expression" dxfId="469" priority="1677">
      <formula>$X$12&lt;&gt;"Y"</formula>
    </cfRule>
  </conditionalFormatting>
  <conditionalFormatting sqref="D222:CV222">
    <cfRule type="expression" dxfId="468" priority="1680">
      <formula>$Y$12&lt;&gt;"Y"</formula>
    </cfRule>
  </conditionalFormatting>
  <conditionalFormatting sqref="D223:CV223">
    <cfRule type="expression" dxfId="467" priority="1683">
      <formula>$B$13&lt;&gt;"Y"</formula>
    </cfRule>
  </conditionalFormatting>
  <conditionalFormatting sqref="D224:CV224">
    <cfRule type="expression" dxfId="466" priority="1686">
      <formula>$C$13&lt;&gt;"Y"</formula>
    </cfRule>
  </conditionalFormatting>
  <conditionalFormatting sqref="D225:CV225">
    <cfRule type="expression" dxfId="465" priority="1689">
      <formula>$D$13&lt;&gt;"Y"</formula>
    </cfRule>
  </conditionalFormatting>
  <conditionalFormatting sqref="D226:CV226">
    <cfRule type="expression" dxfId="464" priority="1692">
      <formula>$E$13&lt;&gt;"Y"</formula>
    </cfRule>
  </conditionalFormatting>
  <conditionalFormatting sqref="D227:CV227">
    <cfRule type="expression" dxfId="463" priority="1695">
      <formula>$F$13&lt;&gt;"Y"</formula>
    </cfRule>
  </conditionalFormatting>
  <conditionalFormatting sqref="D228:CV228">
    <cfRule type="expression" dxfId="462" priority="1698">
      <formula>$G$13&lt;&gt;"Y"</formula>
    </cfRule>
  </conditionalFormatting>
  <conditionalFormatting sqref="D229:CV229">
    <cfRule type="expression" dxfId="461" priority="1701">
      <formula>$H$13&lt;&gt;"Y"</formula>
    </cfRule>
  </conditionalFormatting>
  <conditionalFormatting sqref="D230:CV230">
    <cfRule type="expression" dxfId="460" priority="1704">
      <formula>$I$13&lt;&gt;"Y"</formula>
    </cfRule>
  </conditionalFormatting>
  <conditionalFormatting sqref="D231:CV231">
    <cfRule type="expression" dxfId="459" priority="1707">
      <formula>$J$13&lt;&gt;"Y"</formula>
    </cfRule>
  </conditionalFormatting>
  <conditionalFormatting sqref="D232:CV232">
    <cfRule type="expression" dxfId="458" priority="1710">
      <formula>$K$13&lt;&gt;"Y"</formula>
    </cfRule>
  </conditionalFormatting>
  <conditionalFormatting sqref="D233:CV233">
    <cfRule type="expression" dxfId="457" priority="1713">
      <formula>$L$13&lt;&gt;"Y"</formula>
    </cfRule>
  </conditionalFormatting>
  <conditionalFormatting sqref="D234:CV234">
    <cfRule type="expression" dxfId="456" priority="1716">
      <formula>$M$13&lt;&gt;"Y"</formula>
    </cfRule>
  </conditionalFormatting>
  <conditionalFormatting sqref="D235:CV235">
    <cfRule type="expression" dxfId="455" priority="1719">
      <formula>$N$13&lt;&gt;"Y"</formula>
    </cfRule>
  </conditionalFormatting>
  <conditionalFormatting sqref="D236:CV236">
    <cfRule type="expression" dxfId="454" priority="1722">
      <formula>$O$13&lt;&gt;"Y"</formula>
    </cfRule>
  </conditionalFormatting>
  <conditionalFormatting sqref="D237:CV237">
    <cfRule type="expression" dxfId="453" priority="1725">
      <formula>$P$13&lt;&gt;"Y"</formula>
    </cfRule>
  </conditionalFormatting>
  <conditionalFormatting sqref="D238:CV238">
    <cfRule type="expression" dxfId="452" priority="1728">
      <formula>$Q$13&lt;&gt;"Y"</formula>
    </cfRule>
  </conditionalFormatting>
  <conditionalFormatting sqref="D239:CV239">
    <cfRule type="expression" dxfId="451" priority="1731">
      <formula>$R$13&lt;&gt;"Y"</formula>
    </cfRule>
  </conditionalFormatting>
  <conditionalFormatting sqref="D240:CV240">
    <cfRule type="expression" dxfId="450" priority="1734">
      <formula>$S$13&lt;&gt;"Y"</formula>
    </cfRule>
  </conditionalFormatting>
  <conditionalFormatting sqref="D241:CV241">
    <cfRule type="expression" dxfId="449" priority="1737">
      <formula>$T$13&lt;&gt;"Y"</formula>
    </cfRule>
  </conditionalFormatting>
  <conditionalFormatting sqref="D242:CV242">
    <cfRule type="expression" dxfId="448" priority="1740">
      <formula>$U$13&lt;&gt;"Y"</formula>
    </cfRule>
  </conditionalFormatting>
  <conditionalFormatting sqref="D243:CV243">
    <cfRule type="expression" dxfId="447" priority="1743">
      <formula>$V$13&lt;&gt;"Y"</formula>
    </cfRule>
  </conditionalFormatting>
  <conditionalFormatting sqref="D244:CV244">
    <cfRule type="expression" dxfId="446" priority="1746">
      <formula>$W$13&lt;&gt;"Y"</formula>
    </cfRule>
  </conditionalFormatting>
  <conditionalFormatting sqref="D245:CV245">
    <cfRule type="expression" dxfId="445" priority="1749">
      <formula>$X$13&lt;&gt;"Y"</formula>
    </cfRule>
  </conditionalFormatting>
  <conditionalFormatting sqref="D246:CV246">
    <cfRule type="expression" dxfId="444" priority="1752">
      <formula>$Y$13&lt;&gt;"Y"</formula>
    </cfRule>
  </conditionalFormatting>
  <conditionalFormatting sqref="D247:CV247">
    <cfRule type="expression" dxfId="443" priority="1755">
      <formula>$B$14&lt;&gt;"Y"</formula>
    </cfRule>
  </conditionalFormatting>
  <conditionalFormatting sqref="D248:CV248">
    <cfRule type="expression" dxfId="442" priority="1758">
      <formula>$C$14&lt;&gt;"Y"</formula>
    </cfRule>
  </conditionalFormatting>
  <conditionalFormatting sqref="D249:CV249">
    <cfRule type="expression" dxfId="441" priority="1761">
      <formula>$D$14&lt;&gt;"Y"</formula>
    </cfRule>
  </conditionalFormatting>
  <conditionalFormatting sqref="D250:CV250">
    <cfRule type="expression" dxfId="440" priority="1764">
      <formula>$E$14&lt;&gt;"Y"</formula>
    </cfRule>
  </conditionalFormatting>
  <conditionalFormatting sqref="D251:CV251">
    <cfRule type="expression" dxfId="439" priority="1767">
      <formula>$F$14&lt;&gt;"Y"</formula>
    </cfRule>
  </conditionalFormatting>
  <conditionalFormatting sqref="D252:CV252">
    <cfRule type="expression" dxfId="438" priority="1770">
      <formula>$G$14&lt;&gt;"Y"</formula>
    </cfRule>
  </conditionalFormatting>
  <conditionalFormatting sqref="D253:CV253">
    <cfRule type="expression" dxfId="437" priority="1773">
      <formula>$H$14&lt;&gt;"Y"</formula>
    </cfRule>
  </conditionalFormatting>
  <conditionalFormatting sqref="D254:CV254">
    <cfRule type="expression" dxfId="436" priority="1776">
      <formula>$I$14&lt;&gt;"Y"</formula>
    </cfRule>
  </conditionalFormatting>
  <conditionalFormatting sqref="D255:CV255">
    <cfRule type="expression" dxfId="435" priority="1779">
      <formula>$J$14&lt;&gt;"Y"</formula>
    </cfRule>
  </conditionalFormatting>
  <conditionalFormatting sqref="D256:CV256">
    <cfRule type="expression" dxfId="434" priority="1782">
      <formula>$K$14&lt;&gt;"Y"</formula>
    </cfRule>
  </conditionalFormatting>
  <conditionalFormatting sqref="D257:CV257">
    <cfRule type="expression" dxfId="433" priority="1785">
      <formula>$L$14&lt;&gt;"Y"</formula>
    </cfRule>
  </conditionalFormatting>
  <conditionalFormatting sqref="D258:CV258">
    <cfRule type="expression" dxfId="432" priority="1788">
      <formula>$M$14&lt;&gt;"Y"</formula>
    </cfRule>
  </conditionalFormatting>
  <conditionalFormatting sqref="D259:CV259">
    <cfRule type="expression" dxfId="431" priority="1791">
      <formula>$N$14&lt;&gt;"Y"</formula>
    </cfRule>
  </conditionalFormatting>
  <conditionalFormatting sqref="D260:CV260">
    <cfRule type="expression" dxfId="430" priority="1794">
      <formula>$O$14&lt;&gt;"Y"</formula>
    </cfRule>
  </conditionalFormatting>
  <conditionalFormatting sqref="D261:CV261">
    <cfRule type="expression" dxfId="429" priority="1797">
      <formula>$P$14&lt;&gt;"Y"</formula>
    </cfRule>
  </conditionalFormatting>
  <conditionalFormatting sqref="D262:CV262">
    <cfRule type="expression" dxfId="428" priority="1800">
      <formula>$Q$14&lt;&gt;"Y"</formula>
    </cfRule>
  </conditionalFormatting>
  <conditionalFormatting sqref="D263:CV263">
    <cfRule type="expression" dxfId="427" priority="1803">
      <formula>$R$14&lt;&gt;"Y"</formula>
    </cfRule>
  </conditionalFormatting>
  <conditionalFormatting sqref="D264:CV264">
    <cfRule type="expression" dxfId="426" priority="1806">
      <formula>$S$14&lt;&gt;"Y"</formula>
    </cfRule>
  </conditionalFormatting>
  <conditionalFormatting sqref="D265:CV265">
    <cfRule type="expression" dxfId="425" priority="1809">
      <formula>$T$14&lt;&gt;"Y"</formula>
    </cfRule>
  </conditionalFormatting>
  <conditionalFormatting sqref="D266:CV266">
    <cfRule type="expression" dxfId="424" priority="1812">
      <formula>$U$14&lt;&gt;"Y"</formula>
    </cfRule>
  </conditionalFormatting>
  <conditionalFormatting sqref="D267:CV267">
    <cfRule type="expression" dxfId="423" priority="1815">
      <formula>$V$14&lt;&gt;"Y"</formula>
    </cfRule>
  </conditionalFormatting>
  <conditionalFormatting sqref="D268:CV268">
    <cfRule type="expression" dxfId="422" priority="1818">
      <formula>$W$14&lt;&gt;"Y"</formula>
    </cfRule>
  </conditionalFormatting>
  <conditionalFormatting sqref="D269:CV269">
    <cfRule type="expression" dxfId="421" priority="1821">
      <formula>$X$14&lt;&gt;"Y"</formula>
    </cfRule>
  </conditionalFormatting>
  <conditionalFormatting sqref="D270:CV270">
    <cfRule type="expression" dxfId="420" priority="1824">
      <formula>$Y$14&lt;&gt;"Y"</formula>
    </cfRule>
  </conditionalFormatting>
  <conditionalFormatting sqref="D271:CV271">
    <cfRule type="expression" dxfId="419" priority="1827">
      <formula>$B$15&lt;&gt;"Y"</formula>
    </cfRule>
  </conditionalFormatting>
  <conditionalFormatting sqref="D272:CV272">
    <cfRule type="expression" dxfId="418" priority="1830">
      <formula>$C$15&lt;&gt;"Y"</formula>
    </cfRule>
  </conditionalFormatting>
  <conditionalFormatting sqref="D273:CV273">
    <cfRule type="expression" dxfId="417" priority="1833">
      <formula>$D$15&lt;&gt;"Y"</formula>
    </cfRule>
  </conditionalFormatting>
  <conditionalFormatting sqref="D274:CV274">
    <cfRule type="expression" dxfId="416" priority="1836">
      <formula>$E$15&lt;&gt;"Y"</formula>
    </cfRule>
  </conditionalFormatting>
  <conditionalFormatting sqref="D275:CV275">
    <cfRule type="expression" dxfId="415" priority="1839">
      <formula>$F$15&lt;&gt;"Y"</formula>
    </cfRule>
  </conditionalFormatting>
  <conditionalFormatting sqref="D276:CV276">
    <cfRule type="expression" dxfId="414" priority="1842">
      <formula>$G$15&lt;&gt;"Y"</formula>
    </cfRule>
  </conditionalFormatting>
  <conditionalFormatting sqref="D277:CV277">
    <cfRule type="expression" dxfId="413" priority="1845">
      <formula>$H$15&lt;&gt;"Y"</formula>
    </cfRule>
  </conditionalFormatting>
  <conditionalFormatting sqref="D278:CV278">
    <cfRule type="expression" dxfId="412" priority="1848">
      <formula>$I$15&lt;&gt;"Y"</formula>
    </cfRule>
  </conditionalFormatting>
  <conditionalFormatting sqref="D279:CV279">
    <cfRule type="expression" dxfId="411" priority="1851">
      <formula>$J$15&lt;&gt;"Y"</formula>
    </cfRule>
  </conditionalFormatting>
  <conditionalFormatting sqref="D280:CV280">
    <cfRule type="expression" dxfId="410" priority="1854">
      <formula>$K$15&lt;&gt;"Y"</formula>
    </cfRule>
  </conditionalFormatting>
  <conditionalFormatting sqref="D281:CV281">
    <cfRule type="expression" dxfId="409" priority="1857">
      <formula>$L$15&lt;&gt;"Y"</formula>
    </cfRule>
  </conditionalFormatting>
  <conditionalFormatting sqref="D282:CV282">
    <cfRule type="expression" dxfId="408" priority="1860">
      <formula>$M$15&lt;&gt;"Y"</formula>
    </cfRule>
  </conditionalFormatting>
  <conditionalFormatting sqref="D283:CV283">
    <cfRule type="expression" dxfId="407" priority="1863">
      <formula>$N$15&lt;&gt;"Y"</formula>
    </cfRule>
  </conditionalFormatting>
  <conditionalFormatting sqref="D284:CV284">
    <cfRule type="expression" dxfId="406" priority="1866">
      <formula>$O$15&lt;&gt;"Y"</formula>
    </cfRule>
  </conditionalFormatting>
  <conditionalFormatting sqref="D285:CV285">
    <cfRule type="expression" dxfId="405" priority="1869">
      <formula>$P$15&lt;&gt;"Y"</formula>
    </cfRule>
  </conditionalFormatting>
  <conditionalFormatting sqref="D286:CV286">
    <cfRule type="expression" dxfId="404" priority="1872">
      <formula>$Q$15&lt;&gt;"Y"</formula>
    </cfRule>
  </conditionalFormatting>
  <conditionalFormatting sqref="D287:CV287">
    <cfRule type="expression" dxfId="403" priority="1875">
      <formula>$R$15&lt;&gt;"Y"</formula>
    </cfRule>
  </conditionalFormatting>
  <conditionalFormatting sqref="D288:CV288">
    <cfRule type="expression" dxfId="402" priority="1878">
      <formula>$S$15&lt;&gt;"Y"</formula>
    </cfRule>
  </conditionalFormatting>
  <conditionalFormatting sqref="D289:CV289">
    <cfRule type="expression" dxfId="401" priority="1881">
      <formula>$T$15&lt;&gt;"Y"</formula>
    </cfRule>
  </conditionalFormatting>
  <conditionalFormatting sqref="D290:CV290">
    <cfRule type="expression" dxfId="400" priority="1884">
      <formula>$U$15&lt;&gt;"Y"</formula>
    </cfRule>
  </conditionalFormatting>
  <conditionalFormatting sqref="D291:CV291">
    <cfRule type="expression" dxfId="399" priority="1887">
      <formula>$V$15&lt;&gt;"Y"</formula>
    </cfRule>
  </conditionalFormatting>
  <conditionalFormatting sqref="D292:CV292">
    <cfRule type="expression" dxfId="398" priority="1890">
      <formula>$W$15&lt;&gt;"Y"</formula>
    </cfRule>
  </conditionalFormatting>
  <conditionalFormatting sqref="D293:CV293">
    <cfRule type="expression" dxfId="397" priority="1893">
      <formula>$X$15&lt;&gt;"Y"</formula>
    </cfRule>
  </conditionalFormatting>
  <conditionalFormatting sqref="D294:CV294">
    <cfRule type="expression" dxfId="396" priority="1896">
      <formula>$Y$15&lt;&gt;"Y"</formula>
    </cfRule>
  </conditionalFormatting>
  <conditionalFormatting sqref="D295:CV295">
    <cfRule type="expression" dxfId="395" priority="1899">
      <formula>$B$16&lt;&gt;"Y"</formula>
    </cfRule>
  </conditionalFormatting>
  <conditionalFormatting sqref="D296:CV296">
    <cfRule type="expression" dxfId="394" priority="1902">
      <formula>$C$16&lt;&gt;"Y"</formula>
    </cfRule>
  </conditionalFormatting>
  <conditionalFormatting sqref="D297:CV297">
    <cfRule type="expression" dxfId="393" priority="1905">
      <formula>$D$16&lt;&gt;"Y"</formula>
    </cfRule>
  </conditionalFormatting>
  <conditionalFormatting sqref="D298:CV298">
    <cfRule type="expression" dxfId="392" priority="1908">
      <formula>$E$16&lt;&gt;"Y"</formula>
    </cfRule>
  </conditionalFormatting>
  <conditionalFormatting sqref="D299:CV299">
    <cfRule type="expression" dxfId="391" priority="1911">
      <formula>$F$16&lt;&gt;"Y"</formula>
    </cfRule>
  </conditionalFormatting>
  <conditionalFormatting sqref="D300:CV300">
    <cfRule type="expression" dxfId="390" priority="1914">
      <formula>$G$16&lt;&gt;"Y"</formula>
    </cfRule>
  </conditionalFormatting>
  <conditionalFormatting sqref="D301:CV301">
    <cfRule type="expression" dxfId="389" priority="1917">
      <formula>$H$16&lt;&gt;"Y"</formula>
    </cfRule>
  </conditionalFormatting>
  <conditionalFormatting sqref="D302:CV302">
    <cfRule type="expression" dxfId="388" priority="1920">
      <formula>$I$16&lt;&gt;"Y"</formula>
    </cfRule>
  </conditionalFormatting>
  <conditionalFormatting sqref="D303:CV303">
    <cfRule type="expression" dxfId="387" priority="1923">
      <formula>$J$16&lt;&gt;"Y"</formula>
    </cfRule>
  </conditionalFormatting>
  <conditionalFormatting sqref="D304:CV304">
    <cfRule type="expression" dxfId="386" priority="1926">
      <formula>$K$16&lt;&gt;"Y"</formula>
    </cfRule>
  </conditionalFormatting>
  <conditionalFormatting sqref="D305:CV305">
    <cfRule type="expression" dxfId="385" priority="1929">
      <formula>$L$16&lt;&gt;"Y"</formula>
    </cfRule>
  </conditionalFormatting>
  <conditionalFormatting sqref="D306:CV306">
    <cfRule type="expression" dxfId="384" priority="1932">
      <formula>$M$16&lt;&gt;"Y"</formula>
    </cfRule>
  </conditionalFormatting>
  <conditionalFormatting sqref="D307:CV307">
    <cfRule type="expression" dxfId="383" priority="1935">
      <formula>$N$16&lt;&gt;"Y"</formula>
    </cfRule>
  </conditionalFormatting>
  <conditionalFormatting sqref="D308:CV308">
    <cfRule type="expression" dxfId="382" priority="1938">
      <formula>$O$16&lt;&gt;"Y"</formula>
    </cfRule>
  </conditionalFormatting>
  <conditionalFormatting sqref="D309:CV309">
    <cfRule type="expression" dxfId="381" priority="1941">
      <formula>$P$16&lt;&gt;"Y"</formula>
    </cfRule>
  </conditionalFormatting>
  <conditionalFormatting sqref="D310:CV310">
    <cfRule type="expression" dxfId="380" priority="1944">
      <formula>$Q$16&lt;&gt;"Y"</formula>
    </cfRule>
  </conditionalFormatting>
  <conditionalFormatting sqref="D311:CV311">
    <cfRule type="expression" dxfId="379" priority="1947">
      <formula>$R$16&lt;&gt;"Y"</formula>
    </cfRule>
  </conditionalFormatting>
  <conditionalFormatting sqref="D312:CV312">
    <cfRule type="expression" dxfId="378" priority="1950">
      <formula>$S$16&lt;&gt;"Y"</formula>
    </cfRule>
  </conditionalFormatting>
  <conditionalFormatting sqref="D313:CV313">
    <cfRule type="expression" dxfId="377" priority="1953">
      <formula>$T$16&lt;&gt;"Y"</formula>
    </cfRule>
  </conditionalFormatting>
  <conditionalFormatting sqref="D314:CV314">
    <cfRule type="expression" dxfId="376" priority="1956">
      <formula>$U$16&lt;&gt;"Y"</formula>
    </cfRule>
  </conditionalFormatting>
  <conditionalFormatting sqref="D315:CV315">
    <cfRule type="expression" dxfId="375" priority="1959">
      <formula>$V$16&lt;&gt;"Y"</formula>
    </cfRule>
  </conditionalFormatting>
  <conditionalFormatting sqref="D316:CV316">
    <cfRule type="expression" dxfId="374" priority="1962">
      <formula>$W$16&lt;&gt;"Y"</formula>
    </cfRule>
  </conditionalFormatting>
  <conditionalFormatting sqref="D317:CV317">
    <cfRule type="expression" dxfId="373" priority="1965">
      <formula>$X$16&lt;&gt;"Y"</formula>
    </cfRule>
  </conditionalFormatting>
  <conditionalFormatting sqref="D318:CV318">
    <cfRule type="expression" dxfId="372" priority="1968">
      <formula>$Y$16&lt;&gt;"Y"</formula>
    </cfRule>
  </conditionalFormatting>
  <conditionalFormatting sqref="D319:CV319">
    <cfRule type="expression" dxfId="371" priority="1971">
      <formula>$B$17&lt;&gt;"Y"</formula>
    </cfRule>
  </conditionalFormatting>
  <conditionalFormatting sqref="D320:CV320">
    <cfRule type="expression" dxfId="370" priority="1974">
      <formula>$C$17&lt;&gt;"Y"</formula>
    </cfRule>
  </conditionalFormatting>
  <conditionalFormatting sqref="D321:CV321">
    <cfRule type="expression" dxfId="369" priority="1977">
      <formula>$D$17&lt;&gt;"Y"</formula>
    </cfRule>
  </conditionalFormatting>
  <conditionalFormatting sqref="D322:CV322">
    <cfRule type="expression" dxfId="368" priority="1980">
      <formula>$E$17&lt;&gt;"Y"</formula>
    </cfRule>
  </conditionalFormatting>
  <conditionalFormatting sqref="D323:CV323">
    <cfRule type="expression" dxfId="367" priority="1983">
      <formula>$F$17&lt;&gt;"Y"</formula>
    </cfRule>
  </conditionalFormatting>
  <conditionalFormatting sqref="D324:CV324">
    <cfRule type="expression" dxfId="366" priority="1986">
      <formula>$G$17&lt;&gt;"Y"</formula>
    </cfRule>
  </conditionalFormatting>
  <conditionalFormatting sqref="D325:CV325">
    <cfRule type="expression" dxfId="365" priority="1989">
      <formula>$H$17&lt;&gt;"Y"</formula>
    </cfRule>
  </conditionalFormatting>
  <conditionalFormatting sqref="D326:CV326">
    <cfRule type="expression" dxfId="364" priority="1992">
      <formula>$I$17&lt;&gt;"Y"</formula>
    </cfRule>
  </conditionalFormatting>
  <conditionalFormatting sqref="D327:CV327">
    <cfRule type="expression" dxfId="363" priority="1995">
      <formula>$J$17&lt;&gt;"Y"</formula>
    </cfRule>
  </conditionalFormatting>
  <conditionalFormatting sqref="D328:CV328">
    <cfRule type="expression" dxfId="362" priority="1998">
      <formula>$K$17&lt;&gt;"Y"</formula>
    </cfRule>
  </conditionalFormatting>
  <conditionalFormatting sqref="D329:CV329">
    <cfRule type="expression" dxfId="361" priority="2001">
      <formula>$L$17&lt;&gt;"Y"</formula>
    </cfRule>
  </conditionalFormatting>
  <conditionalFormatting sqref="D330:CV330">
    <cfRule type="expression" dxfId="360" priority="2004">
      <formula>$M$17&lt;&gt;"Y"</formula>
    </cfRule>
  </conditionalFormatting>
  <conditionalFormatting sqref="D331:CV331">
    <cfRule type="expression" dxfId="359" priority="2007">
      <formula>$N$17&lt;&gt;"Y"</formula>
    </cfRule>
  </conditionalFormatting>
  <conditionalFormatting sqref="D332:CV332">
    <cfRule type="expression" dxfId="358" priority="2010">
      <formula>$O$17&lt;&gt;"Y"</formula>
    </cfRule>
  </conditionalFormatting>
  <conditionalFormatting sqref="D333:CV333">
    <cfRule type="expression" dxfId="357" priority="2013">
      <formula>$P$17&lt;&gt;"Y"</formula>
    </cfRule>
  </conditionalFormatting>
  <conditionalFormatting sqref="D334:CV334">
    <cfRule type="expression" dxfId="356" priority="2016">
      <formula>$Q$17&lt;&gt;"Y"</formula>
    </cfRule>
  </conditionalFormatting>
  <conditionalFormatting sqref="D335:CV335">
    <cfRule type="expression" dxfId="355" priority="2019">
      <formula>$R$17&lt;&gt;"Y"</formula>
    </cfRule>
  </conditionalFormatting>
  <conditionalFormatting sqref="D336:CV336">
    <cfRule type="expression" dxfId="354" priority="2022">
      <formula>$S$17&lt;&gt;"Y"</formula>
    </cfRule>
  </conditionalFormatting>
  <conditionalFormatting sqref="D337:CV337">
    <cfRule type="expression" dxfId="353" priority="2025">
      <formula>$T$17&lt;&gt;"Y"</formula>
    </cfRule>
  </conditionalFormatting>
  <conditionalFormatting sqref="D338:CV338">
    <cfRule type="expression" dxfId="352" priority="2028">
      <formula>$U$17&lt;&gt;"Y"</formula>
    </cfRule>
  </conditionalFormatting>
  <conditionalFormatting sqref="D339:CV339">
    <cfRule type="expression" dxfId="351" priority="2031">
      <formula>$V$17&lt;&gt;"Y"</formula>
    </cfRule>
  </conditionalFormatting>
  <conditionalFormatting sqref="D340:CV340">
    <cfRule type="expression" dxfId="350" priority="2034">
      <formula>$W$17&lt;&gt;"Y"</formula>
    </cfRule>
  </conditionalFormatting>
  <conditionalFormatting sqref="D341:CV341">
    <cfRule type="expression" dxfId="349" priority="2037">
      <formula>$X$17&lt;&gt;"Y"</formula>
    </cfRule>
  </conditionalFormatting>
  <conditionalFormatting sqref="D342:CV342">
    <cfRule type="expression" dxfId="348" priority="2040">
      <formula>$Y$17&lt;&gt;"Y"</formula>
    </cfRule>
  </conditionalFormatting>
  <conditionalFormatting sqref="D343:CV343">
    <cfRule type="expression" dxfId="347" priority="2043">
      <formula>$B$18&lt;&gt;"Y"</formula>
    </cfRule>
  </conditionalFormatting>
  <conditionalFormatting sqref="D344:CV344">
    <cfRule type="expression" dxfId="346" priority="2046">
      <formula>$C$18&lt;&gt;"Y"</formula>
    </cfRule>
  </conditionalFormatting>
  <conditionalFormatting sqref="D345:CV345">
    <cfRule type="expression" dxfId="345" priority="2049">
      <formula>$D$18&lt;&gt;"Y"</formula>
    </cfRule>
  </conditionalFormatting>
  <conditionalFormatting sqref="D346:CV346">
    <cfRule type="expression" dxfId="344" priority="2052">
      <formula>$E$18&lt;&gt;"Y"</formula>
    </cfRule>
  </conditionalFormatting>
  <conditionalFormatting sqref="D347:CV347">
    <cfRule type="expression" dxfId="343" priority="2055">
      <formula>$F$18&lt;&gt;"Y"</formula>
    </cfRule>
  </conditionalFormatting>
  <conditionalFormatting sqref="D348:CV348">
    <cfRule type="expression" dxfId="342" priority="2058">
      <formula>$G$18&lt;&gt;"Y"</formula>
    </cfRule>
  </conditionalFormatting>
  <conditionalFormatting sqref="D349:CV349">
    <cfRule type="expression" dxfId="341" priority="2061">
      <formula>$H$18&lt;&gt;"Y"</formula>
    </cfRule>
  </conditionalFormatting>
  <conditionalFormatting sqref="D350:CV350">
    <cfRule type="expression" dxfId="340" priority="2064">
      <formula>$I$18&lt;&gt;"Y"</formula>
    </cfRule>
  </conditionalFormatting>
  <conditionalFormatting sqref="D351:CV351">
    <cfRule type="expression" dxfId="339" priority="2067">
      <formula>$J$18&lt;&gt;"Y"</formula>
    </cfRule>
  </conditionalFormatting>
  <conditionalFormatting sqref="D352:CV352">
    <cfRule type="expression" dxfId="338" priority="2070">
      <formula>$K$18&lt;&gt;"Y"</formula>
    </cfRule>
  </conditionalFormatting>
  <conditionalFormatting sqref="D353:CV353">
    <cfRule type="expression" dxfId="337" priority="2073">
      <formula>$L$18&lt;&gt;"Y"</formula>
    </cfRule>
  </conditionalFormatting>
  <conditionalFormatting sqref="D354:CV354">
    <cfRule type="expression" dxfId="336" priority="2076">
      <formula>$M$18&lt;&gt;"Y"</formula>
    </cfRule>
  </conditionalFormatting>
  <conditionalFormatting sqref="D355:CV355">
    <cfRule type="expression" dxfId="335" priority="2079">
      <formula>$N$18&lt;&gt;"Y"</formula>
    </cfRule>
  </conditionalFormatting>
  <conditionalFormatting sqref="D356:CV356">
    <cfRule type="expression" dxfId="334" priority="2082">
      <formula>$O$18&lt;&gt;"Y"</formula>
    </cfRule>
  </conditionalFormatting>
  <conditionalFormatting sqref="D357:CV357">
    <cfRule type="expression" dxfId="333" priority="2085">
      <formula>$P$18&lt;&gt;"Y"</formula>
    </cfRule>
  </conditionalFormatting>
  <conditionalFormatting sqref="D358:CV358">
    <cfRule type="expression" dxfId="332" priority="2088">
      <formula>$Q$18&lt;&gt;"Y"</formula>
    </cfRule>
  </conditionalFormatting>
  <conditionalFormatting sqref="D359:CV359">
    <cfRule type="expression" dxfId="331" priority="2091">
      <formula>$R$18&lt;&gt;"Y"</formula>
    </cfRule>
  </conditionalFormatting>
  <conditionalFormatting sqref="D360:CV360">
    <cfRule type="expression" dxfId="330" priority="2094">
      <formula>$S$18&lt;&gt;"Y"</formula>
    </cfRule>
  </conditionalFormatting>
  <conditionalFormatting sqref="D361:CV361">
    <cfRule type="expression" dxfId="329" priority="2097">
      <formula>$T$18&lt;&gt;"Y"</formula>
    </cfRule>
  </conditionalFormatting>
  <conditionalFormatting sqref="D362:CV362">
    <cfRule type="expression" dxfId="328" priority="2100">
      <formula>$U$18&lt;&gt;"Y"</formula>
    </cfRule>
  </conditionalFormatting>
  <conditionalFormatting sqref="D363:CV363">
    <cfRule type="expression" dxfId="327" priority="2103">
      <formula>$V$18&lt;&gt;"Y"</formula>
    </cfRule>
  </conditionalFormatting>
  <conditionalFormatting sqref="D364:CV364">
    <cfRule type="expression" dxfId="326" priority="2106">
      <formula>$W$18&lt;&gt;"Y"</formula>
    </cfRule>
  </conditionalFormatting>
  <conditionalFormatting sqref="D365:CV365">
    <cfRule type="expression" dxfId="325" priority="2109">
      <formula>$X$18&lt;&gt;"Y"</formula>
    </cfRule>
  </conditionalFormatting>
  <conditionalFormatting sqref="D366:CV366">
    <cfRule type="expression" dxfId="324" priority="2112">
      <formula>$Y$18&lt;&gt;"Y"</formula>
    </cfRule>
  </conditionalFormatting>
  <conditionalFormatting sqref="D367:CV367">
    <cfRule type="expression" dxfId="323" priority="2115">
      <formula>$B$19&lt;&gt;"Y"</formula>
    </cfRule>
  </conditionalFormatting>
  <conditionalFormatting sqref="D368:CV368">
    <cfRule type="expression" dxfId="322" priority="2118">
      <formula>$C$19&lt;&gt;"Y"</formula>
    </cfRule>
  </conditionalFormatting>
  <conditionalFormatting sqref="D369:CV369">
    <cfRule type="expression" dxfId="321" priority="2121">
      <formula>$D$19&lt;&gt;"Y"</formula>
    </cfRule>
  </conditionalFormatting>
  <conditionalFormatting sqref="D370:CV370">
    <cfRule type="expression" dxfId="320" priority="2124">
      <formula>$E$19&lt;&gt;"Y"</formula>
    </cfRule>
  </conditionalFormatting>
  <conditionalFormatting sqref="D371:CV371">
    <cfRule type="expression" dxfId="319" priority="2127">
      <formula>$F$19&lt;&gt;"Y"</formula>
    </cfRule>
  </conditionalFormatting>
  <conditionalFormatting sqref="D372:CV372">
    <cfRule type="expression" dxfId="318" priority="2130">
      <formula>$G$19&lt;&gt;"Y"</formula>
    </cfRule>
  </conditionalFormatting>
  <conditionalFormatting sqref="D373:CV373">
    <cfRule type="expression" dxfId="317" priority="2133">
      <formula>$H$19&lt;&gt;"Y"</formula>
    </cfRule>
  </conditionalFormatting>
  <conditionalFormatting sqref="D374:CV374">
    <cfRule type="expression" dxfId="316" priority="2136">
      <formula>$I$19&lt;&gt;"Y"</formula>
    </cfRule>
  </conditionalFormatting>
  <conditionalFormatting sqref="D375:CV375">
    <cfRule type="expression" dxfId="315" priority="2139">
      <formula>$J$19&lt;&gt;"Y"</formula>
    </cfRule>
  </conditionalFormatting>
  <conditionalFormatting sqref="D376:CV376">
    <cfRule type="expression" dxfId="314" priority="2142">
      <formula>$K$19&lt;&gt;"Y"</formula>
    </cfRule>
  </conditionalFormatting>
  <conditionalFormatting sqref="D377:CV377">
    <cfRule type="expression" dxfId="313" priority="2145">
      <formula>$L$19&lt;&gt;"Y"</formula>
    </cfRule>
  </conditionalFormatting>
  <conditionalFormatting sqref="D378:CV378">
    <cfRule type="expression" dxfId="312" priority="2148">
      <formula>$M$19&lt;&gt;"Y"</formula>
    </cfRule>
  </conditionalFormatting>
  <conditionalFormatting sqref="D379:CV379">
    <cfRule type="expression" dxfId="311" priority="2151">
      <formula>$N$19&lt;&gt;"Y"</formula>
    </cfRule>
  </conditionalFormatting>
  <conditionalFormatting sqref="D380:CV380">
    <cfRule type="expression" dxfId="310" priority="2154">
      <formula>$O$19&lt;&gt;"Y"</formula>
    </cfRule>
  </conditionalFormatting>
  <conditionalFormatting sqref="D381:CV381">
    <cfRule type="expression" dxfId="309" priority="2157">
      <formula>$P$19&lt;&gt;"Y"</formula>
    </cfRule>
  </conditionalFormatting>
  <conditionalFormatting sqref="D382:CV382">
    <cfRule type="expression" dxfId="308" priority="2160">
      <formula>$Q$19&lt;&gt;"Y"</formula>
    </cfRule>
  </conditionalFormatting>
  <conditionalFormatting sqref="D383:CV383">
    <cfRule type="expression" dxfId="307" priority="2163">
      <formula>$R$19&lt;&gt;"Y"</formula>
    </cfRule>
  </conditionalFormatting>
  <conditionalFormatting sqref="D384:CV384">
    <cfRule type="expression" dxfId="306" priority="2166">
      <formula>$S$19&lt;&gt;"Y"</formula>
    </cfRule>
  </conditionalFormatting>
  <conditionalFormatting sqref="D385:CV385">
    <cfRule type="expression" dxfId="305" priority="2169">
      <formula>$T$19&lt;&gt;"Y"</formula>
    </cfRule>
  </conditionalFormatting>
  <conditionalFormatting sqref="D386:CV386">
    <cfRule type="expression" dxfId="304" priority="2172">
      <formula>$U$19&lt;&gt;"Y"</formula>
    </cfRule>
  </conditionalFormatting>
  <conditionalFormatting sqref="D387:CV387">
    <cfRule type="expression" dxfId="303" priority="2175">
      <formula>$V$19&lt;&gt;"Y"</formula>
    </cfRule>
  </conditionalFormatting>
  <conditionalFormatting sqref="D388:CV388">
    <cfRule type="expression" dxfId="302" priority="2178">
      <formula>$W$19&lt;&gt;"Y"</formula>
    </cfRule>
  </conditionalFormatting>
  <conditionalFormatting sqref="D389:CV389">
    <cfRule type="expression" dxfId="301" priority="2181">
      <formula>$X$19&lt;&gt;"Y"</formula>
    </cfRule>
  </conditionalFormatting>
  <conditionalFormatting sqref="D390:CV390">
    <cfRule type="expression" dxfId="300" priority="2184">
      <formula>$Y$19&lt;&gt;"Y"</formula>
    </cfRule>
  </conditionalFormatting>
  <conditionalFormatting sqref="D391:CV391">
    <cfRule type="expression" dxfId="299" priority="2187">
      <formula>$B$20&lt;&gt;"Y"</formula>
    </cfRule>
  </conditionalFormatting>
  <conditionalFormatting sqref="D392:CV392">
    <cfRule type="expression" dxfId="298" priority="2190">
      <formula>$C$20&lt;&gt;"Y"</formula>
    </cfRule>
  </conditionalFormatting>
  <conditionalFormatting sqref="D393:CV393">
    <cfRule type="expression" dxfId="297" priority="2193">
      <formula>$D$20&lt;&gt;"Y"</formula>
    </cfRule>
  </conditionalFormatting>
  <conditionalFormatting sqref="D394:CV394">
    <cfRule type="expression" dxfId="296" priority="2196">
      <formula>$E$20&lt;&gt;"Y"</formula>
    </cfRule>
  </conditionalFormatting>
  <conditionalFormatting sqref="D395:CV395">
    <cfRule type="expression" dxfId="295" priority="2199">
      <formula>$F$20&lt;&gt;"Y"</formula>
    </cfRule>
  </conditionalFormatting>
  <conditionalFormatting sqref="D396:CV396">
    <cfRule type="expression" dxfId="294" priority="2202">
      <formula>$G$20&lt;&gt;"Y"</formula>
    </cfRule>
  </conditionalFormatting>
  <conditionalFormatting sqref="D397:CV397">
    <cfRule type="expression" dxfId="293" priority="2205">
      <formula>$H$20&lt;&gt;"Y"</formula>
    </cfRule>
  </conditionalFormatting>
  <conditionalFormatting sqref="D398:CV398">
    <cfRule type="expression" dxfId="292" priority="2208">
      <formula>$I$20&lt;&gt;"Y"</formula>
    </cfRule>
  </conditionalFormatting>
  <conditionalFormatting sqref="D399:CV399">
    <cfRule type="expression" dxfId="291" priority="2211">
      <formula>$J$20&lt;&gt;"Y"</formula>
    </cfRule>
  </conditionalFormatting>
  <conditionalFormatting sqref="D400:CV400">
    <cfRule type="expression" dxfId="290" priority="2214">
      <formula>$K$20&lt;&gt;"Y"</formula>
    </cfRule>
  </conditionalFormatting>
  <conditionalFormatting sqref="D401:CV401">
    <cfRule type="expression" dxfId="289" priority="2217">
      <formula>$L$20&lt;&gt;"Y"</formula>
    </cfRule>
  </conditionalFormatting>
  <conditionalFormatting sqref="D402:CV402">
    <cfRule type="expression" dxfId="288" priority="2220">
      <formula>$M$20&lt;&gt;"Y"</formula>
    </cfRule>
  </conditionalFormatting>
  <conditionalFormatting sqref="D403:CV403">
    <cfRule type="expression" dxfId="287" priority="2223">
      <formula>$N$20&lt;&gt;"Y"</formula>
    </cfRule>
  </conditionalFormatting>
  <conditionalFormatting sqref="D404:CV404">
    <cfRule type="expression" dxfId="286" priority="2226">
      <formula>$O$20&lt;&gt;"Y"</formula>
    </cfRule>
  </conditionalFormatting>
  <conditionalFormatting sqref="D405:CV405">
    <cfRule type="expression" dxfId="285" priority="2229">
      <formula>$P$20&lt;&gt;"Y"</formula>
    </cfRule>
  </conditionalFormatting>
  <conditionalFormatting sqref="D406:CV406">
    <cfRule type="expression" dxfId="284" priority="2232">
      <formula>$Q$20&lt;&gt;"Y"</formula>
    </cfRule>
  </conditionalFormatting>
  <conditionalFormatting sqref="D407:CV407">
    <cfRule type="expression" dxfId="283" priority="2235">
      <formula>$R$20&lt;&gt;"Y"</formula>
    </cfRule>
  </conditionalFormatting>
  <conditionalFormatting sqref="D408:CV408">
    <cfRule type="expression" dxfId="282" priority="2238">
      <formula>$S$20&lt;&gt;"Y"</formula>
    </cfRule>
  </conditionalFormatting>
  <conditionalFormatting sqref="D409:CV409">
    <cfRule type="expression" dxfId="281" priority="2241">
      <formula>$T$20&lt;&gt;"Y"</formula>
    </cfRule>
  </conditionalFormatting>
  <conditionalFormatting sqref="D410:CV410">
    <cfRule type="expression" dxfId="280" priority="2244">
      <formula>$U$20&lt;&gt;"Y"</formula>
    </cfRule>
  </conditionalFormatting>
  <conditionalFormatting sqref="D411:CV411">
    <cfRule type="expression" dxfId="279" priority="2247">
      <formula>$V$20&lt;&gt;"Y"</formula>
    </cfRule>
  </conditionalFormatting>
  <conditionalFormatting sqref="D412:CV412">
    <cfRule type="expression" dxfId="278" priority="2250">
      <formula>$W$20&lt;&gt;"Y"</formula>
    </cfRule>
  </conditionalFormatting>
  <conditionalFormatting sqref="D413:CV413">
    <cfRule type="expression" dxfId="277" priority="2253">
      <formula>$X$20&lt;&gt;"Y"</formula>
    </cfRule>
  </conditionalFormatting>
  <conditionalFormatting sqref="D414:CV414">
    <cfRule type="expression" dxfId="276" priority="2256">
      <formula>$Y$20&lt;&gt;"Y"</formula>
    </cfRule>
  </conditionalFormatting>
  <conditionalFormatting sqref="D415:CV415">
    <cfRule type="expression" dxfId="275" priority="2259">
      <formula>$B$21&lt;&gt;"Y"</formula>
    </cfRule>
  </conditionalFormatting>
  <conditionalFormatting sqref="D416:CV416">
    <cfRule type="expression" dxfId="274" priority="2262">
      <formula>$C$21&lt;&gt;"Y"</formula>
    </cfRule>
  </conditionalFormatting>
  <conditionalFormatting sqref="D417:CV417">
    <cfRule type="expression" dxfId="273" priority="2265">
      <formula>$D$21&lt;&gt;"Y"</formula>
    </cfRule>
  </conditionalFormatting>
  <conditionalFormatting sqref="D418:CV418">
    <cfRule type="expression" dxfId="272" priority="2268">
      <formula>$E$21&lt;&gt;"Y"</formula>
    </cfRule>
  </conditionalFormatting>
  <conditionalFormatting sqref="D419:CV419">
    <cfRule type="expression" dxfId="271" priority="2271">
      <formula>$F$21&lt;&gt;"Y"</formula>
    </cfRule>
  </conditionalFormatting>
  <conditionalFormatting sqref="D420:CV420">
    <cfRule type="expression" dxfId="270" priority="2274">
      <formula>$G$21&lt;&gt;"Y"</formula>
    </cfRule>
  </conditionalFormatting>
  <conditionalFormatting sqref="D421:CV421">
    <cfRule type="expression" dxfId="269" priority="2277">
      <formula>$H$21&lt;&gt;"Y"</formula>
    </cfRule>
  </conditionalFormatting>
  <conditionalFormatting sqref="D422:CV422">
    <cfRule type="expression" dxfId="268" priority="2280">
      <formula>$I$21&lt;&gt;"Y"</formula>
    </cfRule>
  </conditionalFormatting>
  <conditionalFormatting sqref="D423:CV423">
    <cfRule type="expression" dxfId="267" priority="2283">
      <formula>$J$21&lt;&gt;"Y"</formula>
    </cfRule>
  </conditionalFormatting>
  <conditionalFormatting sqref="D424:CV424">
    <cfRule type="expression" dxfId="266" priority="2286">
      <formula>$K$21&lt;&gt;"Y"</formula>
    </cfRule>
  </conditionalFormatting>
  <conditionalFormatting sqref="D425:CV425">
    <cfRule type="expression" dxfId="265" priority="2289">
      <formula>$L$21&lt;&gt;"Y"</formula>
    </cfRule>
  </conditionalFormatting>
  <conditionalFormatting sqref="D426:CV426">
    <cfRule type="expression" dxfId="264" priority="2292">
      <formula>$M$21&lt;&gt;"Y"</formula>
    </cfRule>
  </conditionalFormatting>
  <conditionalFormatting sqref="D427:CV427">
    <cfRule type="expression" dxfId="263" priority="2295">
      <formula>$N$21&lt;&gt;"Y"</formula>
    </cfRule>
  </conditionalFormatting>
  <conditionalFormatting sqref="D428:CV428">
    <cfRule type="expression" dxfId="262" priority="2298">
      <formula>$O$21&lt;&gt;"Y"</formula>
    </cfRule>
  </conditionalFormatting>
  <conditionalFormatting sqref="D429:CV429">
    <cfRule type="expression" dxfId="261" priority="2301">
      <formula>$P$21&lt;&gt;"Y"</formula>
    </cfRule>
  </conditionalFormatting>
  <conditionalFormatting sqref="D430:CV430">
    <cfRule type="expression" dxfId="260" priority="2304">
      <formula>$Q$21&lt;&gt;"Y"</formula>
    </cfRule>
  </conditionalFormatting>
  <conditionalFormatting sqref="D431:CV431">
    <cfRule type="expression" dxfId="259" priority="2307">
      <formula>$R$21&lt;&gt;"Y"</formula>
    </cfRule>
  </conditionalFormatting>
  <conditionalFormatting sqref="D432:CV432">
    <cfRule type="expression" dxfId="258" priority="2310">
      <formula>$S$21&lt;&gt;"Y"</formula>
    </cfRule>
  </conditionalFormatting>
  <conditionalFormatting sqref="D433:CV433">
    <cfRule type="expression" dxfId="257" priority="2313">
      <formula>$T$21&lt;&gt;"Y"</formula>
    </cfRule>
  </conditionalFormatting>
  <conditionalFormatting sqref="D434:CV434">
    <cfRule type="expression" dxfId="256" priority="2316">
      <formula>$U$21&lt;&gt;"Y"</formula>
    </cfRule>
  </conditionalFormatting>
  <conditionalFormatting sqref="D435:CV435">
    <cfRule type="expression" dxfId="255" priority="2319">
      <formula>$V$21&lt;&gt;"Y"</formula>
    </cfRule>
  </conditionalFormatting>
  <conditionalFormatting sqref="D436:CV436">
    <cfRule type="expression" dxfId="254" priority="2322">
      <formula>$W$21&lt;&gt;"Y"</formula>
    </cfRule>
  </conditionalFormatting>
  <conditionalFormatting sqref="D437:CV437">
    <cfRule type="expression" dxfId="253" priority="2325">
      <formula>$X$21&lt;&gt;"Y"</formula>
    </cfRule>
  </conditionalFormatting>
  <conditionalFormatting sqref="D438:CV438">
    <cfRule type="expression" dxfId="252" priority="2328">
      <formula>$Y$21&lt;&gt;"Y"</formula>
    </cfRule>
  </conditionalFormatting>
  <conditionalFormatting sqref="D439:CV439">
    <cfRule type="expression" dxfId="251" priority="2331">
      <formula>$B$22&lt;&gt;"Y"</formula>
    </cfRule>
  </conditionalFormatting>
  <conditionalFormatting sqref="D440:CV440">
    <cfRule type="expression" dxfId="250" priority="2334">
      <formula>$C$22&lt;&gt;"Y"</formula>
    </cfRule>
  </conditionalFormatting>
  <conditionalFormatting sqref="D441:CV441">
    <cfRule type="expression" dxfId="249" priority="2337">
      <formula>$D$22&lt;&gt;"Y"</formula>
    </cfRule>
  </conditionalFormatting>
  <conditionalFormatting sqref="D442:CV442">
    <cfRule type="expression" dxfId="248" priority="2340">
      <formula>$E$22&lt;&gt;"Y"</formula>
    </cfRule>
  </conditionalFormatting>
  <conditionalFormatting sqref="D443:CV443">
    <cfRule type="expression" dxfId="247" priority="2343">
      <formula>$F$22&lt;&gt;"Y"</formula>
    </cfRule>
  </conditionalFormatting>
  <conditionalFormatting sqref="D444:CV444">
    <cfRule type="expression" dxfId="246" priority="2346">
      <formula>$G$22&lt;&gt;"Y"</formula>
    </cfRule>
  </conditionalFormatting>
  <conditionalFormatting sqref="D445:CV445">
    <cfRule type="expression" dxfId="245" priority="2349">
      <formula>$H$22&lt;&gt;"Y"</formula>
    </cfRule>
  </conditionalFormatting>
  <conditionalFormatting sqref="D446:CV446">
    <cfRule type="expression" dxfId="244" priority="2352">
      <formula>$I$22&lt;&gt;"Y"</formula>
    </cfRule>
  </conditionalFormatting>
  <conditionalFormatting sqref="D447:CV447">
    <cfRule type="expression" dxfId="243" priority="2355">
      <formula>$J$22&lt;&gt;"Y"</formula>
    </cfRule>
  </conditionalFormatting>
  <conditionalFormatting sqref="D448:CV448">
    <cfRule type="expression" dxfId="242" priority="2358">
      <formula>$K$22&lt;&gt;"Y"</formula>
    </cfRule>
  </conditionalFormatting>
  <conditionalFormatting sqref="D449:CV449">
    <cfRule type="expression" dxfId="241" priority="2361">
      <formula>$L$22&lt;&gt;"Y"</formula>
    </cfRule>
  </conditionalFormatting>
  <conditionalFormatting sqref="D450:CV450">
    <cfRule type="expression" dxfId="240" priority="2364">
      <formula>$M$22&lt;&gt;"Y"</formula>
    </cfRule>
  </conditionalFormatting>
  <conditionalFormatting sqref="D451:CV451">
    <cfRule type="expression" dxfId="239" priority="2367">
      <formula>$N$22&lt;&gt;"Y"</formula>
    </cfRule>
  </conditionalFormatting>
  <conditionalFormatting sqref="D452:CV452">
    <cfRule type="expression" dxfId="238" priority="2370">
      <formula>$O$22&lt;&gt;"Y"</formula>
    </cfRule>
  </conditionalFormatting>
  <conditionalFormatting sqref="D453:CV453">
    <cfRule type="expression" dxfId="237" priority="2373">
      <formula>$P$22&lt;&gt;"Y"</formula>
    </cfRule>
  </conditionalFormatting>
  <conditionalFormatting sqref="D454:CV454">
    <cfRule type="expression" dxfId="236" priority="2376">
      <formula>$Q$22&lt;&gt;"Y"</formula>
    </cfRule>
  </conditionalFormatting>
  <conditionalFormatting sqref="D455:CV455">
    <cfRule type="expression" dxfId="235" priority="2379">
      <formula>$R$22&lt;&gt;"Y"</formula>
    </cfRule>
  </conditionalFormatting>
  <conditionalFormatting sqref="D456:CV456">
    <cfRule type="expression" dxfId="234" priority="2382">
      <formula>$S$22&lt;&gt;"Y"</formula>
    </cfRule>
  </conditionalFormatting>
  <conditionalFormatting sqref="D457:CV457">
    <cfRule type="expression" dxfId="233" priority="2385">
      <formula>$T$22&lt;&gt;"Y"</formula>
    </cfRule>
  </conditionalFormatting>
  <conditionalFormatting sqref="D458:CV458">
    <cfRule type="expression" dxfId="232" priority="2388">
      <formula>$U$22&lt;&gt;"Y"</formula>
    </cfRule>
  </conditionalFormatting>
  <conditionalFormatting sqref="D459:CV459">
    <cfRule type="expression" dxfId="231" priority="2391">
      <formula>$V$22&lt;&gt;"Y"</formula>
    </cfRule>
  </conditionalFormatting>
  <conditionalFormatting sqref="D460:CV460">
    <cfRule type="expression" dxfId="230" priority="2394">
      <formula>$W$22&lt;&gt;"Y"</formula>
    </cfRule>
  </conditionalFormatting>
  <conditionalFormatting sqref="D461:CV461">
    <cfRule type="expression" dxfId="229" priority="2397">
      <formula>$X$22&lt;&gt;"Y"</formula>
    </cfRule>
  </conditionalFormatting>
  <conditionalFormatting sqref="D462:CV462">
    <cfRule type="expression" dxfId="228" priority="2400">
      <formula>$Y$22&lt;&gt;"Y"</formula>
    </cfRule>
  </conditionalFormatting>
  <conditionalFormatting sqref="D463:CV463">
    <cfRule type="expression" dxfId="227" priority="2403">
      <formula>$B$23&lt;&gt;"Y"</formula>
    </cfRule>
  </conditionalFormatting>
  <conditionalFormatting sqref="D464:CV464">
    <cfRule type="expression" dxfId="226" priority="2406">
      <formula>$C$23&lt;&gt;"Y"</formula>
    </cfRule>
  </conditionalFormatting>
  <conditionalFormatting sqref="D465:CV465">
    <cfRule type="expression" dxfId="225" priority="2409">
      <formula>$D$23&lt;&gt;"Y"</formula>
    </cfRule>
  </conditionalFormatting>
  <conditionalFormatting sqref="D466:CV466">
    <cfRule type="expression" dxfId="224" priority="2412">
      <formula>$E$23&lt;&gt;"Y"</formula>
    </cfRule>
  </conditionalFormatting>
  <conditionalFormatting sqref="D467:CV467">
    <cfRule type="expression" dxfId="223" priority="2415">
      <formula>$F$23&lt;&gt;"Y"</formula>
    </cfRule>
  </conditionalFormatting>
  <conditionalFormatting sqref="D468:CV468">
    <cfRule type="expression" dxfId="222" priority="2418">
      <formula>$G$23&lt;&gt;"Y"</formula>
    </cfRule>
  </conditionalFormatting>
  <conditionalFormatting sqref="D469:CV469">
    <cfRule type="expression" dxfId="221" priority="2421">
      <formula>$H$23&lt;&gt;"Y"</formula>
    </cfRule>
  </conditionalFormatting>
  <conditionalFormatting sqref="D470:CV470">
    <cfRule type="expression" dxfId="220" priority="2424">
      <formula>$I$23&lt;&gt;"Y"</formula>
    </cfRule>
  </conditionalFormatting>
  <conditionalFormatting sqref="D471:CV471">
    <cfRule type="expression" dxfId="219" priority="2427">
      <formula>$J$23&lt;&gt;"Y"</formula>
    </cfRule>
  </conditionalFormatting>
  <conditionalFormatting sqref="D472:CV472">
    <cfRule type="expression" dxfId="218" priority="2430">
      <formula>$K$23&lt;&gt;"Y"</formula>
    </cfRule>
  </conditionalFormatting>
  <conditionalFormatting sqref="D473:CV473">
    <cfRule type="expression" dxfId="217" priority="2433">
      <formula>$L$23&lt;&gt;"Y"</formula>
    </cfRule>
  </conditionalFormatting>
  <conditionalFormatting sqref="D474:CV474">
    <cfRule type="expression" dxfId="216" priority="2436">
      <formula>$M$23&lt;&gt;"Y"</formula>
    </cfRule>
  </conditionalFormatting>
  <conditionalFormatting sqref="D475:CV475">
    <cfRule type="expression" dxfId="215" priority="2439">
      <formula>$N$23&lt;&gt;"Y"</formula>
    </cfRule>
  </conditionalFormatting>
  <conditionalFormatting sqref="D476:CV476">
    <cfRule type="expression" dxfId="214" priority="2442">
      <formula>$O$23&lt;&gt;"Y"</formula>
    </cfRule>
  </conditionalFormatting>
  <conditionalFormatting sqref="D477:CV477">
    <cfRule type="expression" dxfId="213" priority="2445">
      <formula>$P$23&lt;&gt;"Y"</formula>
    </cfRule>
  </conditionalFormatting>
  <conditionalFormatting sqref="D478:CV478">
    <cfRule type="expression" dxfId="212" priority="2448">
      <formula>$Q$23&lt;&gt;"Y"</formula>
    </cfRule>
  </conditionalFormatting>
  <conditionalFormatting sqref="D479:CV479">
    <cfRule type="expression" dxfId="211" priority="2451">
      <formula>$R$23&lt;&gt;"Y"</formula>
    </cfRule>
  </conditionalFormatting>
  <conditionalFormatting sqref="D480:CV480">
    <cfRule type="expression" dxfId="210" priority="2454">
      <formula>$S$23&lt;&gt;"Y"</formula>
    </cfRule>
  </conditionalFormatting>
  <conditionalFormatting sqref="D481:CV481">
    <cfRule type="expression" dxfId="209" priority="2457">
      <formula>$T$23&lt;&gt;"Y"</formula>
    </cfRule>
  </conditionalFormatting>
  <conditionalFormatting sqref="D482:CV482">
    <cfRule type="expression" dxfId="208" priority="2460">
      <formula>$U$23&lt;&gt;"Y"</formula>
    </cfRule>
  </conditionalFormatting>
  <conditionalFormatting sqref="D483:CV483">
    <cfRule type="expression" dxfId="207" priority="2463">
      <formula>$V$23&lt;&gt;"Y"</formula>
    </cfRule>
  </conditionalFormatting>
  <conditionalFormatting sqref="D484:CV484">
    <cfRule type="expression" dxfId="206" priority="2466">
      <formula>$W$23&lt;&gt;"Y"</formula>
    </cfRule>
  </conditionalFormatting>
  <conditionalFormatting sqref="D485:CV485">
    <cfRule type="expression" dxfId="205" priority="2469">
      <formula>$X$23&lt;&gt;"Y"</formula>
    </cfRule>
  </conditionalFormatting>
  <conditionalFormatting sqref="D486:CV486">
    <cfRule type="expression" dxfId="204" priority="2472">
      <formula>$Y$23&lt;&gt;"Y"</formula>
    </cfRule>
  </conditionalFormatting>
  <conditionalFormatting sqref="D487:CV487">
    <cfRule type="expression" dxfId="203" priority="2475">
      <formula>$B$24&lt;&gt;"Y"</formula>
    </cfRule>
  </conditionalFormatting>
  <conditionalFormatting sqref="D488:CV488">
    <cfRule type="expression" dxfId="202" priority="2478">
      <formula>$C$24&lt;&gt;"Y"</formula>
    </cfRule>
  </conditionalFormatting>
  <conditionalFormatting sqref="D489:CV489">
    <cfRule type="expression" dxfId="201" priority="2481">
      <formula>$D$24&lt;&gt;"Y"</formula>
    </cfRule>
  </conditionalFormatting>
  <conditionalFormatting sqref="D490:CV490">
    <cfRule type="expression" dxfId="200" priority="2484">
      <formula>$E$24&lt;&gt;"Y"</formula>
    </cfRule>
  </conditionalFormatting>
  <conditionalFormatting sqref="D491:CV491">
    <cfRule type="expression" dxfId="199" priority="2487">
      <formula>$F$24&lt;&gt;"Y"</formula>
    </cfRule>
  </conditionalFormatting>
  <conditionalFormatting sqref="D492:CV492">
    <cfRule type="expression" dxfId="198" priority="2490">
      <formula>$G$24&lt;&gt;"Y"</formula>
    </cfRule>
  </conditionalFormatting>
  <conditionalFormatting sqref="D493:CV493">
    <cfRule type="expression" dxfId="197" priority="2493">
      <formula>$H$24&lt;&gt;"Y"</formula>
    </cfRule>
  </conditionalFormatting>
  <conditionalFormatting sqref="D494:CV494">
    <cfRule type="expression" dxfId="196" priority="2496">
      <formula>$I$24&lt;&gt;"Y"</formula>
    </cfRule>
  </conditionalFormatting>
  <conditionalFormatting sqref="D495:CV495">
    <cfRule type="expression" dxfId="195" priority="2499">
      <formula>$J$24&lt;&gt;"Y"</formula>
    </cfRule>
  </conditionalFormatting>
  <conditionalFormatting sqref="D496:CV496">
    <cfRule type="expression" dxfId="194" priority="2502">
      <formula>$K$24&lt;&gt;"Y"</formula>
    </cfRule>
  </conditionalFormatting>
  <conditionalFormatting sqref="D497:CV497">
    <cfRule type="expression" dxfId="193" priority="2505">
      <formula>$L$24&lt;&gt;"Y"</formula>
    </cfRule>
  </conditionalFormatting>
  <conditionalFormatting sqref="D498:CV498">
    <cfRule type="expression" dxfId="192" priority="2508">
      <formula>$M$24&lt;&gt;"Y"</formula>
    </cfRule>
  </conditionalFormatting>
  <conditionalFormatting sqref="D499:CV499">
    <cfRule type="expression" dxfId="191" priority="2511">
      <formula>$N$24&lt;&gt;"Y"</formula>
    </cfRule>
  </conditionalFormatting>
  <conditionalFormatting sqref="D500:CV500">
    <cfRule type="expression" dxfId="190" priority="2514">
      <formula>$O$24&lt;&gt;"Y"</formula>
    </cfRule>
  </conditionalFormatting>
  <conditionalFormatting sqref="D501:CV501">
    <cfRule type="expression" dxfId="189" priority="2517">
      <formula>$P$24&lt;&gt;"Y"</formula>
    </cfRule>
  </conditionalFormatting>
  <conditionalFormatting sqref="D502:CV502">
    <cfRule type="expression" dxfId="188" priority="2520">
      <formula>$Q$24&lt;&gt;"Y"</formula>
    </cfRule>
  </conditionalFormatting>
  <conditionalFormatting sqref="D503:CV503">
    <cfRule type="expression" dxfId="187" priority="2523">
      <formula>$R$24&lt;&gt;"Y"</formula>
    </cfRule>
  </conditionalFormatting>
  <conditionalFormatting sqref="D504:CV504">
    <cfRule type="expression" dxfId="186" priority="2526">
      <formula>$S$24&lt;&gt;"Y"</formula>
    </cfRule>
  </conditionalFormatting>
  <conditionalFormatting sqref="D505:CV505">
    <cfRule type="expression" dxfId="185" priority="2529">
      <formula>$T$24&lt;&gt;"Y"</formula>
    </cfRule>
  </conditionalFormatting>
  <conditionalFormatting sqref="D506:CV506">
    <cfRule type="expression" dxfId="184" priority="2532">
      <formula>$U$24&lt;&gt;"Y"</formula>
    </cfRule>
  </conditionalFormatting>
  <conditionalFormatting sqref="D507:CV507">
    <cfRule type="expression" dxfId="183" priority="2535">
      <formula>$V$24&lt;&gt;"Y"</formula>
    </cfRule>
  </conditionalFormatting>
  <conditionalFormatting sqref="D508:CV508">
    <cfRule type="expression" dxfId="182" priority="2538">
      <formula>$W$24&lt;&gt;"Y"</formula>
    </cfRule>
  </conditionalFormatting>
  <conditionalFormatting sqref="D509:CV509">
    <cfRule type="expression" dxfId="181" priority="2541">
      <formula>$X$24&lt;&gt;"Y"</formula>
    </cfRule>
  </conditionalFormatting>
  <conditionalFormatting sqref="D510:CV510">
    <cfRule type="expression" dxfId="180" priority="2544">
      <formula>$Y$24&lt;&gt;"Y"</formula>
    </cfRule>
  </conditionalFormatting>
  <conditionalFormatting sqref="D511:CV511">
    <cfRule type="expression" dxfId="179" priority="2547">
      <formula>$B$25&lt;&gt;"Y"</formula>
    </cfRule>
  </conditionalFormatting>
  <conditionalFormatting sqref="D512:CV512">
    <cfRule type="expression" dxfId="178" priority="2550">
      <formula>$C$25&lt;&gt;"Y"</formula>
    </cfRule>
  </conditionalFormatting>
  <conditionalFormatting sqref="D513:CV513">
    <cfRule type="expression" dxfId="177" priority="2553">
      <formula>$D$25&lt;&gt;"Y"</formula>
    </cfRule>
  </conditionalFormatting>
  <conditionalFormatting sqref="D514:CV514">
    <cfRule type="expression" dxfId="176" priority="2556">
      <formula>$E$25&lt;&gt;"Y"</formula>
    </cfRule>
  </conditionalFormatting>
  <conditionalFormatting sqref="D515:CV515">
    <cfRule type="expression" dxfId="175" priority="2559">
      <formula>$F$25&lt;&gt;"Y"</formula>
    </cfRule>
  </conditionalFormatting>
  <conditionalFormatting sqref="D516:CV516">
    <cfRule type="expression" dxfId="174" priority="2562">
      <formula>$G$25&lt;&gt;"Y"</formula>
    </cfRule>
  </conditionalFormatting>
  <conditionalFormatting sqref="D517:CV517">
    <cfRule type="expression" dxfId="173" priority="2565">
      <formula>$H$25&lt;&gt;"Y"</formula>
    </cfRule>
  </conditionalFormatting>
  <conditionalFormatting sqref="D518:CV518">
    <cfRule type="expression" dxfId="172" priority="2568">
      <formula>$I$25&lt;&gt;"Y"</formula>
    </cfRule>
  </conditionalFormatting>
  <conditionalFormatting sqref="D519:CV519">
    <cfRule type="expression" dxfId="171" priority="2571">
      <formula>$J$25&lt;&gt;"Y"</formula>
    </cfRule>
  </conditionalFormatting>
  <conditionalFormatting sqref="D520:CV520">
    <cfRule type="expression" dxfId="170" priority="2574">
      <formula>$K$25&lt;&gt;"Y"</formula>
    </cfRule>
  </conditionalFormatting>
  <conditionalFormatting sqref="D521:CV521">
    <cfRule type="expression" dxfId="169" priority="2577">
      <formula>$L$25&lt;&gt;"Y"</formula>
    </cfRule>
  </conditionalFormatting>
  <conditionalFormatting sqref="D522:CV522">
    <cfRule type="expression" dxfId="168" priority="2580">
      <formula>$M$25&lt;&gt;"Y"</formula>
    </cfRule>
  </conditionalFormatting>
  <conditionalFormatting sqref="D523:CV523">
    <cfRule type="expression" dxfId="167" priority="2583">
      <formula>$N$25&lt;&gt;"Y"</formula>
    </cfRule>
  </conditionalFormatting>
  <conditionalFormatting sqref="D524:CV524">
    <cfRule type="expression" dxfId="166" priority="2586">
      <formula>$O$25&lt;&gt;"Y"</formula>
    </cfRule>
  </conditionalFormatting>
  <conditionalFormatting sqref="D525:CV525">
    <cfRule type="expression" dxfId="165" priority="2589">
      <formula>$P$25&lt;&gt;"Y"</formula>
    </cfRule>
  </conditionalFormatting>
  <conditionalFormatting sqref="D526:CV526">
    <cfRule type="expression" dxfId="164" priority="2592">
      <formula>$Q$25&lt;&gt;"Y"</formula>
    </cfRule>
  </conditionalFormatting>
  <conditionalFormatting sqref="D527:CV527">
    <cfRule type="expression" dxfId="163" priority="2595">
      <formula>$R$25&lt;&gt;"Y"</formula>
    </cfRule>
  </conditionalFormatting>
  <conditionalFormatting sqref="D528:CV528">
    <cfRule type="expression" dxfId="162" priority="2598">
      <formula>$S$25&lt;&gt;"Y"</formula>
    </cfRule>
  </conditionalFormatting>
  <conditionalFormatting sqref="D529:CV529">
    <cfRule type="expression" dxfId="161" priority="2601">
      <formula>$T$25&lt;&gt;"Y"</formula>
    </cfRule>
  </conditionalFormatting>
  <conditionalFormatting sqref="D530:CV530">
    <cfRule type="expression" dxfId="160" priority="2604">
      <formula>$U$25&lt;&gt;"Y"</formula>
    </cfRule>
  </conditionalFormatting>
  <conditionalFormatting sqref="D531:CV531">
    <cfRule type="expression" dxfId="159" priority="2607">
      <formula>$V$25&lt;&gt;"Y"</formula>
    </cfRule>
  </conditionalFormatting>
  <conditionalFormatting sqref="D532:CV532">
    <cfRule type="expression" dxfId="158" priority="2610">
      <formula>$W$25&lt;&gt;"Y"</formula>
    </cfRule>
  </conditionalFormatting>
  <conditionalFormatting sqref="D533:CV533">
    <cfRule type="expression" dxfId="157" priority="2613">
      <formula>$X$25&lt;&gt;"Y"</formula>
    </cfRule>
  </conditionalFormatting>
  <conditionalFormatting sqref="D534:CV534">
    <cfRule type="expression" dxfId="156" priority="2616">
      <formula>$Y$25&lt;&gt;"Y"</formula>
    </cfRule>
  </conditionalFormatting>
  <conditionalFormatting sqref="D535:CV535">
    <cfRule type="expression" dxfId="155" priority="2619">
      <formula>$B$26&lt;&gt;"Y"</formula>
    </cfRule>
  </conditionalFormatting>
  <conditionalFormatting sqref="D536:CV536">
    <cfRule type="expression" dxfId="154" priority="2622">
      <formula>$C$26&lt;&gt;"Y"</formula>
    </cfRule>
  </conditionalFormatting>
  <conditionalFormatting sqref="D537:CV537">
    <cfRule type="expression" dxfId="153" priority="2625">
      <formula>$D$26&lt;&gt;"Y"</formula>
    </cfRule>
  </conditionalFormatting>
  <conditionalFormatting sqref="D538:CV538">
    <cfRule type="expression" dxfId="152" priority="2628">
      <formula>$E$26&lt;&gt;"Y"</formula>
    </cfRule>
  </conditionalFormatting>
  <conditionalFormatting sqref="D539:CV539">
    <cfRule type="expression" dxfId="151" priority="2631">
      <formula>$F$26&lt;&gt;"Y"</formula>
    </cfRule>
  </conditionalFormatting>
  <conditionalFormatting sqref="D540:CV540">
    <cfRule type="expression" dxfId="150" priority="2634">
      <formula>$G$26&lt;&gt;"Y"</formula>
    </cfRule>
  </conditionalFormatting>
  <conditionalFormatting sqref="D541:CV541">
    <cfRule type="expression" dxfId="149" priority="2637">
      <formula>$H$26&lt;&gt;"Y"</formula>
    </cfRule>
  </conditionalFormatting>
  <conditionalFormatting sqref="D542:CV542">
    <cfRule type="expression" dxfId="148" priority="2640">
      <formula>$I$26&lt;&gt;"Y"</formula>
    </cfRule>
  </conditionalFormatting>
  <conditionalFormatting sqref="D543:CV543">
    <cfRule type="expression" dxfId="147" priority="2643">
      <formula>$J$26&lt;&gt;"Y"</formula>
    </cfRule>
  </conditionalFormatting>
  <conditionalFormatting sqref="D544:CV544">
    <cfRule type="expression" dxfId="146" priority="2646">
      <formula>$K$26&lt;&gt;"Y"</formula>
    </cfRule>
  </conditionalFormatting>
  <conditionalFormatting sqref="D545:CV545">
    <cfRule type="expression" dxfId="145" priority="2649">
      <formula>$L$26&lt;&gt;"Y"</formula>
    </cfRule>
  </conditionalFormatting>
  <conditionalFormatting sqref="D546:CV546">
    <cfRule type="expression" dxfId="144" priority="2652">
      <formula>$M$26&lt;&gt;"Y"</formula>
    </cfRule>
  </conditionalFormatting>
  <conditionalFormatting sqref="D547:CV547">
    <cfRule type="expression" dxfId="143" priority="2655">
      <formula>$N$26&lt;&gt;"Y"</formula>
    </cfRule>
  </conditionalFormatting>
  <conditionalFormatting sqref="D548:CV548">
    <cfRule type="expression" dxfId="142" priority="2658">
      <formula>$O$26&lt;&gt;"Y"</formula>
    </cfRule>
  </conditionalFormatting>
  <conditionalFormatting sqref="D549:CV549">
    <cfRule type="expression" dxfId="141" priority="2661">
      <formula>$P$26&lt;&gt;"Y"</formula>
    </cfRule>
  </conditionalFormatting>
  <conditionalFormatting sqref="D550:CV550">
    <cfRule type="expression" dxfId="140" priority="2664">
      <formula>$Q$26&lt;&gt;"Y"</formula>
    </cfRule>
  </conditionalFormatting>
  <conditionalFormatting sqref="D551:CV551">
    <cfRule type="expression" dxfId="139" priority="2667">
      <formula>$R$26&lt;&gt;"Y"</formula>
    </cfRule>
  </conditionalFormatting>
  <conditionalFormatting sqref="D552:CV552">
    <cfRule type="expression" dxfId="138" priority="2670">
      <formula>$S$26&lt;&gt;"Y"</formula>
    </cfRule>
  </conditionalFormatting>
  <conditionalFormatting sqref="D553:CV553">
    <cfRule type="expression" dxfId="137" priority="2673">
      <formula>$T$26&lt;&gt;"Y"</formula>
    </cfRule>
  </conditionalFormatting>
  <conditionalFormatting sqref="D554:CV554">
    <cfRule type="expression" dxfId="136" priority="2676">
      <formula>$U$26&lt;&gt;"Y"</formula>
    </cfRule>
  </conditionalFormatting>
  <conditionalFormatting sqref="D555:CV555">
    <cfRule type="expression" dxfId="135" priority="2679">
      <formula>$V$26&lt;&gt;"Y"</formula>
    </cfRule>
  </conditionalFormatting>
  <conditionalFormatting sqref="D556:CV556">
    <cfRule type="expression" dxfId="134" priority="2682">
      <formula>$W$26&lt;&gt;"Y"</formula>
    </cfRule>
  </conditionalFormatting>
  <conditionalFormatting sqref="D557:CV557">
    <cfRule type="expression" dxfId="133" priority="2685">
      <formula>$X$26&lt;&gt;"Y"</formula>
    </cfRule>
  </conditionalFormatting>
  <conditionalFormatting sqref="D558:CV558">
    <cfRule type="expression" dxfId="132" priority="2688">
      <formula>$Y$26&lt;&gt;"Y"</formula>
    </cfRule>
  </conditionalFormatting>
  <conditionalFormatting sqref="D559:CV559">
    <cfRule type="expression" dxfId="131" priority="2691">
      <formula>$B$27&lt;&gt;"Y"</formula>
    </cfRule>
  </conditionalFormatting>
  <conditionalFormatting sqref="D560:CV560">
    <cfRule type="expression" dxfId="130" priority="2694">
      <formula>$C$27&lt;&gt;"Y"</formula>
    </cfRule>
  </conditionalFormatting>
  <conditionalFormatting sqref="D561:CV561">
    <cfRule type="expression" dxfId="129" priority="2697">
      <formula>$D$27&lt;&gt;"Y"</formula>
    </cfRule>
  </conditionalFormatting>
  <conditionalFormatting sqref="D562:CV562">
    <cfRule type="expression" dxfId="128" priority="2700">
      <formula>$E$27&lt;&gt;"Y"</formula>
    </cfRule>
  </conditionalFormatting>
  <conditionalFormatting sqref="D563:CV563">
    <cfRule type="expression" dxfId="127" priority="2703">
      <formula>$F$27&lt;&gt;"Y"</formula>
    </cfRule>
  </conditionalFormatting>
  <conditionalFormatting sqref="D564:CV564">
    <cfRule type="expression" dxfId="126" priority="2706">
      <formula>$G$27&lt;&gt;"Y"</formula>
    </cfRule>
  </conditionalFormatting>
  <conditionalFormatting sqref="D565:CV565">
    <cfRule type="expression" dxfId="125" priority="2709">
      <formula>$H$27&lt;&gt;"Y"</formula>
    </cfRule>
  </conditionalFormatting>
  <conditionalFormatting sqref="D566:CV566">
    <cfRule type="expression" dxfId="124" priority="2712">
      <formula>$I$27&lt;&gt;"Y"</formula>
    </cfRule>
  </conditionalFormatting>
  <conditionalFormatting sqref="D567:CV567">
    <cfRule type="expression" dxfId="123" priority="2715">
      <formula>$J$27&lt;&gt;"Y"</formula>
    </cfRule>
  </conditionalFormatting>
  <conditionalFormatting sqref="D568:CV568">
    <cfRule type="expression" dxfId="122" priority="2718">
      <formula>$K$27&lt;&gt;"Y"</formula>
    </cfRule>
  </conditionalFormatting>
  <conditionalFormatting sqref="D569:CV569">
    <cfRule type="expression" dxfId="121" priority="2721">
      <formula>$L$27&lt;&gt;"Y"</formula>
    </cfRule>
  </conditionalFormatting>
  <conditionalFormatting sqref="D570:CV570">
    <cfRule type="expression" dxfId="120" priority="2724">
      <formula>$M$27&lt;&gt;"Y"</formula>
    </cfRule>
  </conditionalFormatting>
  <conditionalFormatting sqref="D571:CV571">
    <cfRule type="expression" dxfId="119" priority="2727">
      <formula>$N$27&lt;&gt;"Y"</formula>
    </cfRule>
  </conditionalFormatting>
  <conditionalFormatting sqref="D572:CV572">
    <cfRule type="expression" dxfId="118" priority="2730">
      <formula>$O$27&lt;&gt;"Y"</formula>
    </cfRule>
  </conditionalFormatting>
  <conditionalFormatting sqref="D573:CV573">
    <cfRule type="expression" dxfId="117" priority="2733">
      <formula>$P$27&lt;&gt;"Y"</formula>
    </cfRule>
  </conditionalFormatting>
  <conditionalFormatting sqref="D574:CV574">
    <cfRule type="expression" dxfId="116" priority="2736">
      <formula>$Q$27&lt;&gt;"Y"</formula>
    </cfRule>
  </conditionalFormatting>
  <conditionalFormatting sqref="D575:CV575">
    <cfRule type="expression" dxfId="115" priority="2739">
      <formula>$R$27&lt;&gt;"Y"</formula>
    </cfRule>
  </conditionalFormatting>
  <conditionalFormatting sqref="D576:CV576">
    <cfRule type="expression" dxfId="114" priority="2742">
      <formula>$S$27&lt;&gt;"Y"</formula>
    </cfRule>
  </conditionalFormatting>
  <conditionalFormatting sqref="D577:CV577">
    <cfRule type="expression" dxfId="113" priority="2745">
      <formula>$T$27&lt;&gt;"Y"</formula>
    </cfRule>
  </conditionalFormatting>
  <conditionalFormatting sqref="D578:CV578">
    <cfRule type="expression" dxfId="112" priority="2748">
      <formula>$U$27&lt;&gt;"Y"</formula>
    </cfRule>
  </conditionalFormatting>
  <conditionalFormatting sqref="D579:CV579">
    <cfRule type="expression" dxfId="111" priority="2751">
      <formula>$V$27&lt;&gt;"Y"</formula>
    </cfRule>
  </conditionalFormatting>
  <conditionalFormatting sqref="D580:CV580">
    <cfRule type="expression" dxfId="110" priority="2754">
      <formula>$W$27&lt;&gt;"Y"</formula>
    </cfRule>
  </conditionalFormatting>
  <conditionalFormatting sqref="D581:CV581">
    <cfRule type="expression" dxfId="109" priority="2757">
      <formula>$X$27&lt;&gt;"Y"</formula>
    </cfRule>
  </conditionalFormatting>
  <conditionalFormatting sqref="D582:CV582">
    <cfRule type="expression" dxfId="108" priority="2760">
      <formula>$Y$27&lt;&gt;"Y"</formula>
    </cfRule>
  </conditionalFormatting>
  <conditionalFormatting sqref="D583:CV583">
    <cfRule type="expression" dxfId="107" priority="2763">
      <formula>$B$28&lt;&gt;"Y"</formula>
    </cfRule>
  </conditionalFormatting>
  <conditionalFormatting sqref="D584:CV584">
    <cfRule type="expression" dxfId="106" priority="2766">
      <formula>$C$28&lt;&gt;"Y"</formula>
    </cfRule>
  </conditionalFormatting>
  <conditionalFormatting sqref="D585:CV585">
    <cfRule type="expression" dxfId="105" priority="2769">
      <formula>$D$28&lt;&gt;"Y"</formula>
    </cfRule>
  </conditionalFormatting>
  <conditionalFormatting sqref="D586:CV586">
    <cfRule type="expression" dxfId="104" priority="2772">
      <formula>$E$28&lt;&gt;"Y"</formula>
    </cfRule>
  </conditionalFormatting>
  <conditionalFormatting sqref="D587:CV587">
    <cfRule type="expression" dxfId="103" priority="2775">
      <formula>$F$28&lt;&gt;"Y"</formula>
    </cfRule>
  </conditionalFormatting>
  <conditionalFormatting sqref="D588:CV588">
    <cfRule type="expression" dxfId="102" priority="2778">
      <formula>$G$28&lt;&gt;"Y"</formula>
    </cfRule>
  </conditionalFormatting>
  <conditionalFormatting sqref="D589:CV589">
    <cfRule type="expression" dxfId="101" priority="2781">
      <formula>$H$28&lt;&gt;"Y"</formula>
    </cfRule>
  </conditionalFormatting>
  <conditionalFormatting sqref="D590:CV590">
    <cfRule type="expression" dxfId="100" priority="2784">
      <formula>$I$28&lt;&gt;"Y"</formula>
    </cfRule>
  </conditionalFormatting>
  <conditionalFormatting sqref="D591:CV591">
    <cfRule type="expression" dxfId="99" priority="2787">
      <formula>$J$28&lt;&gt;"Y"</formula>
    </cfRule>
  </conditionalFormatting>
  <conditionalFormatting sqref="D592:CV592">
    <cfRule type="expression" dxfId="98" priority="2790">
      <formula>$K$28&lt;&gt;"Y"</formula>
    </cfRule>
  </conditionalFormatting>
  <conditionalFormatting sqref="D593:CV593">
    <cfRule type="expression" dxfId="97" priority="2793">
      <formula>$L$28&lt;&gt;"Y"</formula>
    </cfRule>
  </conditionalFormatting>
  <conditionalFormatting sqref="D594:CV594">
    <cfRule type="expression" dxfId="96" priority="2796">
      <formula>$M$28&lt;&gt;"Y"</formula>
    </cfRule>
  </conditionalFormatting>
  <conditionalFormatting sqref="D595:CV595">
    <cfRule type="expression" dxfId="95" priority="2799">
      <formula>$N$28&lt;&gt;"Y"</formula>
    </cfRule>
  </conditionalFormatting>
  <conditionalFormatting sqref="D596:CV596">
    <cfRule type="expression" dxfId="94" priority="2802">
      <formula>$O$28&lt;&gt;"Y"</formula>
    </cfRule>
  </conditionalFormatting>
  <conditionalFormatting sqref="D597:CV597">
    <cfRule type="expression" dxfId="93" priority="2805">
      <formula>$P$28&lt;&gt;"Y"</formula>
    </cfRule>
  </conditionalFormatting>
  <conditionalFormatting sqref="D598:CV598">
    <cfRule type="expression" dxfId="92" priority="2808">
      <formula>$Q$28&lt;&gt;"Y"</formula>
    </cfRule>
  </conditionalFormatting>
  <conditionalFormatting sqref="D599:CV599">
    <cfRule type="expression" dxfId="91" priority="2811">
      <formula>$R$28&lt;&gt;"Y"</formula>
    </cfRule>
  </conditionalFormatting>
  <conditionalFormatting sqref="D600:CV600">
    <cfRule type="expression" dxfId="90" priority="2814">
      <formula>$S$28&lt;&gt;"Y"</formula>
    </cfRule>
  </conditionalFormatting>
  <conditionalFormatting sqref="D601:CV601">
    <cfRule type="expression" dxfId="89" priority="2817">
      <formula>$T$28&lt;&gt;"Y"</formula>
    </cfRule>
  </conditionalFormatting>
  <conditionalFormatting sqref="D602:CV602">
    <cfRule type="expression" dxfId="88" priority="2820">
      <formula>$U$28&lt;&gt;"Y"</formula>
    </cfRule>
  </conditionalFormatting>
  <conditionalFormatting sqref="D603:CV603">
    <cfRule type="expression" dxfId="87" priority="2823">
      <formula>$V$28&lt;&gt;"Y"</formula>
    </cfRule>
  </conditionalFormatting>
  <conditionalFormatting sqref="D604:CV604">
    <cfRule type="expression" dxfId="86" priority="2826">
      <formula>$W$28&lt;&gt;"Y"</formula>
    </cfRule>
  </conditionalFormatting>
  <conditionalFormatting sqref="D605:CV605">
    <cfRule type="expression" dxfId="85" priority="2829">
      <formula>$X$28&lt;&gt;"Y"</formula>
    </cfRule>
  </conditionalFormatting>
  <conditionalFormatting sqref="D606:CV606">
    <cfRule type="expression" dxfId="84" priority="2832">
      <formula>$Y$28&lt;&gt;"Y"</formula>
    </cfRule>
  </conditionalFormatting>
  <conditionalFormatting sqref="E5:E7">
    <cfRule type="cellIs" dxfId="83" priority="6" operator="equal">
      <formula>"N"</formula>
    </cfRule>
    <cfRule type="cellIs" dxfId="82" priority="5" operator="equal">
      <formula>"Y"</formula>
    </cfRule>
  </conditionalFormatting>
  <conditionalFormatting sqref="E9:E28">
    <cfRule type="cellIs" dxfId="81" priority="191" operator="equal">
      <formula>"Y"</formula>
    </cfRule>
    <cfRule type="cellIs" dxfId="80" priority="192" operator="equal">
      <formula>"N"</formula>
    </cfRule>
  </conditionalFormatting>
  <conditionalFormatting sqref="F5:F8">
    <cfRule type="cellIs" dxfId="79" priority="7" operator="equal">
      <formula>"Y"</formula>
    </cfRule>
    <cfRule type="cellIs" dxfId="78" priority="8" operator="equal">
      <formula>"N"</formula>
    </cfRule>
  </conditionalFormatting>
  <conditionalFormatting sqref="F10:F28">
    <cfRule type="cellIs" dxfId="77" priority="240" operator="equal">
      <formula>"N"</formula>
    </cfRule>
    <cfRule type="cellIs" dxfId="76" priority="239" operator="equal">
      <formula>"Y"</formula>
    </cfRule>
  </conditionalFormatting>
  <conditionalFormatting sqref="G5:G9">
    <cfRule type="cellIs" dxfId="75" priority="10" operator="equal">
      <formula>"N"</formula>
    </cfRule>
    <cfRule type="cellIs" dxfId="74" priority="9" operator="equal">
      <formula>"Y"</formula>
    </cfRule>
  </conditionalFormatting>
  <conditionalFormatting sqref="G11:G28">
    <cfRule type="cellIs" dxfId="73" priority="287" operator="equal">
      <formula>"Y"</formula>
    </cfRule>
    <cfRule type="cellIs" dxfId="72" priority="288" operator="equal">
      <formula>"N"</formula>
    </cfRule>
  </conditionalFormatting>
  <conditionalFormatting sqref="G31:G606">
    <cfRule type="expression" dxfId="71" priority="1105">
      <formula>COUNTIF(I31:CV31,"&lt;&gt;" &amp; "")&gt;0</formula>
    </cfRule>
    <cfRule type="expression" dxfId="70" priority="1106">
      <formula>AND(COUNTIF(I31:CV31,"&lt;&gt;" &amp; "")&gt;0,NOT(ISBLANK(G31)))</formula>
    </cfRule>
  </conditionalFormatting>
  <conditionalFormatting sqref="H5:H10">
    <cfRule type="cellIs" dxfId="69" priority="11" operator="equal">
      <formula>"Y"</formula>
    </cfRule>
    <cfRule type="cellIs" dxfId="68" priority="12" operator="equal">
      <formula>"N"</formula>
    </cfRule>
  </conditionalFormatting>
  <conditionalFormatting sqref="H12:H28">
    <cfRule type="cellIs" dxfId="67" priority="336" operator="equal">
      <formula>"N"</formula>
    </cfRule>
    <cfRule type="cellIs" dxfId="66" priority="335" operator="equal">
      <formula>"Y"</formula>
    </cfRule>
  </conditionalFormatting>
  <conditionalFormatting sqref="I5:I11">
    <cfRule type="cellIs" dxfId="65" priority="13" operator="equal">
      <formula>"Y"</formula>
    </cfRule>
    <cfRule type="cellIs" dxfId="64" priority="14" operator="equal">
      <formula>"N"</formula>
    </cfRule>
  </conditionalFormatting>
  <conditionalFormatting sqref="I13:I28">
    <cfRule type="cellIs" dxfId="63" priority="383" operator="equal">
      <formula>"Y"</formula>
    </cfRule>
    <cfRule type="cellIs" dxfId="62" priority="384" operator="equal">
      <formula>"N"</formula>
    </cfRule>
  </conditionalFormatting>
  <conditionalFormatting sqref="J5:J12">
    <cfRule type="cellIs" dxfId="61" priority="15" operator="equal">
      <formula>"Y"</formula>
    </cfRule>
    <cfRule type="cellIs" dxfId="60" priority="16" operator="equal">
      <formula>"N"</formula>
    </cfRule>
  </conditionalFormatting>
  <conditionalFormatting sqref="J14:J28">
    <cfRule type="cellIs" dxfId="59" priority="432" operator="equal">
      <formula>"N"</formula>
    </cfRule>
    <cfRule type="cellIs" dxfId="58" priority="431" operator="equal">
      <formula>"Y"</formula>
    </cfRule>
  </conditionalFormatting>
  <conditionalFormatting sqref="K5:K13">
    <cfRule type="cellIs" dxfId="57" priority="18" operator="equal">
      <formula>"N"</formula>
    </cfRule>
    <cfRule type="cellIs" dxfId="56" priority="17" operator="equal">
      <formula>"Y"</formula>
    </cfRule>
  </conditionalFormatting>
  <conditionalFormatting sqref="K15:K28">
    <cfRule type="cellIs" dxfId="55" priority="480" operator="equal">
      <formula>"N"</formula>
    </cfRule>
    <cfRule type="cellIs" dxfId="54" priority="479" operator="equal">
      <formula>"Y"</formula>
    </cfRule>
  </conditionalFormatting>
  <conditionalFormatting sqref="L5:L14">
    <cfRule type="cellIs" dxfId="53" priority="20" operator="equal">
      <formula>"N"</formula>
    </cfRule>
    <cfRule type="cellIs" dxfId="52" priority="19" operator="equal">
      <formula>"Y"</formula>
    </cfRule>
  </conditionalFormatting>
  <conditionalFormatting sqref="L16:L28">
    <cfRule type="cellIs" dxfId="51" priority="527" operator="equal">
      <formula>"Y"</formula>
    </cfRule>
    <cfRule type="cellIs" dxfId="50" priority="528" operator="equal">
      <formula>"N"</formula>
    </cfRule>
  </conditionalFormatting>
  <conditionalFormatting sqref="M5:M15">
    <cfRule type="cellIs" dxfId="49" priority="22" operator="equal">
      <formula>"N"</formula>
    </cfRule>
    <cfRule type="cellIs" dxfId="48" priority="21" operator="equal">
      <formula>"Y"</formula>
    </cfRule>
  </conditionalFormatting>
  <conditionalFormatting sqref="M17:M28">
    <cfRule type="cellIs" dxfId="47" priority="576" operator="equal">
      <formula>"N"</formula>
    </cfRule>
    <cfRule type="cellIs" dxfId="46" priority="575" operator="equal">
      <formula>"Y"</formula>
    </cfRule>
  </conditionalFormatting>
  <conditionalFormatting sqref="N5:N16">
    <cfRule type="cellIs" dxfId="45" priority="23" operator="equal">
      <formula>"Y"</formula>
    </cfRule>
    <cfRule type="cellIs" dxfId="44" priority="24" operator="equal">
      <formula>"N"</formula>
    </cfRule>
  </conditionalFormatting>
  <conditionalFormatting sqref="N18:N28">
    <cfRule type="cellIs" dxfId="43" priority="623" operator="equal">
      <formula>"Y"</formula>
    </cfRule>
    <cfRule type="cellIs" dxfId="42" priority="624" operator="equal">
      <formula>"N"</formula>
    </cfRule>
  </conditionalFormatting>
  <conditionalFormatting sqref="O5:O17">
    <cfRule type="cellIs" dxfId="41" priority="26" operator="equal">
      <formula>"N"</formula>
    </cfRule>
    <cfRule type="cellIs" dxfId="40" priority="25" operator="equal">
      <formula>"Y"</formula>
    </cfRule>
  </conditionalFormatting>
  <conditionalFormatting sqref="O19:O28">
    <cfRule type="cellIs" dxfId="39" priority="672" operator="equal">
      <formula>"N"</formula>
    </cfRule>
    <cfRule type="cellIs" dxfId="38" priority="671" operator="equal">
      <formula>"Y"</formula>
    </cfRule>
  </conditionalFormatting>
  <conditionalFormatting sqref="P5:P18">
    <cfRule type="cellIs" dxfId="37" priority="27" operator="equal">
      <formula>"Y"</formula>
    </cfRule>
    <cfRule type="cellIs" dxfId="36" priority="28" operator="equal">
      <formula>"N"</formula>
    </cfRule>
  </conditionalFormatting>
  <conditionalFormatting sqref="P20:P28">
    <cfRule type="cellIs" dxfId="35" priority="720" operator="equal">
      <formula>"N"</formula>
    </cfRule>
    <cfRule type="cellIs" dxfId="34" priority="719" operator="equal">
      <formula>"Y"</formula>
    </cfRule>
  </conditionalFormatting>
  <conditionalFormatting sqref="Q5:Q19">
    <cfRule type="cellIs" dxfId="33" priority="29" operator="equal">
      <formula>"Y"</formula>
    </cfRule>
    <cfRule type="cellIs" dxfId="32" priority="30" operator="equal">
      <formula>"N"</formula>
    </cfRule>
  </conditionalFormatting>
  <conditionalFormatting sqref="Q21:Q28">
    <cfRule type="cellIs" dxfId="31" priority="767" operator="equal">
      <formula>"Y"</formula>
    </cfRule>
    <cfRule type="cellIs" dxfId="30" priority="768" operator="equal">
      <formula>"N"</formula>
    </cfRule>
  </conditionalFormatting>
  <conditionalFormatting sqref="R5:R20">
    <cfRule type="cellIs" dxfId="29" priority="31" operator="equal">
      <formula>"Y"</formula>
    </cfRule>
    <cfRule type="cellIs" dxfId="28" priority="32" operator="equal">
      <formula>"N"</formula>
    </cfRule>
  </conditionalFormatting>
  <conditionalFormatting sqref="R22:R28">
    <cfRule type="cellIs" dxfId="27" priority="816" operator="equal">
      <formula>"N"</formula>
    </cfRule>
    <cfRule type="cellIs" dxfId="26" priority="815" operator="equal">
      <formula>"Y"</formula>
    </cfRule>
  </conditionalFormatting>
  <conditionalFormatting sqref="S5:S21">
    <cfRule type="cellIs" dxfId="25" priority="34" operator="equal">
      <formula>"N"</formula>
    </cfRule>
    <cfRule type="cellIs" dxfId="24" priority="33" operator="equal">
      <formula>"Y"</formula>
    </cfRule>
  </conditionalFormatting>
  <conditionalFormatting sqref="S23:S28">
    <cfRule type="cellIs" dxfId="23" priority="863" operator="equal">
      <formula>"Y"</formula>
    </cfRule>
    <cfRule type="cellIs" dxfId="22" priority="864" operator="equal">
      <formula>"N"</formula>
    </cfRule>
  </conditionalFormatting>
  <conditionalFormatting sqref="T5:T22">
    <cfRule type="cellIs" dxfId="21" priority="36" operator="equal">
      <formula>"N"</formula>
    </cfRule>
    <cfRule type="cellIs" dxfId="20" priority="35" operator="equal">
      <formula>"Y"</formula>
    </cfRule>
  </conditionalFormatting>
  <conditionalFormatting sqref="T24:T28">
    <cfRule type="cellIs" dxfId="19" priority="911" operator="equal">
      <formula>"Y"</formula>
    </cfRule>
    <cfRule type="cellIs" dxfId="18" priority="912" operator="equal">
      <formula>"N"</formula>
    </cfRule>
  </conditionalFormatting>
  <conditionalFormatting sqref="U5:U23">
    <cfRule type="cellIs" dxfId="17" priority="38" operator="equal">
      <formula>"N"</formula>
    </cfRule>
    <cfRule type="cellIs" dxfId="16" priority="37" operator="equal">
      <formula>"Y"</formula>
    </cfRule>
  </conditionalFormatting>
  <conditionalFormatting sqref="U25:U28">
    <cfRule type="cellIs" dxfId="15" priority="960" operator="equal">
      <formula>"N"</formula>
    </cfRule>
    <cfRule type="cellIs" dxfId="14" priority="959" operator="equal">
      <formula>"Y"</formula>
    </cfRule>
  </conditionalFormatting>
  <conditionalFormatting sqref="V5:V24">
    <cfRule type="cellIs" dxfId="13" priority="40" operator="equal">
      <formula>"N"</formula>
    </cfRule>
    <cfRule type="cellIs" dxfId="12" priority="39" operator="equal">
      <formula>"Y"</formula>
    </cfRule>
  </conditionalFormatting>
  <conditionalFormatting sqref="V26:V28">
    <cfRule type="cellIs" dxfId="11" priority="1007" operator="equal">
      <formula>"Y"</formula>
    </cfRule>
    <cfRule type="cellIs" dxfId="10" priority="1008" operator="equal">
      <formula>"N"</formula>
    </cfRule>
  </conditionalFormatting>
  <conditionalFormatting sqref="W5:W25">
    <cfRule type="cellIs" dxfId="9" priority="42" operator="equal">
      <formula>"N"</formula>
    </cfRule>
    <cfRule type="cellIs" dxfId="8" priority="41" operator="equal">
      <formula>"Y"</formula>
    </cfRule>
  </conditionalFormatting>
  <conditionalFormatting sqref="W27:W28">
    <cfRule type="cellIs" dxfId="7" priority="1055" operator="equal">
      <formula>"Y"</formula>
    </cfRule>
    <cfRule type="cellIs" dxfId="6" priority="1056" operator="equal">
      <formula>"N"</formula>
    </cfRule>
  </conditionalFormatting>
  <conditionalFormatting sqref="X5:X26">
    <cfRule type="cellIs" dxfId="5" priority="44" operator="equal">
      <formula>"N"</formula>
    </cfRule>
    <cfRule type="cellIs" dxfId="4" priority="43" operator="equal">
      <formula>"Y"</formula>
    </cfRule>
  </conditionalFormatting>
  <conditionalFormatting sqref="X28">
    <cfRule type="cellIs" dxfId="3" priority="1104" operator="equal">
      <formula>"N"</formula>
    </cfRule>
    <cfRule type="cellIs" dxfId="2" priority="1103" operator="equal">
      <formula>"Y"</formula>
    </cfRule>
  </conditionalFormatting>
  <conditionalFormatting sqref="Y5:Y27">
    <cfRule type="cellIs" dxfId="1" priority="46" operator="equal">
      <formula>"N"</formula>
    </cfRule>
    <cfRule type="cellIs" dxfId="0" priority="45" operator="equal">
      <formula>"Y"</formula>
    </cfRule>
  </conditionalFormatting>
  <dataValidations count="3">
    <dataValidation type="list" allowBlank="1" showInputMessage="1" showErrorMessage="1" sqref="B5 Y28 X27 W26 V25 U24 T23 S22 R21 Q20 P19 O18 N17 M16 L15 K14 J13 I12 H11 G10 F9 E8 D7 C6" xr:uid="{00000000-0002-0000-0200-000000000000}">
      <formula1>"N.A."</formula1>
    </dataValidation>
    <dataValidation type="list" allowBlank="1" showInputMessage="1" showErrorMessage="1" sqref="X28 Y27 W27:W28 X26:Y26 V26:V28 W25:Y25 U25:U28 V24:Y24 T24:T28 U23:Y23 S23:S28 T22:Y22 R22:R28 S21:Y21 Q21:Q28 R20:Y20 P20:P28 Q19:Y19 O19:O28 P18:Y18 N18:N28 O17:Y17 M17:M28 N16:Y16 L16:L28 M15:Y15 K15:K28 L14:Y14 J14:J28 K13:Y13 I13:I28 J12:Y12 H12:H28 I11:Y11 G11:G28 H10:Y10 F10:F28 G9:Y9 E9:E28 F8:Y8 D8:D28 E7:Y7 C7:C28 D6:Y6 B6:B28 C5:Y5" xr:uid="{00000000-0002-0000-0200-000001000000}">
      <formula1>"Y,N"</formula1>
    </dataValidation>
    <dataValidation type="list" allowBlank="1" showInputMessage="1" showErrorMessage="1" sqref="E31:E606" xr:uid="{00000000-0002-0000-0200-000040020000}">
      <formula1>"Number (years),Rate (per year),Duration (years)"</formula1>
    </dataValidation>
  </dataValidations>
  <hyperlinks>
    <hyperlink ref="C5" location="Transfers!B32" display="N" xr:uid="{00000000-0004-0000-0200-000000000000}"/>
    <hyperlink ref="D5" location="Transfers!B33" display="N" xr:uid="{00000000-0004-0000-0200-000001000000}"/>
    <hyperlink ref="E5" location="Transfers!B34" display="N" xr:uid="{00000000-0004-0000-0200-000002000000}"/>
    <hyperlink ref="F5" location="Transfers!B35" display="N" xr:uid="{00000000-0004-0000-0200-000003000000}"/>
    <hyperlink ref="G5" location="Transfers!B36" display="N" xr:uid="{00000000-0004-0000-0200-000004000000}"/>
    <hyperlink ref="H5" location="Transfers!B37" display="N" xr:uid="{00000000-0004-0000-0200-000005000000}"/>
    <hyperlink ref="I5" location="Transfers!B38" display="N" xr:uid="{00000000-0004-0000-0200-000006000000}"/>
    <hyperlink ref="J5" location="Transfers!B39" display="N" xr:uid="{00000000-0004-0000-0200-000007000000}"/>
    <hyperlink ref="K5" location="Transfers!B40" display="N" xr:uid="{00000000-0004-0000-0200-000008000000}"/>
    <hyperlink ref="L5" location="Transfers!B41" display="N" xr:uid="{00000000-0004-0000-0200-000009000000}"/>
    <hyperlink ref="M5" location="Transfers!B42" display="N" xr:uid="{00000000-0004-0000-0200-00000A000000}"/>
    <hyperlink ref="N5" location="Transfers!B43" display="N" xr:uid="{00000000-0004-0000-0200-00000B000000}"/>
    <hyperlink ref="O5" location="Transfers!B44" display="N" xr:uid="{00000000-0004-0000-0200-00000C000000}"/>
    <hyperlink ref="P5" location="Transfers!B45" display="N" xr:uid="{00000000-0004-0000-0200-00000D000000}"/>
    <hyperlink ref="Q5" location="Transfers!B46" display="N" xr:uid="{00000000-0004-0000-0200-00000E000000}"/>
    <hyperlink ref="R5" location="Transfers!B47" display="N" xr:uid="{00000000-0004-0000-0200-00000F000000}"/>
    <hyperlink ref="S5" location="Transfers!B48" display="N" xr:uid="{00000000-0004-0000-0200-000010000000}"/>
    <hyperlink ref="T5" location="Transfers!B49" display="N" xr:uid="{00000000-0004-0000-0200-000011000000}"/>
    <hyperlink ref="U5" location="Transfers!B50" display="N" xr:uid="{00000000-0004-0000-0200-000012000000}"/>
    <hyperlink ref="V5" location="Transfers!B51" display="N" xr:uid="{00000000-0004-0000-0200-000013000000}"/>
    <hyperlink ref="W5" location="Transfers!B52" display="N" xr:uid="{00000000-0004-0000-0200-000014000000}"/>
    <hyperlink ref="X5" location="Transfers!B53" display="N" xr:uid="{00000000-0004-0000-0200-000015000000}"/>
    <hyperlink ref="Y5" location="Transfers!B54" display="N" xr:uid="{00000000-0004-0000-0200-000016000000}"/>
    <hyperlink ref="B6" location="Transfers!B55" display="N" xr:uid="{00000000-0004-0000-0200-000017000000}"/>
    <hyperlink ref="D6" location="Transfers!B57" display="N" xr:uid="{00000000-0004-0000-0200-000018000000}"/>
    <hyperlink ref="E6" location="Transfers!B58" display="N" xr:uid="{00000000-0004-0000-0200-000019000000}"/>
    <hyperlink ref="F6" location="Transfers!B59" display="N" xr:uid="{00000000-0004-0000-0200-00001A000000}"/>
    <hyperlink ref="G6" location="Transfers!B60" display="N" xr:uid="{00000000-0004-0000-0200-00001B000000}"/>
    <hyperlink ref="H6" location="Transfers!B61" display="N" xr:uid="{00000000-0004-0000-0200-00001C000000}"/>
    <hyperlink ref="I6" location="Transfers!B62" display="N" xr:uid="{00000000-0004-0000-0200-00001D000000}"/>
    <hyperlink ref="J6" location="Transfers!B63" display="N" xr:uid="{00000000-0004-0000-0200-00001E000000}"/>
    <hyperlink ref="K6" location="Transfers!B64" display="N" xr:uid="{00000000-0004-0000-0200-00001F000000}"/>
    <hyperlink ref="L6" location="Transfers!B65" display="N" xr:uid="{00000000-0004-0000-0200-000020000000}"/>
    <hyperlink ref="M6" location="Transfers!B66" display="N" xr:uid="{00000000-0004-0000-0200-000021000000}"/>
    <hyperlink ref="N6" location="Transfers!B67" display="N" xr:uid="{00000000-0004-0000-0200-000022000000}"/>
    <hyperlink ref="O6" location="Transfers!B68" display="N" xr:uid="{00000000-0004-0000-0200-000023000000}"/>
    <hyperlink ref="P6" location="Transfers!B69" display="N" xr:uid="{00000000-0004-0000-0200-000024000000}"/>
    <hyperlink ref="Q6" location="Transfers!B70" display="N" xr:uid="{00000000-0004-0000-0200-000025000000}"/>
    <hyperlink ref="R6" location="Transfers!B71" display="N" xr:uid="{00000000-0004-0000-0200-000026000000}"/>
    <hyperlink ref="S6" location="Transfers!B72" display="N" xr:uid="{00000000-0004-0000-0200-000027000000}"/>
    <hyperlink ref="T6" location="Transfers!B73" display="N" xr:uid="{00000000-0004-0000-0200-000028000000}"/>
    <hyperlink ref="U6" location="Transfers!B74" display="N" xr:uid="{00000000-0004-0000-0200-000029000000}"/>
    <hyperlink ref="V6" location="Transfers!B75" display="N" xr:uid="{00000000-0004-0000-0200-00002A000000}"/>
    <hyperlink ref="W6" location="Transfers!B76" display="N" xr:uid="{00000000-0004-0000-0200-00002B000000}"/>
    <hyperlink ref="X6" location="Transfers!B77" display="N" xr:uid="{00000000-0004-0000-0200-00002C000000}"/>
    <hyperlink ref="Y6" location="Transfers!B78" display="N" xr:uid="{00000000-0004-0000-0200-00002D000000}"/>
    <hyperlink ref="B7" location="Transfers!B79" display="N" xr:uid="{00000000-0004-0000-0200-00002E000000}"/>
    <hyperlink ref="C7" location="Transfers!B80" display="N" xr:uid="{00000000-0004-0000-0200-00002F000000}"/>
    <hyperlink ref="E7" location="Transfers!B82" display="N" xr:uid="{00000000-0004-0000-0200-000030000000}"/>
    <hyperlink ref="F7" location="Transfers!B83" display="N" xr:uid="{00000000-0004-0000-0200-000031000000}"/>
    <hyperlink ref="G7" location="Transfers!B84" display="N" xr:uid="{00000000-0004-0000-0200-000032000000}"/>
    <hyperlink ref="H7" location="Transfers!B85" display="N" xr:uid="{00000000-0004-0000-0200-000033000000}"/>
    <hyperlink ref="I7" location="Transfers!B86" display="N" xr:uid="{00000000-0004-0000-0200-000034000000}"/>
    <hyperlink ref="J7" location="Transfers!B87" display="N" xr:uid="{00000000-0004-0000-0200-000035000000}"/>
    <hyperlink ref="K7" location="Transfers!B88" display="N" xr:uid="{00000000-0004-0000-0200-000036000000}"/>
    <hyperlink ref="L7" location="Transfers!B89" display="N" xr:uid="{00000000-0004-0000-0200-000037000000}"/>
    <hyperlink ref="M7" location="Transfers!B90" display="N" xr:uid="{00000000-0004-0000-0200-000038000000}"/>
    <hyperlink ref="N7" location="Transfers!B91" display="N" xr:uid="{00000000-0004-0000-0200-000039000000}"/>
    <hyperlink ref="O7" location="Transfers!B92" display="N" xr:uid="{00000000-0004-0000-0200-00003A000000}"/>
    <hyperlink ref="P7" location="Transfers!B93" display="N" xr:uid="{00000000-0004-0000-0200-00003B000000}"/>
    <hyperlink ref="Q7" location="Transfers!B94" display="N" xr:uid="{00000000-0004-0000-0200-00003C000000}"/>
    <hyperlink ref="R7" location="Transfers!B95" display="N" xr:uid="{00000000-0004-0000-0200-00003D000000}"/>
    <hyperlink ref="S7" location="Transfers!B96" display="N" xr:uid="{00000000-0004-0000-0200-00003E000000}"/>
    <hyperlink ref="T7" location="Transfers!B97" display="N" xr:uid="{00000000-0004-0000-0200-00003F000000}"/>
    <hyperlink ref="U7" location="Transfers!B98" display="N" xr:uid="{00000000-0004-0000-0200-000040000000}"/>
    <hyperlink ref="V7" location="Transfers!B99" display="N" xr:uid="{00000000-0004-0000-0200-000041000000}"/>
    <hyperlink ref="W7" location="Transfers!B100" display="N" xr:uid="{00000000-0004-0000-0200-000042000000}"/>
    <hyperlink ref="X7" location="Transfers!B101" display="N" xr:uid="{00000000-0004-0000-0200-000043000000}"/>
    <hyperlink ref="Y7" location="Transfers!B102" display="N" xr:uid="{00000000-0004-0000-0200-000044000000}"/>
    <hyperlink ref="B8" location="Transfers!B103" display="N" xr:uid="{00000000-0004-0000-0200-000045000000}"/>
    <hyperlink ref="C8" location="Transfers!B104" display="N" xr:uid="{00000000-0004-0000-0200-000046000000}"/>
    <hyperlink ref="D8" location="Transfers!B105" display="N" xr:uid="{00000000-0004-0000-0200-000047000000}"/>
    <hyperlink ref="F8" location="Transfers!B107" display="N" xr:uid="{00000000-0004-0000-0200-000048000000}"/>
    <hyperlink ref="G8" location="Transfers!B108" display="N" xr:uid="{00000000-0004-0000-0200-000049000000}"/>
    <hyperlink ref="H8" location="Transfers!B109" display="N" xr:uid="{00000000-0004-0000-0200-00004A000000}"/>
    <hyperlink ref="I8" location="Transfers!B110" display="N" xr:uid="{00000000-0004-0000-0200-00004B000000}"/>
    <hyperlink ref="J8" location="Transfers!B111" display="N" xr:uid="{00000000-0004-0000-0200-00004C000000}"/>
    <hyperlink ref="K8" location="Transfers!B112" display="N" xr:uid="{00000000-0004-0000-0200-00004D000000}"/>
    <hyperlink ref="L8" location="Transfers!B113" display="N" xr:uid="{00000000-0004-0000-0200-00004E000000}"/>
    <hyperlink ref="M8" location="Transfers!B114" display="N" xr:uid="{00000000-0004-0000-0200-00004F000000}"/>
    <hyperlink ref="N8" location="Transfers!B115" display="N" xr:uid="{00000000-0004-0000-0200-000050000000}"/>
    <hyperlink ref="O8" location="Transfers!B116" display="N" xr:uid="{00000000-0004-0000-0200-000051000000}"/>
    <hyperlink ref="P8" location="Transfers!B117" display="N" xr:uid="{00000000-0004-0000-0200-000052000000}"/>
    <hyperlink ref="Q8" location="Transfers!B118" display="N" xr:uid="{00000000-0004-0000-0200-000053000000}"/>
    <hyperlink ref="R8" location="Transfers!B119" display="N" xr:uid="{00000000-0004-0000-0200-000054000000}"/>
    <hyperlink ref="S8" location="Transfers!B120" display="N" xr:uid="{00000000-0004-0000-0200-000055000000}"/>
    <hyperlink ref="T8" location="Transfers!B121" display="N" xr:uid="{00000000-0004-0000-0200-000056000000}"/>
    <hyperlink ref="U8" location="Transfers!B122" display="N" xr:uid="{00000000-0004-0000-0200-000057000000}"/>
    <hyperlink ref="V8" location="Transfers!B123" display="N" xr:uid="{00000000-0004-0000-0200-000058000000}"/>
    <hyperlink ref="W8" location="Transfers!B124" display="N" xr:uid="{00000000-0004-0000-0200-000059000000}"/>
    <hyperlink ref="X8" location="Transfers!B125" display="N" xr:uid="{00000000-0004-0000-0200-00005A000000}"/>
    <hyperlink ref="Y8" location="Transfers!B126" display="N" xr:uid="{00000000-0004-0000-0200-00005B000000}"/>
    <hyperlink ref="B9" location="Transfers!B127" display="N" xr:uid="{00000000-0004-0000-0200-00005C000000}"/>
    <hyperlink ref="C9" location="Transfers!B128" display="N" xr:uid="{00000000-0004-0000-0200-00005D000000}"/>
    <hyperlink ref="D9" location="Transfers!B129" display="N" xr:uid="{00000000-0004-0000-0200-00005E000000}"/>
    <hyperlink ref="E9" location="Transfers!B130" display="N" xr:uid="{00000000-0004-0000-0200-00005F000000}"/>
    <hyperlink ref="G9" location="Transfers!B132" display="N" xr:uid="{00000000-0004-0000-0200-000060000000}"/>
    <hyperlink ref="H9" location="Transfers!B133" display="N" xr:uid="{00000000-0004-0000-0200-000061000000}"/>
    <hyperlink ref="I9" location="Transfers!B134" display="N" xr:uid="{00000000-0004-0000-0200-000062000000}"/>
    <hyperlink ref="J9" location="Transfers!B135" display="N" xr:uid="{00000000-0004-0000-0200-000063000000}"/>
    <hyperlink ref="K9" location="Transfers!B136" display="N" xr:uid="{00000000-0004-0000-0200-000064000000}"/>
    <hyperlink ref="L9" location="Transfers!B137" display="N" xr:uid="{00000000-0004-0000-0200-000065000000}"/>
    <hyperlink ref="M9" location="Transfers!B138" display="N" xr:uid="{00000000-0004-0000-0200-000066000000}"/>
    <hyperlink ref="N9" location="Transfers!B139" display="N" xr:uid="{00000000-0004-0000-0200-000067000000}"/>
    <hyperlink ref="O9" location="Transfers!B140" display="N" xr:uid="{00000000-0004-0000-0200-000068000000}"/>
    <hyperlink ref="P9" location="Transfers!B141" display="N" xr:uid="{00000000-0004-0000-0200-000069000000}"/>
    <hyperlink ref="Q9" location="Transfers!B142" display="N" xr:uid="{00000000-0004-0000-0200-00006A000000}"/>
    <hyperlink ref="R9" location="Transfers!B143" display="N" xr:uid="{00000000-0004-0000-0200-00006B000000}"/>
    <hyperlink ref="S9" location="Transfers!B144" display="N" xr:uid="{00000000-0004-0000-0200-00006C000000}"/>
    <hyperlink ref="T9" location="Transfers!B145" display="N" xr:uid="{00000000-0004-0000-0200-00006D000000}"/>
    <hyperlink ref="U9" location="Transfers!B146" display="N" xr:uid="{00000000-0004-0000-0200-00006E000000}"/>
    <hyperlink ref="V9" location="Transfers!B147" display="N" xr:uid="{00000000-0004-0000-0200-00006F000000}"/>
    <hyperlink ref="W9" location="Transfers!B148" display="N" xr:uid="{00000000-0004-0000-0200-000070000000}"/>
    <hyperlink ref="X9" location="Transfers!B149" display="N" xr:uid="{00000000-0004-0000-0200-000071000000}"/>
    <hyperlink ref="Y9" location="Transfers!B150" display="N" xr:uid="{00000000-0004-0000-0200-000072000000}"/>
    <hyperlink ref="B10" location="Transfers!B151" display="N" xr:uid="{00000000-0004-0000-0200-000073000000}"/>
    <hyperlink ref="C10" location="Transfers!B152" display="N" xr:uid="{00000000-0004-0000-0200-000074000000}"/>
    <hyperlink ref="D10" location="Transfers!B153" display="N" xr:uid="{00000000-0004-0000-0200-000075000000}"/>
    <hyperlink ref="E10" location="Transfers!B154" display="N" xr:uid="{00000000-0004-0000-0200-000076000000}"/>
    <hyperlink ref="F10" location="Transfers!B155" display="N" xr:uid="{00000000-0004-0000-0200-000077000000}"/>
    <hyperlink ref="H10" location="Transfers!B157" display="N" xr:uid="{00000000-0004-0000-0200-000078000000}"/>
    <hyperlink ref="I10" location="Transfers!B158" display="N" xr:uid="{00000000-0004-0000-0200-000079000000}"/>
    <hyperlink ref="J10" location="Transfers!B159" display="N" xr:uid="{00000000-0004-0000-0200-00007A000000}"/>
    <hyperlink ref="K10" location="Transfers!B160" display="N" xr:uid="{00000000-0004-0000-0200-00007B000000}"/>
    <hyperlink ref="L10" location="Transfers!B161" display="N" xr:uid="{00000000-0004-0000-0200-00007C000000}"/>
    <hyperlink ref="M10" location="Transfers!B162" display="N" xr:uid="{00000000-0004-0000-0200-00007D000000}"/>
    <hyperlink ref="N10" location="Transfers!B163" display="N" xr:uid="{00000000-0004-0000-0200-00007E000000}"/>
    <hyperlink ref="O10" location="Transfers!B164" display="N" xr:uid="{00000000-0004-0000-0200-00007F000000}"/>
    <hyperlink ref="P10" location="Transfers!B165" display="N" xr:uid="{00000000-0004-0000-0200-000080000000}"/>
    <hyperlink ref="Q10" location="Transfers!B166" display="N" xr:uid="{00000000-0004-0000-0200-000081000000}"/>
    <hyperlink ref="R10" location="Transfers!B167" display="N" xr:uid="{00000000-0004-0000-0200-000082000000}"/>
    <hyperlink ref="S10" location="Transfers!B168" display="N" xr:uid="{00000000-0004-0000-0200-000083000000}"/>
    <hyperlink ref="T10" location="Transfers!B169" display="N" xr:uid="{00000000-0004-0000-0200-000084000000}"/>
    <hyperlink ref="U10" location="Transfers!B170" display="N" xr:uid="{00000000-0004-0000-0200-000085000000}"/>
    <hyperlink ref="V10" location="Transfers!B171" display="N" xr:uid="{00000000-0004-0000-0200-000086000000}"/>
    <hyperlink ref="W10" location="Transfers!B172" display="N" xr:uid="{00000000-0004-0000-0200-000087000000}"/>
    <hyperlink ref="X10" location="Transfers!B173" display="N" xr:uid="{00000000-0004-0000-0200-000088000000}"/>
    <hyperlink ref="Y10" location="Transfers!B174" display="N" xr:uid="{00000000-0004-0000-0200-000089000000}"/>
    <hyperlink ref="B11" location="Transfers!B175" display="N" xr:uid="{00000000-0004-0000-0200-00008A000000}"/>
    <hyperlink ref="C11" location="Transfers!B176" display="N" xr:uid="{00000000-0004-0000-0200-00008B000000}"/>
    <hyperlink ref="D11" location="Transfers!B177" display="N" xr:uid="{00000000-0004-0000-0200-00008C000000}"/>
    <hyperlink ref="E11" location="Transfers!B178" display="N" xr:uid="{00000000-0004-0000-0200-00008D000000}"/>
    <hyperlink ref="F11" location="Transfers!B179" display="N" xr:uid="{00000000-0004-0000-0200-00008E000000}"/>
    <hyperlink ref="G11" location="Transfers!B180" display="N" xr:uid="{00000000-0004-0000-0200-00008F000000}"/>
    <hyperlink ref="I11" location="Transfers!B182" display="N" xr:uid="{00000000-0004-0000-0200-000090000000}"/>
    <hyperlink ref="J11" location="Transfers!B183" display="N" xr:uid="{00000000-0004-0000-0200-000091000000}"/>
    <hyperlink ref="K11" location="Transfers!B184" display="N" xr:uid="{00000000-0004-0000-0200-000092000000}"/>
    <hyperlink ref="L11" location="Transfers!B185" display="N" xr:uid="{00000000-0004-0000-0200-000093000000}"/>
    <hyperlink ref="M11" location="Transfers!B186" display="N" xr:uid="{00000000-0004-0000-0200-000094000000}"/>
    <hyperlink ref="N11" location="Transfers!B187" display="N" xr:uid="{00000000-0004-0000-0200-000095000000}"/>
    <hyperlink ref="O11" location="Transfers!B188" display="N" xr:uid="{00000000-0004-0000-0200-000096000000}"/>
    <hyperlink ref="P11" location="Transfers!B189" display="N" xr:uid="{00000000-0004-0000-0200-000097000000}"/>
    <hyperlink ref="Q11" location="Transfers!B190" display="N" xr:uid="{00000000-0004-0000-0200-000098000000}"/>
    <hyperlink ref="R11" location="Transfers!B191" display="N" xr:uid="{00000000-0004-0000-0200-000099000000}"/>
    <hyperlink ref="S11" location="Transfers!B192" display="N" xr:uid="{00000000-0004-0000-0200-00009A000000}"/>
    <hyperlink ref="T11" location="Transfers!B193" display="N" xr:uid="{00000000-0004-0000-0200-00009B000000}"/>
    <hyperlink ref="U11" location="Transfers!B194" display="N" xr:uid="{00000000-0004-0000-0200-00009C000000}"/>
    <hyperlink ref="V11" location="Transfers!B195" display="N" xr:uid="{00000000-0004-0000-0200-00009D000000}"/>
    <hyperlink ref="W11" location="Transfers!B196" display="N" xr:uid="{00000000-0004-0000-0200-00009E000000}"/>
    <hyperlink ref="X11" location="Transfers!B197" display="N" xr:uid="{00000000-0004-0000-0200-00009F000000}"/>
    <hyperlink ref="Y11" location="Transfers!B198" display="N" xr:uid="{00000000-0004-0000-0200-0000A0000000}"/>
    <hyperlink ref="B12" location="Transfers!B199" display="N" xr:uid="{00000000-0004-0000-0200-0000A1000000}"/>
    <hyperlink ref="C12" location="Transfers!B200" display="N" xr:uid="{00000000-0004-0000-0200-0000A2000000}"/>
    <hyperlink ref="D12" location="Transfers!B201" display="N" xr:uid="{00000000-0004-0000-0200-0000A3000000}"/>
    <hyperlink ref="E12" location="Transfers!B202" display="N" xr:uid="{00000000-0004-0000-0200-0000A4000000}"/>
    <hyperlink ref="F12" location="Transfers!B203" display="N" xr:uid="{00000000-0004-0000-0200-0000A5000000}"/>
    <hyperlink ref="G12" location="Transfers!B204" display="N" xr:uid="{00000000-0004-0000-0200-0000A6000000}"/>
    <hyperlink ref="H12" location="Transfers!B205" display="N" xr:uid="{00000000-0004-0000-0200-0000A7000000}"/>
    <hyperlink ref="J12" location="Transfers!B207" display="N" xr:uid="{00000000-0004-0000-0200-0000A8000000}"/>
    <hyperlink ref="K12" location="Transfers!B208" display="N" xr:uid="{00000000-0004-0000-0200-0000A9000000}"/>
    <hyperlink ref="L12" location="Transfers!B209" display="N" xr:uid="{00000000-0004-0000-0200-0000AA000000}"/>
    <hyperlink ref="M12" location="Transfers!B210" display="N" xr:uid="{00000000-0004-0000-0200-0000AB000000}"/>
    <hyperlink ref="N12" location="Transfers!B211" display="N" xr:uid="{00000000-0004-0000-0200-0000AC000000}"/>
    <hyperlink ref="O12" location="Transfers!B212" display="N" xr:uid="{00000000-0004-0000-0200-0000AD000000}"/>
    <hyperlink ref="P12" location="Transfers!B213" display="N" xr:uid="{00000000-0004-0000-0200-0000AE000000}"/>
    <hyperlink ref="Q12" location="Transfers!B214" display="N" xr:uid="{00000000-0004-0000-0200-0000AF000000}"/>
    <hyperlink ref="R12" location="Transfers!B215" display="N" xr:uid="{00000000-0004-0000-0200-0000B0000000}"/>
    <hyperlink ref="S12" location="Transfers!B216" display="N" xr:uid="{00000000-0004-0000-0200-0000B1000000}"/>
    <hyperlink ref="T12" location="Transfers!B217" display="N" xr:uid="{00000000-0004-0000-0200-0000B2000000}"/>
    <hyperlink ref="U12" location="Transfers!B218" display="N" xr:uid="{00000000-0004-0000-0200-0000B3000000}"/>
    <hyperlink ref="V12" location="Transfers!B219" display="N" xr:uid="{00000000-0004-0000-0200-0000B4000000}"/>
    <hyperlink ref="W12" location="Transfers!B220" display="N" xr:uid="{00000000-0004-0000-0200-0000B5000000}"/>
    <hyperlink ref="X12" location="Transfers!B221" display="N" xr:uid="{00000000-0004-0000-0200-0000B6000000}"/>
    <hyperlink ref="Y12" location="Transfers!B222" display="N" xr:uid="{00000000-0004-0000-0200-0000B7000000}"/>
    <hyperlink ref="B13" location="Transfers!B223" display="N" xr:uid="{00000000-0004-0000-0200-0000B8000000}"/>
    <hyperlink ref="C13" location="Transfers!B224" display="N" xr:uid="{00000000-0004-0000-0200-0000B9000000}"/>
    <hyperlink ref="D13" location="Transfers!B225" display="N" xr:uid="{00000000-0004-0000-0200-0000BA000000}"/>
    <hyperlink ref="E13" location="Transfers!B226" display="N" xr:uid="{00000000-0004-0000-0200-0000BB000000}"/>
    <hyperlink ref="F13" location="Transfers!B227" display="N" xr:uid="{00000000-0004-0000-0200-0000BC000000}"/>
    <hyperlink ref="G13" location="Transfers!B228" display="N" xr:uid="{00000000-0004-0000-0200-0000BD000000}"/>
    <hyperlink ref="H13" location="Transfers!B229" display="N" xr:uid="{00000000-0004-0000-0200-0000BE000000}"/>
    <hyperlink ref="I13" location="Transfers!B230" display="N" xr:uid="{00000000-0004-0000-0200-0000BF000000}"/>
    <hyperlink ref="K13" location="Transfers!B232" display="N" xr:uid="{00000000-0004-0000-0200-0000C0000000}"/>
    <hyperlink ref="L13" location="Transfers!B233" display="N" xr:uid="{00000000-0004-0000-0200-0000C1000000}"/>
    <hyperlink ref="M13" location="Transfers!B234" display="N" xr:uid="{00000000-0004-0000-0200-0000C2000000}"/>
    <hyperlink ref="N13" location="Transfers!B235" display="N" xr:uid="{00000000-0004-0000-0200-0000C3000000}"/>
    <hyperlink ref="O13" location="Transfers!B236" display="N" xr:uid="{00000000-0004-0000-0200-0000C4000000}"/>
    <hyperlink ref="P13" location="Transfers!B237" display="N" xr:uid="{00000000-0004-0000-0200-0000C5000000}"/>
    <hyperlink ref="Q13" location="Transfers!B238" display="N" xr:uid="{00000000-0004-0000-0200-0000C6000000}"/>
    <hyperlink ref="R13" location="Transfers!B239" display="N" xr:uid="{00000000-0004-0000-0200-0000C7000000}"/>
    <hyperlink ref="S13" location="Transfers!B240" display="N" xr:uid="{00000000-0004-0000-0200-0000C8000000}"/>
    <hyperlink ref="T13" location="Transfers!B241" display="N" xr:uid="{00000000-0004-0000-0200-0000C9000000}"/>
    <hyperlink ref="U13" location="Transfers!B242" display="N" xr:uid="{00000000-0004-0000-0200-0000CA000000}"/>
    <hyperlink ref="V13" location="Transfers!B243" display="N" xr:uid="{00000000-0004-0000-0200-0000CB000000}"/>
    <hyperlink ref="W13" location="Transfers!B244" display="N" xr:uid="{00000000-0004-0000-0200-0000CC000000}"/>
    <hyperlink ref="X13" location="Transfers!B245" display="N" xr:uid="{00000000-0004-0000-0200-0000CD000000}"/>
    <hyperlink ref="Y13" location="Transfers!B246" display="N" xr:uid="{00000000-0004-0000-0200-0000CE000000}"/>
    <hyperlink ref="B14" location="Transfers!B247" display="N" xr:uid="{00000000-0004-0000-0200-0000CF000000}"/>
    <hyperlink ref="C14" location="Transfers!B248" display="N" xr:uid="{00000000-0004-0000-0200-0000D0000000}"/>
    <hyperlink ref="D14" location="Transfers!B249" display="N" xr:uid="{00000000-0004-0000-0200-0000D1000000}"/>
    <hyperlink ref="E14" location="Transfers!B250" display="N" xr:uid="{00000000-0004-0000-0200-0000D2000000}"/>
    <hyperlink ref="F14" location="Transfers!B251" display="N" xr:uid="{00000000-0004-0000-0200-0000D3000000}"/>
    <hyperlink ref="G14" location="Transfers!B252" display="N" xr:uid="{00000000-0004-0000-0200-0000D4000000}"/>
    <hyperlink ref="H14" location="Transfers!B253" display="N" xr:uid="{00000000-0004-0000-0200-0000D5000000}"/>
    <hyperlink ref="I14" location="Transfers!B254" display="N" xr:uid="{00000000-0004-0000-0200-0000D6000000}"/>
    <hyperlink ref="J14" location="Transfers!B255" display="N" xr:uid="{00000000-0004-0000-0200-0000D7000000}"/>
    <hyperlink ref="L14" location="Transfers!B257" display="N" xr:uid="{00000000-0004-0000-0200-0000D8000000}"/>
    <hyperlink ref="M14" location="Transfers!B258" display="N" xr:uid="{00000000-0004-0000-0200-0000D9000000}"/>
    <hyperlink ref="N14" location="Transfers!B259" display="N" xr:uid="{00000000-0004-0000-0200-0000DA000000}"/>
    <hyperlink ref="O14" location="Transfers!B260" display="N" xr:uid="{00000000-0004-0000-0200-0000DB000000}"/>
    <hyperlink ref="P14" location="Transfers!B261" display="N" xr:uid="{00000000-0004-0000-0200-0000DC000000}"/>
    <hyperlink ref="Q14" location="Transfers!B262" display="N" xr:uid="{00000000-0004-0000-0200-0000DD000000}"/>
    <hyperlink ref="R14" location="Transfers!B263" display="N" xr:uid="{00000000-0004-0000-0200-0000DE000000}"/>
    <hyperlink ref="S14" location="Transfers!B264" display="N" xr:uid="{00000000-0004-0000-0200-0000DF000000}"/>
    <hyperlink ref="T14" location="Transfers!B265" display="N" xr:uid="{00000000-0004-0000-0200-0000E0000000}"/>
    <hyperlink ref="U14" location="Transfers!B266" display="N" xr:uid="{00000000-0004-0000-0200-0000E1000000}"/>
    <hyperlink ref="V14" location="Transfers!B267" display="N" xr:uid="{00000000-0004-0000-0200-0000E2000000}"/>
    <hyperlink ref="W14" location="Transfers!B268" display="N" xr:uid="{00000000-0004-0000-0200-0000E3000000}"/>
    <hyperlink ref="X14" location="Transfers!B269" display="N" xr:uid="{00000000-0004-0000-0200-0000E4000000}"/>
    <hyperlink ref="Y14" location="Transfers!B270" display="N" xr:uid="{00000000-0004-0000-0200-0000E5000000}"/>
    <hyperlink ref="B15" location="Transfers!B271" display="N" xr:uid="{00000000-0004-0000-0200-0000E6000000}"/>
    <hyperlink ref="C15" location="Transfers!B272" display="N" xr:uid="{00000000-0004-0000-0200-0000E7000000}"/>
    <hyperlink ref="D15" location="Transfers!B273" display="N" xr:uid="{00000000-0004-0000-0200-0000E8000000}"/>
    <hyperlink ref="E15" location="Transfers!B274" display="N" xr:uid="{00000000-0004-0000-0200-0000E9000000}"/>
    <hyperlink ref="F15" location="Transfers!B275" display="N" xr:uid="{00000000-0004-0000-0200-0000EA000000}"/>
    <hyperlink ref="G15" location="Transfers!B276" display="N" xr:uid="{00000000-0004-0000-0200-0000EB000000}"/>
    <hyperlink ref="H15" location="Transfers!B277" display="N" xr:uid="{00000000-0004-0000-0200-0000EC000000}"/>
    <hyperlink ref="I15" location="Transfers!B278" display="N" xr:uid="{00000000-0004-0000-0200-0000ED000000}"/>
    <hyperlink ref="J15" location="Transfers!B279" display="N" xr:uid="{00000000-0004-0000-0200-0000EE000000}"/>
    <hyperlink ref="K15" location="Transfers!B280" display="N" xr:uid="{00000000-0004-0000-0200-0000EF000000}"/>
    <hyperlink ref="M15" location="Transfers!B282" display="N" xr:uid="{00000000-0004-0000-0200-0000F0000000}"/>
    <hyperlink ref="N15" location="Transfers!B283" display="N" xr:uid="{00000000-0004-0000-0200-0000F1000000}"/>
    <hyperlink ref="O15" location="Transfers!B284" display="N" xr:uid="{00000000-0004-0000-0200-0000F2000000}"/>
    <hyperlink ref="P15" location="Transfers!B285" display="N" xr:uid="{00000000-0004-0000-0200-0000F3000000}"/>
    <hyperlink ref="Q15" location="Transfers!B286" display="N" xr:uid="{00000000-0004-0000-0200-0000F4000000}"/>
    <hyperlink ref="R15" location="Transfers!B287" display="N" xr:uid="{00000000-0004-0000-0200-0000F5000000}"/>
    <hyperlink ref="S15" location="Transfers!B288" display="N" xr:uid="{00000000-0004-0000-0200-0000F6000000}"/>
    <hyperlink ref="T15" location="Transfers!B289" display="N" xr:uid="{00000000-0004-0000-0200-0000F7000000}"/>
    <hyperlink ref="U15" location="Transfers!B290" display="N" xr:uid="{00000000-0004-0000-0200-0000F8000000}"/>
    <hyperlink ref="V15" location="Transfers!B291" display="N" xr:uid="{00000000-0004-0000-0200-0000F9000000}"/>
    <hyperlink ref="W15" location="Transfers!B292" display="N" xr:uid="{00000000-0004-0000-0200-0000FA000000}"/>
    <hyperlink ref="X15" location="Transfers!B293" display="N" xr:uid="{00000000-0004-0000-0200-0000FB000000}"/>
    <hyperlink ref="Y15" location="Transfers!B294" display="N" xr:uid="{00000000-0004-0000-0200-0000FC000000}"/>
    <hyperlink ref="B16" location="Transfers!B295" display="N" xr:uid="{00000000-0004-0000-0200-0000FD000000}"/>
    <hyperlink ref="C16" location="Transfers!B296" display="N" xr:uid="{00000000-0004-0000-0200-0000FE000000}"/>
    <hyperlink ref="D16" location="Transfers!B297" display="N" xr:uid="{00000000-0004-0000-0200-0000FF000000}"/>
    <hyperlink ref="E16" location="Transfers!B298" display="N" xr:uid="{00000000-0004-0000-0200-000000010000}"/>
    <hyperlink ref="F16" location="Transfers!B299" display="N" xr:uid="{00000000-0004-0000-0200-000001010000}"/>
    <hyperlink ref="G16" location="Transfers!B300" display="N" xr:uid="{00000000-0004-0000-0200-000002010000}"/>
    <hyperlink ref="H16" location="Transfers!B301" display="N" xr:uid="{00000000-0004-0000-0200-000003010000}"/>
    <hyperlink ref="I16" location="Transfers!B302" display="N" xr:uid="{00000000-0004-0000-0200-000004010000}"/>
    <hyperlink ref="J16" location="Transfers!B303" display="N" xr:uid="{00000000-0004-0000-0200-000005010000}"/>
    <hyperlink ref="K16" location="Transfers!B304" display="N" xr:uid="{00000000-0004-0000-0200-000006010000}"/>
    <hyperlink ref="L16" location="Transfers!B305" display="N" xr:uid="{00000000-0004-0000-0200-000007010000}"/>
    <hyperlink ref="N16" location="Transfers!B307" display="N" xr:uid="{00000000-0004-0000-0200-000008010000}"/>
    <hyperlink ref="O16" location="Transfers!B308" display="N" xr:uid="{00000000-0004-0000-0200-000009010000}"/>
    <hyperlink ref="P16" location="Transfers!B309" display="N" xr:uid="{00000000-0004-0000-0200-00000A010000}"/>
    <hyperlink ref="Q16" location="Transfers!B310" display="N" xr:uid="{00000000-0004-0000-0200-00000B010000}"/>
    <hyperlink ref="R16" location="Transfers!B311" display="N" xr:uid="{00000000-0004-0000-0200-00000C010000}"/>
    <hyperlink ref="S16" location="Transfers!B312" display="N" xr:uid="{00000000-0004-0000-0200-00000D010000}"/>
    <hyperlink ref="T16" location="Transfers!B313" display="N" xr:uid="{00000000-0004-0000-0200-00000E010000}"/>
    <hyperlink ref="U16" location="Transfers!B314" display="N" xr:uid="{00000000-0004-0000-0200-00000F010000}"/>
    <hyperlink ref="V16" location="Transfers!B315" display="N" xr:uid="{00000000-0004-0000-0200-000010010000}"/>
    <hyperlink ref="W16" location="Transfers!B316" display="N" xr:uid="{00000000-0004-0000-0200-000011010000}"/>
    <hyperlink ref="X16" location="Transfers!B317" display="N" xr:uid="{00000000-0004-0000-0200-000012010000}"/>
    <hyperlink ref="Y16" location="Transfers!B318" display="N" xr:uid="{00000000-0004-0000-0200-000013010000}"/>
    <hyperlink ref="B17" location="Transfers!B319" display="N" xr:uid="{00000000-0004-0000-0200-000014010000}"/>
    <hyperlink ref="C17" location="Transfers!B320" display="N" xr:uid="{00000000-0004-0000-0200-000015010000}"/>
    <hyperlink ref="D17" location="Transfers!B321" display="N" xr:uid="{00000000-0004-0000-0200-000016010000}"/>
    <hyperlink ref="E17" location="Transfers!B322" display="N" xr:uid="{00000000-0004-0000-0200-000017010000}"/>
    <hyperlink ref="F17" location="Transfers!B323" display="N" xr:uid="{00000000-0004-0000-0200-000018010000}"/>
    <hyperlink ref="G17" location="Transfers!B324" display="N" xr:uid="{00000000-0004-0000-0200-000019010000}"/>
    <hyperlink ref="H17" location="Transfers!B325" display="N" xr:uid="{00000000-0004-0000-0200-00001A010000}"/>
    <hyperlink ref="I17" location="Transfers!B326" display="N" xr:uid="{00000000-0004-0000-0200-00001B010000}"/>
    <hyperlink ref="J17" location="Transfers!B327" display="N" xr:uid="{00000000-0004-0000-0200-00001C010000}"/>
    <hyperlink ref="K17" location="Transfers!B328" display="N" xr:uid="{00000000-0004-0000-0200-00001D010000}"/>
    <hyperlink ref="L17" location="Transfers!B329" display="N" xr:uid="{00000000-0004-0000-0200-00001E010000}"/>
    <hyperlink ref="M17" location="Transfers!B330" display="N" xr:uid="{00000000-0004-0000-0200-00001F010000}"/>
    <hyperlink ref="O17" location="Transfers!B332" display="N" xr:uid="{00000000-0004-0000-0200-000020010000}"/>
    <hyperlink ref="P17" location="Transfers!B333" display="N" xr:uid="{00000000-0004-0000-0200-000021010000}"/>
    <hyperlink ref="Q17" location="Transfers!B334" display="N" xr:uid="{00000000-0004-0000-0200-000022010000}"/>
    <hyperlink ref="R17" location="Transfers!B335" display="N" xr:uid="{00000000-0004-0000-0200-000023010000}"/>
    <hyperlink ref="S17" location="Transfers!B336" display="N" xr:uid="{00000000-0004-0000-0200-000024010000}"/>
    <hyperlink ref="T17" location="Transfers!B337" display="N" xr:uid="{00000000-0004-0000-0200-000025010000}"/>
    <hyperlink ref="U17" location="Transfers!B338" display="N" xr:uid="{00000000-0004-0000-0200-000026010000}"/>
    <hyperlink ref="V17" location="Transfers!B339" display="N" xr:uid="{00000000-0004-0000-0200-000027010000}"/>
    <hyperlink ref="W17" location="Transfers!B340" display="N" xr:uid="{00000000-0004-0000-0200-000028010000}"/>
    <hyperlink ref="X17" location="Transfers!B341" display="N" xr:uid="{00000000-0004-0000-0200-000029010000}"/>
    <hyperlink ref="Y17" location="Transfers!B342" display="N" xr:uid="{00000000-0004-0000-0200-00002A010000}"/>
    <hyperlink ref="B18" location="Transfers!B343" display="N" xr:uid="{00000000-0004-0000-0200-00002B010000}"/>
    <hyperlink ref="C18" location="Transfers!B344" display="N" xr:uid="{00000000-0004-0000-0200-00002C010000}"/>
    <hyperlink ref="D18" location="Transfers!B345" display="N" xr:uid="{00000000-0004-0000-0200-00002D010000}"/>
    <hyperlink ref="E18" location="Transfers!B346" display="N" xr:uid="{00000000-0004-0000-0200-00002E010000}"/>
    <hyperlink ref="F18" location="Transfers!B347" display="N" xr:uid="{00000000-0004-0000-0200-00002F010000}"/>
    <hyperlink ref="G18" location="Transfers!B348" display="N" xr:uid="{00000000-0004-0000-0200-000030010000}"/>
    <hyperlink ref="H18" location="Transfers!B349" display="N" xr:uid="{00000000-0004-0000-0200-000031010000}"/>
    <hyperlink ref="I18" location="Transfers!B350" display="N" xr:uid="{00000000-0004-0000-0200-000032010000}"/>
    <hyperlink ref="J18" location="Transfers!B351" display="N" xr:uid="{00000000-0004-0000-0200-000033010000}"/>
    <hyperlink ref="K18" location="Transfers!B352" display="N" xr:uid="{00000000-0004-0000-0200-000034010000}"/>
    <hyperlink ref="L18" location="Transfers!B353" display="N" xr:uid="{00000000-0004-0000-0200-000035010000}"/>
    <hyperlink ref="M18" location="Transfers!B354" display="N" xr:uid="{00000000-0004-0000-0200-000036010000}"/>
    <hyperlink ref="N18" location="Transfers!B355" display="N" xr:uid="{00000000-0004-0000-0200-000037010000}"/>
    <hyperlink ref="P18" location="Transfers!B357" display="N" xr:uid="{00000000-0004-0000-0200-000038010000}"/>
    <hyperlink ref="Q18" location="Transfers!B358" display="N" xr:uid="{00000000-0004-0000-0200-000039010000}"/>
    <hyperlink ref="R18" location="Transfers!B359" display="N" xr:uid="{00000000-0004-0000-0200-00003A010000}"/>
    <hyperlink ref="S18" location="Transfers!B360" display="N" xr:uid="{00000000-0004-0000-0200-00003B010000}"/>
    <hyperlink ref="T18" location="Transfers!B361" display="N" xr:uid="{00000000-0004-0000-0200-00003C010000}"/>
    <hyperlink ref="U18" location="Transfers!B362" display="N" xr:uid="{00000000-0004-0000-0200-00003D010000}"/>
    <hyperlink ref="V18" location="Transfers!B363" display="N" xr:uid="{00000000-0004-0000-0200-00003E010000}"/>
    <hyperlink ref="W18" location="Transfers!B364" display="N" xr:uid="{00000000-0004-0000-0200-00003F010000}"/>
    <hyperlink ref="X18" location="Transfers!B365" display="N" xr:uid="{00000000-0004-0000-0200-000040010000}"/>
    <hyperlink ref="Y18" location="Transfers!B366" display="N" xr:uid="{00000000-0004-0000-0200-000041010000}"/>
    <hyperlink ref="B19" location="Transfers!B367" display="N" xr:uid="{00000000-0004-0000-0200-000042010000}"/>
    <hyperlink ref="C19" location="Transfers!B368" display="N" xr:uid="{00000000-0004-0000-0200-000043010000}"/>
    <hyperlink ref="D19" location="Transfers!B369" display="N" xr:uid="{00000000-0004-0000-0200-000044010000}"/>
    <hyperlink ref="E19" location="Transfers!B370" display="N" xr:uid="{00000000-0004-0000-0200-000045010000}"/>
    <hyperlink ref="F19" location="Transfers!B371" display="N" xr:uid="{00000000-0004-0000-0200-000046010000}"/>
    <hyperlink ref="G19" location="Transfers!B372" display="N" xr:uid="{00000000-0004-0000-0200-000047010000}"/>
    <hyperlink ref="H19" location="Transfers!B373" display="N" xr:uid="{00000000-0004-0000-0200-000048010000}"/>
    <hyperlink ref="I19" location="Transfers!B374" display="N" xr:uid="{00000000-0004-0000-0200-000049010000}"/>
    <hyperlink ref="J19" location="Transfers!B375" display="N" xr:uid="{00000000-0004-0000-0200-00004A010000}"/>
    <hyperlink ref="K19" location="Transfers!B376" display="N" xr:uid="{00000000-0004-0000-0200-00004B010000}"/>
    <hyperlink ref="L19" location="Transfers!B377" display="N" xr:uid="{00000000-0004-0000-0200-00004C010000}"/>
    <hyperlink ref="M19" location="Transfers!B378" display="N" xr:uid="{00000000-0004-0000-0200-00004D010000}"/>
    <hyperlink ref="N19" location="Transfers!B379" display="N" xr:uid="{00000000-0004-0000-0200-00004E010000}"/>
    <hyperlink ref="O19" location="Transfers!B380" display="N" xr:uid="{00000000-0004-0000-0200-00004F010000}"/>
    <hyperlink ref="Q19" location="Transfers!B382" display="N" xr:uid="{00000000-0004-0000-0200-000050010000}"/>
    <hyperlink ref="R19" location="Transfers!B383" display="N" xr:uid="{00000000-0004-0000-0200-000051010000}"/>
    <hyperlink ref="S19" location="Transfers!B384" display="N" xr:uid="{00000000-0004-0000-0200-000052010000}"/>
    <hyperlink ref="T19" location="Transfers!B385" display="N" xr:uid="{00000000-0004-0000-0200-000053010000}"/>
    <hyperlink ref="U19" location="Transfers!B386" display="N" xr:uid="{00000000-0004-0000-0200-000054010000}"/>
    <hyperlink ref="V19" location="Transfers!B387" display="N" xr:uid="{00000000-0004-0000-0200-000055010000}"/>
    <hyperlink ref="W19" location="Transfers!B388" display="N" xr:uid="{00000000-0004-0000-0200-000056010000}"/>
    <hyperlink ref="X19" location="Transfers!B389" display="N" xr:uid="{00000000-0004-0000-0200-000057010000}"/>
    <hyperlink ref="Y19" location="Transfers!B390" display="N" xr:uid="{00000000-0004-0000-0200-000058010000}"/>
    <hyperlink ref="B20" location="Transfers!B391" display="N" xr:uid="{00000000-0004-0000-0200-000059010000}"/>
    <hyperlink ref="C20" location="Transfers!B392" display="N" xr:uid="{00000000-0004-0000-0200-00005A010000}"/>
    <hyperlink ref="D20" location="Transfers!B393" display="N" xr:uid="{00000000-0004-0000-0200-00005B010000}"/>
    <hyperlink ref="E20" location="Transfers!B394" display="N" xr:uid="{00000000-0004-0000-0200-00005C010000}"/>
    <hyperlink ref="F20" location="Transfers!B395" display="N" xr:uid="{00000000-0004-0000-0200-00005D010000}"/>
    <hyperlink ref="G20" location="Transfers!B396" display="N" xr:uid="{00000000-0004-0000-0200-00005E010000}"/>
    <hyperlink ref="H20" location="Transfers!B397" display="N" xr:uid="{00000000-0004-0000-0200-00005F010000}"/>
    <hyperlink ref="I20" location="Transfers!B398" display="N" xr:uid="{00000000-0004-0000-0200-000060010000}"/>
    <hyperlink ref="J20" location="Transfers!B399" display="N" xr:uid="{00000000-0004-0000-0200-000061010000}"/>
    <hyperlink ref="K20" location="Transfers!B400" display="N" xr:uid="{00000000-0004-0000-0200-000062010000}"/>
    <hyperlink ref="L20" location="Transfers!B401" display="N" xr:uid="{00000000-0004-0000-0200-000063010000}"/>
    <hyperlink ref="M20" location="Transfers!B402" display="N" xr:uid="{00000000-0004-0000-0200-000064010000}"/>
    <hyperlink ref="N20" location="Transfers!B403" display="N" xr:uid="{00000000-0004-0000-0200-000065010000}"/>
    <hyperlink ref="O20" location="Transfers!B404" display="N" xr:uid="{00000000-0004-0000-0200-000066010000}"/>
    <hyperlink ref="P20" location="Transfers!B405" display="N" xr:uid="{00000000-0004-0000-0200-000067010000}"/>
    <hyperlink ref="R20" location="Transfers!B407" display="N" xr:uid="{00000000-0004-0000-0200-000068010000}"/>
    <hyperlink ref="S20" location="Transfers!B408" display="N" xr:uid="{00000000-0004-0000-0200-000069010000}"/>
    <hyperlink ref="T20" location="Transfers!B409" display="N" xr:uid="{00000000-0004-0000-0200-00006A010000}"/>
    <hyperlink ref="U20" location="Transfers!B410" display="N" xr:uid="{00000000-0004-0000-0200-00006B010000}"/>
    <hyperlink ref="V20" location="Transfers!B411" display="N" xr:uid="{00000000-0004-0000-0200-00006C010000}"/>
    <hyperlink ref="W20" location="Transfers!B412" display="N" xr:uid="{00000000-0004-0000-0200-00006D010000}"/>
    <hyperlink ref="X20" location="Transfers!B413" display="N" xr:uid="{00000000-0004-0000-0200-00006E010000}"/>
    <hyperlink ref="Y20" location="Transfers!B414" display="N" xr:uid="{00000000-0004-0000-0200-00006F010000}"/>
    <hyperlink ref="B21" location="Transfers!B415" display="N" xr:uid="{00000000-0004-0000-0200-000070010000}"/>
    <hyperlink ref="C21" location="Transfers!B416" display="N" xr:uid="{00000000-0004-0000-0200-000071010000}"/>
    <hyperlink ref="D21" location="Transfers!B417" display="N" xr:uid="{00000000-0004-0000-0200-000072010000}"/>
    <hyperlink ref="E21" location="Transfers!B418" display="N" xr:uid="{00000000-0004-0000-0200-000073010000}"/>
    <hyperlink ref="F21" location="Transfers!B419" display="N" xr:uid="{00000000-0004-0000-0200-000074010000}"/>
    <hyperlink ref="G21" location="Transfers!B420" display="N" xr:uid="{00000000-0004-0000-0200-000075010000}"/>
    <hyperlink ref="H21" location="Transfers!B421" display="N" xr:uid="{00000000-0004-0000-0200-000076010000}"/>
    <hyperlink ref="I21" location="Transfers!B422" display="N" xr:uid="{00000000-0004-0000-0200-000077010000}"/>
    <hyperlink ref="J21" location="Transfers!B423" display="N" xr:uid="{00000000-0004-0000-0200-000078010000}"/>
    <hyperlink ref="K21" location="Transfers!B424" display="N" xr:uid="{00000000-0004-0000-0200-000079010000}"/>
    <hyperlink ref="L21" location="Transfers!B425" display="N" xr:uid="{00000000-0004-0000-0200-00007A010000}"/>
    <hyperlink ref="M21" location="Transfers!B426" display="N" xr:uid="{00000000-0004-0000-0200-00007B010000}"/>
    <hyperlink ref="N21" location="Transfers!B427" display="N" xr:uid="{00000000-0004-0000-0200-00007C010000}"/>
    <hyperlink ref="O21" location="Transfers!B428" display="N" xr:uid="{00000000-0004-0000-0200-00007D010000}"/>
    <hyperlink ref="P21" location="Transfers!B429" display="N" xr:uid="{00000000-0004-0000-0200-00007E010000}"/>
    <hyperlink ref="Q21" location="Transfers!B430" display="N" xr:uid="{00000000-0004-0000-0200-00007F010000}"/>
    <hyperlink ref="S21" location="Transfers!B432" display="N" xr:uid="{00000000-0004-0000-0200-000080010000}"/>
    <hyperlink ref="T21" location="Transfers!B433" display="N" xr:uid="{00000000-0004-0000-0200-000081010000}"/>
    <hyperlink ref="U21" location="Transfers!B434" display="N" xr:uid="{00000000-0004-0000-0200-000082010000}"/>
    <hyperlink ref="V21" location="Transfers!B435" display="N" xr:uid="{00000000-0004-0000-0200-000083010000}"/>
    <hyperlink ref="W21" location="Transfers!B436" display="N" xr:uid="{00000000-0004-0000-0200-000084010000}"/>
    <hyperlink ref="X21" location="Transfers!B437" display="N" xr:uid="{00000000-0004-0000-0200-000085010000}"/>
    <hyperlink ref="Y21" location="Transfers!B438" display="N" xr:uid="{00000000-0004-0000-0200-000086010000}"/>
    <hyperlink ref="B22" location="Transfers!B439" display="N" xr:uid="{00000000-0004-0000-0200-000087010000}"/>
    <hyperlink ref="C22" location="Transfers!B440" display="N" xr:uid="{00000000-0004-0000-0200-000088010000}"/>
    <hyperlink ref="D22" location="Transfers!B441" display="N" xr:uid="{00000000-0004-0000-0200-000089010000}"/>
    <hyperlink ref="E22" location="Transfers!B442" display="N" xr:uid="{00000000-0004-0000-0200-00008A010000}"/>
    <hyperlink ref="F22" location="Transfers!B443" display="N" xr:uid="{00000000-0004-0000-0200-00008B010000}"/>
    <hyperlink ref="G22" location="Transfers!B444" display="N" xr:uid="{00000000-0004-0000-0200-00008C010000}"/>
    <hyperlink ref="H22" location="Transfers!B445" display="N" xr:uid="{00000000-0004-0000-0200-00008D010000}"/>
    <hyperlink ref="I22" location="Transfers!B446" display="N" xr:uid="{00000000-0004-0000-0200-00008E010000}"/>
    <hyperlink ref="J22" location="Transfers!B447" display="N" xr:uid="{00000000-0004-0000-0200-00008F010000}"/>
    <hyperlink ref="K22" location="Transfers!B448" display="N" xr:uid="{00000000-0004-0000-0200-000090010000}"/>
    <hyperlink ref="L22" location="Transfers!B449" display="N" xr:uid="{00000000-0004-0000-0200-000091010000}"/>
    <hyperlink ref="M22" location="Transfers!B450" display="N" xr:uid="{00000000-0004-0000-0200-000092010000}"/>
    <hyperlink ref="N22" location="Transfers!B451" display="N" xr:uid="{00000000-0004-0000-0200-000093010000}"/>
    <hyperlink ref="O22" location="Transfers!B452" display="N" xr:uid="{00000000-0004-0000-0200-000094010000}"/>
    <hyperlink ref="P22" location="Transfers!B453" display="N" xr:uid="{00000000-0004-0000-0200-000095010000}"/>
    <hyperlink ref="Q22" location="Transfers!B454" display="N" xr:uid="{00000000-0004-0000-0200-000096010000}"/>
    <hyperlink ref="R22" location="Transfers!B455" display="N" xr:uid="{00000000-0004-0000-0200-000097010000}"/>
    <hyperlink ref="T22" location="Transfers!B457" display="N" xr:uid="{00000000-0004-0000-0200-000098010000}"/>
    <hyperlink ref="U22" location="Transfers!B458" display="N" xr:uid="{00000000-0004-0000-0200-000099010000}"/>
    <hyperlink ref="V22" location="Transfers!B459" display="N" xr:uid="{00000000-0004-0000-0200-00009A010000}"/>
    <hyperlink ref="W22" location="Transfers!B460" display="N" xr:uid="{00000000-0004-0000-0200-00009B010000}"/>
    <hyperlink ref="X22" location="Transfers!B461" display="N" xr:uid="{00000000-0004-0000-0200-00009C010000}"/>
    <hyperlink ref="Y22" location="Transfers!B462" display="N" xr:uid="{00000000-0004-0000-0200-00009D010000}"/>
    <hyperlink ref="B23" location="Transfers!B463" display="N" xr:uid="{00000000-0004-0000-0200-00009E010000}"/>
    <hyperlink ref="C23" location="Transfers!B464" display="N" xr:uid="{00000000-0004-0000-0200-00009F010000}"/>
    <hyperlink ref="D23" location="Transfers!B465" display="N" xr:uid="{00000000-0004-0000-0200-0000A0010000}"/>
    <hyperlink ref="E23" location="Transfers!B466" display="N" xr:uid="{00000000-0004-0000-0200-0000A1010000}"/>
    <hyperlink ref="F23" location="Transfers!B467" display="N" xr:uid="{00000000-0004-0000-0200-0000A2010000}"/>
    <hyperlink ref="G23" location="Transfers!B468" display="N" xr:uid="{00000000-0004-0000-0200-0000A3010000}"/>
    <hyperlink ref="H23" location="Transfers!B469" display="N" xr:uid="{00000000-0004-0000-0200-0000A4010000}"/>
    <hyperlink ref="I23" location="Transfers!B470" display="N" xr:uid="{00000000-0004-0000-0200-0000A5010000}"/>
    <hyperlink ref="J23" location="Transfers!B471" display="N" xr:uid="{00000000-0004-0000-0200-0000A6010000}"/>
    <hyperlink ref="K23" location="Transfers!B472" display="N" xr:uid="{00000000-0004-0000-0200-0000A7010000}"/>
    <hyperlink ref="L23" location="Transfers!B473" display="N" xr:uid="{00000000-0004-0000-0200-0000A8010000}"/>
    <hyperlink ref="M23" location="Transfers!B474" display="N" xr:uid="{00000000-0004-0000-0200-0000A9010000}"/>
    <hyperlink ref="N23" location="Transfers!B475" display="N" xr:uid="{00000000-0004-0000-0200-0000AA010000}"/>
    <hyperlink ref="O23" location="Transfers!B476" display="N" xr:uid="{00000000-0004-0000-0200-0000AB010000}"/>
    <hyperlink ref="P23" location="Transfers!B477" display="N" xr:uid="{00000000-0004-0000-0200-0000AC010000}"/>
    <hyperlink ref="Q23" location="Transfers!B478" display="N" xr:uid="{00000000-0004-0000-0200-0000AD010000}"/>
    <hyperlink ref="R23" location="Transfers!B479" display="N" xr:uid="{00000000-0004-0000-0200-0000AE010000}"/>
    <hyperlink ref="S23" location="Transfers!B480" display="N" xr:uid="{00000000-0004-0000-0200-0000AF010000}"/>
    <hyperlink ref="U23" location="Transfers!B482" display="N" xr:uid="{00000000-0004-0000-0200-0000B0010000}"/>
    <hyperlink ref="V23" location="Transfers!B483" display="N" xr:uid="{00000000-0004-0000-0200-0000B1010000}"/>
    <hyperlink ref="W23" location="Transfers!B484" display="N" xr:uid="{00000000-0004-0000-0200-0000B2010000}"/>
    <hyperlink ref="X23" location="Transfers!B485" display="N" xr:uid="{00000000-0004-0000-0200-0000B3010000}"/>
    <hyperlink ref="Y23" location="Transfers!B486" display="N" xr:uid="{00000000-0004-0000-0200-0000B4010000}"/>
    <hyperlink ref="B24" location="Transfers!B487" display="N" xr:uid="{00000000-0004-0000-0200-0000B5010000}"/>
    <hyperlink ref="C24" location="Transfers!B488" display="N" xr:uid="{00000000-0004-0000-0200-0000B6010000}"/>
    <hyperlink ref="D24" location="Transfers!B489" display="N" xr:uid="{00000000-0004-0000-0200-0000B7010000}"/>
    <hyperlink ref="E24" location="Transfers!B490" display="N" xr:uid="{00000000-0004-0000-0200-0000B8010000}"/>
    <hyperlink ref="F24" location="Transfers!B491" display="N" xr:uid="{00000000-0004-0000-0200-0000B9010000}"/>
    <hyperlink ref="G24" location="Transfers!B492" display="N" xr:uid="{00000000-0004-0000-0200-0000BA010000}"/>
    <hyperlink ref="H24" location="Transfers!B493" display="N" xr:uid="{00000000-0004-0000-0200-0000BB010000}"/>
    <hyperlink ref="I24" location="Transfers!B494" display="N" xr:uid="{00000000-0004-0000-0200-0000BC010000}"/>
    <hyperlink ref="J24" location="Transfers!B495" display="N" xr:uid="{00000000-0004-0000-0200-0000BD010000}"/>
    <hyperlink ref="K24" location="Transfers!B496" display="N" xr:uid="{00000000-0004-0000-0200-0000BE010000}"/>
    <hyperlink ref="L24" location="Transfers!B497" display="N" xr:uid="{00000000-0004-0000-0200-0000BF010000}"/>
    <hyperlink ref="M24" location="Transfers!B498" display="N" xr:uid="{00000000-0004-0000-0200-0000C0010000}"/>
    <hyperlink ref="N24" location="Transfers!B499" display="N" xr:uid="{00000000-0004-0000-0200-0000C1010000}"/>
    <hyperlink ref="O24" location="Transfers!B500" display="N" xr:uid="{00000000-0004-0000-0200-0000C2010000}"/>
    <hyperlink ref="P24" location="Transfers!B501" display="N" xr:uid="{00000000-0004-0000-0200-0000C3010000}"/>
    <hyperlink ref="Q24" location="Transfers!B502" display="N" xr:uid="{00000000-0004-0000-0200-0000C4010000}"/>
    <hyperlink ref="R24" location="Transfers!B503" display="N" xr:uid="{00000000-0004-0000-0200-0000C5010000}"/>
    <hyperlink ref="S24" location="Transfers!B504" display="N" xr:uid="{00000000-0004-0000-0200-0000C6010000}"/>
    <hyperlink ref="T24" location="Transfers!B505" display="N" xr:uid="{00000000-0004-0000-0200-0000C7010000}"/>
    <hyperlink ref="V24" location="Transfers!B507" display="N" xr:uid="{00000000-0004-0000-0200-0000C8010000}"/>
    <hyperlink ref="W24" location="Transfers!B508" display="N" xr:uid="{00000000-0004-0000-0200-0000C9010000}"/>
    <hyperlink ref="X24" location="Transfers!B509" display="N" xr:uid="{00000000-0004-0000-0200-0000CA010000}"/>
    <hyperlink ref="Y24" location="Transfers!B510" display="N" xr:uid="{00000000-0004-0000-0200-0000CB010000}"/>
    <hyperlink ref="B25" location="Transfers!B511" display="N" xr:uid="{00000000-0004-0000-0200-0000CC010000}"/>
    <hyperlink ref="C25" location="Transfers!B512" display="N" xr:uid="{00000000-0004-0000-0200-0000CD010000}"/>
    <hyperlink ref="D25" location="Transfers!B513" display="N" xr:uid="{00000000-0004-0000-0200-0000CE010000}"/>
    <hyperlink ref="E25" location="Transfers!B514" display="N" xr:uid="{00000000-0004-0000-0200-0000CF010000}"/>
    <hyperlink ref="F25" location="Transfers!B515" display="N" xr:uid="{00000000-0004-0000-0200-0000D0010000}"/>
    <hyperlink ref="G25" location="Transfers!B516" display="N" xr:uid="{00000000-0004-0000-0200-0000D1010000}"/>
    <hyperlink ref="H25" location="Transfers!B517" display="N" xr:uid="{00000000-0004-0000-0200-0000D2010000}"/>
    <hyperlink ref="I25" location="Transfers!B518" display="N" xr:uid="{00000000-0004-0000-0200-0000D3010000}"/>
    <hyperlink ref="J25" location="Transfers!B519" display="N" xr:uid="{00000000-0004-0000-0200-0000D4010000}"/>
    <hyperlink ref="K25" location="Transfers!B520" display="N" xr:uid="{00000000-0004-0000-0200-0000D5010000}"/>
    <hyperlink ref="L25" location="Transfers!B521" display="N" xr:uid="{00000000-0004-0000-0200-0000D6010000}"/>
    <hyperlink ref="M25" location="Transfers!B522" display="N" xr:uid="{00000000-0004-0000-0200-0000D7010000}"/>
    <hyperlink ref="N25" location="Transfers!B523" display="N" xr:uid="{00000000-0004-0000-0200-0000D8010000}"/>
    <hyperlink ref="O25" location="Transfers!B524" display="N" xr:uid="{00000000-0004-0000-0200-0000D9010000}"/>
    <hyperlink ref="P25" location="Transfers!B525" display="N" xr:uid="{00000000-0004-0000-0200-0000DA010000}"/>
    <hyperlink ref="Q25" location="Transfers!B526" display="N" xr:uid="{00000000-0004-0000-0200-0000DB010000}"/>
    <hyperlink ref="R25" location="Transfers!B527" display="N" xr:uid="{00000000-0004-0000-0200-0000DC010000}"/>
    <hyperlink ref="S25" location="Transfers!B528" display="N" xr:uid="{00000000-0004-0000-0200-0000DD010000}"/>
    <hyperlink ref="T25" location="Transfers!B529" display="N" xr:uid="{00000000-0004-0000-0200-0000DE010000}"/>
    <hyperlink ref="U25" location="Transfers!B530" display="N" xr:uid="{00000000-0004-0000-0200-0000DF010000}"/>
    <hyperlink ref="W25" location="Transfers!B532" display="N" xr:uid="{00000000-0004-0000-0200-0000E0010000}"/>
    <hyperlink ref="X25" location="Transfers!B533" display="N" xr:uid="{00000000-0004-0000-0200-0000E1010000}"/>
    <hyperlink ref="Y25" location="Transfers!B534" display="N" xr:uid="{00000000-0004-0000-0200-0000E2010000}"/>
    <hyperlink ref="B26" location="Transfers!B535" display="N" xr:uid="{00000000-0004-0000-0200-0000E3010000}"/>
    <hyperlink ref="C26" location="Transfers!B536" display="N" xr:uid="{00000000-0004-0000-0200-0000E4010000}"/>
    <hyperlink ref="D26" location="Transfers!B537" display="N" xr:uid="{00000000-0004-0000-0200-0000E5010000}"/>
    <hyperlink ref="E26" location="Transfers!B538" display="N" xr:uid="{00000000-0004-0000-0200-0000E6010000}"/>
    <hyperlink ref="F26" location="Transfers!B539" display="N" xr:uid="{00000000-0004-0000-0200-0000E7010000}"/>
    <hyperlink ref="G26" location="Transfers!B540" display="N" xr:uid="{00000000-0004-0000-0200-0000E8010000}"/>
    <hyperlink ref="H26" location="Transfers!B541" display="N" xr:uid="{00000000-0004-0000-0200-0000E9010000}"/>
    <hyperlink ref="I26" location="Transfers!B542" display="N" xr:uid="{00000000-0004-0000-0200-0000EA010000}"/>
    <hyperlink ref="J26" location="Transfers!B543" display="N" xr:uid="{00000000-0004-0000-0200-0000EB010000}"/>
    <hyperlink ref="K26" location="Transfers!B544" display="N" xr:uid="{00000000-0004-0000-0200-0000EC010000}"/>
    <hyperlink ref="L26" location="Transfers!B545" display="N" xr:uid="{00000000-0004-0000-0200-0000ED010000}"/>
    <hyperlink ref="M26" location="Transfers!B546" display="N" xr:uid="{00000000-0004-0000-0200-0000EE010000}"/>
    <hyperlink ref="N26" location="Transfers!B547" display="N" xr:uid="{00000000-0004-0000-0200-0000EF010000}"/>
    <hyperlink ref="O26" location="Transfers!B548" display="N" xr:uid="{00000000-0004-0000-0200-0000F0010000}"/>
    <hyperlink ref="P26" location="Transfers!B549" display="N" xr:uid="{00000000-0004-0000-0200-0000F1010000}"/>
    <hyperlink ref="Q26" location="Transfers!B550" display="N" xr:uid="{00000000-0004-0000-0200-0000F2010000}"/>
    <hyperlink ref="R26" location="Transfers!B551" display="N" xr:uid="{00000000-0004-0000-0200-0000F3010000}"/>
    <hyperlink ref="S26" location="Transfers!B552" display="N" xr:uid="{00000000-0004-0000-0200-0000F4010000}"/>
    <hyperlink ref="T26" location="Transfers!B553" display="N" xr:uid="{00000000-0004-0000-0200-0000F5010000}"/>
    <hyperlink ref="U26" location="Transfers!B554" display="N" xr:uid="{00000000-0004-0000-0200-0000F6010000}"/>
    <hyperlink ref="V26" location="Transfers!B555" display="N" xr:uid="{00000000-0004-0000-0200-0000F7010000}"/>
    <hyperlink ref="X26" location="Transfers!B557" display="N" xr:uid="{00000000-0004-0000-0200-0000F8010000}"/>
    <hyperlink ref="Y26" location="Transfers!B558" display="N" xr:uid="{00000000-0004-0000-0200-0000F9010000}"/>
    <hyperlink ref="B27" location="Transfers!B559" display="N" xr:uid="{00000000-0004-0000-0200-0000FA010000}"/>
    <hyperlink ref="C27" location="Transfers!B560" display="N" xr:uid="{00000000-0004-0000-0200-0000FB010000}"/>
    <hyperlink ref="D27" location="Transfers!B561" display="N" xr:uid="{00000000-0004-0000-0200-0000FC010000}"/>
    <hyperlink ref="E27" location="Transfers!B562" display="N" xr:uid="{00000000-0004-0000-0200-0000FD010000}"/>
    <hyperlink ref="F27" location="Transfers!B563" display="N" xr:uid="{00000000-0004-0000-0200-0000FE010000}"/>
    <hyperlink ref="G27" location="Transfers!B564" display="N" xr:uid="{00000000-0004-0000-0200-0000FF010000}"/>
    <hyperlink ref="H27" location="Transfers!B565" display="N" xr:uid="{00000000-0004-0000-0200-000000020000}"/>
    <hyperlink ref="I27" location="Transfers!B566" display="N" xr:uid="{00000000-0004-0000-0200-000001020000}"/>
    <hyperlink ref="J27" location="Transfers!B567" display="N" xr:uid="{00000000-0004-0000-0200-000002020000}"/>
    <hyperlink ref="K27" location="Transfers!B568" display="N" xr:uid="{00000000-0004-0000-0200-000003020000}"/>
    <hyperlink ref="L27" location="Transfers!B569" display="N" xr:uid="{00000000-0004-0000-0200-000004020000}"/>
    <hyperlink ref="M27" location="Transfers!B570" display="N" xr:uid="{00000000-0004-0000-0200-000005020000}"/>
    <hyperlink ref="N27" location="Transfers!B571" display="N" xr:uid="{00000000-0004-0000-0200-000006020000}"/>
    <hyperlink ref="O27" location="Transfers!B572" display="N" xr:uid="{00000000-0004-0000-0200-000007020000}"/>
    <hyperlink ref="P27" location="Transfers!B573" display="N" xr:uid="{00000000-0004-0000-0200-000008020000}"/>
    <hyperlink ref="Q27" location="Transfers!B574" display="N" xr:uid="{00000000-0004-0000-0200-000009020000}"/>
    <hyperlink ref="R27" location="Transfers!B575" display="N" xr:uid="{00000000-0004-0000-0200-00000A020000}"/>
    <hyperlink ref="S27" location="Transfers!B576" display="N" xr:uid="{00000000-0004-0000-0200-00000B020000}"/>
    <hyperlink ref="T27" location="Transfers!B577" display="N" xr:uid="{00000000-0004-0000-0200-00000C020000}"/>
    <hyperlink ref="U27" location="Transfers!B578" display="N" xr:uid="{00000000-0004-0000-0200-00000D020000}"/>
    <hyperlink ref="V27" location="Transfers!B579" display="N" xr:uid="{00000000-0004-0000-0200-00000E020000}"/>
    <hyperlink ref="W27" location="Transfers!B580" display="N" xr:uid="{00000000-0004-0000-0200-00000F020000}"/>
    <hyperlink ref="Y27" location="Transfers!B582" display="N" xr:uid="{00000000-0004-0000-0200-000010020000}"/>
    <hyperlink ref="B28" location="Transfers!B583" display="N" xr:uid="{00000000-0004-0000-0200-000011020000}"/>
    <hyperlink ref="C28" location="Transfers!B584" display="N" xr:uid="{00000000-0004-0000-0200-000012020000}"/>
    <hyperlink ref="D28" location="Transfers!B585" display="N" xr:uid="{00000000-0004-0000-0200-000013020000}"/>
    <hyperlink ref="E28" location="Transfers!B586" display="N" xr:uid="{00000000-0004-0000-0200-000014020000}"/>
    <hyperlink ref="F28" location="Transfers!B587" display="N" xr:uid="{00000000-0004-0000-0200-000015020000}"/>
    <hyperlink ref="G28" location="Transfers!B588" display="N" xr:uid="{00000000-0004-0000-0200-000016020000}"/>
    <hyperlink ref="H28" location="Transfers!B589" display="N" xr:uid="{00000000-0004-0000-0200-000017020000}"/>
    <hyperlink ref="I28" location="Transfers!B590" display="N" xr:uid="{00000000-0004-0000-0200-000018020000}"/>
    <hyperlink ref="J28" location="Transfers!B591" display="N" xr:uid="{00000000-0004-0000-0200-000019020000}"/>
    <hyperlink ref="K28" location="Transfers!B592" display="N" xr:uid="{00000000-0004-0000-0200-00001A020000}"/>
    <hyperlink ref="L28" location="Transfers!B593" display="N" xr:uid="{00000000-0004-0000-0200-00001B020000}"/>
    <hyperlink ref="M28" location="Transfers!B594" display="N" xr:uid="{00000000-0004-0000-0200-00001C020000}"/>
    <hyperlink ref="N28" location="Transfers!B595" display="N" xr:uid="{00000000-0004-0000-0200-00001D020000}"/>
    <hyperlink ref="O28" location="Transfers!B596" display="N" xr:uid="{00000000-0004-0000-0200-00001E020000}"/>
    <hyperlink ref="P28" location="Transfers!B597" display="N" xr:uid="{00000000-0004-0000-0200-00001F020000}"/>
    <hyperlink ref="Q28" location="Transfers!B598" display="N" xr:uid="{00000000-0004-0000-0200-000020020000}"/>
    <hyperlink ref="R28" location="Transfers!B599" display="N" xr:uid="{00000000-0004-0000-0200-000021020000}"/>
    <hyperlink ref="S28" location="Transfers!B600" display="N" xr:uid="{00000000-0004-0000-0200-000022020000}"/>
    <hyperlink ref="T28" location="Transfers!B601" display="N" xr:uid="{00000000-0004-0000-0200-000023020000}"/>
    <hyperlink ref="U28" location="Transfers!B602" display="N" xr:uid="{00000000-0004-0000-0200-000024020000}"/>
    <hyperlink ref="V28" location="Transfers!B603" display="N" xr:uid="{00000000-0004-0000-0200-000025020000}"/>
    <hyperlink ref="W28" location="Transfers!B604" display="N" xr:uid="{00000000-0004-0000-0200-000026020000}"/>
    <hyperlink ref="X28" location="Transfers!B605" display="N" xr:uid="{00000000-0004-0000-0200-000027020000}"/>
    <hyperlink ref="B32" location="Transfers!$C$5" display="Transfers!$C$5" xr:uid="{00000000-0004-0000-0200-000028020000}"/>
    <hyperlink ref="B33" location="Transfers!$D$5" display="Transfers!$D$5" xr:uid="{00000000-0004-0000-0200-000029020000}"/>
    <hyperlink ref="B34" location="Transfers!$E$5" display="Transfers!$E$5" xr:uid="{00000000-0004-0000-0200-00002A020000}"/>
    <hyperlink ref="B35" location="Transfers!$F$5" display="Transfers!$F$5" xr:uid="{00000000-0004-0000-0200-00002B020000}"/>
    <hyperlink ref="B36" location="Transfers!$G$5" display="Transfers!$G$5" xr:uid="{00000000-0004-0000-0200-00002C020000}"/>
    <hyperlink ref="B37" location="Transfers!$H$5" display="Transfers!$H$5" xr:uid="{00000000-0004-0000-0200-00002D020000}"/>
    <hyperlink ref="B38" location="Transfers!$I$5" display="Transfers!$I$5" xr:uid="{00000000-0004-0000-0200-00002E020000}"/>
    <hyperlink ref="B39" location="Transfers!$J$5" display="Transfers!$J$5" xr:uid="{00000000-0004-0000-0200-00002F020000}"/>
    <hyperlink ref="B40" location="Transfers!$K$5" display="Transfers!$K$5" xr:uid="{00000000-0004-0000-0200-000030020000}"/>
    <hyperlink ref="B41" location="Transfers!$L$5" display="Transfers!$L$5" xr:uid="{00000000-0004-0000-0200-000031020000}"/>
    <hyperlink ref="B42" location="Transfers!$M$5" display="Transfers!$M$5" xr:uid="{00000000-0004-0000-0200-000032020000}"/>
    <hyperlink ref="B43" location="Transfers!$N$5" display="Transfers!$N$5" xr:uid="{00000000-0004-0000-0200-000033020000}"/>
    <hyperlink ref="B44" location="Transfers!$O$5" display="Transfers!$O$5" xr:uid="{00000000-0004-0000-0200-000034020000}"/>
    <hyperlink ref="B45" location="Transfers!$P$5" display="Transfers!$P$5" xr:uid="{00000000-0004-0000-0200-000035020000}"/>
    <hyperlink ref="B46" location="Transfers!$Q$5" display="Transfers!$Q$5" xr:uid="{00000000-0004-0000-0200-000036020000}"/>
    <hyperlink ref="B47" location="Transfers!$R$5" display="Transfers!$R$5" xr:uid="{00000000-0004-0000-0200-000037020000}"/>
    <hyperlink ref="B48" location="Transfers!$S$5" display="Transfers!$S$5" xr:uid="{00000000-0004-0000-0200-000038020000}"/>
    <hyperlink ref="B49" location="Transfers!$T$5" display="Transfers!$T$5" xr:uid="{00000000-0004-0000-0200-000039020000}"/>
    <hyperlink ref="B50" location="Transfers!$U$5" display="Transfers!$U$5" xr:uid="{00000000-0004-0000-0200-00003A020000}"/>
    <hyperlink ref="B51" location="Transfers!$V$5" display="Transfers!$V$5" xr:uid="{00000000-0004-0000-0200-00003B020000}"/>
    <hyperlink ref="B52" location="Transfers!$W$5" display="Transfers!$W$5" xr:uid="{00000000-0004-0000-0200-00003C020000}"/>
    <hyperlink ref="B53" location="Transfers!$X$5" display="Transfers!$X$5" xr:uid="{00000000-0004-0000-0200-00003D020000}"/>
    <hyperlink ref="B54" location="Transfers!$Y$5" display="Transfers!$Y$5" xr:uid="{00000000-0004-0000-0200-00003E020000}"/>
    <hyperlink ref="B55" location="Transfers!$B$6" display="Transfers!$B$6" xr:uid="{00000000-0004-0000-0200-00003F020000}"/>
    <hyperlink ref="B57" location="Transfers!$D$6" display="Transfers!$D$6" xr:uid="{00000000-0004-0000-0200-000040020000}"/>
    <hyperlink ref="B58" location="Transfers!$E$6" display="Transfers!$E$6" xr:uid="{00000000-0004-0000-0200-000041020000}"/>
    <hyperlink ref="B59" location="Transfers!$F$6" display="Transfers!$F$6" xr:uid="{00000000-0004-0000-0200-000042020000}"/>
    <hyperlink ref="B60" location="Transfers!$G$6" display="Transfers!$G$6" xr:uid="{00000000-0004-0000-0200-000043020000}"/>
    <hyperlink ref="B61" location="Transfers!$H$6" display="Transfers!$H$6" xr:uid="{00000000-0004-0000-0200-000044020000}"/>
    <hyperlink ref="B62" location="Transfers!$I$6" display="Transfers!$I$6" xr:uid="{00000000-0004-0000-0200-000045020000}"/>
    <hyperlink ref="B63" location="Transfers!$J$6" display="Transfers!$J$6" xr:uid="{00000000-0004-0000-0200-000046020000}"/>
    <hyperlink ref="B64" location="Transfers!$K$6" display="Transfers!$K$6" xr:uid="{00000000-0004-0000-0200-000047020000}"/>
    <hyperlink ref="B65" location="Transfers!$L$6" display="Transfers!$L$6" xr:uid="{00000000-0004-0000-0200-000048020000}"/>
    <hyperlink ref="B66" location="Transfers!$M$6" display="Transfers!$M$6" xr:uid="{00000000-0004-0000-0200-000049020000}"/>
    <hyperlink ref="B67" location="Transfers!$N$6" display="Transfers!$N$6" xr:uid="{00000000-0004-0000-0200-00004A020000}"/>
    <hyperlink ref="B68" location="Transfers!$O$6" display="Transfers!$O$6" xr:uid="{00000000-0004-0000-0200-00004B020000}"/>
    <hyperlink ref="B69" location="Transfers!$P$6" display="Transfers!$P$6" xr:uid="{00000000-0004-0000-0200-00004C020000}"/>
    <hyperlink ref="B70" location="Transfers!$Q$6" display="Transfers!$Q$6" xr:uid="{00000000-0004-0000-0200-00004D020000}"/>
    <hyperlink ref="B71" location="Transfers!$R$6" display="Transfers!$R$6" xr:uid="{00000000-0004-0000-0200-00004E020000}"/>
    <hyperlink ref="B72" location="Transfers!$S$6" display="Transfers!$S$6" xr:uid="{00000000-0004-0000-0200-00004F020000}"/>
    <hyperlink ref="B73" location="Transfers!$T$6" display="Transfers!$T$6" xr:uid="{00000000-0004-0000-0200-000050020000}"/>
    <hyperlink ref="B74" location="Transfers!$U$6" display="Transfers!$U$6" xr:uid="{00000000-0004-0000-0200-000051020000}"/>
    <hyperlink ref="B75" location="Transfers!$V$6" display="Transfers!$V$6" xr:uid="{00000000-0004-0000-0200-000052020000}"/>
    <hyperlink ref="B76" location="Transfers!$W$6" display="Transfers!$W$6" xr:uid="{00000000-0004-0000-0200-000053020000}"/>
    <hyperlink ref="B77" location="Transfers!$X$6" display="Transfers!$X$6" xr:uid="{00000000-0004-0000-0200-000054020000}"/>
    <hyperlink ref="B78" location="Transfers!$Y$6" display="Transfers!$Y$6" xr:uid="{00000000-0004-0000-0200-000055020000}"/>
    <hyperlink ref="B79" location="Transfers!$B$7" display="Transfers!$B$7" xr:uid="{00000000-0004-0000-0200-000056020000}"/>
    <hyperlink ref="B80" location="Transfers!$C$7" display="Transfers!$C$7" xr:uid="{00000000-0004-0000-0200-000057020000}"/>
    <hyperlink ref="B82" location="Transfers!$E$7" display="Transfers!$E$7" xr:uid="{00000000-0004-0000-0200-000058020000}"/>
    <hyperlink ref="B83" location="Transfers!$F$7" display="Transfers!$F$7" xr:uid="{00000000-0004-0000-0200-000059020000}"/>
    <hyperlink ref="B84" location="Transfers!$G$7" display="Transfers!$G$7" xr:uid="{00000000-0004-0000-0200-00005A020000}"/>
    <hyperlink ref="B85" location="Transfers!$H$7" display="Transfers!$H$7" xr:uid="{00000000-0004-0000-0200-00005B020000}"/>
    <hyperlink ref="B86" location="Transfers!$I$7" display="Transfers!$I$7" xr:uid="{00000000-0004-0000-0200-00005C020000}"/>
    <hyperlink ref="B87" location="Transfers!$J$7" display="Transfers!$J$7" xr:uid="{00000000-0004-0000-0200-00005D020000}"/>
    <hyperlink ref="B88" location="Transfers!$K$7" display="Transfers!$K$7" xr:uid="{00000000-0004-0000-0200-00005E020000}"/>
    <hyperlink ref="B89" location="Transfers!$L$7" display="Transfers!$L$7" xr:uid="{00000000-0004-0000-0200-00005F020000}"/>
    <hyperlink ref="B90" location="Transfers!$M$7" display="Transfers!$M$7" xr:uid="{00000000-0004-0000-0200-000060020000}"/>
    <hyperlink ref="B91" location="Transfers!$N$7" display="Transfers!$N$7" xr:uid="{00000000-0004-0000-0200-000061020000}"/>
    <hyperlink ref="B92" location="Transfers!$O$7" display="Transfers!$O$7" xr:uid="{00000000-0004-0000-0200-000062020000}"/>
    <hyperlink ref="B93" location="Transfers!$P$7" display="Transfers!$P$7" xr:uid="{00000000-0004-0000-0200-000063020000}"/>
    <hyperlink ref="B94" location="Transfers!$Q$7" display="Transfers!$Q$7" xr:uid="{00000000-0004-0000-0200-000064020000}"/>
    <hyperlink ref="B95" location="Transfers!$R$7" display="Transfers!$R$7" xr:uid="{00000000-0004-0000-0200-000065020000}"/>
    <hyperlink ref="B96" location="Transfers!$S$7" display="Transfers!$S$7" xr:uid="{00000000-0004-0000-0200-000066020000}"/>
    <hyperlink ref="B97" location="Transfers!$T$7" display="Transfers!$T$7" xr:uid="{00000000-0004-0000-0200-000067020000}"/>
    <hyperlink ref="B98" location="Transfers!$U$7" display="Transfers!$U$7" xr:uid="{00000000-0004-0000-0200-000068020000}"/>
    <hyperlink ref="B99" location="Transfers!$V$7" display="Transfers!$V$7" xr:uid="{00000000-0004-0000-0200-000069020000}"/>
    <hyperlink ref="B100" location="Transfers!$W$7" display="Transfers!$W$7" xr:uid="{00000000-0004-0000-0200-00006A020000}"/>
    <hyperlink ref="B101" location="Transfers!$X$7" display="Transfers!$X$7" xr:uid="{00000000-0004-0000-0200-00006B020000}"/>
    <hyperlink ref="B102" location="Transfers!$Y$7" display="Transfers!$Y$7" xr:uid="{00000000-0004-0000-0200-00006C020000}"/>
    <hyperlink ref="B103" location="Transfers!$B$8" display="Transfers!$B$8" xr:uid="{00000000-0004-0000-0200-00006D020000}"/>
    <hyperlink ref="B104" location="Transfers!$C$8" display="Transfers!$C$8" xr:uid="{00000000-0004-0000-0200-00006E020000}"/>
    <hyperlink ref="B105" location="Transfers!$D$8" display="Transfers!$D$8" xr:uid="{00000000-0004-0000-0200-00006F020000}"/>
    <hyperlink ref="B107" location="Transfers!$F$8" display="Transfers!$F$8" xr:uid="{00000000-0004-0000-0200-000070020000}"/>
    <hyperlink ref="B108" location="Transfers!$G$8" display="Transfers!$G$8" xr:uid="{00000000-0004-0000-0200-000071020000}"/>
    <hyperlink ref="B109" location="Transfers!$H$8" display="Transfers!$H$8" xr:uid="{00000000-0004-0000-0200-000072020000}"/>
    <hyperlink ref="B110" location="Transfers!$I$8" display="Transfers!$I$8" xr:uid="{00000000-0004-0000-0200-000073020000}"/>
    <hyperlink ref="B111" location="Transfers!$J$8" display="Transfers!$J$8" xr:uid="{00000000-0004-0000-0200-000074020000}"/>
    <hyperlink ref="B112" location="Transfers!$K$8" display="Transfers!$K$8" xr:uid="{00000000-0004-0000-0200-000075020000}"/>
    <hyperlink ref="B113" location="Transfers!$L$8" display="Transfers!$L$8" xr:uid="{00000000-0004-0000-0200-000076020000}"/>
    <hyperlink ref="B114" location="Transfers!$M$8" display="Transfers!$M$8" xr:uid="{00000000-0004-0000-0200-000077020000}"/>
    <hyperlink ref="B115" location="Transfers!$N$8" display="Transfers!$N$8" xr:uid="{00000000-0004-0000-0200-000078020000}"/>
    <hyperlink ref="B116" location="Transfers!$O$8" display="Transfers!$O$8" xr:uid="{00000000-0004-0000-0200-000079020000}"/>
    <hyperlink ref="B117" location="Transfers!$P$8" display="Transfers!$P$8" xr:uid="{00000000-0004-0000-0200-00007A020000}"/>
    <hyperlink ref="B118" location="Transfers!$Q$8" display="Transfers!$Q$8" xr:uid="{00000000-0004-0000-0200-00007B020000}"/>
    <hyperlink ref="B119" location="Transfers!$R$8" display="Transfers!$R$8" xr:uid="{00000000-0004-0000-0200-00007C020000}"/>
    <hyperlink ref="B120" location="Transfers!$S$8" display="Transfers!$S$8" xr:uid="{00000000-0004-0000-0200-00007D020000}"/>
    <hyperlink ref="B121" location="Transfers!$T$8" display="Transfers!$T$8" xr:uid="{00000000-0004-0000-0200-00007E020000}"/>
    <hyperlink ref="B122" location="Transfers!$U$8" display="Transfers!$U$8" xr:uid="{00000000-0004-0000-0200-00007F020000}"/>
    <hyperlink ref="B123" location="Transfers!$V$8" display="Transfers!$V$8" xr:uid="{00000000-0004-0000-0200-000080020000}"/>
    <hyperlink ref="B124" location="Transfers!$W$8" display="Transfers!$W$8" xr:uid="{00000000-0004-0000-0200-000081020000}"/>
    <hyperlink ref="B125" location="Transfers!$X$8" display="Transfers!$X$8" xr:uid="{00000000-0004-0000-0200-000082020000}"/>
    <hyperlink ref="B126" location="Transfers!$Y$8" display="Transfers!$Y$8" xr:uid="{00000000-0004-0000-0200-000083020000}"/>
    <hyperlink ref="B127" location="Transfers!$B$9" display="Transfers!$B$9" xr:uid="{00000000-0004-0000-0200-000084020000}"/>
    <hyperlink ref="B128" location="Transfers!$C$9" display="Transfers!$C$9" xr:uid="{00000000-0004-0000-0200-000085020000}"/>
    <hyperlink ref="B129" location="Transfers!$D$9" display="Transfers!$D$9" xr:uid="{00000000-0004-0000-0200-000086020000}"/>
    <hyperlink ref="B130" location="Transfers!$E$9" display="Transfers!$E$9" xr:uid="{00000000-0004-0000-0200-000087020000}"/>
    <hyperlink ref="B132" location="Transfers!$G$9" display="Transfers!$G$9" xr:uid="{00000000-0004-0000-0200-000088020000}"/>
    <hyperlink ref="B133" location="Transfers!$H$9" display="Transfers!$H$9" xr:uid="{00000000-0004-0000-0200-000089020000}"/>
    <hyperlink ref="B134" location="Transfers!$I$9" display="Transfers!$I$9" xr:uid="{00000000-0004-0000-0200-00008A020000}"/>
    <hyperlink ref="B135" location="Transfers!$J$9" display="Transfers!$J$9" xr:uid="{00000000-0004-0000-0200-00008B020000}"/>
    <hyperlink ref="B136" location="Transfers!$K$9" display="Transfers!$K$9" xr:uid="{00000000-0004-0000-0200-00008C020000}"/>
    <hyperlink ref="B137" location="Transfers!$L$9" display="Transfers!$L$9" xr:uid="{00000000-0004-0000-0200-00008D020000}"/>
    <hyperlink ref="B138" location="Transfers!$M$9" display="Transfers!$M$9" xr:uid="{00000000-0004-0000-0200-00008E020000}"/>
    <hyperlink ref="B139" location="Transfers!$N$9" display="Transfers!$N$9" xr:uid="{00000000-0004-0000-0200-00008F020000}"/>
    <hyperlink ref="B140" location="Transfers!$O$9" display="Transfers!$O$9" xr:uid="{00000000-0004-0000-0200-000090020000}"/>
    <hyperlink ref="B141" location="Transfers!$P$9" display="Transfers!$P$9" xr:uid="{00000000-0004-0000-0200-000091020000}"/>
    <hyperlink ref="B142" location="Transfers!$Q$9" display="Transfers!$Q$9" xr:uid="{00000000-0004-0000-0200-000092020000}"/>
    <hyperlink ref="B143" location="Transfers!$R$9" display="Transfers!$R$9" xr:uid="{00000000-0004-0000-0200-000093020000}"/>
    <hyperlink ref="B144" location="Transfers!$S$9" display="Transfers!$S$9" xr:uid="{00000000-0004-0000-0200-000094020000}"/>
    <hyperlink ref="B145" location="Transfers!$T$9" display="Transfers!$T$9" xr:uid="{00000000-0004-0000-0200-000095020000}"/>
    <hyperlink ref="B146" location="Transfers!$U$9" display="Transfers!$U$9" xr:uid="{00000000-0004-0000-0200-000096020000}"/>
    <hyperlink ref="B147" location="Transfers!$V$9" display="Transfers!$V$9" xr:uid="{00000000-0004-0000-0200-000097020000}"/>
    <hyperlink ref="B148" location="Transfers!$W$9" display="Transfers!$W$9" xr:uid="{00000000-0004-0000-0200-000098020000}"/>
    <hyperlink ref="B149" location="Transfers!$X$9" display="Transfers!$X$9" xr:uid="{00000000-0004-0000-0200-000099020000}"/>
    <hyperlink ref="B150" location="Transfers!$Y$9" display="Transfers!$Y$9" xr:uid="{00000000-0004-0000-0200-00009A020000}"/>
    <hyperlink ref="B151" location="Transfers!$B$10" display="Transfers!$B$10" xr:uid="{00000000-0004-0000-0200-00009B020000}"/>
    <hyperlink ref="B152" location="Transfers!$C$10" display="Transfers!$C$10" xr:uid="{00000000-0004-0000-0200-00009C020000}"/>
    <hyperlink ref="B153" location="Transfers!$D$10" display="Transfers!$D$10" xr:uid="{00000000-0004-0000-0200-00009D020000}"/>
    <hyperlink ref="B154" location="Transfers!$E$10" display="Transfers!$E$10" xr:uid="{00000000-0004-0000-0200-00009E020000}"/>
    <hyperlink ref="B155" location="Transfers!$F$10" display="Transfers!$F$10" xr:uid="{00000000-0004-0000-0200-00009F020000}"/>
    <hyperlink ref="B157" location="Transfers!$H$10" display="Transfers!$H$10" xr:uid="{00000000-0004-0000-0200-0000A0020000}"/>
    <hyperlink ref="B158" location="Transfers!$I$10" display="Transfers!$I$10" xr:uid="{00000000-0004-0000-0200-0000A1020000}"/>
    <hyperlink ref="B159" location="Transfers!$J$10" display="Transfers!$J$10" xr:uid="{00000000-0004-0000-0200-0000A2020000}"/>
    <hyperlink ref="B160" location="Transfers!$K$10" display="Transfers!$K$10" xr:uid="{00000000-0004-0000-0200-0000A3020000}"/>
    <hyperlink ref="B161" location="Transfers!$L$10" display="Transfers!$L$10" xr:uid="{00000000-0004-0000-0200-0000A4020000}"/>
    <hyperlink ref="B162" location="Transfers!$M$10" display="Transfers!$M$10" xr:uid="{00000000-0004-0000-0200-0000A5020000}"/>
    <hyperlink ref="B163" location="Transfers!$N$10" display="Transfers!$N$10" xr:uid="{00000000-0004-0000-0200-0000A6020000}"/>
    <hyperlink ref="B164" location="Transfers!$O$10" display="Transfers!$O$10" xr:uid="{00000000-0004-0000-0200-0000A7020000}"/>
    <hyperlink ref="B165" location="Transfers!$P$10" display="Transfers!$P$10" xr:uid="{00000000-0004-0000-0200-0000A8020000}"/>
    <hyperlink ref="B166" location="Transfers!$Q$10" display="Transfers!$Q$10" xr:uid="{00000000-0004-0000-0200-0000A9020000}"/>
    <hyperlink ref="B167" location="Transfers!$R$10" display="Transfers!$R$10" xr:uid="{00000000-0004-0000-0200-0000AA020000}"/>
    <hyperlink ref="B168" location="Transfers!$S$10" display="Transfers!$S$10" xr:uid="{00000000-0004-0000-0200-0000AB020000}"/>
    <hyperlink ref="B169" location="Transfers!$T$10" display="Transfers!$T$10" xr:uid="{00000000-0004-0000-0200-0000AC020000}"/>
    <hyperlink ref="B170" location="Transfers!$U$10" display="Transfers!$U$10" xr:uid="{00000000-0004-0000-0200-0000AD020000}"/>
    <hyperlink ref="B171" location="Transfers!$V$10" display="Transfers!$V$10" xr:uid="{00000000-0004-0000-0200-0000AE020000}"/>
    <hyperlink ref="B172" location="Transfers!$W$10" display="Transfers!$W$10" xr:uid="{00000000-0004-0000-0200-0000AF020000}"/>
    <hyperlink ref="B173" location="Transfers!$X$10" display="Transfers!$X$10" xr:uid="{00000000-0004-0000-0200-0000B0020000}"/>
    <hyperlink ref="B174" location="Transfers!$Y$10" display="Transfers!$Y$10" xr:uid="{00000000-0004-0000-0200-0000B1020000}"/>
    <hyperlink ref="B175" location="Transfers!$B$11" display="Transfers!$B$11" xr:uid="{00000000-0004-0000-0200-0000B2020000}"/>
    <hyperlink ref="B176" location="Transfers!$C$11" display="Transfers!$C$11" xr:uid="{00000000-0004-0000-0200-0000B3020000}"/>
    <hyperlink ref="B177" location="Transfers!$D$11" display="Transfers!$D$11" xr:uid="{00000000-0004-0000-0200-0000B4020000}"/>
    <hyperlink ref="B178" location="Transfers!$E$11" display="Transfers!$E$11" xr:uid="{00000000-0004-0000-0200-0000B5020000}"/>
    <hyperlink ref="B179" location="Transfers!$F$11" display="Transfers!$F$11" xr:uid="{00000000-0004-0000-0200-0000B6020000}"/>
    <hyperlink ref="B180" location="Transfers!$G$11" display="Transfers!$G$11" xr:uid="{00000000-0004-0000-0200-0000B7020000}"/>
    <hyperlink ref="B182" location="Transfers!$I$11" display="Transfers!$I$11" xr:uid="{00000000-0004-0000-0200-0000B8020000}"/>
    <hyperlink ref="B183" location="Transfers!$J$11" display="Transfers!$J$11" xr:uid="{00000000-0004-0000-0200-0000B9020000}"/>
    <hyperlink ref="B184" location="Transfers!$K$11" display="Transfers!$K$11" xr:uid="{00000000-0004-0000-0200-0000BA020000}"/>
    <hyperlink ref="B185" location="Transfers!$L$11" display="Transfers!$L$11" xr:uid="{00000000-0004-0000-0200-0000BB020000}"/>
    <hyperlink ref="B186" location="Transfers!$M$11" display="Transfers!$M$11" xr:uid="{00000000-0004-0000-0200-0000BC020000}"/>
    <hyperlink ref="B187" location="Transfers!$N$11" display="Transfers!$N$11" xr:uid="{00000000-0004-0000-0200-0000BD020000}"/>
    <hyperlink ref="B188" location="Transfers!$O$11" display="Transfers!$O$11" xr:uid="{00000000-0004-0000-0200-0000BE020000}"/>
    <hyperlink ref="B189" location="Transfers!$P$11" display="Transfers!$P$11" xr:uid="{00000000-0004-0000-0200-0000BF020000}"/>
    <hyperlink ref="B190" location="Transfers!$Q$11" display="Transfers!$Q$11" xr:uid="{00000000-0004-0000-0200-0000C0020000}"/>
    <hyperlink ref="B191" location="Transfers!$R$11" display="Transfers!$R$11" xr:uid="{00000000-0004-0000-0200-0000C1020000}"/>
    <hyperlink ref="B192" location="Transfers!$S$11" display="Transfers!$S$11" xr:uid="{00000000-0004-0000-0200-0000C2020000}"/>
    <hyperlink ref="B193" location="Transfers!$T$11" display="Transfers!$T$11" xr:uid="{00000000-0004-0000-0200-0000C3020000}"/>
    <hyperlink ref="B194" location="Transfers!$U$11" display="Transfers!$U$11" xr:uid="{00000000-0004-0000-0200-0000C4020000}"/>
    <hyperlink ref="B195" location="Transfers!$V$11" display="Transfers!$V$11" xr:uid="{00000000-0004-0000-0200-0000C5020000}"/>
    <hyperlink ref="B196" location="Transfers!$W$11" display="Transfers!$W$11" xr:uid="{00000000-0004-0000-0200-0000C6020000}"/>
    <hyperlink ref="B197" location="Transfers!$X$11" display="Transfers!$X$11" xr:uid="{00000000-0004-0000-0200-0000C7020000}"/>
    <hyperlink ref="B198" location="Transfers!$Y$11" display="Transfers!$Y$11" xr:uid="{00000000-0004-0000-0200-0000C8020000}"/>
    <hyperlink ref="B199" location="Transfers!$B$12" display="Transfers!$B$12" xr:uid="{00000000-0004-0000-0200-0000C9020000}"/>
    <hyperlink ref="B200" location="Transfers!$C$12" display="Transfers!$C$12" xr:uid="{00000000-0004-0000-0200-0000CA020000}"/>
    <hyperlink ref="B201" location="Transfers!$D$12" display="Transfers!$D$12" xr:uid="{00000000-0004-0000-0200-0000CB020000}"/>
    <hyperlink ref="B202" location="Transfers!$E$12" display="Transfers!$E$12" xr:uid="{00000000-0004-0000-0200-0000CC020000}"/>
    <hyperlink ref="B203" location="Transfers!$F$12" display="Transfers!$F$12" xr:uid="{00000000-0004-0000-0200-0000CD020000}"/>
    <hyperlink ref="B204" location="Transfers!$G$12" display="Transfers!$G$12" xr:uid="{00000000-0004-0000-0200-0000CE020000}"/>
    <hyperlink ref="B205" location="Transfers!$H$12" display="Transfers!$H$12" xr:uid="{00000000-0004-0000-0200-0000CF020000}"/>
    <hyperlink ref="B207" location="Transfers!$J$12" display="Transfers!$J$12" xr:uid="{00000000-0004-0000-0200-0000D0020000}"/>
    <hyperlink ref="B208" location="Transfers!$K$12" display="Transfers!$K$12" xr:uid="{00000000-0004-0000-0200-0000D1020000}"/>
    <hyperlink ref="B209" location="Transfers!$L$12" display="Transfers!$L$12" xr:uid="{00000000-0004-0000-0200-0000D2020000}"/>
    <hyperlink ref="B210" location="Transfers!$M$12" display="Transfers!$M$12" xr:uid="{00000000-0004-0000-0200-0000D3020000}"/>
    <hyperlink ref="B211" location="Transfers!$N$12" display="Transfers!$N$12" xr:uid="{00000000-0004-0000-0200-0000D4020000}"/>
    <hyperlink ref="B212" location="Transfers!$O$12" display="Transfers!$O$12" xr:uid="{00000000-0004-0000-0200-0000D5020000}"/>
    <hyperlink ref="B213" location="Transfers!$P$12" display="Transfers!$P$12" xr:uid="{00000000-0004-0000-0200-0000D6020000}"/>
    <hyperlink ref="B214" location="Transfers!$Q$12" display="Transfers!$Q$12" xr:uid="{00000000-0004-0000-0200-0000D7020000}"/>
    <hyperlink ref="B215" location="Transfers!$R$12" display="Transfers!$R$12" xr:uid="{00000000-0004-0000-0200-0000D8020000}"/>
    <hyperlink ref="B216" location="Transfers!$S$12" display="Transfers!$S$12" xr:uid="{00000000-0004-0000-0200-0000D9020000}"/>
    <hyperlink ref="B217" location="Transfers!$T$12" display="Transfers!$T$12" xr:uid="{00000000-0004-0000-0200-0000DA020000}"/>
    <hyperlink ref="B218" location="Transfers!$U$12" display="Transfers!$U$12" xr:uid="{00000000-0004-0000-0200-0000DB020000}"/>
    <hyperlink ref="B219" location="Transfers!$V$12" display="Transfers!$V$12" xr:uid="{00000000-0004-0000-0200-0000DC020000}"/>
    <hyperlink ref="B220" location="Transfers!$W$12" display="Transfers!$W$12" xr:uid="{00000000-0004-0000-0200-0000DD020000}"/>
    <hyperlink ref="B221" location="Transfers!$X$12" display="Transfers!$X$12" xr:uid="{00000000-0004-0000-0200-0000DE020000}"/>
    <hyperlink ref="B222" location="Transfers!$Y$12" display="Transfers!$Y$12" xr:uid="{00000000-0004-0000-0200-0000DF020000}"/>
    <hyperlink ref="B223" location="Transfers!$B$13" display="Transfers!$B$13" xr:uid="{00000000-0004-0000-0200-0000E0020000}"/>
    <hyperlink ref="B224" location="Transfers!$C$13" display="Transfers!$C$13" xr:uid="{00000000-0004-0000-0200-0000E1020000}"/>
    <hyperlink ref="B225" location="Transfers!$D$13" display="Transfers!$D$13" xr:uid="{00000000-0004-0000-0200-0000E2020000}"/>
    <hyperlink ref="B226" location="Transfers!$E$13" display="Transfers!$E$13" xr:uid="{00000000-0004-0000-0200-0000E3020000}"/>
    <hyperlink ref="B227" location="Transfers!$F$13" display="Transfers!$F$13" xr:uid="{00000000-0004-0000-0200-0000E4020000}"/>
    <hyperlink ref="B228" location="Transfers!$G$13" display="Transfers!$G$13" xr:uid="{00000000-0004-0000-0200-0000E5020000}"/>
    <hyperlink ref="B229" location="Transfers!$H$13" display="Transfers!$H$13" xr:uid="{00000000-0004-0000-0200-0000E6020000}"/>
    <hyperlink ref="B230" location="Transfers!$I$13" display="Transfers!$I$13" xr:uid="{00000000-0004-0000-0200-0000E7020000}"/>
    <hyperlink ref="B232" location="Transfers!$K$13" display="Transfers!$K$13" xr:uid="{00000000-0004-0000-0200-0000E8020000}"/>
    <hyperlink ref="B233" location="Transfers!$L$13" display="Transfers!$L$13" xr:uid="{00000000-0004-0000-0200-0000E9020000}"/>
    <hyperlink ref="B234" location="Transfers!$M$13" display="Transfers!$M$13" xr:uid="{00000000-0004-0000-0200-0000EA020000}"/>
    <hyperlink ref="B235" location="Transfers!$N$13" display="Transfers!$N$13" xr:uid="{00000000-0004-0000-0200-0000EB020000}"/>
    <hyperlink ref="B236" location="Transfers!$O$13" display="Transfers!$O$13" xr:uid="{00000000-0004-0000-0200-0000EC020000}"/>
    <hyperlink ref="B237" location="Transfers!$P$13" display="Transfers!$P$13" xr:uid="{00000000-0004-0000-0200-0000ED020000}"/>
    <hyperlink ref="B238" location="Transfers!$Q$13" display="Transfers!$Q$13" xr:uid="{00000000-0004-0000-0200-0000EE020000}"/>
    <hyperlink ref="B239" location="Transfers!$R$13" display="Transfers!$R$13" xr:uid="{00000000-0004-0000-0200-0000EF020000}"/>
    <hyperlink ref="B240" location="Transfers!$S$13" display="Transfers!$S$13" xr:uid="{00000000-0004-0000-0200-0000F0020000}"/>
    <hyperlink ref="B241" location="Transfers!$T$13" display="Transfers!$T$13" xr:uid="{00000000-0004-0000-0200-0000F1020000}"/>
    <hyperlink ref="B242" location="Transfers!$U$13" display="Transfers!$U$13" xr:uid="{00000000-0004-0000-0200-0000F2020000}"/>
    <hyperlink ref="B243" location="Transfers!$V$13" display="Transfers!$V$13" xr:uid="{00000000-0004-0000-0200-0000F3020000}"/>
    <hyperlink ref="B244" location="Transfers!$W$13" display="Transfers!$W$13" xr:uid="{00000000-0004-0000-0200-0000F4020000}"/>
    <hyperlink ref="B245" location="Transfers!$X$13" display="Transfers!$X$13" xr:uid="{00000000-0004-0000-0200-0000F5020000}"/>
    <hyperlink ref="B246" location="Transfers!$Y$13" display="Transfers!$Y$13" xr:uid="{00000000-0004-0000-0200-0000F6020000}"/>
    <hyperlink ref="B247" location="Transfers!$B$14" display="Transfers!$B$14" xr:uid="{00000000-0004-0000-0200-0000F7020000}"/>
    <hyperlink ref="B248" location="Transfers!$C$14" display="Transfers!$C$14" xr:uid="{00000000-0004-0000-0200-0000F8020000}"/>
    <hyperlink ref="B249" location="Transfers!$D$14" display="Transfers!$D$14" xr:uid="{00000000-0004-0000-0200-0000F9020000}"/>
    <hyperlink ref="B250" location="Transfers!$E$14" display="Transfers!$E$14" xr:uid="{00000000-0004-0000-0200-0000FA020000}"/>
    <hyperlink ref="B251" location="Transfers!$F$14" display="Transfers!$F$14" xr:uid="{00000000-0004-0000-0200-0000FB020000}"/>
    <hyperlink ref="B252" location="Transfers!$G$14" display="Transfers!$G$14" xr:uid="{00000000-0004-0000-0200-0000FC020000}"/>
    <hyperlink ref="B253" location="Transfers!$H$14" display="Transfers!$H$14" xr:uid="{00000000-0004-0000-0200-0000FD020000}"/>
    <hyperlink ref="B254" location="Transfers!$I$14" display="Transfers!$I$14" xr:uid="{00000000-0004-0000-0200-0000FE020000}"/>
    <hyperlink ref="B255" location="Transfers!$J$14" display="Transfers!$J$14" xr:uid="{00000000-0004-0000-0200-0000FF020000}"/>
    <hyperlink ref="B257" location="Transfers!$L$14" display="Transfers!$L$14" xr:uid="{00000000-0004-0000-0200-000000030000}"/>
    <hyperlink ref="B258" location="Transfers!$M$14" display="Transfers!$M$14" xr:uid="{00000000-0004-0000-0200-000001030000}"/>
    <hyperlink ref="B259" location="Transfers!$N$14" display="Transfers!$N$14" xr:uid="{00000000-0004-0000-0200-000002030000}"/>
    <hyperlink ref="B260" location="Transfers!$O$14" display="Transfers!$O$14" xr:uid="{00000000-0004-0000-0200-000003030000}"/>
    <hyperlink ref="B261" location="Transfers!$P$14" display="Transfers!$P$14" xr:uid="{00000000-0004-0000-0200-000004030000}"/>
    <hyperlink ref="B262" location="Transfers!$Q$14" display="Transfers!$Q$14" xr:uid="{00000000-0004-0000-0200-000005030000}"/>
    <hyperlink ref="B263" location="Transfers!$R$14" display="Transfers!$R$14" xr:uid="{00000000-0004-0000-0200-000006030000}"/>
    <hyperlink ref="B264" location="Transfers!$S$14" display="Transfers!$S$14" xr:uid="{00000000-0004-0000-0200-000007030000}"/>
    <hyperlink ref="B265" location="Transfers!$T$14" display="Transfers!$T$14" xr:uid="{00000000-0004-0000-0200-000008030000}"/>
    <hyperlink ref="B266" location="Transfers!$U$14" display="Transfers!$U$14" xr:uid="{00000000-0004-0000-0200-000009030000}"/>
    <hyperlink ref="B267" location="Transfers!$V$14" display="Transfers!$V$14" xr:uid="{00000000-0004-0000-0200-00000A030000}"/>
    <hyperlink ref="B268" location="Transfers!$W$14" display="Transfers!$W$14" xr:uid="{00000000-0004-0000-0200-00000B030000}"/>
    <hyperlink ref="B269" location="Transfers!$X$14" display="Transfers!$X$14" xr:uid="{00000000-0004-0000-0200-00000C030000}"/>
    <hyperlink ref="B270" location="Transfers!$Y$14" display="Transfers!$Y$14" xr:uid="{00000000-0004-0000-0200-00000D030000}"/>
    <hyperlink ref="B271" location="Transfers!$B$15" display="Transfers!$B$15" xr:uid="{00000000-0004-0000-0200-00000E030000}"/>
    <hyperlink ref="B272" location="Transfers!$C$15" display="Transfers!$C$15" xr:uid="{00000000-0004-0000-0200-00000F030000}"/>
    <hyperlink ref="B273" location="Transfers!$D$15" display="Transfers!$D$15" xr:uid="{00000000-0004-0000-0200-000010030000}"/>
    <hyperlink ref="B274" location="Transfers!$E$15" display="Transfers!$E$15" xr:uid="{00000000-0004-0000-0200-000011030000}"/>
    <hyperlink ref="B275" location="Transfers!$F$15" display="Transfers!$F$15" xr:uid="{00000000-0004-0000-0200-000012030000}"/>
    <hyperlink ref="B276" location="Transfers!$G$15" display="Transfers!$G$15" xr:uid="{00000000-0004-0000-0200-000013030000}"/>
    <hyperlink ref="B277" location="Transfers!$H$15" display="Transfers!$H$15" xr:uid="{00000000-0004-0000-0200-000014030000}"/>
    <hyperlink ref="B278" location="Transfers!$I$15" display="Transfers!$I$15" xr:uid="{00000000-0004-0000-0200-000015030000}"/>
    <hyperlink ref="B279" location="Transfers!$J$15" display="Transfers!$J$15" xr:uid="{00000000-0004-0000-0200-000016030000}"/>
    <hyperlink ref="B280" location="Transfers!$K$15" display="Transfers!$K$15" xr:uid="{00000000-0004-0000-0200-000017030000}"/>
    <hyperlink ref="B282" location="Transfers!$M$15" display="Transfers!$M$15" xr:uid="{00000000-0004-0000-0200-000018030000}"/>
    <hyperlink ref="B283" location="Transfers!$N$15" display="Transfers!$N$15" xr:uid="{00000000-0004-0000-0200-000019030000}"/>
    <hyperlink ref="B284" location="Transfers!$O$15" display="Transfers!$O$15" xr:uid="{00000000-0004-0000-0200-00001A030000}"/>
    <hyperlink ref="B285" location="Transfers!$P$15" display="Transfers!$P$15" xr:uid="{00000000-0004-0000-0200-00001B030000}"/>
    <hyperlink ref="B286" location="Transfers!$Q$15" display="Transfers!$Q$15" xr:uid="{00000000-0004-0000-0200-00001C030000}"/>
    <hyperlink ref="B287" location="Transfers!$R$15" display="Transfers!$R$15" xr:uid="{00000000-0004-0000-0200-00001D030000}"/>
    <hyperlink ref="B288" location="Transfers!$S$15" display="Transfers!$S$15" xr:uid="{00000000-0004-0000-0200-00001E030000}"/>
    <hyperlink ref="B289" location="Transfers!$T$15" display="Transfers!$T$15" xr:uid="{00000000-0004-0000-0200-00001F030000}"/>
    <hyperlink ref="B290" location="Transfers!$U$15" display="Transfers!$U$15" xr:uid="{00000000-0004-0000-0200-000020030000}"/>
    <hyperlink ref="B291" location="Transfers!$V$15" display="Transfers!$V$15" xr:uid="{00000000-0004-0000-0200-000021030000}"/>
    <hyperlink ref="B292" location="Transfers!$W$15" display="Transfers!$W$15" xr:uid="{00000000-0004-0000-0200-000022030000}"/>
    <hyperlink ref="B293" location="Transfers!$X$15" display="Transfers!$X$15" xr:uid="{00000000-0004-0000-0200-000023030000}"/>
    <hyperlink ref="B294" location="Transfers!$Y$15" display="Transfers!$Y$15" xr:uid="{00000000-0004-0000-0200-000024030000}"/>
    <hyperlink ref="B295" location="Transfers!$B$16" display="Transfers!$B$16" xr:uid="{00000000-0004-0000-0200-000025030000}"/>
    <hyperlink ref="B296" location="Transfers!$C$16" display="Transfers!$C$16" xr:uid="{00000000-0004-0000-0200-000026030000}"/>
    <hyperlink ref="B297" location="Transfers!$D$16" display="Transfers!$D$16" xr:uid="{00000000-0004-0000-0200-000027030000}"/>
    <hyperlink ref="B298" location="Transfers!$E$16" display="Transfers!$E$16" xr:uid="{00000000-0004-0000-0200-000028030000}"/>
    <hyperlink ref="B299" location="Transfers!$F$16" display="Transfers!$F$16" xr:uid="{00000000-0004-0000-0200-000029030000}"/>
    <hyperlink ref="B300" location="Transfers!$G$16" display="Transfers!$G$16" xr:uid="{00000000-0004-0000-0200-00002A030000}"/>
    <hyperlink ref="B301" location="Transfers!$H$16" display="Transfers!$H$16" xr:uid="{00000000-0004-0000-0200-00002B030000}"/>
    <hyperlink ref="B302" location="Transfers!$I$16" display="Transfers!$I$16" xr:uid="{00000000-0004-0000-0200-00002C030000}"/>
    <hyperlink ref="B303" location="Transfers!$J$16" display="Transfers!$J$16" xr:uid="{00000000-0004-0000-0200-00002D030000}"/>
    <hyperlink ref="B304" location="Transfers!$K$16" display="Transfers!$K$16" xr:uid="{00000000-0004-0000-0200-00002E030000}"/>
    <hyperlink ref="B305" location="Transfers!$L$16" display="Transfers!$L$16" xr:uid="{00000000-0004-0000-0200-00002F030000}"/>
    <hyperlink ref="B307" location="Transfers!$N$16" display="Transfers!$N$16" xr:uid="{00000000-0004-0000-0200-000030030000}"/>
    <hyperlink ref="B308" location="Transfers!$O$16" display="Transfers!$O$16" xr:uid="{00000000-0004-0000-0200-000031030000}"/>
    <hyperlink ref="B309" location="Transfers!$P$16" display="Transfers!$P$16" xr:uid="{00000000-0004-0000-0200-000032030000}"/>
    <hyperlink ref="B310" location="Transfers!$Q$16" display="Transfers!$Q$16" xr:uid="{00000000-0004-0000-0200-000033030000}"/>
    <hyperlink ref="B311" location="Transfers!$R$16" display="Transfers!$R$16" xr:uid="{00000000-0004-0000-0200-000034030000}"/>
    <hyperlink ref="B312" location="Transfers!$S$16" display="Transfers!$S$16" xr:uid="{00000000-0004-0000-0200-000035030000}"/>
    <hyperlink ref="B313" location="Transfers!$T$16" display="Transfers!$T$16" xr:uid="{00000000-0004-0000-0200-000036030000}"/>
    <hyperlink ref="B314" location="Transfers!$U$16" display="Transfers!$U$16" xr:uid="{00000000-0004-0000-0200-000037030000}"/>
    <hyperlink ref="B315" location="Transfers!$V$16" display="Transfers!$V$16" xr:uid="{00000000-0004-0000-0200-000038030000}"/>
    <hyperlink ref="B316" location="Transfers!$W$16" display="Transfers!$W$16" xr:uid="{00000000-0004-0000-0200-000039030000}"/>
    <hyperlink ref="B317" location="Transfers!$X$16" display="Transfers!$X$16" xr:uid="{00000000-0004-0000-0200-00003A030000}"/>
    <hyperlink ref="B318" location="Transfers!$Y$16" display="Transfers!$Y$16" xr:uid="{00000000-0004-0000-0200-00003B030000}"/>
    <hyperlink ref="B319" location="Transfers!$B$17" display="Transfers!$B$17" xr:uid="{00000000-0004-0000-0200-00003C030000}"/>
    <hyperlink ref="B320" location="Transfers!$C$17" display="Transfers!$C$17" xr:uid="{00000000-0004-0000-0200-00003D030000}"/>
    <hyperlink ref="B321" location="Transfers!$D$17" display="Transfers!$D$17" xr:uid="{00000000-0004-0000-0200-00003E030000}"/>
    <hyperlink ref="B322" location="Transfers!$E$17" display="Transfers!$E$17" xr:uid="{00000000-0004-0000-0200-00003F030000}"/>
    <hyperlink ref="B323" location="Transfers!$F$17" display="Transfers!$F$17" xr:uid="{00000000-0004-0000-0200-000040030000}"/>
    <hyperlink ref="B324" location="Transfers!$G$17" display="Transfers!$G$17" xr:uid="{00000000-0004-0000-0200-000041030000}"/>
    <hyperlink ref="B325" location="Transfers!$H$17" display="Transfers!$H$17" xr:uid="{00000000-0004-0000-0200-000042030000}"/>
    <hyperlink ref="B326" location="Transfers!$I$17" display="Transfers!$I$17" xr:uid="{00000000-0004-0000-0200-000043030000}"/>
    <hyperlink ref="B327" location="Transfers!$J$17" display="Transfers!$J$17" xr:uid="{00000000-0004-0000-0200-000044030000}"/>
    <hyperlink ref="B328" location="Transfers!$K$17" display="Transfers!$K$17" xr:uid="{00000000-0004-0000-0200-000045030000}"/>
    <hyperlink ref="B329" location="Transfers!$L$17" display="Transfers!$L$17" xr:uid="{00000000-0004-0000-0200-000046030000}"/>
    <hyperlink ref="B330" location="Transfers!$M$17" display="Transfers!$M$17" xr:uid="{00000000-0004-0000-0200-000047030000}"/>
    <hyperlink ref="B332" location="Transfers!$O$17" display="Transfers!$O$17" xr:uid="{00000000-0004-0000-0200-000048030000}"/>
    <hyperlink ref="B333" location="Transfers!$P$17" display="Transfers!$P$17" xr:uid="{00000000-0004-0000-0200-000049030000}"/>
    <hyperlink ref="B334" location="Transfers!$Q$17" display="Transfers!$Q$17" xr:uid="{00000000-0004-0000-0200-00004A030000}"/>
    <hyperlink ref="B335" location="Transfers!$R$17" display="Transfers!$R$17" xr:uid="{00000000-0004-0000-0200-00004B030000}"/>
    <hyperlink ref="B336" location="Transfers!$S$17" display="Transfers!$S$17" xr:uid="{00000000-0004-0000-0200-00004C030000}"/>
    <hyperlink ref="B337" location="Transfers!$T$17" display="Transfers!$T$17" xr:uid="{00000000-0004-0000-0200-00004D030000}"/>
    <hyperlink ref="B338" location="Transfers!$U$17" display="Transfers!$U$17" xr:uid="{00000000-0004-0000-0200-00004E030000}"/>
    <hyperlink ref="B339" location="Transfers!$V$17" display="Transfers!$V$17" xr:uid="{00000000-0004-0000-0200-00004F030000}"/>
    <hyperlink ref="B340" location="Transfers!$W$17" display="Transfers!$W$17" xr:uid="{00000000-0004-0000-0200-000050030000}"/>
    <hyperlink ref="B341" location="Transfers!$X$17" display="Transfers!$X$17" xr:uid="{00000000-0004-0000-0200-000051030000}"/>
    <hyperlink ref="B342" location="Transfers!$Y$17" display="Transfers!$Y$17" xr:uid="{00000000-0004-0000-0200-000052030000}"/>
    <hyperlink ref="B343" location="Transfers!$B$18" display="Transfers!$B$18" xr:uid="{00000000-0004-0000-0200-000053030000}"/>
    <hyperlink ref="B344" location="Transfers!$C$18" display="Transfers!$C$18" xr:uid="{00000000-0004-0000-0200-000054030000}"/>
    <hyperlink ref="B345" location="Transfers!$D$18" display="Transfers!$D$18" xr:uid="{00000000-0004-0000-0200-000055030000}"/>
    <hyperlink ref="B346" location="Transfers!$E$18" display="Transfers!$E$18" xr:uid="{00000000-0004-0000-0200-000056030000}"/>
    <hyperlink ref="B347" location="Transfers!$F$18" display="Transfers!$F$18" xr:uid="{00000000-0004-0000-0200-000057030000}"/>
    <hyperlink ref="B348" location="Transfers!$G$18" display="Transfers!$G$18" xr:uid="{00000000-0004-0000-0200-000058030000}"/>
    <hyperlink ref="B349" location="Transfers!$H$18" display="Transfers!$H$18" xr:uid="{00000000-0004-0000-0200-000059030000}"/>
    <hyperlink ref="B350" location="Transfers!$I$18" display="Transfers!$I$18" xr:uid="{00000000-0004-0000-0200-00005A030000}"/>
    <hyperlink ref="B351" location="Transfers!$J$18" display="Transfers!$J$18" xr:uid="{00000000-0004-0000-0200-00005B030000}"/>
    <hyperlink ref="B352" location="Transfers!$K$18" display="Transfers!$K$18" xr:uid="{00000000-0004-0000-0200-00005C030000}"/>
    <hyperlink ref="B353" location="Transfers!$L$18" display="Transfers!$L$18" xr:uid="{00000000-0004-0000-0200-00005D030000}"/>
    <hyperlink ref="B354" location="Transfers!$M$18" display="Transfers!$M$18" xr:uid="{00000000-0004-0000-0200-00005E030000}"/>
    <hyperlink ref="B355" location="Transfers!$N$18" display="Transfers!$N$18" xr:uid="{00000000-0004-0000-0200-00005F030000}"/>
    <hyperlink ref="B357" location="Transfers!$P$18" display="Transfers!$P$18" xr:uid="{00000000-0004-0000-0200-000060030000}"/>
    <hyperlink ref="B358" location="Transfers!$Q$18" display="Transfers!$Q$18" xr:uid="{00000000-0004-0000-0200-000061030000}"/>
    <hyperlink ref="B359" location="Transfers!$R$18" display="Transfers!$R$18" xr:uid="{00000000-0004-0000-0200-000062030000}"/>
    <hyperlink ref="B360" location="Transfers!$S$18" display="Transfers!$S$18" xr:uid="{00000000-0004-0000-0200-000063030000}"/>
    <hyperlink ref="B361" location="Transfers!$T$18" display="Transfers!$T$18" xr:uid="{00000000-0004-0000-0200-000064030000}"/>
    <hyperlink ref="B362" location="Transfers!$U$18" display="Transfers!$U$18" xr:uid="{00000000-0004-0000-0200-000065030000}"/>
    <hyperlink ref="B363" location="Transfers!$V$18" display="Transfers!$V$18" xr:uid="{00000000-0004-0000-0200-000066030000}"/>
    <hyperlink ref="B364" location="Transfers!$W$18" display="Transfers!$W$18" xr:uid="{00000000-0004-0000-0200-000067030000}"/>
    <hyperlink ref="B365" location="Transfers!$X$18" display="Transfers!$X$18" xr:uid="{00000000-0004-0000-0200-000068030000}"/>
    <hyperlink ref="B366" location="Transfers!$Y$18" display="Transfers!$Y$18" xr:uid="{00000000-0004-0000-0200-000069030000}"/>
    <hyperlink ref="B367" location="Transfers!$B$19" display="Transfers!$B$19" xr:uid="{00000000-0004-0000-0200-00006A030000}"/>
    <hyperlink ref="B368" location="Transfers!$C$19" display="Transfers!$C$19" xr:uid="{00000000-0004-0000-0200-00006B030000}"/>
    <hyperlink ref="B369" location="Transfers!$D$19" display="Transfers!$D$19" xr:uid="{00000000-0004-0000-0200-00006C030000}"/>
    <hyperlink ref="B370" location="Transfers!$E$19" display="Transfers!$E$19" xr:uid="{00000000-0004-0000-0200-00006D030000}"/>
    <hyperlink ref="B371" location="Transfers!$F$19" display="Transfers!$F$19" xr:uid="{00000000-0004-0000-0200-00006E030000}"/>
    <hyperlink ref="B372" location="Transfers!$G$19" display="Transfers!$G$19" xr:uid="{00000000-0004-0000-0200-00006F030000}"/>
    <hyperlink ref="B373" location="Transfers!$H$19" display="Transfers!$H$19" xr:uid="{00000000-0004-0000-0200-000070030000}"/>
    <hyperlink ref="B374" location="Transfers!$I$19" display="Transfers!$I$19" xr:uid="{00000000-0004-0000-0200-000071030000}"/>
    <hyperlink ref="B375" location="Transfers!$J$19" display="Transfers!$J$19" xr:uid="{00000000-0004-0000-0200-000072030000}"/>
    <hyperlink ref="B376" location="Transfers!$K$19" display="Transfers!$K$19" xr:uid="{00000000-0004-0000-0200-000073030000}"/>
    <hyperlink ref="B377" location="Transfers!$L$19" display="Transfers!$L$19" xr:uid="{00000000-0004-0000-0200-000074030000}"/>
    <hyperlink ref="B378" location="Transfers!$M$19" display="Transfers!$M$19" xr:uid="{00000000-0004-0000-0200-000075030000}"/>
    <hyperlink ref="B379" location="Transfers!$N$19" display="Transfers!$N$19" xr:uid="{00000000-0004-0000-0200-000076030000}"/>
    <hyperlink ref="B380" location="Transfers!$O$19" display="Transfers!$O$19" xr:uid="{00000000-0004-0000-0200-000077030000}"/>
    <hyperlink ref="B382" location="Transfers!$Q$19" display="Transfers!$Q$19" xr:uid="{00000000-0004-0000-0200-000078030000}"/>
    <hyperlink ref="B383" location="Transfers!$R$19" display="Transfers!$R$19" xr:uid="{00000000-0004-0000-0200-000079030000}"/>
    <hyperlink ref="B384" location="Transfers!$S$19" display="Transfers!$S$19" xr:uid="{00000000-0004-0000-0200-00007A030000}"/>
    <hyperlink ref="B385" location="Transfers!$T$19" display="Transfers!$T$19" xr:uid="{00000000-0004-0000-0200-00007B030000}"/>
    <hyperlink ref="B386" location="Transfers!$U$19" display="Transfers!$U$19" xr:uid="{00000000-0004-0000-0200-00007C030000}"/>
    <hyperlink ref="B387" location="Transfers!$V$19" display="Transfers!$V$19" xr:uid="{00000000-0004-0000-0200-00007D030000}"/>
    <hyperlink ref="B388" location="Transfers!$W$19" display="Transfers!$W$19" xr:uid="{00000000-0004-0000-0200-00007E030000}"/>
    <hyperlink ref="B389" location="Transfers!$X$19" display="Transfers!$X$19" xr:uid="{00000000-0004-0000-0200-00007F030000}"/>
    <hyperlink ref="B390" location="Transfers!$Y$19" display="Transfers!$Y$19" xr:uid="{00000000-0004-0000-0200-000080030000}"/>
    <hyperlink ref="B391" location="Transfers!$B$20" display="Transfers!$B$20" xr:uid="{00000000-0004-0000-0200-000081030000}"/>
    <hyperlink ref="B392" location="Transfers!$C$20" display="Transfers!$C$20" xr:uid="{00000000-0004-0000-0200-000082030000}"/>
    <hyperlink ref="B393" location="Transfers!$D$20" display="Transfers!$D$20" xr:uid="{00000000-0004-0000-0200-000083030000}"/>
    <hyperlink ref="B394" location="Transfers!$E$20" display="Transfers!$E$20" xr:uid="{00000000-0004-0000-0200-000084030000}"/>
    <hyperlink ref="B395" location="Transfers!$F$20" display="Transfers!$F$20" xr:uid="{00000000-0004-0000-0200-000085030000}"/>
    <hyperlink ref="B396" location="Transfers!$G$20" display="Transfers!$G$20" xr:uid="{00000000-0004-0000-0200-000086030000}"/>
    <hyperlink ref="B397" location="Transfers!$H$20" display="Transfers!$H$20" xr:uid="{00000000-0004-0000-0200-000087030000}"/>
    <hyperlink ref="B398" location="Transfers!$I$20" display="Transfers!$I$20" xr:uid="{00000000-0004-0000-0200-000088030000}"/>
    <hyperlink ref="B399" location="Transfers!$J$20" display="Transfers!$J$20" xr:uid="{00000000-0004-0000-0200-000089030000}"/>
    <hyperlink ref="B400" location="Transfers!$K$20" display="Transfers!$K$20" xr:uid="{00000000-0004-0000-0200-00008A030000}"/>
    <hyperlink ref="B401" location="Transfers!$L$20" display="Transfers!$L$20" xr:uid="{00000000-0004-0000-0200-00008B030000}"/>
    <hyperlink ref="B402" location="Transfers!$M$20" display="Transfers!$M$20" xr:uid="{00000000-0004-0000-0200-00008C030000}"/>
    <hyperlink ref="B403" location="Transfers!$N$20" display="Transfers!$N$20" xr:uid="{00000000-0004-0000-0200-00008D030000}"/>
    <hyperlink ref="B404" location="Transfers!$O$20" display="Transfers!$O$20" xr:uid="{00000000-0004-0000-0200-00008E030000}"/>
    <hyperlink ref="B405" location="Transfers!$P$20" display="Transfers!$P$20" xr:uid="{00000000-0004-0000-0200-00008F030000}"/>
    <hyperlink ref="B407" location="Transfers!$R$20" display="Transfers!$R$20" xr:uid="{00000000-0004-0000-0200-000090030000}"/>
    <hyperlink ref="B408" location="Transfers!$S$20" display="Transfers!$S$20" xr:uid="{00000000-0004-0000-0200-000091030000}"/>
    <hyperlink ref="B409" location="Transfers!$T$20" display="Transfers!$T$20" xr:uid="{00000000-0004-0000-0200-000092030000}"/>
    <hyperlink ref="B410" location="Transfers!$U$20" display="Transfers!$U$20" xr:uid="{00000000-0004-0000-0200-000093030000}"/>
    <hyperlink ref="B411" location="Transfers!$V$20" display="Transfers!$V$20" xr:uid="{00000000-0004-0000-0200-000094030000}"/>
    <hyperlink ref="B412" location="Transfers!$W$20" display="Transfers!$W$20" xr:uid="{00000000-0004-0000-0200-000095030000}"/>
    <hyperlink ref="B413" location="Transfers!$X$20" display="Transfers!$X$20" xr:uid="{00000000-0004-0000-0200-000096030000}"/>
    <hyperlink ref="B414" location="Transfers!$Y$20" display="Transfers!$Y$20" xr:uid="{00000000-0004-0000-0200-000097030000}"/>
    <hyperlink ref="B415" location="Transfers!$B$21" display="Transfers!$B$21" xr:uid="{00000000-0004-0000-0200-000098030000}"/>
    <hyperlink ref="B416" location="Transfers!$C$21" display="Transfers!$C$21" xr:uid="{00000000-0004-0000-0200-000099030000}"/>
    <hyperlink ref="B417" location="Transfers!$D$21" display="Transfers!$D$21" xr:uid="{00000000-0004-0000-0200-00009A030000}"/>
    <hyperlink ref="B418" location="Transfers!$E$21" display="Transfers!$E$21" xr:uid="{00000000-0004-0000-0200-00009B030000}"/>
    <hyperlink ref="B419" location="Transfers!$F$21" display="Transfers!$F$21" xr:uid="{00000000-0004-0000-0200-00009C030000}"/>
    <hyperlink ref="B420" location="Transfers!$G$21" display="Transfers!$G$21" xr:uid="{00000000-0004-0000-0200-00009D030000}"/>
    <hyperlink ref="B421" location="Transfers!$H$21" display="Transfers!$H$21" xr:uid="{00000000-0004-0000-0200-00009E030000}"/>
    <hyperlink ref="B422" location="Transfers!$I$21" display="Transfers!$I$21" xr:uid="{00000000-0004-0000-0200-00009F030000}"/>
    <hyperlink ref="B423" location="Transfers!$J$21" display="Transfers!$J$21" xr:uid="{00000000-0004-0000-0200-0000A0030000}"/>
    <hyperlink ref="B424" location="Transfers!$K$21" display="Transfers!$K$21" xr:uid="{00000000-0004-0000-0200-0000A1030000}"/>
    <hyperlink ref="B425" location="Transfers!$L$21" display="Transfers!$L$21" xr:uid="{00000000-0004-0000-0200-0000A2030000}"/>
    <hyperlink ref="B426" location="Transfers!$M$21" display="Transfers!$M$21" xr:uid="{00000000-0004-0000-0200-0000A3030000}"/>
    <hyperlink ref="B427" location="Transfers!$N$21" display="Transfers!$N$21" xr:uid="{00000000-0004-0000-0200-0000A4030000}"/>
    <hyperlink ref="B428" location="Transfers!$O$21" display="Transfers!$O$21" xr:uid="{00000000-0004-0000-0200-0000A5030000}"/>
    <hyperlink ref="B429" location="Transfers!$P$21" display="Transfers!$P$21" xr:uid="{00000000-0004-0000-0200-0000A6030000}"/>
    <hyperlink ref="B430" location="Transfers!$Q$21" display="Transfers!$Q$21" xr:uid="{00000000-0004-0000-0200-0000A7030000}"/>
    <hyperlink ref="B432" location="Transfers!$S$21" display="Transfers!$S$21" xr:uid="{00000000-0004-0000-0200-0000A8030000}"/>
    <hyperlink ref="B433" location="Transfers!$T$21" display="Transfers!$T$21" xr:uid="{00000000-0004-0000-0200-0000A9030000}"/>
    <hyperlink ref="B434" location="Transfers!$U$21" display="Transfers!$U$21" xr:uid="{00000000-0004-0000-0200-0000AA030000}"/>
    <hyperlink ref="B435" location="Transfers!$V$21" display="Transfers!$V$21" xr:uid="{00000000-0004-0000-0200-0000AB030000}"/>
    <hyperlink ref="B436" location="Transfers!$W$21" display="Transfers!$W$21" xr:uid="{00000000-0004-0000-0200-0000AC030000}"/>
    <hyperlink ref="B437" location="Transfers!$X$21" display="Transfers!$X$21" xr:uid="{00000000-0004-0000-0200-0000AD030000}"/>
    <hyperlink ref="B438" location="Transfers!$Y$21" display="Transfers!$Y$21" xr:uid="{00000000-0004-0000-0200-0000AE030000}"/>
    <hyperlink ref="B439" location="Transfers!$B$22" display="Transfers!$B$22" xr:uid="{00000000-0004-0000-0200-0000AF030000}"/>
    <hyperlink ref="B440" location="Transfers!$C$22" display="Transfers!$C$22" xr:uid="{00000000-0004-0000-0200-0000B0030000}"/>
    <hyperlink ref="B441" location="Transfers!$D$22" display="Transfers!$D$22" xr:uid="{00000000-0004-0000-0200-0000B1030000}"/>
    <hyperlink ref="B442" location="Transfers!$E$22" display="Transfers!$E$22" xr:uid="{00000000-0004-0000-0200-0000B2030000}"/>
    <hyperlink ref="B443" location="Transfers!$F$22" display="Transfers!$F$22" xr:uid="{00000000-0004-0000-0200-0000B3030000}"/>
    <hyperlink ref="B444" location="Transfers!$G$22" display="Transfers!$G$22" xr:uid="{00000000-0004-0000-0200-0000B4030000}"/>
    <hyperlink ref="B445" location="Transfers!$H$22" display="Transfers!$H$22" xr:uid="{00000000-0004-0000-0200-0000B5030000}"/>
    <hyperlink ref="B446" location="Transfers!$I$22" display="Transfers!$I$22" xr:uid="{00000000-0004-0000-0200-0000B6030000}"/>
    <hyperlink ref="B447" location="Transfers!$J$22" display="Transfers!$J$22" xr:uid="{00000000-0004-0000-0200-0000B7030000}"/>
    <hyperlink ref="B448" location="Transfers!$K$22" display="Transfers!$K$22" xr:uid="{00000000-0004-0000-0200-0000B8030000}"/>
    <hyperlink ref="B449" location="Transfers!$L$22" display="Transfers!$L$22" xr:uid="{00000000-0004-0000-0200-0000B9030000}"/>
    <hyperlink ref="B450" location="Transfers!$M$22" display="Transfers!$M$22" xr:uid="{00000000-0004-0000-0200-0000BA030000}"/>
    <hyperlink ref="B451" location="Transfers!$N$22" display="Transfers!$N$22" xr:uid="{00000000-0004-0000-0200-0000BB030000}"/>
    <hyperlink ref="B452" location="Transfers!$O$22" display="Transfers!$O$22" xr:uid="{00000000-0004-0000-0200-0000BC030000}"/>
    <hyperlink ref="B453" location="Transfers!$P$22" display="Transfers!$P$22" xr:uid="{00000000-0004-0000-0200-0000BD030000}"/>
    <hyperlink ref="B454" location="Transfers!$Q$22" display="Transfers!$Q$22" xr:uid="{00000000-0004-0000-0200-0000BE030000}"/>
    <hyperlink ref="B455" location="Transfers!$R$22" display="Transfers!$R$22" xr:uid="{00000000-0004-0000-0200-0000BF030000}"/>
    <hyperlink ref="B457" location="Transfers!$T$22" display="Transfers!$T$22" xr:uid="{00000000-0004-0000-0200-0000C0030000}"/>
    <hyperlink ref="B458" location="Transfers!$U$22" display="Transfers!$U$22" xr:uid="{00000000-0004-0000-0200-0000C1030000}"/>
    <hyperlink ref="B459" location="Transfers!$V$22" display="Transfers!$V$22" xr:uid="{00000000-0004-0000-0200-0000C2030000}"/>
    <hyperlink ref="B460" location="Transfers!$W$22" display="Transfers!$W$22" xr:uid="{00000000-0004-0000-0200-0000C3030000}"/>
    <hyperlink ref="B461" location="Transfers!$X$22" display="Transfers!$X$22" xr:uid="{00000000-0004-0000-0200-0000C4030000}"/>
    <hyperlink ref="B462" location="Transfers!$Y$22" display="Transfers!$Y$22" xr:uid="{00000000-0004-0000-0200-0000C5030000}"/>
    <hyperlink ref="B463" location="Transfers!$B$23" display="Transfers!$B$23" xr:uid="{00000000-0004-0000-0200-0000C6030000}"/>
    <hyperlink ref="B464" location="Transfers!$C$23" display="Transfers!$C$23" xr:uid="{00000000-0004-0000-0200-0000C7030000}"/>
    <hyperlink ref="B465" location="Transfers!$D$23" display="Transfers!$D$23" xr:uid="{00000000-0004-0000-0200-0000C8030000}"/>
    <hyperlink ref="B466" location="Transfers!$E$23" display="Transfers!$E$23" xr:uid="{00000000-0004-0000-0200-0000C9030000}"/>
    <hyperlink ref="B467" location="Transfers!$F$23" display="Transfers!$F$23" xr:uid="{00000000-0004-0000-0200-0000CA030000}"/>
    <hyperlink ref="B468" location="Transfers!$G$23" display="Transfers!$G$23" xr:uid="{00000000-0004-0000-0200-0000CB030000}"/>
    <hyperlink ref="B469" location="Transfers!$H$23" display="Transfers!$H$23" xr:uid="{00000000-0004-0000-0200-0000CC030000}"/>
    <hyperlink ref="B470" location="Transfers!$I$23" display="Transfers!$I$23" xr:uid="{00000000-0004-0000-0200-0000CD030000}"/>
    <hyperlink ref="B471" location="Transfers!$J$23" display="Transfers!$J$23" xr:uid="{00000000-0004-0000-0200-0000CE030000}"/>
    <hyperlink ref="B472" location="Transfers!$K$23" display="Transfers!$K$23" xr:uid="{00000000-0004-0000-0200-0000CF030000}"/>
    <hyperlink ref="B473" location="Transfers!$L$23" display="Transfers!$L$23" xr:uid="{00000000-0004-0000-0200-0000D0030000}"/>
    <hyperlink ref="B474" location="Transfers!$M$23" display="Transfers!$M$23" xr:uid="{00000000-0004-0000-0200-0000D1030000}"/>
    <hyperlink ref="B475" location="Transfers!$N$23" display="Transfers!$N$23" xr:uid="{00000000-0004-0000-0200-0000D2030000}"/>
    <hyperlink ref="B476" location="Transfers!$O$23" display="Transfers!$O$23" xr:uid="{00000000-0004-0000-0200-0000D3030000}"/>
    <hyperlink ref="B477" location="Transfers!$P$23" display="Transfers!$P$23" xr:uid="{00000000-0004-0000-0200-0000D4030000}"/>
    <hyperlink ref="B478" location="Transfers!$Q$23" display="Transfers!$Q$23" xr:uid="{00000000-0004-0000-0200-0000D5030000}"/>
    <hyperlink ref="B479" location="Transfers!$R$23" display="Transfers!$R$23" xr:uid="{00000000-0004-0000-0200-0000D6030000}"/>
    <hyperlink ref="B480" location="Transfers!$S$23" display="Transfers!$S$23" xr:uid="{00000000-0004-0000-0200-0000D7030000}"/>
    <hyperlink ref="B482" location="Transfers!$U$23" display="Transfers!$U$23" xr:uid="{00000000-0004-0000-0200-0000D8030000}"/>
    <hyperlink ref="B483" location="Transfers!$V$23" display="Transfers!$V$23" xr:uid="{00000000-0004-0000-0200-0000D9030000}"/>
    <hyperlink ref="B484" location="Transfers!$W$23" display="Transfers!$W$23" xr:uid="{00000000-0004-0000-0200-0000DA030000}"/>
    <hyperlink ref="B485" location="Transfers!$X$23" display="Transfers!$X$23" xr:uid="{00000000-0004-0000-0200-0000DB030000}"/>
    <hyperlink ref="B486" location="Transfers!$Y$23" display="Transfers!$Y$23" xr:uid="{00000000-0004-0000-0200-0000DC030000}"/>
    <hyperlink ref="B487" location="Transfers!$B$24" display="Transfers!$B$24" xr:uid="{00000000-0004-0000-0200-0000DD030000}"/>
    <hyperlink ref="B488" location="Transfers!$C$24" display="Transfers!$C$24" xr:uid="{00000000-0004-0000-0200-0000DE030000}"/>
    <hyperlink ref="B489" location="Transfers!$D$24" display="Transfers!$D$24" xr:uid="{00000000-0004-0000-0200-0000DF030000}"/>
    <hyperlink ref="B490" location="Transfers!$E$24" display="Transfers!$E$24" xr:uid="{00000000-0004-0000-0200-0000E0030000}"/>
    <hyperlink ref="B491" location="Transfers!$F$24" display="Transfers!$F$24" xr:uid="{00000000-0004-0000-0200-0000E1030000}"/>
    <hyperlink ref="B492" location="Transfers!$G$24" display="Transfers!$G$24" xr:uid="{00000000-0004-0000-0200-0000E2030000}"/>
    <hyperlink ref="B493" location="Transfers!$H$24" display="Transfers!$H$24" xr:uid="{00000000-0004-0000-0200-0000E3030000}"/>
    <hyperlink ref="B494" location="Transfers!$I$24" display="Transfers!$I$24" xr:uid="{00000000-0004-0000-0200-0000E4030000}"/>
    <hyperlink ref="B495" location="Transfers!$J$24" display="Transfers!$J$24" xr:uid="{00000000-0004-0000-0200-0000E5030000}"/>
    <hyperlink ref="B496" location="Transfers!$K$24" display="Transfers!$K$24" xr:uid="{00000000-0004-0000-0200-0000E6030000}"/>
    <hyperlink ref="B497" location="Transfers!$L$24" display="Transfers!$L$24" xr:uid="{00000000-0004-0000-0200-0000E7030000}"/>
    <hyperlink ref="B498" location="Transfers!$M$24" display="Transfers!$M$24" xr:uid="{00000000-0004-0000-0200-0000E8030000}"/>
    <hyperlink ref="B499" location="Transfers!$N$24" display="Transfers!$N$24" xr:uid="{00000000-0004-0000-0200-0000E9030000}"/>
    <hyperlink ref="B500" location="Transfers!$O$24" display="Transfers!$O$24" xr:uid="{00000000-0004-0000-0200-0000EA030000}"/>
    <hyperlink ref="B501" location="Transfers!$P$24" display="Transfers!$P$24" xr:uid="{00000000-0004-0000-0200-0000EB030000}"/>
    <hyperlink ref="B502" location="Transfers!$Q$24" display="Transfers!$Q$24" xr:uid="{00000000-0004-0000-0200-0000EC030000}"/>
    <hyperlink ref="B503" location="Transfers!$R$24" display="Transfers!$R$24" xr:uid="{00000000-0004-0000-0200-0000ED030000}"/>
    <hyperlink ref="B504" location="Transfers!$S$24" display="Transfers!$S$24" xr:uid="{00000000-0004-0000-0200-0000EE030000}"/>
    <hyperlink ref="B505" location="Transfers!$T$24" display="Transfers!$T$24" xr:uid="{00000000-0004-0000-0200-0000EF030000}"/>
    <hyperlink ref="B507" location="Transfers!$V$24" display="Transfers!$V$24" xr:uid="{00000000-0004-0000-0200-0000F0030000}"/>
    <hyperlink ref="B508" location="Transfers!$W$24" display="Transfers!$W$24" xr:uid="{00000000-0004-0000-0200-0000F1030000}"/>
    <hyperlink ref="B509" location="Transfers!$X$24" display="Transfers!$X$24" xr:uid="{00000000-0004-0000-0200-0000F2030000}"/>
    <hyperlink ref="B510" location="Transfers!$Y$24" display="Transfers!$Y$24" xr:uid="{00000000-0004-0000-0200-0000F3030000}"/>
    <hyperlink ref="B511" location="Transfers!$B$25" display="Transfers!$B$25" xr:uid="{00000000-0004-0000-0200-0000F4030000}"/>
    <hyperlink ref="B512" location="Transfers!$C$25" display="Transfers!$C$25" xr:uid="{00000000-0004-0000-0200-0000F5030000}"/>
    <hyperlink ref="B513" location="Transfers!$D$25" display="Transfers!$D$25" xr:uid="{00000000-0004-0000-0200-0000F6030000}"/>
    <hyperlink ref="B514" location="Transfers!$E$25" display="Transfers!$E$25" xr:uid="{00000000-0004-0000-0200-0000F7030000}"/>
    <hyperlink ref="B515" location="Transfers!$F$25" display="Transfers!$F$25" xr:uid="{00000000-0004-0000-0200-0000F8030000}"/>
    <hyperlink ref="B516" location="Transfers!$G$25" display="Transfers!$G$25" xr:uid="{00000000-0004-0000-0200-0000F9030000}"/>
    <hyperlink ref="B517" location="Transfers!$H$25" display="Transfers!$H$25" xr:uid="{00000000-0004-0000-0200-0000FA030000}"/>
    <hyperlink ref="B518" location="Transfers!$I$25" display="Transfers!$I$25" xr:uid="{00000000-0004-0000-0200-0000FB030000}"/>
    <hyperlink ref="B519" location="Transfers!$J$25" display="Transfers!$J$25" xr:uid="{00000000-0004-0000-0200-0000FC030000}"/>
    <hyperlink ref="B520" location="Transfers!$K$25" display="Transfers!$K$25" xr:uid="{00000000-0004-0000-0200-0000FD030000}"/>
    <hyperlink ref="B521" location="Transfers!$L$25" display="Transfers!$L$25" xr:uid="{00000000-0004-0000-0200-0000FE030000}"/>
    <hyperlink ref="B522" location="Transfers!$M$25" display="Transfers!$M$25" xr:uid="{00000000-0004-0000-0200-0000FF030000}"/>
    <hyperlink ref="B523" location="Transfers!$N$25" display="Transfers!$N$25" xr:uid="{00000000-0004-0000-0200-000000040000}"/>
    <hyperlink ref="B524" location="Transfers!$O$25" display="Transfers!$O$25" xr:uid="{00000000-0004-0000-0200-000001040000}"/>
    <hyperlink ref="B525" location="Transfers!$P$25" display="Transfers!$P$25" xr:uid="{00000000-0004-0000-0200-000002040000}"/>
    <hyperlink ref="B526" location="Transfers!$Q$25" display="Transfers!$Q$25" xr:uid="{00000000-0004-0000-0200-000003040000}"/>
    <hyperlink ref="B527" location="Transfers!$R$25" display="Transfers!$R$25" xr:uid="{00000000-0004-0000-0200-000004040000}"/>
    <hyperlink ref="B528" location="Transfers!$S$25" display="Transfers!$S$25" xr:uid="{00000000-0004-0000-0200-000005040000}"/>
    <hyperlink ref="B529" location="Transfers!$T$25" display="Transfers!$T$25" xr:uid="{00000000-0004-0000-0200-000006040000}"/>
    <hyperlink ref="B530" location="Transfers!$U$25" display="Transfers!$U$25" xr:uid="{00000000-0004-0000-0200-000007040000}"/>
    <hyperlink ref="B532" location="Transfers!$W$25" display="Transfers!$W$25" xr:uid="{00000000-0004-0000-0200-000008040000}"/>
    <hyperlink ref="B533" location="Transfers!$X$25" display="Transfers!$X$25" xr:uid="{00000000-0004-0000-0200-000009040000}"/>
    <hyperlink ref="B534" location="Transfers!$Y$25" display="Transfers!$Y$25" xr:uid="{00000000-0004-0000-0200-00000A040000}"/>
    <hyperlink ref="B535" location="Transfers!$B$26" display="Transfers!$B$26" xr:uid="{00000000-0004-0000-0200-00000B040000}"/>
    <hyperlink ref="B536" location="Transfers!$C$26" display="Transfers!$C$26" xr:uid="{00000000-0004-0000-0200-00000C040000}"/>
    <hyperlink ref="B537" location="Transfers!$D$26" display="Transfers!$D$26" xr:uid="{00000000-0004-0000-0200-00000D040000}"/>
    <hyperlink ref="B538" location="Transfers!$E$26" display="Transfers!$E$26" xr:uid="{00000000-0004-0000-0200-00000E040000}"/>
    <hyperlink ref="B539" location="Transfers!$F$26" display="Transfers!$F$26" xr:uid="{00000000-0004-0000-0200-00000F040000}"/>
    <hyperlink ref="B540" location="Transfers!$G$26" display="Transfers!$G$26" xr:uid="{00000000-0004-0000-0200-000010040000}"/>
    <hyperlink ref="B541" location="Transfers!$H$26" display="Transfers!$H$26" xr:uid="{00000000-0004-0000-0200-000011040000}"/>
    <hyperlink ref="B542" location="Transfers!$I$26" display="Transfers!$I$26" xr:uid="{00000000-0004-0000-0200-000012040000}"/>
    <hyperlink ref="B543" location="Transfers!$J$26" display="Transfers!$J$26" xr:uid="{00000000-0004-0000-0200-000013040000}"/>
    <hyperlink ref="B544" location="Transfers!$K$26" display="Transfers!$K$26" xr:uid="{00000000-0004-0000-0200-000014040000}"/>
    <hyperlink ref="B545" location="Transfers!$L$26" display="Transfers!$L$26" xr:uid="{00000000-0004-0000-0200-000015040000}"/>
    <hyperlink ref="B546" location="Transfers!$M$26" display="Transfers!$M$26" xr:uid="{00000000-0004-0000-0200-000016040000}"/>
    <hyperlink ref="B547" location="Transfers!$N$26" display="Transfers!$N$26" xr:uid="{00000000-0004-0000-0200-000017040000}"/>
    <hyperlink ref="B548" location="Transfers!$O$26" display="Transfers!$O$26" xr:uid="{00000000-0004-0000-0200-000018040000}"/>
    <hyperlink ref="B549" location="Transfers!$P$26" display="Transfers!$P$26" xr:uid="{00000000-0004-0000-0200-000019040000}"/>
    <hyperlink ref="B550" location="Transfers!$Q$26" display="Transfers!$Q$26" xr:uid="{00000000-0004-0000-0200-00001A040000}"/>
    <hyperlink ref="B551" location="Transfers!$R$26" display="Transfers!$R$26" xr:uid="{00000000-0004-0000-0200-00001B040000}"/>
    <hyperlink ref="B552" location="Transfers!$S$26" display="Transfers!$S$26" xr:uid="{00000000-0004-0000-0200-00001C040000}"/>
    <hyperlink ref="B553" location="Transfers!$T$26" display="Transfers!$T$26" xr:uid="{00000000-0004-0000-0200-00001D040000}"/>
    <hyperlink ref="B554" location="Transfers!$U$26" display="Transfers!$U$26" xr:uid="{00000000-0004-0000-0200-00001E040000}"/>
    <hyperlink ref="B555" location="Transfers!$V$26" display="Transfers!$V$26" xr:uid="{00000000-0004-0000-0200-00001F040000}"/>
    <hyperlink ref="B557" location="Transfers!$X$26" display="Transfers!$X$26" xr:uid="{00000000-0004-0000-0200-000020040000}"/>
    <hyperlink ref="B558" location="Transfers!$Y$26" display="Transfers!$Y$26" xr:uid="{00000000-0004-0000-0200-000021040000}"/>
    <hyperlink ref="B559" location="Transfers!$B$27" display="Transfers!$B$27" xr:uid="{00000000-0004-0000-0200-000022040000}"/>
    <hyperlink ref="B560" location="Transfers!$C$27" display="Transfers!$C$27" xr:uid="{00000000-0004-0000-0200-000023040000}"/>
    <hyperlink ref="B561" location="Transfers!$D$27" display="Transfers!$D$27" xr:uid="{00000000-0004-0000-0200-000024040000}"/>
    <hyperlink ref="B562" location="Transfers!$E$27" display="Transfers!$E$27" xr:uid="{00000000-0004-0000-0200-000025040000}"/>
    <hyperlink ref="B563" location="Transfers!$F$27" display="Transfers!$F$27" xr:uid="{00000000-0004-0000-0200-000026040000}"/>
    <hyperlink ref="B564" location="Transfers!$G$27" display="Transfers!$G$27" xr:uid="{00000000-0004-0000-0200-000027040000}"/>
    <hyperlink ref="B565" location="Transfers!$H$27" display="Transfers!$H$27" xr:uid="{00000000-0004-0000-0200-000028040000}"/>
    <hyperlink ref="B566" location="Transfers!$I$27" display="Transfers!$I$27" xr:uid="{00000000-0004-0000-0200-000029040000}"/>
    <hyperlink ref="B567" location="Transfers!$J$27" display="Transfers!$J$27" xr:uid="{00000000-0004-0000-0200-00002A040000}"/>
    <hyperlink ref="B568" location="Transfers!$K$27" display="Transfers!$K$27" xr:uid="{00000000-0004-0000-0200-00002B040000}"/>
    <hyperlink ref="B569" location="Transfers!$L$27" display="Transfers!$L$27" xr:uid="{00000000-0004-0000-0200-00002C040000}"/>
    <hyperlink ref="B570" location="Transfers!$M$27" display="Transfers!$M$27" xr:uid="{00000000-0004-0000-0200-00002D040000}"/>
    <hyperlink ref="B571" location="Transfers!$N$27" display="Transfers!$N$27" xr:uid="{00000000-0004-0000-0200-00002E040000}"/>
    <hyperlink ref="B572" location="Transfers!$O$27" display="Transfers!$O$27" xr:uid="{00000000-0004-0000-0200-00002F040000}"/>
    <hyperlink ref="B573" location="Transfers!$P$27" display="Transfers!$P$27" xr:uid="{00000000-0004-0000-0200-000030040000}"/>
    <hyperlink ref="B574" location="Transfers!$Q$27" display="Transfers!$Q$27" xr:uid="{00000000-0004-0000-0200-000031040000}"/>
    <hyperlink ref="B575" location="Transfers!$R$27" display="Transfers!$R$27" xr:uid="{00000000-0004-0000-0200-000032040000}"/>
    <hyperlink ref="B576" location="Transfers!$S$27" display="Transfers!$S$27" xr:uid="{00000000-0004-0000-0200-000033040000}"/>
    <hyperlink ref="B577" location="Transfers!$T$27" display="Transfers!$T$27" xr:uid="{00000000-0004-0000-0200-000034040000}"/>
    <hyperlink ref="B578" location="Transfers!$U$27" display="Transfers!$U$27" xr:uid="{00000000-0004-0000-0200-000035040000}"/>
    <hyperlink ref="B579" location="Transfers!$V$27" display="Transfers!$V$27" xr:uid="{00000000-0004-0000-0200-000036040000}"/>
    <hyperlink ref="B580" location="Transfers!$W$27" display="Transfers!$W$27" xr:uid="{00000000-0004-0000-0200-000037040000}"/>
    <hyperlink ref="B582" location="Transfers!$Y$27" display="Transfers!$Y$27" xr:uid="{00000000-0004-0000-0200-000038040000}"/>
    <hyperlink ref="B583" location="Transfers!$B$28" display="Transfers!$B$28" xr:uid="{00000000-0004-0000-0200-000039040000}"/>
    <hyperlink ref="B584" location="Transfers!$C$28" display="Transfers!$C$28" xr:uid="{00000000-0004-0000-0200-00003A040000}"/>
    <hyperlink ref="B585" location="Transfers!$D$28" display="Transfers!$D$28" xr:uid="{00000000-0004-0000-0200-00003B040000}"/>
    <hyperlink ref="B586" location="Transfers!$E$28" display="Transfers!$E$28" xr:uid="{00000000-0004-0000-0200-00003C040000}"/>
    <hyperlink ref="B587" location="Transfers!$F$28" display="Transfers!$F$28" xr:uid="{00000000-0004-0000-0200-00003D040000}"/>
    <hyperlink ref="B588" location="Transfers!$G$28" display="Transfers!$G$28" xr:uid="{00000000-0004-0000-0200-00003E040000}"/>
    <hyperlink ref="B589" location="Transfers!$H$28" display="Transfers!$H$28" xr:uid="{00000000-0004-0000-0200-00003F040000}"/>
    <hyperlink ref="B590" location="Transfers!$I$28" display="Transfers!$I$28" xr:uid="{00000000-0004-0000-0200-000040040000}"/>
    <hyperlink ref="B591" location="Transfers!$J$28" display="Transfers!$J$28" xr:uid="{00000000-0004-0000-0200-000041040000}"/>
    <hyperlink ref="B592" location="Transfers!$K$28" display="Transfers!$K$28" xr:uid="{00000000-0004-0000-0200-000042040000}"/>
    <hyperlink ref="B593" location="Transfers!$L$28" display="Transfers!$L$28" xr:uid="{00000000-0004-0000-0200-000043040000}"/>
    <hyperlink ref="B594" location="Transfers!$M$28" display="Transfers!$M$28" xr:uid="{00000000-0004-0000-0200-000044040000}"/>
    <hyperlink ref="B595" location="Transfers!$N$28" display="Transfers!$N$28" xr:uid="{00000000-0004-0000-0200-000045040000}"/>
    <hyperlink ref="B596" location="Transfers!$O$28" display="Transfers!$O$28" xr:uid="{00000000-0004-0000-0200-000046040000}"/>
    <hyperlink ref="B597" location="Transfers!$P$28" display="Transfers!$P$28" xr:uid="{00000000-0004-0000-0200-000047040000}"/>
    <hyperlink ref="B598" location="Transfers!$Q$28" display="Transfers!$Q$28" xr:uid="{00000000-0004-0000-0200-000048040000}"/>
    <hyperlink ref="B599" location="Transfers!$R$28" display="Transfers!$R$28" xr:uid="{00000000-0004-0000-0200-000049040000}"/>
    <hyperlink ref="B600" location="Transfers!$S$28" display="Transfers!$S$28" xr:uid="{00000000-0004-0000-0200-00004A040000}"/>
    <hyperlink ref="B601" location="Transfers!$T$28" display="Transfers!$T$28" xr:uid="{00000000-0004-0000-0200-00004B040000}"/>
    <hyperlink ref="B602" location="Transfers!$U$28" display="Transfers!$U$28" xr:uid="{00000000-0004-0000-0200-00004C040000}"/>
    <hyperlink ref="B603" location="Transfers!$V$28" display="Transfers!$V$28" xr:uid="{00000000-0004-0000-0200-00004D040000}"/>
    <hyperlink ref="B604" location="Transfers!$W$28" display="Transfers!$W$28" xr:uid="{00000000-0004-0000-0200-00004E040000}"/>
    <hyperlink ref="B605" location="Transfers!$X$28" display="Transfers!$X$28" xr:uid="{00000000-0004-0000-0200-00004F04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Population Definitions</vt:lpstr>
      <vt:lpstr>Demographics</vt:lpstr>
      <vt:lpstr>Transfers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Chris Seaman</cp:lastModifiedBy>
  <dcterms:created xsi:type="dcterms:W3CDTF">2026-09-21T05:16:05Z</dcterms:created>
  <dcterms:modified xsi:type="dcterms:W3CDTF">2026-09-21T05:21:57Z</dcterms:modified>
  <cp:category>atomica:databook</cp:category>
</cp:coreProperties>
</file>