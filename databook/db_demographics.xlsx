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emographics" sheetId="2" r:id="rId2"/>
    <sheet name="Transfers" sheetId="3" r:id="rId3"/>
  </sheets>
  <calcPr calcId="124519" fullCalcOnLoad="1"/>
</workbook>
</file>

<file path=xl/sharedStrings.xml><?xml version="1.0" encoding="utf-8"?>
<sst xmlns="http://schemas.openxmlformats.org/spreadsheetml/2006/main" count="4319" uniqueCount="1323">
  <si>
    <t>Abbreviation</t>
  </si>
  <si>
    <t>Full Name</t>
  </si>
  <si>
    <t>Population type</t>
  </si>
  <si>
    <t>0-4M_aus</t>
  </si>
  <si>
    <t>default</t>
  </si>
  <si>
    <t>5-14M_aus</t>
  </si>
  <si>
    <t>15-29M_aus</t>
  </si>
  <si>
    <t>30-49M_aus</t>
  </si>
  <si>
    <t>50-64M_aus</t>
  </si>
  <si>
    <t>65+M_aus</t>
  </si>
  <si>
    <t>0-4F_aus</t>
  </si>
  <si>
    <t>5-14F_aus</t>
  </si>
  <si>
    <t>15-29F_aus</t>
  </si>
  <si>
    <t>30-49F_aus</t>
  </si>
  <si>
    <t>50-64F_aus</t>
  </si>
  <si>
    <t>65+F_aus</t>
  </si>
  <si>
    <t>0-4M_oth</t>
  </si>
  <si>
    <t>5-14M_oth</t>
  </si>
  <si>
    <t>15-29M_oth</t>
  </si>
  <si>
    <t>30-49M_oth</t>
  </si>
  <si>
    <t>50-64M_oth</t>
  </si>
  <si>
    <t>65+M_oth</t>
  </si>
  <si>
    <t>0-4F_oth</t>
  </si>
  <si>
    <t>5-14F_oth</t>
  </si>
  <si>
    <t>15-29F_oth</t>
  </si>
  <si>
    <t>30-49F_oth</t>
  </si>
  <si>
    <t>50-64F_oth</t>
  </si>
  <si>
    <t>65+F_oth</t>
  </si>
  <si>
    <t>0-4M_fns</t>
  </si>
  <si>
    <t>5-14M_fns</t>
  </si>
  <si>
    <t>15-29M_fns</t>
  </si>
  <si>
    <t>30-49M_fns</t>
  </si>
  <si>
    <t>50-64M_fns</t>
  </si>
  <si>
    <t>65+M_fns</t>
  </si>
  <si>
    <t>0-4F_fns</t>
  </si>
  <si>
    <t>5-14F_fns</t>
  </si>
  <si>
    <t>15-29F_fns</t>
  </si>
  <si>
    <t>30-49F_fns</t>
  </si>
  <si>
    <t>50-64F_fns</t>
  </si>
  <si>
    <t>65+F_fns</t>
  </si>
  <si>
    <t>Total Population Size</t>
  </si>
  <si>
    <t>Provenance</t>
  </si>
  <si>
    <t>Units</t>
  </si>
  <si>
    <t>Uncertainty</t>
  </si>
  <si>
    <t>Number</t>
  </si>
  <si>
    <t>Annual Livebirths</t>
  </si>
  <si>
    <t>Constant</t>
  </si>
  <si>
    <t>Number (per year)</t>
  </si>
  <si>
    <t>OR</t>
  </si>
  <si>
    <t>Total Arrivals by broad pop group</t>
  </si>
  <si>
    <t>Total Departures by broad pop group</t>
  </si>
  <si>
    <t>All Cause (non HepB) Mortality Rate</t>
  </si>
  <si>
    <t>Probability (per year)</t>
  </si>
  <si>
    <t>age</t>
  </si>
  <si>
    <t>aging</t>
  </si>
  <si>
    <t>From population type</t>
  </si>
  <si>
    <t>To population type</t>
  </si>
  <si>
    <t>N.A.</t>
  </si>
  <si>
    <t>Y</t>
  </si>
  <si>
    <t>N</t>
  </si>
  <si>
    <t>From population</t>
  </si>
  <si>
    <t>To population</t>
  </si>
  <si>
    <t>Transfers!$C$5</t>
  </si>
  <si>
    <t>Rate (per year)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</si>
  <si>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</si>
  <si>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</si>
  <si>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</si>
  <si>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</si>
  <si>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</si>
  <si>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</si>
  <si>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</si>
  <si>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</si>
  <si>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</si>
  <si>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</si>
  <si>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</si>
  <si>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</si>
  <si>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</si>
  <si>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</si>
  <si>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</si>
  <si>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</si>
  <si>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</si>
  <si>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</si>
  <si>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</si>
  <si>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</si>
  <si>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</si>
  <si>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</si>
  <si>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Transfers!$Z$5</t>
  </si>
  <si>
    <t>Transfers!$AA$5</t>
  </si>
  <si>
    <t>Transfers!$AB$5</t>
  </si>
  <si>
    <t>Transfers!$AC$5</t>
  </si>
  <si>
    <t>Transfers!$AD$5</t>
  </si>
  <si>
    <t>Transfers!$AE$5</t>
  </si>
  <si>
    <t>Transfers!$AF$5</t>
  </si>
  <si>
    <t>Transfers!$AG$5</t>
  </si>
  <si>
    <t>Transfers!$AH$5</t>
  </si>
  <si>
    <t>Transfers!$AI$5</t>
  </si>
  <si>
    <t>Transfers!$AJ$5</t>
  </si>
  <si>
    <t>Transfers!$AK$5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</si>
  <si>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</si>
  <si>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</si>
  <si>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</si>
  <si>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</si>
  <si>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</si>
  <si>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</si>
  <si>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</si>
  <si>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</si>
  <si>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</si>
  <si>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</si>
  <si>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</si>
  <si>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</si>
  <si>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</si>
  <si>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</si>
  <si>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</si>
  <si>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</si>
  <si>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</si>
  <si>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</si>
  <si>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</si>
  <si>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</si>
  <si>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</si>
  <si>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</si>
  <si>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</si>
  <si>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Transfers!$Z$6</t>
  </si>
  <si>
    <t>Transfers!$AA$6</t>
  </si>
  <si>
    <t>Transfers!$AB$6</t>
  </si>
  <si>
    <t>Transfers!$AC$6</t>
  </si>
  <si>
    <t>Transfers!$AD$6</t>
  </si>
  <si>
    <t>Transfers!$AE$6</t>
  </si>
  <si>
    <t>Transfers!$AF$6</t>
  </si>
  <si>
    <t>Transfers!$AG$6</t>
  </si>
  <si>
    <t>Transfers!$AH$6</t>
  </si>
  <si>
    <t>Transfers!$AI$6</t>
  </si>
  <si>
    <t>Transfers!$AJ$6</t>
  </si>
  <si>
    <t>Transfers!$AK$6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</si>
  <si>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</si>
  <si>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</si>
  <si>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</si>
  <si>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</si>
  <si>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</si>
  <si>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</si>
  <si>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</si>
  <si>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</si>
  <si>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</si>
  <si>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</si>
  <si>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</si>
  <si>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</si>
  <si>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</si>
  <si>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</si>
  <si>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</si>
  <si>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</si>
  <si>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</si>
  <si>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</si>
  <si>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</si>
  <si>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</si>
  <si>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</si>
  <si>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</si>
  <si>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</si>
  <si>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Transfers!$Z$7</t>
  </si>
  <si>
    <t>Transfers!$AA$7</t>
  </si>
  <si>
    <t>Transfers!$AB$7</t>
  </si>
  <si>
    <t>Transfers!$AC$7</t>
  </si>
  <si>
    <t>Transfers!$AD$7</t>
  </si>
  <si>
    <t>Transfers!$AE$7</t>
  </si>
  <si>
    <t>Transfers!$AF$7</t>
  </si>
  <si>
    <t>Transfers!$AG$7</t>
  </si>
  <si>
    <t>Transfers!$AH$7</t>
  </si>
  <si>
    <t>Transfers!$AI$7</t>
  </si>
  <si>
    <t>Transfers!$AJ$7</t>
  </si>
  <si>
    <t>Transfers!$AK$7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</si>
  <si>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</si>
  <si>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</si>
  <si>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</si>
  <si>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</si>
  <si>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</si>
  <si>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</si>
  <si>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</si>
  <si>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</si>
  <si>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</si>
  <si>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</si>
  <si>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</si>
  <si>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</si>
  <si>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</si>
  <si>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</si>
  <si>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</si>
  <si>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</si>
  <si>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</si>
  <si>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</si>
  <si>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</si>
  <si>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</si>
  <si>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</si>
  <si>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</si>
  <si>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</si>
  <si>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Transfers!$Z$8</t>
  </si>
  <si>
    <t>Transfers!$AA$8</t>
  </si>
  <si>
    <t>Transfers!$AB$8</t>
  </si>
  <si>
    <t>Transfers!$AC$8</t>
  </si>
  <si>
    <t>Transfers!$AD$8</t>
  </si>
  <si>
    <t>Transfers!$AE$8</t>
  </si>
  <si>
    <t>Transfers!$AF$8</t>
  </si>
  <si>
    <t>Transfers!$AG$8</t>
  </si>
  <si>
    <t>Transfers!$AH$8</t>
  </si>
  <si>
    <t>Transfers!$AI$8</t>
  </si>
  <si>
    <t>Transfers!$AJ$8</t>
  </si>
  <si>
    <t>Transfers!$AK$8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</si>
  <si>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</si>
  <si>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</si>
  <si>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</si>
  <si>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</si>
  <si>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</si>
  <si>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</si>
  <si>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</si>
  <si>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</si>
  <si>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</si>
  <si>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</si>
  <si>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</si>
  <si>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</si>
  <si>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</si>
  <si>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</si>
  <si>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</si>
  <si>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</si>
  <si>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</si>
  <si>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</si>
  <si>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</si>
  <si>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</si>
  <si>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</si>
  <si>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</si>
  <si>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</si>
  <si>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Transfers!$Z$9</t>
  </si>
  <si>
    <t>Transfers!$AA$9</t>
  </si>
  <si>
    <t>Transfers!$AB$9</t>
  </si>
  <si>
    <t>Transfers!$AC$9</t>
  </si>
  <si>
    <t>Transfers!$AD$9</t>
  </si>
  <si>
    <t>Transfers!$AE$9</t>
  </si>
  <si>
    <t>Transfers!$AF$9</t>
  </si>
  <si>
    <t>Transfers!$AG$9</t>
  </si>
  <si>
    <t>Transfers!$AH$9</t>
  </si>
  <si>
    <t>Transfers!$AI$9</t>
  </si>
  <si>
    <t>Transfers!$AJ$9</t>
  </si>
  <si>
    <t>Transfers!$AK$9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</si>
  <si>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</si>
  <si>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</si>
  <si>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</si>
  <si>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</si>
  <si>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</si>
  <si>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</si>
  <si>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</si>
  <si>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</si>
  <si>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</si>
  <si>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</si>
  <si>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</si>
  <si>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</si>
  <si>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</si>
  <si>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</si>
  <si>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</si>
  <si>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</si>
  <si>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</si>
  <si>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</si>
  <si>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</si>
  <si>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</si>
  <si>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</si>
  <si>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</si>
  <si>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</si>
  <si>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Transfers!$Z$10</t>
  </si>
  <si>
    <t>Transfers!$AA$10</t>
  </si>
  <si>
    <t>Transfers!$AB$10</t>
  </si>
  <si>
    <t>Transfers!$AC$10</t>
  </si>
  <si>
    <t>Transfers!$AD$10</t>
  </si>
  <si>
    <t>Transfers!$AE$10</t>
  </si>
  <si>
    <t>Transfers!$AF$10</t>
  </si>
  <si>
    <t>Transfers!$AG$10</t>
  </si>
  <si>
    <t>Transfers!$AH$10</t>
  </si>
  <si>
    <t>Transfers!$AI$10</t>
  </si>
  <si>
    <t>Transfers!$AJ$10</t>
  </si>
  <si>
    <t>Transfers!$AK$10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</si>
  <si>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</si>
  <si>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</si>
  <si>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</si>
  <si>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</si>
  <si>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</si>
  <si>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</si>
  <si>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</si>
  <si>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</si>
  <si>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</si>
  <si>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</si>
  <si>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</si>
  <si>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</si>
  <si>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</si>
  <si>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</si>
  <si>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</si>
  <si>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</si>
  <si>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</si>
  <si>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</si>
  <si>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</si>
  <si>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</si>
  <si>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</si>
  <si>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</si>
  <si>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</si>
  <si>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Transfers!$Z$11</t>
  </si>
  <si>
    <t>Transfers!$AA$11</t>
  </si>
  <si>
    <t>Transfers!$AB$11</t>
  </si>
  <si>
    <t>Transfers!$AC$11</t>
  </si>
  <si>
    <t>Transfers!$AD$11</t>
  </si>
  <si>
    <t>Transfers!$AE$11</t>
  </si>
  <si>
    <t>Transfers!$AF$11</t>
  </si>
  <si>
    <t>Transfers!$AG$11</t>
  </si>
  <si>
    <t>Transfers!$AH$11</t>
  </si>
  <si>
    <t>Transfers!$AI$11</t>
  </si>
  <si>
    <t>Transfers!$AJ$11</t>
  </si>
  <si>
    <t>Transfers!$AK$11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</si>
  <si>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</si>
  <si>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</si>
  <si>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</si>
  <si>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</si>
  <si>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</si>
  <si>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</si>
  <si>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</si>
  <si>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</si>
  <si>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</si>
  <si>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</si>
  <si>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</si>
  <si>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</si>
  <si>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</si>
  <si>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</si>
  <si>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</si>
  <si>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</si>
  <si>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</si>
  <si>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</si>
  <si>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</si>
  <si>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</si>
  <si>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</si>
  <si>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</si>
  <si>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</si>
  <si>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Transfers!$Z$12</t>
  </si>
  <si>
    <t>Transfers!$AA$12</t>
  </si>
  <si>
    <t>Transfers!$AB$12</t>
  </si>
  <si>
    <t>Transfers!$AC$12</t>
  </si>
  <si>
    <t>Transfers!$AD$12</t>
  </si>
  <si>
    <t>Transfers!$AE$12</t>
  </si>
  <si>
    <t>Transfers!$AF$12</t>
  </si>
  <si>
    <t>Transfers!$AG$12</t>
  </si>
  <si>
    <t>Transfers!$AH$12</t>
  </si>
  <si>
    <t>Transfers!$AI$12</t>
  </si>
  <si>
    <t>Transfers!$AJ$12</t>
  </si>
  <si>
    <t>Transfers!$AK$12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</si>
  <si>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</si>
  <si>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</si>
  <si>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</si>
  <si>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</si>
  <si>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</si>
  <si>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</si>
  <si>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</si>
  <si>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</si>
  <si>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</si>
  <si>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</si>
  <si>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</si>
  <si>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</si>
  <si>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</si>
  <si>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</si>
  <si>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</si>
  <si>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</si>
  <si>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</si>
  <si>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</si>
  <si>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</si>
  <si>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</si>
  <si>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</si>
  <si>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</si>
  <si>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</si>
  <si>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Transfers!$Z$13</t>
  </si>
  <si>
    <t>Transfers!$AA$13</t>
  </si>
  <si>
    <t>Transfers!$AB$13</t>
  </si>
  <si>
    <t>Transfers!$AC$13</t>
  </si>
  <si>
    <t>Transfers!$AD$13</t>
  </si>
  <si>
    <t>Transfers!$AE$13</t>
  </si>
  <si>
    <t>Transfers!$AF$13</t>
  </si>
  <si>
    <t>Transfers!$AG$13</t>
  </si>
  <si>
    <t>Transfers!$AH$13</t>
  </si>
  <si>
    <t>Transfers!$AI$13</t>
  </si>
  <si>
    <t>Transfers!$AJ$13</t>
  </si>
  <si>
    <t>Transfers!$AK$13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</si>
  <si>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</si>
  <si>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</si>
  <si>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</si>
  <si>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</si>
  <si>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</si>
  <si>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</si>
  <si>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</si>
  <si>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</si>
  <si>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</si>
  <si>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</si>
  <si>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</si>
  <si>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</si>
  <si>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</si>
  <si>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</si>
  <si>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</si>
  <si>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</si>
  <si>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</si>
  <si>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</si>
  <si>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</si>
  <si>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</si>
  <si>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</si>
  <si>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</si>
  <si>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</si>
  <si>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Transfers!$Z$14</t>
  </si>
  <si>
    <t>Transfers!$AA$14</t>
  </si>
  <si>
    <t>Transfers!$AB$14</t>
  </si>
  <si>
    <t>Transfers!$AC$14</t>
  </si>
  <si>
    <t>Transfers!$AD$14</t>
  </si>
  <si>
    <t>Transfers!$AE$14</t>
  </si>
  <si>
    <t>Transfers!$AF$14</t>
  </si>
  <si>
    <t>Transfers!$AG$14</t>
  </si>
  <si>
    <t>Transfers!$AH$14</t>
  </si>
  <si>
    <t>Transfers!$AI$14</t>
  </si>
  <si>
    <t>Transfers!$AJ$14</t>
  </si>
  <si>
    <t>Transfers!$AK$14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</si>
  <si>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</si>
  <si>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</si>
  <si>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</si>
  <si>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</si>
  <si>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</si>
  <si>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</si>
  <si>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</si>
  <si>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</si>
  <si>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</si>
  <si>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</si>
  <si>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</si>
  <si>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</si>
  <si>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</si>
  <si>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</si>
  <si>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</si>
  <si>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</si>
  <si>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</si>
  <si>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</si>
  <si>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</si>
  <si>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</si>
  <si>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</si>
  <si>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</si>
  <si>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</si>
  <si>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Transfers!$Z$15</t>
  </si>
  <si>
    <t>Transfers!$AA$15</t>
  </si>
  <si>
    <t>Transfers!$AB$15</t>
  </si>
  <si>
    <t>Transfers!$AC$15</t>
  </si>
  <si>
    <t>Transfers!$AD$15</t>
  </si>
  <si>
    <t>Transfers!$AE$15</t>
  </si>
  <si>
    <t>Transfers!$AF$15</t>
  </si>
  <si>
    <t>Transfers!$AG$15</t>
  </si>
  <si>
    <t>Transfers!$AH$15</t>
  </si>
  <si>
    <t>Transfers!$AI$15</t>
  </si>
  <si>
    <t>Transfers!$AJ$15</t>
  </si>
  <si>
    <t>Transfers!$AK$15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</si>
  <si>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</si>
  <si>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</si>
  <si>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</si>
  <si>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</si>
  <si>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</si>
  <si>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</si>
  <si>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</si>
  <si>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</si>
  <si>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</si>
  <si>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</si>
  <si>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</si>
  <si>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</si>
  <si>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</si>
  <si>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</si>
  <si>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</si>
  <si>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</si>
  <si>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</si>
  <si>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</si>
  <si>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</si>
  <si>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</si>
  <si>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</si>
  <si>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</si>
  <si>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</si>
  <si>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Transfers!$Z$16</t>
  </si>
  <si>
    <t>Transfers!$AA$16</t>
  </si>
  <si>
    <t>Transfers!$AB$16</t>
  </si>
  <si>
    <t>Transfers!$AC$16</t>
  </si>
  <si>
    <t>Transfers!$AD$16</t>
  </si>
  <si>
    <t>Transfers!$AE$16</t>
  </si>
  <si>
    <t>Transfers!$AF$16</t>
  </si>
  <si>
    <t>Transfers!$AG$16</t>
  </si>
  <si>
    <t>Transfers!$AH$16</t>
  </si>
  <si>
    <t>Transfers!$AI$16</t>
  </si>
  <si>
    <t>Transfers!$AJ$16</t>
  </si>
  <si>
    <t>Transfers!$AK$16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</si>
  <si>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</si>
  <si>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</si>
  <si>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</si>
  <si>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</si>
  <si>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</si>
  <si>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</si>
  <si>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</si>
  <si>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</si>
  <si>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</si>
  <si>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</si>
  <si>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</si>
  <si>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</si>
  <si>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</si>
  <si>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</si>
  <si>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</si>
  <si>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</si>
  <si>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</si>
  <si>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</si>
  <si>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</si>
  <si>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</si>
  <si>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</si>
  <si>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</si>
  <si>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</si>
  <si>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Transfers!$Z$17</t>
  </si>
  <si>
    <t>Transfers!$AA$17</t>
  </si>
  <si>
    <t>Transfers!$AB$17</t>
  </si>
  <si>
    <t>Transfers!$AC$17</t>
  </si>
  <si>
    <t>Transfers!$AD$17</t>
  </si>
  <si>
    <t>Transfers!$AE$17</t>
  </si>
  <si>
    <t>Transfers!$AF$17</t>
  </si>
  <si>
    <t>Transfers!$AG$17</t>
  </si>
  <si>
    <t>Transfers!$AH$17</t>
  </si>
  <si>
    <t>Transfers!$AI$17</t>
  </si>
  <si>
    <t>Transfers!$AJ$17</t>
  </si>
  <si>
    <t>Transfers!$AK$17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</si>
  <si>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</si>
  <si>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</si>
  <si>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</si>
  <si>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</si>
  <si>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</si>
  <si>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</si>
  <si>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</si>
  <si>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</si>
  <si>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</si>
  <si>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</si>
  <si>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</si>
  <si>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</si>
  <si>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</si>
  <si>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</si>
  <si>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</si>
  <si>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</si>
  <si>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</si>
  <si>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</si>
  <si>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</si>
  <si>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</si>
  <si>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</si>
  <si>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</si>
  <si>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</si>
  <si>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Transfers!$Z$18</t>
  </si>
  <si>
    <t>Transfers!$AA$18</t>
  </si>
  <si>
    <t>Transfers!$AB$18</t>
  </si>
  <si>
    <t>Transfers!$AC$18</t>
  </si>
  <si>
    <t>Transfers!$AD$18</t>
  </si>
  <si>
    <t>Transfers!$AE$18</t>
  </si>
  <si>
    <t>Transfers!$AF$18</t>
  </si>
  <si>
    <t>Transfers!$AG$18</t>
  </si>
  <si>
    <t>Transfers!$AH$18</t>
  </si>
  <si>
    <t>Transfers!$AI$18</t>
  </si>
  <si>
    <t>Transfers!$AJ$18</t>
  </si>
  <si>
    <t>Transfers!$AK$18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</si>
  <si>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</si>
  <si>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</si>
  <si>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</si>
  <si>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</si>
  <si>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</si>
  <si>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</si>
  <si>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</si>
  <si>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</si>
  <si>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</si>
  <si>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</si>
  <si>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</si>
  <si>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</si>
  <si>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</si>
  <si>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</si>
  <si>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</si>
  <si>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</si>
  <si>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</si>
  <si>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</si>
  <si>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</si>
  <si>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</si>
  <si>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</si>
  <si>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</si>
  <si>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</si>
  <si>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Transfers!$Z$19</t>
  </si>
  <si>
    <t>Transfers!$AA$19</t>
  </si>
  <si>
    <t>Transfers!$AB$19</t>
  </si>
  <si>
    <t>Transfers!$AC$19</t>
  </si>
  <si>
    <t>Transfers!$AD$19</t>
  </si>
  <si>
    <t>Transfers!$AE$19</t>
  </si>
  <si>
    <t>Transfers!$AF$19</t>
  </si>
  <si>
    <t>Transfers!$AG$19</t>
  </si>
  <si>
    <t>Transfers!$AH$19</t>
  </si>
  <si>
    <t>Transfers!$AI$19</t>
  </si>
  <si>
    <t>Transfers!$AJ$19</t>
  </si>
  <si>
    <t>Transfers!$AK$19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</si>
  <si>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</si>
  <si>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</si>
  <si>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</si>
  <si>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</si>
  <si>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</si>
  <si>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</si>
  <si>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</si>
  <si>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</si>
  <si>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</si>
  <si>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</si>
  <si>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</si>
  <si>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</si>
  <si>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</si>
  <si>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</si>
  <si>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</si>
  <si>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</si>
  <si>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</si>
  <si>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</si>
  <si>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</si>
  <si>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</si>
  <si>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</si>
  <si>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</si>
  <si>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</si>
  <si>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Transfers!$Z$20</t>
  </si>
  <si>
    <t>Transfers!$AA$20</t>
  </si>
  <si>
    <t>Transfers!$AB$20</t>
  </si>
  <si>
    <t>Transfers!$AC$20</t>
  </si>
  <si>
    <t>Transfers!$AD$20</t>
  </si>
  <si>
    <t>Transfers!$AE$20</t>
  </si>
  <si>
    <t>Transfers!$AF$20</t>
  </si>
  <si>
    <t>Transfers!$AG$20</t>
  </si>
  <si>
    <t>Transfers!$AH$20</t>
  </si>
  <si>
    <t>Transfers!$AI$20</t>
  </si>
  <si>
    <t>Transfers!$AJ$20</t>
  </si>
  <si>
    <t>Transfers!$AK$20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</si>
  <si>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</si>
  <si>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</si>
  <si>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</si>
  <si>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</si>
  <si>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</si>
  <si>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</si>
  <si>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</si>
  <si>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</si>
  <si>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</si>
  <si>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</si>
  <si>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</si>
  <si>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</si>
  <si>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</si>
  <si>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</si>
  <si>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</si>
  <si>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</si>
  <si>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</si>
  <si>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</si>
  <si>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</si>
  <si>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</si>
  <si>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</si>
  <si>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</si>
  <si>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</si>
  <si>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Transfers!$Z$21</t>
  </si>
  <si>
    <t>Transfers!$AA$21</t>
  </si>
  <si>
    <t>Transfers!$AB$21</t>
  </si>
  <si>
    <t>Transfers!$AC$21</t>
  </si>
  <si>
    <t>Transfers!$AD$21</t>
  </si>
  <si>
    <t>Transfers!$AE$21</t>
  </si>
  <si>
    <t>Transfers!$AF$21</t>
  </si>
  <si>
    <t>Transfers!$AG$21</t>
  </si>
  <si>
    <t>Transfers!$AH$21</t>
  </si>
  <si>
    <t>Transfers!$AI$21</t>
  </si>
  <si>
    <t>Transfers!$AJ$21</t>
  </si>
  <si>
    <t>Transfers!$AK$21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</si>
  <si>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</si>
  <si>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</si>
  <si>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</si>
  <si>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</si>
  <si>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</si>
  <si>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</si>
  <si>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</si>
  <si>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</si>
  <si>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</si>
  <si>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</si>
  <si>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</si>
  <si>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</si>
  <si>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</si>
  <si>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</si>
  <si>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</si>
  <si>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</si>
  <si>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</si>
  <si>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</si>
  <si>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</si>
  <si>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</si>
  <si>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</si>
  <si>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</si>
  <si>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</si>
  <si>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Transfers!$Z$22</t>
  </si>
  <si>
    <t>Transfers!$AA$22</t>
  </si>
  <si>
    <t>Transfers!$AB$22</t>
  </si>
  <si>
    <t>Transfers!$AC$22</t>
  </si>
  <si>
    <t>Transfers!$AD$22</t>
  </si>
  <si>
    <t>Transfers!$AE$22</t>
  </si>
  <si>
    <t>Transfers!$AF$22</t>
  </si>
  <si>
    <t>Transfers!$AG$22</t>
  </si>
  <si>
    <t>Transfers!$AH$22</t>
  </si>
  <si>
    <t>Transfers!$AI$22</t>
  </si>
  <si>
    <t>Transfers!$AJ$22</t>
  </si>
  <si>
    <t>Transfers!$AK$22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</si>
  <si>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</si>
  <si>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</si>
  <si>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</si>
  <si>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</si>
  <si>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</si>
  <si>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</si>
  <si>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</si>
  <si>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</si>
  <si>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</si>
  <si>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</si>
  <si>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</si>
  <si>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</si>
  <si>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</si>
  <si>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</si>
  <si>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</si>
  <si>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</si>
  <si>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</si>
  <si>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</si>
  <si>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</si>
  <si>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</si>
  <si>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</si>
  <si>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</si>
  <si>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</si>
  <si>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Transfers!$Z$23</t>
  </si>
  <si>
    <t>Transfers!$AA$23</t>
  </si>
  <si>
    <t>Transfers!$AB$23</t>
  </si>
  <si>
    <t>Transfers!$AC$23</t>
  </si>
  <si>
    <t>Transfers!$AD$23</t>
  </si>
  <si>
    <t>Transfers!$AE$23</t>
  </si>
  <si>
    <t>Transfers!$AF$23</t>
  </si>
  <si>
    <t>Transfers!$AG$23</t>
  </si>
  <si>
    <t>Transfers!$AH$23</t>
  </si>
  <si>
    <t>Transfers!$AI$23</t>
  </si>
  <si>
    <t>Transfers!$AJ$23</t>
  </si>
  <si>
    <t>Transfers!$AK$23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</si>
  <si>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</si>
  <si>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</si>
  <si>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</si>
  <si>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</si>
  <si>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</si>
  <si>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</si>
  <si>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</si>
  <si>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</si>
  <si>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</si>
  <si>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</si>
  <si>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</si>
  <si>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</si>
  <si>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</si>
  <si>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</si>
  <si>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</si>
  <si>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</si>
  <si>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</si>
  <si>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</si>
  <si>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</si>
  <si>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</si>
  <si>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</si>
  <si>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</si>
  <si>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</si>
  <si>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Transfers!$Z$24</t>
  </si>
  <si>
    <t>Transfers!$AA$24</t>
  </si>
  <si>
    <t>Transfers!$AB$24</t>
  </si>
  <si>
    <t>Transfers!$AC$24</t>
  </si>
  <si>
    <t>Transfers!$AD$24</t>
  </si>
  <si>
    <t>Transfers!$AE$24</t>
  </si>
  <si>
    <t>Transfers!$AF$24</t>
  </si>
  <si>
    <t>Transfers!$AG$24</t>
  </si>
  <si>
    <t>Transfers!$AH$24</t>
  </si>
  <si>
    <t>Transfers!$AI$24</t>
  </si>
  <si>
    <t>Transfers!$AJ$24</t>
  </si>
  <si>
    <t>Transfers!$AK$24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</si>
  <si>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</si>
  <si>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</si>
  <si>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</si>
  <si>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</si>
  <si>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</si>
  <si>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</si>
  <si>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</si>
  <si>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</si>
  <si>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</si>
  <si>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</si>
  <si>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</si>
  <si>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</si>
  <si>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</si>
  <si>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</si>
  <si>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</si>
  <si>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</si>
  <si>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</si>
  <si>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</si>
  <si>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</si>
  <si>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</si>
  <si>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</si>
  <si>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</si>
  <si>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</si>
  <si>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Transfers!$Z$25</t>
  </si>
  <si>
    <t>Transfers!$AA$25</t>
  </si>
  <si>
    <t>Transfers!$AB$25</t>
  </si>
  <si>
    <t>Transfers!$AC$25</t>
  </si>
  <si>
    <t>Transfers!$AD$25</t>
  </si>
  <si>
    <t>Transfers!$AE$25</t>
  </si>
  <si>
    <t>Transfers!$AF$25</t>
  </si>
  <si>
    <t>Transfers!$AG$25</t>
  </si>
  <si>
    <t>Transfers!$AH$25</t>
  </si>
  <si>
    <t>Transfers!$AI$25</t>
  </si>
  <si>
    <t>Transfers!$AJ$25</t>
  </si>
  <si>
    <t>Transfers!$AK$25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</si>
  <si>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</si>
  <si>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</si>
  <si>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</si>
  <si>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</si>
  <si>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</si>
  <si>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</si>
  <si>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</si>
  <si>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</si>
  <si>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</si>
  <si>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</si>
  <si>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</si>
  <si>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</si>
  <si>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</si>
  <si>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</si>
  <si>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</si>
  <si>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</si>
  <si>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</si>
  <si>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</si>
  <si>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</si>
  <si>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</si>
  <si>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</si>
  <si>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</si>
  <si>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</si>
  <si>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Transfers!$Z$26</t>
  </si>
  <si>
    <t>Transfers!$AA$26</t>
  </si>
  <si>
    <t>Transfers!$AB$26</t>
  </si>
  <si>
    <t>Transfers!$AC$26</t>
  </si>
  <si>
    <t>Transfers!$AD$26</t>
  </si>
  <si>
    <t>Transfers!$AE$26</t>
  </si>
  <si>
    <t>Transfers!$AF$26</t>
  </si>
  <si>
    <t>Transfers!$AG$26</t>
  </si>
  <si>
    <t>Transfers!$AH$26</t>
  </si>
  <si>
    <t>Transfers!$AI$26</t>
  </si>
  <si>
    <t>Transfers!$AJ$26</t>
  </si>
  <si>
    <t>Transfers!$AK$26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</si>
  <si>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</si>
  <si>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</si>
  <si>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</si>
  <si>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</si>
  <si>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</si>
  <si>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</si>
  <si>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</si>
  <si>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</si>
  <si>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</si>
  <si>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</si>
  <si>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</si>
  <si>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</si>
  <si>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</si>
  <si>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</si>
  <si>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</si>
  <si>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</si>
  <si>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</si>
  <si>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</si>
  <si>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</si>
  <si>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</si>
  <si>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</si>
  <si>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</si>
  <si>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</si>
  <si>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Transfers!$Z$27</t>
  </si>
  <si>
    <t>Transfers!$AA$27</t>
  </si>
  <si>
    <t>Transfers!$AB$27</t>
  </si>
  <si>
    <t>Transfers!$AC$27</t>
  </si>
  <si>
    <t>Transfers!$AD$27</t>
  </si>
  <si>
    <t>Transfers!$AE$27</t>
  </si>
  <si>
    <t>Transfers!$AF$27</t>
  </si>
  <si>
    <t>Transfers!$AG$27</t>
  </si>
  <si>
    <t>Transfers!$AH$27</t>
  </si>
  <si>
    <t>Transfers!$AI$27</t>
  </si>
  <si>
    <t>Transfers!$AJ$27</t>
  </si>
  <si>
    <t>Transfers!$AK$27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</si>
  <si>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</si>
  <si>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</si>
  <si>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</si>
  <si>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</si>
  <si>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</si>
  <si>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</si>
  <si>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</si>
  <si>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</si>
  <si>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</si>
  <si>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</si>
  <si>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</si>
  <si>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</si>
  <si>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</si>
  <si>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</si>
  <si>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</si>
  <si>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</si>
  <si>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</si>
  <si>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</si>
  <si>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</si>
  <si>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</si>
  <si>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</si>
  <si>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</si>
  <si>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</si>
  <si>
    <t>Transfers!$Z$28</t>
  </si>
  <si>
    <t>Transfers!$AA$28</t>
  </si>
  <si>
    <t>Transfers!$AB$28</t>
  </si>
  <si>
    <t>Transfers!$AC$28</t>
  </si>
  <si>
    <t>Transfers!$AD$28</t>
  </si>
  <si>
    <t>Transfers!$AE$28</t>
  </si>
  <si>
    <t>Transfers!$AF$28</t>
  </si>
  <si>
    <t>Transfers!$AG$28</t>
  </si>
  <si>
    <t>Transfers!$AH$28</t>
  </si>
  <si>
    <t>Transfers!$AI$28</t>
  </si>
  <si>
    <t>Transfers!$AJ$28</t>
  </si>
  <si>
    <t>Transfers!$AK$28</t>
  </si>
  <si>
    <t>Transfers!$B$29</t>
  </si>
  <si>
    <t>Transfers!$C$29</t>
  </si>
  <si>
    <t>Transfers!$D$29</t>
  </si>
  <si>
    <t>Transfers!$E$29</t>
  </si>
  <si>
    <t>Transfers!$F$29</t>
  </si>
  <si>
    <t>Transfers!$G$29</t>
  </si>
  <si>
    <t>Transfers!$H$29</t>
  </si>
  <si>
    <t>Transfers!$I$29</t>
  </si>
  <si>
    <t>Transfers!$J$29</t>
  </si>
  <si>
    <t>Transfers!$K$29</t>
  </si>
  <si>
    <t>Transfers!$L$29</t>
  </si>
  <si>
    <t>Transfers!$M$29</t>
  </si>
  <si>
    <t>Transfers!$N$29</t>
  </si>
  <si>
    <t>Transfers!$O$29</t>
  </si>
  <si>
    <t>Transfers!$P$29</t>
  </si>
  <si>
    <t>Transfers!$Q$29</t>
  </si>
  <si>
    <t>Transfers!$R$29</t>
  </si>
  <si>
    <t>Transfers!$S$29</t>
  </si>
  <si>
    <t>Transfers!$T$29</t>
  </si>
  <si>
    <t>Transfers!$U$29</t>
  </si>
  <si>
    <t>Transfers!$V$29</t>
  </si>
  <si>
    <t>Transfers!$W$29</t>
  </si>
  <si>
    <t>Transfers!$X$29</t>
  </si>
  <si>
    <t>Transfers!$Y$29</t>
  </si>
  <si>
    <t>Transfers!$AA$29</t>
  </si>
  <si>
    <t>Transfers!$AB$29</t>
  </si>
  <si>
    <t>Transfers!$AC$29</t>
  </si>
  <si>
    <t>Transfers!$AD$29</t>
  </si>
  <si>
    <t>Transfers!$AE$29</t>
  </si>
  <si>
    <t>Transfers!$AF$29</t>
  </si>
  <si>
    <t>Transfers!$AG$29</t>
  </si>
  <si>
    <t>Transfers!$AH$29</t>
  </si>
  <si>
    <t>Transfers!$AI$29</t>
  </si>
  <si>
    <t>Transfers!$AJ$29</t>
  </si>
  <si>
    <t>Transfers!$AK$29</t>
  </si>
  <si>
    <t>Transfers!$B$30</t>
  </si>
  <si>
    <t>Transfers!$C$30</t>
  </si>
  <si>
    <t>Transfers!$D$30</t>
  </si>
  <si>
    <t>Transfers!$E$30</t>
  </si>
  <si>
    <t>Transfers!$F$30</t>
  </si>
  <si>
    <t>Transfers!$G$30</t>
  </si>
  <si>
    <t>Transfers!$H$30</t>
  </si>
  <si>
    <t>Transfers!$I$30</t>
  </si>
  <si>
    <t>Transfers!$J$30</t>
  </si>
  <si>
    <t>Transfers!$K$30</t>
  </si>
  <si>
    <t>Transfers!$L$30</t>
  </si>
  <si>
    <t>Transfers!$M$30</t>
  </si>
  <si>
    <t>Transfers!$N$30</t>
  </si>
  <si>
    <t>Transfers!$O$30</t>
  </si>
  <si>
    <t>Transfers!$P$30</t>
  </si>
  <si>
    <t>Transfers!$Q$30</t>
  </si>
  <si>
    <t>Transfers!$R$30</t>
  </si>
  <si>
    <t>Transfers!$S$30</t>
  </si>
  <si>
    <t>Transfers!$T$30</t>
  </si>
  <si>
    <t>Transfers!$U$30</t>
  </si>
  <si>
    <t>Transfers!$V$30</t>
  </si>
  <si>
    <t>Transfers!$W$30</t>
  </si>
  <si>
    <t>Transfers!$X$30</t>
  </si>
  <si>
    <t>Transfers!$Y$30</t>
  </si>
  <si>
    <t>Transfers!$Z$30</t>
  </si>
  <si>
    <t>Transfers!$AB$30</t>
  </si>
  <si>
    <t>Transfers!$AC$30</t>
  </si>
  <si>
    <t>Transfers!$AD$30</t>
  </si>
  <si>
    <t>Transfers!$AE$30</t>
  </si>
  <si>
    <t>Transfers!$AF$30</t>
  </si>
  <si>
    <t>Transfers!$AG$30</t>
  </si>
  <si>
    <t>Transfers!$AH$30</t>
  </si>
  <si>
    <t>Transfers!$AI$30</t>
  </si>
  <si>
    <t>Transfers!$AJ$30</t>
  </si>
  <si>
    <t>Transfers!$AK$30</t>
  </si>
  <si>
    <t>Transfers!$B$31</t>
  </si>
  <si>
    <t>Transfers!$C$31</t>
  </si>
  <si>
    <t>Transfers!$D$31</t>
  </si>
  <si>
    <t>Transfers!$E$31</t>
  </si>
  <si>
    <t>Transfers!$F$31</t>
  </si>
  <si>
    <t>Transfers!$G$31</t>
  </si>
  <si>
    <t>Transfers!$H$31</t>
  </si>
  <si>
    <t>Transfers!$I$31</t>
  </si>
  <si>
    <t>Transfers!$J$31</t>
  </si>
  <si>
    <t>Transfers!$K$31</t>
  </si>
  <si>
    <t>Transfers!$L$31</t>
  </si>
  <si>
    <t>Transfers!$M$31</t>
  </si>
  <si>
    <t>Transfers!$N$31</t>
  </si>
  <si>
    <t>Transfers!$O$31</t>
  </si>
  <si>
    <t>Transfers!$P$31</t>
  </si>
  <si>
    <t>Transfers!$Q$31</t>
  </si>
  <si>
    <t>Transfers!$R$31</t>
  </si>
  <si>
    <t>Transfers!$S$31</t>
  </si>
  <si>
    <t>Transfers!$T$31</t>
  </si>
  <si>
    <t>Transfers!$U$31</t>
  </si>
  <si>
    <t>Transfers!$V$31</t>
  </si>
  <si>
    <t>Transfers!$W$31</t>
  </si>
  <si>
    <t>Transfers!$X$31</t>
  </si>
  <si>
    <t>Transfers!$Y$31</t>
  </si>
  <si>
    <t>Transfers!$Z$31</t>
  </si>
  <si>
    <t>Transfers!$AA$31</t>
  </si>
  <si>
    <t>Transfers!$AC$31</t>
  </si>
  <si>
    <t>Transfers!$AD$31</t>
  </si>
  <si>
    <t>Transfers!$AE$31</t>
  </si>
  <si>
    <t>Transfers!$AF$31</t>
  </si>
  <si>
    <t>Transfers!$AG$31</t>
  </si>
  <si>
    <t>Transfers!$AH$31</t>
  </si>
  <si>
    <t>Transfers!$AI$31</t>
  </si>
  <si>
    <t>Transfers!$AJ$31</t>
  </si>
  <si>
    <t>Transfers!$AK$31</t>
  </si>
  <si>
    <t>Transfers!$B$32</t>
  </si>
  <si>
    <t>Transfers!$C$32</t>
  </si>
  <si>
    <t>Transfers!$D$32</t>
  </si>
  <si>
    <t>Transfers!$E$32</t>
  </si>
  <si>
    <t>Transfers!$F$32</t>
  </si>
  <si>
    <t>Transfers!$G$32</t>
  </si>
  <si>
    <t>Transfers!$H$32</t>
  </si>
  <si>
    <t>Transfers!$I$32</t>
  </si>
  <si>
    <t>Transfers!$J$32</t>
  </si>
  <si>
    <t>Transfers!$K$32</t>
  </si>
  <si>
    <t>Transfers!$L$32</t>
  </si>
  <si>
    <t>Transfers!$M$32</t>
  </si>
  <si>
    <t>Transfers!$N$32</t>
  </si>
  <si>
    <t>Transfers!$O$32</t>
  </si>
  <si>
    <t>Transfers!$P$32</t>
  </si>
  <si>
    <t>Transfers!$Q$32</t>
  </si>
  <si>
    <t>Transfers!$R$32</t>
  </si>
  <si>
    <t>Transfers!$S$32</t>
  </si>
  <si>
    <t>Transfers!$T$32</t>
  </si>
  <si>
    <t>Transfers!$U$32</t>
  </si>
  <si>
    <t>Transfers!$V$32</t>
  </si>
  <si>
    <t>Transfers!$W$32</t>
  </si>
  <si>
    <t>Transfers!$X$32</t>
  </si>
  <si>
    <t>Transfers!$Y$32</t>
  </si>
  <si>
    <t>Transfers!$Z$32</t>
  </si>
  <si>
    <t>Transfers!$AA$32</t>
  </si>
  <si>
    <t>Transfers!$AB$32</t>
  </si>
  <si>
    <t>Transfers!$AD$32</t>
  </si>
  <si>
    <t>Transfers!$AE$32</t>
  </si>
  <si>
    <t>Transfers!$AF$32</t>
  </si>
  <si>
    <t>Transfers!$AG$32</t>
  </si>
  <si>
    <t>Transfers!$AH$32</t>
  </si>
  <si>
    <t>Transfers!$AI$32</t>
  </si>
  <si>
    <t>Transfers!$AJ$32</t>
  </si>
  <si>
    <t>Transfers!$AK$32</t>
  </si>
  <si>
    <t>Transfers!$B$33</t>
  </si>
  <si>
    <t>Transfers!$C$33</t>
  </si>
  <si>
    <t>Transfers!$D$33</t>
  </si>
  <si>
    <t>Transfers!$E$33</t>
  </si>
  <si>
    <t>Transfers!$F$33</t>
  </si>
  <si>
    <t>Transfers!$G$33</t>
  </si>
  <si>
    <t>Transfers!$H$33</t>
  </si>
  <si>
    <t>Transfers!$I$33</t>
  </si>
  <si>
    <t>Transfers!$J$33</t>
  </si>
  <si>
    <t>Transfers!$K$33</t>
  </si>
  <si>
    <t>Transfers!$L$33</t>
  </si>
  <si>
    <t>Transfers!$M$33</t>
  </si>
  <si>
    <t>Transfers!$N$33</t>
  </si>
  <si>
    <t>Transfers!$O$33</t>
  </si>
  <si>
    <t>Transfers!$P$33</t>
  </si>
  <si>
    <t>Transfers!$Q$33</t>
  </si>
  <si>
    <t>Transfers!$R$33</t>
  </si>
  <si>
    <t>Transfers!$S$33</t>
  </si>
  <si>
    <t>Transfers!$T$33</t>
  </si>
  <si>
    <t>Transfers!$U$33</t>
  </si>
  <si>
    <t>Transfers!$V$33</t>
  </si>
  <si>
    <t>Transfers!$W$33</t>
  </si>
  <si>
    <t>Transfers!$X$33</t>
  </si>
  <si>
    <t>Transfers!$Y$33</t>
  </si>
  <si>
    <t>Transfers!$Z$33</t>
  </si>
  <si>
    <t>Transfers!$AA$33</t>
  </si>
  <si>
    <t>Transfers!$AB$33</t>
  </si>
  <si>
    <t>Transfers!$AC$33</t>
  </si>
  <si>
    <t>Transfers!$AE$33</t>
  </si>
  <si>
    <t>Transfers!$AF$33</t>
  </si>
  <si>
    <t>Transfers!$AG$33</t>
  </si>
  <si>
    <t>Transfers!$AH$33</t>
  </si>
  <si>
    <t>Transfers!$AI$33</t>
  </si>
  <si>
    <t>Transfers!$AJ$33</t>
  </si>
  <si>
    <t>Transfers!$AK$33</t>
  </si>
  <si>
    <t>Transfers!$B$34</t>
  </si>
  <si>
    <t>Transfers!$C$34</t>
  </si>
  <si>
    <t>Transfers!$D$34</t>
  </si>
  <si>
    <t>Transfers!$E$34</t>
  </si>
  <si>
    <t>Transfers!$F$34</t>
  </si>
  <si>
    <t>Transfers!$G$34</t>
  </si>
  <si>
    <t>Transfers!$H$34</t>
  </si>
  <si>
    <t>Transfers!$I$34</t>
  </si>
  <si>
    <t>Transfers!$J$34</t>
  </si>
  <si>
    <t>Transfers!$K$34</t>
  </si>
  <si>
    <t>Transfers!$L$34</t>
  </si>
  <si>
    <t>Transfers!$M$34</t>
  </si>
  <si>
    <t>Transfers!$N$34</t>
  </si>
  <si>
    <t>Transfers!$O$34</t>
  </si>
  <si>
    <t>Transfers!$P$34</t>
  </si>
  <si>
    <t>Transfers!$Q$34</t>
  </si>
  <si>
    <t>Transfers!$R$34</t>
  </si>
  <si>
    <t>Transfers!$S$34</t>
  </si>
  <si>
    <t>Transfers!$T$34</t>
  </si>
  <si>
    <t>Transfers!$U$34</t>
  </si>
  <si>
    <t>Transfers!$V$34</t>
  </si>
  <si>
    <t>Transfers!$W$34</t>
  </si>
  <si>
    <t>Transfers!$X$34</t>
  </si>
  <si>
    <t>Transfers!$Y$34</t>
  </si>
  <si>
    <t>Transfers!$Z$34</t>
  </si>
  <si>
    <t>Transfers!$AA$34</t>
  </si>
  <si>
    <t>Transfers!$AB$34</t>
  </si>
  <si>
    <t>Transfers!$AC$34</t>
  </si>
  <si>
    <t>Transfers!$AD$34</t>
  </si>
  <si>
    <t>Transfers!$AF$34</t>
  </si>
  <si>
    <t>Transfers!$AG$34</t>
  </si>
  <si>
    <t>Transfers!$AH$34</t>
  </si>
  <si>
    <t>Transfers!$AI$34</t>
  </si>
  <si>
    <t>Transfers!$AJ$34</t>
  </si>
  <si>
    <t>Transfers!$AK$34</t>
  </si>
  <si>
    <t>Transfers!$B$35</t>
  </si>
  <si>
    <t>Transfers!$C$35</t>
  </si>
  <si>
    <t>Transfers!$D$35</t>
  </si>
  <si>
    <t>Transfers!$E$35</t>
  </si>
  <si>
    <t>Transfers!$F$35</t>
  </si>
  <si>
    <t>Transfers!$G$35</t>
  </si>
  <si>
    <t>Transfers!$H$35</t>
  </si>
  <si>
    <t>Transfers!$I$35</t>
  </si>
  <si>
    <t>Transfers!$J$35</t>
  </si>
  <si>
    <t>Transfers!$K$35</t>
  </si>
  <si>
    <t>Transfers!$L$35</t>
  </si>
  <si>
    <t>Transfers!$M$35</t>
  </si>
  <si>
    <t>Transfers!$N$35</t>
  </si>
  <si>
    <t>Transfers!$O$35</t>
  </si>
  <si>
    <t>Transfers!$P$35</t>
  </si>
  <si>
    <t>Transfers!$Q$35</t>
  </si>
  <si>
    <t>Transfers!$R$35</t>
  </si>
  <si>
    <t>Transfers!$S$35</t>
  </si>
  <si>
    <t>Transfers!$T$35</t>
  </si>
  <si>
    <t>Transfers!$U$35</t>
  </si>
  <si>
    <t>Transfers!$V$35</t>
  </si>
  <si>
    <t>Transfers!$W$35</t>
  </si>
  <si>
    <t>Transfers!$X$35</t>
  </si>
  <si>
    <t>Transfers!$Y$35</t>
  </si>
  <si>
    <t>Transfers!$Z$35</t>
  </si>
  <si>
    <t>Transfers!$AA$35</t>
  </si>
  <si>
    <t>Transfers!$AB$35</t>
  </si>
  <si>
    <t>Transfers!$AC$35</t>
  </si>
  <si>
    <t>Transfers!$AD$35</t>
  </si>
  <si>
    <t>Transfers!$AE$35</t>
  </si>
  <si>
    <t>Transfers!$AG$35</t>
  </si>
  <si>
    <t>Transfers!$AH$35</t>
  </si>
  <si>
    <t>Transfers!$AI$35</t>
  </si>
  <si>
    <t>Transfers!$AJ$35</t>
  </si>
  <si>
    <t>Transfers!$AK$35</t>
  </si>
  <si>
    <t>Transfers!$B$36</t>
  </si>
  <si>
    <t>Transfers!$C$36</t>
  </si>
  <si>
    <t>Transfers!$D$36</t>
  </si>
  <si>
    <t>Transfers!$E$36</t>
  </si>
  <si>
    <t>Transfers!$F$36</t>
  </si>
  <si>
    <t>Transfers!$G$36</t>
  </si>
  <si>
    <t>Transfers!$H$36</t>
  </si>
  <si>
    <t>Transfers!$I$36</t>
  </si>
  <si>
    <t>Transfers!$J$36</t>
  </si>
  <si>
    <t>Transfers!$K$36</t>
  </si>
  <si>
    <t>Transfers!$L$36</t>
  </si>
  <si>
    <t>Transfers!$M$36</t>
  </si>
  <si>
    <t>Transfers!$N$36</t>
  </si>
  <si>
    <t>Transfers!$O$36</t>
  </si>
  <si>
    <t>Transfers!$P$36</t>
  </si>
  <si>
    <t>Transfers!$Q$36</t>
  </si>
  <si>
    <t>Transfers!$R$36</t>
  </si>
  <si>
    <t>Transfers!$S$36</t>
  </si>
  <si>
    <t>Transfers!$T$36</t>
  </si>
  <si>
    <t>Transfers!$U$36</t>
  </si>
  <si>
    <t>Transfers!$V$36</t>
  </si>
  <si>
    <t>Transfers!$W$36</t>
  </si>
  <si>
    <t>Transfers!$X$36</t>
  </si>
  <si>
    <t>Transfers!$Y$36</t>
  </si>
  <si>
    <t>Transfers!$Z$36</t>
  </si>
  <si>
    <t>Transfers!$AA$36</t>
  </si>
  <si>
    <t>Transfers!$AB$36</t>
  </si>
  <si>
    <t>Transfers!$AC$36</t>
  </si>
  <si>
    <t>Transfers!$AD$36</t>
  </si>
  <si>
    <t>Transfers!$AE$36</t>
  </si>
  <si>
    <t>Transfers!$AF$36</t>
  </si>
  <si>
    <t>Transfers!$AH$36</t>
  </si>
  <si>
    <t>Transfers!$AI$36</t>
  </si>
  <si>
    <t>Transfers!$AJ$36</t>
  </si>
  <si>
    <t>Transfers!$AK$36</t>
  </si>
  <si>
    <t>Transfers!$B$37</t>
  </si>
  <si>
    <t>Transfers!$C$37</t>
  </si>
  <si>
    <t>Transfers!$D$37</t>
  </si>
  <si>
    <t>Transfers!$E$37</t>
  </si>
  <si>
    <t>Transfers!$F$37</t>
  </si>
  <si>
    <t>Transfers!$G$37</t>
  </si>
  <si>
    <t>Transfers!$H$37</t>
  </si>
  <si>
    <t>Transfers!$I$37</t>
  </si>
  <si>
    <t>Transfers!$J$37</t>
  </si>
  <si>
    <t>Transfers!$K$37</t>
  </si>
  <si>
    <t>Transfers!$L$37</t>
  </si>
  <si>
    <t>Transfers!$M$37</t>
  </si>
  <si>
    <t>Transfers!$N$37</t>
  </si>
  <si>
    <t>Transfers!$O$37</t>
  </si>
  <si>
    <t>Transfers!$P$37</t>
  </si>
  <si>
    <t>Transfers!$Q$37</t>
  </si>
  <si>
    <t>Transfers!$R$37</t>
  </si>
  <si>
    <t>Transfers!$S$37</t>
  </si>
  <si>
    <t>Transfers!$T$37</t>
  </si>
  <si>
    <t>Transfers!$U$37</t>
  </si>
  <si>
    <t>Transfers!$V$37</t>
  </si>
  <si>
    <t>Transfers!$W$37</t>
  </si>
  <si>
    <t>Transfers!$X$37</t>
  </si>
  <si>
    <t>Transfers!$Y$37</t>
  </si>
  <si>
    <t>Transfers!$Z$37</t>
  </si>
  <si>
    <t>Transfers!$AA$37</t>
  </si>
  <si>
    <t>Transfers!$AB$37</t>
  </si>
  <si>
    <t>Transfers!$AC$37</t>
  </si>
  <si>
    <t>Transfers!$AD$37</t>
  </si>
  <si>
    <t>Transfers!$AE$37</t>
  </si>
  <si>
    <t>Transfers!$AF$37</t>
  </si>
  <si>
    <t>Transfers!$AG$37</t>
  </si>
  <si>
    <t>Transfers!$AI$37</t>
  </si>
  <si>
    <t>Transfers!$AJ$37</t>
  </si>
  <si>
    <t>Transfers!$AK$37</t>
  </si>
  <si>
    <t>Transfers!$B$38</t>
  </si>
  <si>
    <t>Transfers!$C$38</t>
  </si>
  <si>
    <t>Transfers!$D$38</t>
  </si>
  <si>
    <t>Transfers!$E$38</t>
  </si>
  <si>
    <t>Transfers!$F$38</t>
  </si>
  <si>
    <t>Transfers!$G$38</t>
  </si>
  <si>
    <t>Transfers!$H$38</t>
  </si>
  <si>
    <t>Transfers!$I$38</t>
  </si>
  <si>
    <t>Transfers!$J$38</t>
  </si>
  <si>
    <t>Transfers!$K$38</t>
  </si>
  <si>
    <t>Transfers!$L$38</t>
  </si>
  <si>
    <t>Transfers!$M$38</t>
  </si>
  <si>
    <t>Transfers!$N$38</t>
  </si>
  <si>
    <t>Transfers!$O$38</t>
  </si>
  <si>
    <t>Transfers!$P$38</t>
  </si>
  <si>
    <t>Transfers!$Q$38</t>
  </si>
  <si>
    <t>Transfers!$R$38</t>
  </si>
  <si>
    <t>Transfers!$S$38</t>
  </si>
  <si>
    <t>Transfers!$T$38</t>
  </si>
  <si>
    <t>Transfers!$U$38</t>
  </si>
  <si>
    <t>Transfers!$V$38</t>
  </si>
  <si>
    <t>Transfers!$W$38</t>
  </si>
  <si>
    <t>Transfers!$X$38</t>
  </si>
  <si>
    <t>Transfers!$Y$38</t>
  </si>
  <si>
    <t>Transfers!$Z$38</t>
  </si>
  <si>
    <t>Transfers!$AA$38</t>
  </si>
  <si>
    <t>Transfers!$AB$38</t>
  </si>
  <si>
    <t>Transfers!$AC$38</t>
  </si>
  <si>
    <t>Transfers!$AD$38</t>
  </si>
  <si>
    <t>Transfers!$AE$38</t>
  </si>
  <si>
    <t>Transfers!$AF$38</t>
  </si>
  <si>
    <t>Transfers!$AG$38</t>
  </si>
  <si>
    <t>Transfers!$AH$38</t>
  </si>
  <si>
    <t>Transfers!$AJ$38</t>
  </si>
  <si>
    <t>Transfers!$AK$38</t>
  </si>
  <si>
    <t>Transfers!$B$39</t>
  </si>
  <si>
    <t>Transfers!$C$39</t>
  </si>
  <si>
    <t>Transfers!$D$39</t>
  </si>
  <si>
    <t>Transfers!$E$39</t>
  </si>
  <si>
    <t>Transfers!$F$39</t>
  </si>
  <si>
    <t>Transfers!$G$39</t>
  </si>
  <si>
    <t>Transfers!$H$39</t>
  </si>
  <si>
    <t>Transfers!$I$39</t>
  </si>
  <si>
    <t>Transfers!$J$39</t>
  </si>
  <si>
    <t>Transfers!$K$39</t>
  </si>
  <si>
    <t>Transfers!$L$39</t>
  </si>
  <si>
    <t>Transfers!$M$39</t>
  </si>
  <si>
    <t>Transfers!$N$39</t>
  </si>
  <si>
    <t>Transfers!$O$39</t>
  </si>
  <si>
    <t>Transfers!$P$39</t>
  </si>
  <si>
    <t>Transfers!$Q$39</t>
  </si>
  <si>
    <t>Transfers!$R$39</t>
  </si>
  <si>
    <t>Transfers!$S$39</t>
  </si>
  <si>
    <t>Transfers!$T$39</t>
  </si>
  <si>
    <t>Transfers!$U$39</t>
  </si>
  <si>
    <t>Transfers!$V$39</t>
  </si>
  <si>
    <t>Transfers!$W$39</t>
  </si>
  <si>
    <t>Transfers!$X$39</t>
  </si>
  <si>
    <t>Transfers!$Y$39</t>
  </si>
  <si>
    <t>Transfers!$Z$39</t>
  </si>
  <si>
    <t>Transfers!$AA$39</t>
  </si>
  <si>
    <t>Transfers!$AB$39</t>
  </si>
  <si>
    <t>Transfers!$AC$39</t>
  </si>
  <si>
    <t>Transfers!$AD$39</t>
  </si>
  <si>
    <t>Transfers!$AE$39</t>
  </si>
  <si>
    <t>Transfers!$AF$39</t>
  </si>
  <si>
    <t>Transfers!$AG$39</t>
  </si>
  <si>
    <t>Transfers!$AH$39</t>
  </si>
  <si>
    <t>Transfers!$AI$39</t>
  </si>
  <si>
    <t>Transfers!$AK$39</t>
  </si>
  <si>
    <t>Transfers!$B$40</t>
  </si>
  <si>
    <t>Transfers!$C$40</t>
  </si>
  <si>
    <t>Transfers!$D$40</t>
  </si>
  <si>
    <t>Transfers!$E$40</t>
  </si>
  <si>
    <t>Transfers!$F$40</t>
  </si>
  <si>
    <t>Transfers!$G$40</t>
  </si>
  <si>
    <t>Transfers!$H$40</t>
  </si>
  <si>
    <t>Transfers!$I$40</t>
  </si>
  <si>
    <t>Transfers!$J$40</t>
  </si>
  <si>
    <t>Transfers!$K$40</t>
  </si>
  <si>
    <t>Transfers!$L$40</t>
  </si>
  <si>
    <t>Transfers!$M$40</t>
  </si>
  <si>
    <t>Transfers!$N$40</t>
  </si>
  <si>
    <t>Transfers!$O$40</t>
  </si>
  <si>
    <t>Transfers!$P$40</t>
  </si>
  <si>
    <t>Transfers!$Q$40</t>
  </si>
  <si>
    <t>Transfers!$R$40</t>
  </si>
  <si>
    <t>Transfers!$S$40</t>
  </si>
  <si>
    <t>Transfers!$T$40</t>
  </si>
  <si>
    <t>Transfers!$U$40</t>
  </si>
  <si>
    <t>Transfers!$V$40</t>
  </si>
  <si>
    <t>Transfers!$W$40</t>
  </si>
  <si>
    <t>Transfers!$X$40</t>
  </si>
  <si>
    <t>Transfers!$Y$40</t>
  </si>
  <si>
    <t>Transfers!$Z$40</t>
  </si>
  <si>
    <t>Transfers!$AA$40</t>
  </si>
  <si>
    <t>Transfers!$AB$40</t>
  </si>
  <si>
    <t>Transfers!$AC$40</t>
  </si>
  <si>
    <t>Transfers!$AD$40</t>
  </si>
  <si>
    <t>Transfers!$AE$40</t>
  </si>
  <si>
    <t>Transfers!$AF$40</t>
  </si>
  <si>
    <t>Transfers!$AG$40</t>
  </si>
  <si>
    <t>Transfers!$AH$40</t>
  </si>
  <si>
    <t>Transfers!$AI$40</t>
  </si>
  <si>
    <t>Transfers!$AJ$40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</si>
</sst>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37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  <row r="26" spans="1:3">
      <c r="A26" s="2" t="s">
        <v>28</v>
      </c>
      <c r="B26" s="2" t="s">
        <v>28</v>
      </c>
      <c r="C26" s="3" t="s">
        <v>4</v>
      </c>
    </row>
    <row r="27" spans="1:3">
      <c r="A27" s="2" t="s">
        <v>29</v>
      </c>
      <c r="B27" s="2" t="s">
        <v>29</v>
      </c>
      <c r="C27" s="3" t="s">
        <v>4</v>
      </c>
    </row>
    <row r="28" spans="1:3">
      <c r="A28" s="2" t="s">
        <v>30</v>
      </c>
      <c r="B28" s="2" t="s">
        <v>30</v>
      </c>
      <c r="C28" s="3" t="s">
        <v>4</v>
      </c>
    </row>
    <row r="29" spans="1:3">
      <c r="A29" s="2" t="s">
        <v>31</v>
      </c>
      <c r="B29" s="2" t="s">
        <v>31</v>
      </c>
      <c r="C29" s="3" t="s">
        <v>4</v>
      </c>
    </row>
    <row r="30" spans="1:3">
      <c r="A30" s="2" t="s">
        <v>32</v>
      </c>
      <c r="B30" s="2" t="s">
        <v>32</v>
      </c>
      <c r="C30" s="3" t="s">
        <v>4</v>
      </c>
    </row>
    <row r="31" spans="1:3">
      <c r="A31" s="2" t="s">
        <v>33</v>
      </c>
      <c r="B31" s="2" t="s">
        <v>33</v>
      </c>
      <c r="C31" s="3" t="s">
        <v>4</v>
      </c>
    </row>
    <row r="32" spans="1:3">
      <c r="A32" s="2" t="s">
        <v>34</v>
      </c>
      <c r="B32" s="2" t="s">
        <v>34</v>
      </c>
      <c r="C32" s="3" t="s">
        <v>4</v>
      </c>
    </row>
    <row r="33" spans="1:3">
      <c r="A33" s="2" t="s">
        <v>35</v>
      </c>
      <c r="B33" s="2" t="s">
        <v>35</v>
      </c>
      <c r="C33" s="3" t="s">
        <v>4</v>
      </c>
    </row>
    <row r="34" spans="1:3">
      <c r="A34" s="2" t="s">
        <v>36</v>
      </c>
      <c r="B34" s="2" t="s">
        <v>36</v>
      </c>
      <c r="C34" s="3" t="s">
        <v>4</v>
      </c>
    </row>
    <row r="35" spans="1:3">
      <c r="A35" s="2" t="s">
        <v>37</v>
      </c>
      <c r="B35" s="2" t="s">
        <v>37</v>
      </c>
      <c r="C35" s="3" t="s">
        <v>4</v>
      </c>
    </row>
    <row r="36" spans="1:3">
      <c r="A36" s="2" t="s">
        <v>38</v>
      </c>
      <c r="B36" s="2" t="s">
        <v>38</v>
      </c>
      <c r="C36" s="3" t="s">
        <v>4</v>
      </c>
    </row>
    <row r="37" spans="1:3">
      <c r="A37" s="2" t="s">
        <v>39</v>
      </c>
      <c r="B37" s="2" t="s">
        <v>39</v>
      </c>
      <c r="C37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89"/>
  <sheetViews>
    <sheetView workbookViewId="0"/>
  </sheetViews>
  <sheetFormatPr defaultRowHeight="15"/>
  <cols>
    <col min="1" max="1" width="40.285156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40</v>
      </c>
      <c r="B1" s="1" t="s">
        <v>41</v>
      </c>
      <c r="C1" s="1" t="s">
        <v>42</v>
      </c>
      <c r="D1" s="1" t="s">
        <v>43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0-4M_aus</v>
      </c>
      <c r="C2" t="s">
        <v>44</v>
      </c>
      <c r="D2" s="3"/>
      <c r="E2" s="3">
        <v>540734.4554109218</v>
      </c>
      <c r="F2" s="3">
        <v>543109.403643158</v>
      </c>
      <c r="G2" s="3">
        <v>550721.6175940214</v>
      </c>
      <c r="H2" s="3">
        <v>558266.2797655689</v>
      </c>
      <c r="I2" s="3">
        <v>564096.7010789277</v>
      </c>
      <c r="J2" s="3">
        <v>570466.2222381537</v>
      </c>
      <c r="K2" s="3">
        <v>574329.3382143264</v>
      </c>
      <c r="L2" s="3">
        <v>578330.4119774414</v>
      </c>
      <c r="M2" s="3">
        <v>582405.906036643</v>
      </c>
      <c r="N2" s="3">
        <v>588817.6966747164</v>
      </c>
      <c r="O2" s="3">
        <v>595804.8717022093</v>
      </c>
      <c r="P2" s="3">
        <v>601601.6639793765</v>
      </c>
      <c r="Q2" s="3">
        <v>606305.9652589556</v>
      </c>
      <c r="R2" s="3">
        <v>609183.8460286512</v>
      </c>
      <c r="S2" s="3">
        <v>610671.2827472757</v>
      </c>
      <c r="T2" s="3">
        <v>609701.7744053818</v>
      </c>
      <c r="U2" s="3">
        <v>606231.3957676894</v>
      </c>
      <c r="V2" s="3">
        <v>605219.5894408284</v>
      </c>
      <c r="W2" s="3">
        <v>601092.0477557031</v>
      </c>
      <c r="X2" s="3">
        <v>596698.2691458507</v>
      </c>
      <c r="Y2" s="3">
        <v>592192.9205742335</v>
      </c>
      <c r="Z2" s="3">
        <v>590682.0180288845</v>
      </c>
      <c r="AA2" s="3">
        <v>586772.0666244706</v>
      </c>
      <c r="AB2" s="3">
        <v>585299.1991522333</v>
      </c>
      <c r="AC2" s="3">
        <v>584713.1777824971</v>
      </c>
      <c r="AD2" s="3">
        <v>587596.1853890837</v>
      </c>
      <c r="AE2" s="3">
        <v>587943.3679303904</v>
      </c>
      <c r="AF2" s="3">
        <v>606563.807123575</v>
      </c>
      <c r="AG2" s="3">
        <v>626851.3970413925</v>
      </c>
      <c r="AH2" s="3">
        <v>645855.473447541</v>
      </c>
      <c r="AI2" s="3">
        <v>660004.9208382464</v>
      </c>
      <c r="AJ2" s="3">
        <v>658843.131818364</v>
      </c>
      <c r="AK2" s="3">
        <v>675981.9098824327</v>
      </c>
      <c r="AL2" s="3">
        <v>690684</v>
      </c>
      <c r="AM2" s="3">
        <v>699959.088092921</v>
      </c>
      <c r="AN2" s="3">
        <v>706836.084663254</v>
      </c>
      <c r="AO2" s="3">
        <v>717383.872631175</v>
      </c>
      <c r="AP2" s="3">
        <v>718705</v>
      </c>
      <c r="AQ2" s="3">
        <v>715073.1653188684</v>
      </c>
      <c r="AR2" s="3">
        <v>712652.9200900394</v>
      </c>
      <c r="AS2" s="3">
        <v>706458.9638917386</v>
      </c>
      <c r="AT2" s="3">
        <v>697536.029333677</v>
      </c>
      <c r="AU2" s="3">
        <v>698848.2490704407</v>
      </c>
      <c r="AV2" s="3">
        <v>700286.5587599135</v>
      </c>
      <c r="AW2" s="3">
        <v>699100.8809788367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>
      <c r="A3" s="1" t="str">
        <f>'Population Definitions'!$B$3</f>
        <v>5-14M_aus</v>
      </c>
      <c r="C3" t="s">
        <v>44</v>
      </c>
      <c r="D3" s="3"/>
      <c r="E3" s="3">
        <v>1201766.235903378</v>
      </c>
      <c r="F3" s="3">
        <v>1202531.961934067</v>
      </c>
      <c r="G3" s="3">
        <v>1202741.992664227</v>
      </c>
      <c r="H3" s="3">
        <v>1196337.823640586</v>
      </c>
      <c r="I3" s="3">
        <v>1179882.784806883</v>
      </c>
      <c r="J3" s="3">
        <v>1165385.235154348</v>
      </c>
      <c r="K3" s="3">
        <v>1146021.688825843</v>
      </c>
      <c r="L3" s="3">
        <v>1131694.166003163</v>
      </c>
      <c r="M3" s="3">
        <v>1129167.235453218</v>
      </c>
      <c r="N3" s="3">
        <v>1131018.857668502</v>
      </c>
      <c r="O3" s="3">
        <v>1135194.099147487</v>
      </c>
      <c r="P3" s="3">
        <v>1140497.18448164</v>
      </c>
      <c r="Q3" s="3">
        <v>1142860.623409436</v>
      </c>
      <c r="R3" s="3">
        <v>1145926.573552765</v>
      </c>
      <c r="S3" s="3">
        <v>1150577.366681866</v>
      </c>
      <c r="T3" s="3">
        <v>1159563.071542088</v>
      </c>
      <c r="U3" s="3">
        <v>1167765.670212879</v>
      </c>
      <c r="V3" s="3">
        <v>1171793.011737993</v>
      </c>
      <c r="W3" s="3">
        <v>1176811.964607195</v>
      </c>
      <c r="X3" s="3">
        <v>1184581.962366592</v>
      </c>
      <c r="Y3" s="3">
        <v>1192683.524887345</v>
      </c>
      <c r="Z3" s="3">
        <v>1198335.715192408</v>
      </c>
      <c r="AA3" s="3">
        <v>1199556.997820706</v>
      </c>
      <c r="AB3" s="3">
        <v>1198390.53697327</v>
      </c>
      <c r="AC3" s="3">
        <v>1196428.217817148</v>
      </c>
      <c r="AD3" s="3">
        <v>1191963.264550336</v>
      </c>
      <c r="AE3" s="3">
        <v>1184050.897041928</v>
      </c>
      <c r="AF3" s="3">
        <v>1175571.676735315</v>
      </c>
      <c r="AG3" s="3">
        <v>1168350.834679876</v>
      </c>
      <c r="AH3" s="3">
        <v>1165021.845426208</v>
      </c>
      <c r="AI3" s="3">
        <v>1164995.105800715</v>
      </c>
      <c r="AJ3" s="3">
        <v>1171724.21814223</v>
      </c>
      <c r="AK3" s="3">
        <v>1180048.549907745</v>
      </c>
      <c r="AL3" s="3">
        <v>1194472.229628871</v>
      </c>
      <c r="AM3" s="3">
        <v>1211761.346929312</v>
      </c>
      <c r="AN3" s="3">
        <v>1233073.884858618</v>
      </c>
      <c r="AO3" s="3">
        <v>1260998.332857041</v>
      </c>
      <c r="AP3" s="3">
        <v>1285761.563037286</v>
      </c>
      <c r="AQ3" s="3">
        <v>1313416.662912529</v>
      </c>
      <c r="AR3" s="3">
        <v>1337534.326382554</v>
      </c>
      <c r="AS3" s="3">
        <v>1360140.889114205</v>
      </c>
      <c r="AT3" s="3">
        <v>1378115.894546109</v>
      </c>
      <c r="AU3" s="3">
        <v>1385603.792145015</v>
      </c>
      <c r="AV3" s="3">
        <v>1393140.859572898</v>
      </c>
      <c r="AW3" s="3">
        <v>1395096.613703642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>
      <c r="A4" s="1" t="str">
        <f>'Population Definitions'!$B$4</f>
        <v>15-29M_aus</v>
      </c>
      <c r="C4" t="s">
        <v>44</v>
      </c>
      <c r="D4" s="3"/>
      <c r="E4" s="3">
        <v>1621065.017080114</v>
      </c>
      <c r="F4" s="3">
        <v>1635422.03263651</v>
      </c>
      <c r="G4" s="3">
        <v>1653941.062895108</v>
      </c>
      <c r="H4" s="3">
        <v>1660584.300869609</v>
      </c>
      <c r="I4" s="3">
        <v>1671148.535340125</v>
      </c>
      <c r="J4" s="3">
        <v>1690412.461061391</v>
      </c>
      <c r="K4" s="3">
        <v>1713891.300841573</v>
      </c>
      <c r="L4" s="3">
        <v>1731662.804552198</v>
      </c>
      <c r="M4" s="3">
        <v>1743209.084867457</v>
      </c>
      <c r="N4" s="3">
        <v>1749606.504929436</v>
      </c>
      <c r="O4" s="3">
        <v>1744005.642168572</v>
      </c>
      <c r="P4" s="3">
        <v>1719566.982889344</v>
      </c>
      <c r="Q4" s="3">
        <v>1690797.674812666</v>
      </c>
      <c r="R4" s="3">
        <v>1668459.003893981</v>
      </c>
      <c r="S4" s="3">
        <v>1649499.555039007</v>
      </c>
      <c r="T4" s="3">
        <v>1639948.70578665</v>
      </c>
      <c r="U4" s="3">
        <v>1635692.796168668</v>
      </c>
      <c r="V4" s="3">
        <v>1623717.259431359</v>
      </c>
      <c r="W4" s="3">
        <v>1611463.729486938</v>
      </c>
      <c r="X4" s="3">
        <v>1600280.200450874</v>
      </c>
      <c r="Y4" s="3">
        <v>1592713.473069964</v>
      </c>
      <c r="Z4" s="3">
        <v>1579646.73518987</v>
      </c>
      <c r="AA4" s="3">
        <v>1578067.056183582</v>
      </c>
      <c r="AB4" s="3">
        <v>1582584.092636929</v>
      </c>
      <c r="AC4" s="3">
        <v>1592794.722112969</v>
      </c>
      <c r="AD4" s="3">
        <v>1609654.133841437</v>
      </c>
      <c r="AE4" s="3">
        <v>1623468.916733263</v>
      </c>
      <c r="AF4" s="3">
        <v>1638096.796335027</v>
      </c>
      <c r="AG4" s="3">
        <v>1652751.710779148</v>
      </c>
      <c r="AH4" s="3">
        <v>1669306.591549251</v>
      </c>
      <c r="AI4" s="3">
        <v>1684195.509767643</v>
      </c>
      <c r="AJ4" s="3">
        <v>1725746.280107003</v>
      </c>
      <c r="AK4" s="3">
        <v>1734479.266777286</v>
      </c>
      <c r="AL4" s="3">
        <v>1738364.502687932</v>
      </c>
      <c r="AM4" s="3">
        <v>1739499.493060893</v>
      </c>
      <c r="AN4" s="3">
        <v>1738550.775172287</v>
      </c>
      <c r="AO4" s="3">
        <v>1756702.541832622</v>
      </c>
      <c r="AP4" s="3">
        <v>1753488.468082446</v>
      </c>
      <c r="AQ4" s="3">
        <v>1750062</v>
      </c>
      <c r="AR4" s="3">
        <v>1747078.563450437</v>
      </c>
      <c r="AS4" s="3">
        <v>1749089.820740301</v>
      </c>
      <c r="AT4" s="3">
        <v>1751996</v>
      </c>
      <c r="AU4" s="3">
        <v>1765457.491176356</v>
      </c>
      <c r="AV4" s="3">
        <v>1726319.227508548</v>
      </c>
      <c r="AW4" s="3">
        <v>1712254.367751516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>
      <c r="A5" s="1" t="str">
        <f>'Population Definitions'!$B$5</f>
        <v>30-49M_aus</v>
      </c>
      <c r="C5" t="s">
        <v>44</v>
      </c>
      <c r="D5" s="3"/>
      <c r="E5" s="3">
        <v>1318576.89254647</v>
      </c>
      <c r="F5" s="3">
        <v>1355379.759815773</v>
      </c>
      <c r="G5" s="3">
        <v>1411056.759728171</v>
      </c>
      <c r="H5" s="3">
        <v>1460100.507534636</v>
      </c>
      <c r="I5" s="3">
        <v>1503202.830773375</v>
      </c>
      <c r="J5" s="3">
        <v>1551980.634790653</v>
      </c>
      <c r="K5" s="3">
        <v>1602239.770898282</v>
      </c>
      <c r="L5" s="3">
        <v>1646097.561398165</v>
      </c>
      <c r="M5" s="3">
        <v>1695280.996382437</v>
      </c>
      <c r="N5" s="3">
        <v>1745369.289922845</v>
      </c>
      <c r="O5" s="3">
        <v>1792915.292921408</v>
      </c>
      <c r="P5" s="3">
        <v>1831613.629597076</v>
      </c>
      <c r="Q5" s="3">
        <v>1859987.00829561</v>
      </c>
      <c r="R5" s="3">
        <v>1901663.051122144</v>
      </c>
      <c r="S5" s="3">
        <v>1931241.845904541</v>
      </c>
      <c r="T5" s="3">
        <v>1952975.719906814</v>
      </c>
      <c r="U5" s="3">
        <v>1969766.355979538</v>
      </c>
      <c r="V5" s="3">
        <v>1965942.795432633</v>
      </c>
      <c r="W5" s="3">
        <v>1972169.186261316</v>
      </c>
      <c r="X5" s="3">
        <v>1986373.936848783</v>
      </c>
      <c r="Y5" s="3">
        <v>2001229.787387179</v>
      </c>
      <c r="Z5" s="3">
        <v>2019344.189086455</v>
      </c>
      <c r="AA5" s="3">
        <v>2035380.266274312</v>
      </c>
      <c r="AB5" s="3">
        <v>2037519.305412283</v>
      </c>
      <c r="AC5" s="3">
        <v>2039342.368520611</v>
      </c>
      <c r="AD5" s="3">
        <v>2031440.510799016</v>
      </c>
      <c r="AE5" s="3">
        <v>2032617.225222458</v>
      </c>
      <c r="AF5" s="3">
        <v>2034282.653188686</v>
      </c>
      <c r="AG5" s="3">
        <v>2033723.70073365</v>
      </c>
      <c r="AH5" s="3">
        <v>2033135.402793488</v>
      </c>
      <c r="AI5" s="3">
        <v>2032133.851487176</v>
      </c>
      <c r="AJ5" s="3">
        <v>2017246</v>
      </c>
      <c r="AK5" s="3">
        <v>2017575.039400526</v>
      </c>
      <c r="AL5" s="3">
        <v>2022313.001438749</v>
      </c>
      <c r="AM5" s="3">
        <v>2027038</v>
      </c>
      <c r="AN5" s="3">
        <v>2036473.048794008</v>
      </c>
      <c r="AO5" s="3">
        <v>2033866.049567418</v>
      </c>
      <c r="AP5" s="3">
        <v>2047628.71314423</v>
      </c>
      <c r="AQ5" s="3">
        <v>2059172.262607948</v>
      </c>
      <c r="AR5" s="3">
        <v>2068539.423132518</v>
      </c>
      <c r="AS5" s="3">
        <v>2084032.48763879</v>
      </c>
      <c r="AT5" s="3">
        <v>2066543.511505052</v>
      </c>
      <c r="AU5" s="3">
        <v>2065196.082854256</v>
      </c>
      <c r="AV5" s="3">
        <v>2046356.614871569</v>
      </c>
      <c r="AW5" s="3">
        <v>2034222.723599102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>
      <c r="A6" s="1" t="str">
        <f>'Population Definitions'!$B$6</f>
        <v>50-64M_aus</v>
      </c>
      <c r="C6" t="s">
        <v>44</v>
      </c>
      <c r="D6" s="3"/>
      <c r="E6" s="3">
        <v>646849.7848427482</v>
      </c>
      <c r="F6" s="3">
        <v>649632.4928656211</v>
      </c>
      <c r="G6" s="3">
        <v>655694.1414638411</v>
      </c>
      <c r="H6" s="3">
        <v>661265.1382265913</v>
      </c>
      <c r="I6" s="3">
        <v>667562.5870709668</v>
      </c>
      <c r="J6" s="3">
        <v>668427.0430794943</v>
      </c>
      <c r="K6" s="3">
        <v>668503.8745120829</v>
      </c>
      <c r="L6" s="3">
        <v>662318.8722892199</v>
      </c>
      <c r="M6" s="3">
        <v>658259.443850604</v>
      </c>
      <c r="N6" s="3">
        <v>655173.3427731935</v>
      </c>
      <c r="O6" s="3">
        <v>654439.7471800516</v>
      </c>
      <c r="P6" s="3">
        <v>651868.2964796848</v>
      </c>
      <c r="Q6" s="3">
        <v>646561.9505765645</v>
      </c>
      <c r="R6" s="3">
        <v>656913.8519950343</v>
      </c>
      <c r="S6" s="3">
        <v>676487.187550148</v>
      </c>
      <c r="T6" s="3">
        <v>698999.73535112</v>
      </c>
      <c r="U6" s="3">
        <v>720633.0947710094</v>
      </c>
      <c r="V6" s="3">
        <v>776378.4667783572</v>
      </c>
      <c r="W6" s="3">
        <v>830818.5730833919</v>
      </c>
      <c r="X6" s="3">
        <v>880763.3841457376</v>
      </c>
      <c r="Y6" s="3">
        <v>932302.9788754422</v>
      </c>
      <c r="Z6" s="3">
        <v>974915.0006605802</v>
      </c>
      <c r="AA6" s="3">
        <v>1007600.563896179</v>
      </c>
      <c r="AB6" s="3">
        <v>1038421.661783243</v>
      </c>
      <c r="AC6" s="3">
        <v>1067592.428894796</v>
      </c>
      <c r="AD6" s="3">
        <v>1093494.422192301</v>
      </c>
      <c r="AE6" s="3">
        <v>1129158.985475283</v>
      </c>
      <c r="AF6" s="3">
        <v>1163305.613980182</v>
      </c>
      <c r="AG6" s="3">
        <v>1199073.580714117</v>
      </c>
      <c r="AH6" s="3">
        <v>1231698.465927102</v>
      </c>
      <c r="AI6" s="3">
        <v>1262130.338698294</v>
      </c>
      <c r="AJ6" s="3">
        <v>1293946.017059963</v>
      </c>
      <c r="AK6" s="3">
        <v>1311454.003701485</v>
      </c>
      <c r="AL6" s="3">
        <v>1331213.999234848</v>
      </c>
      <c r="AM6" s="3">
        <v>1349600.336537864</v>
      </c>
      <c r="AN6" s="3">
        <v>1359737.658927818</v>
      </c>
      <c r="AO6" s="3">
        <v>1358519.692465586</v>
      </c>
      <c r="AP6" s="3">
        <v>1368020</v>
      </c>
      <c r="AQ6" s="3">
        <v>1378680.373882997</v>
      </c>
      <c r="AR6" s="3">
        <v>1395425.320467959</v>
      </c>
      <c r="AS6" s="3">
        <v>1415092.265455716</v>
      </c>
      <c r="AT6" s="3">
        <v>1444303.022995296</v>
      </c>
      <c r="AU6" s="3">
        <v>1462242.592992031</v>
      </c>
      <c r="AV6" s="3">
        <v>1480756.126154497</v>
      </c>
      <c r="AW6" s="3">
        <v>1489712.407319993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>
      <c r="A7" s="1" t="str">
        <f>'Population Definitions'!$B$7</f>
        <v>65+M_aus</v>
      </c>
      <c r="C7" t="s">
        <v>44</v>
      </c>
      <c r="D7" s="3"/>
      <c r="E7" s="3">
        <v>322766.1111089768</v>
      </c>
      <c r="F7" s="3">
        <v>333305.0754584685</v>
      </c>
      <c r="G7" s="3">
        <v>346370.6430539449</v>
      </c>
      <c r="H7" s="3">
        <v>355442.183048855</v>
      </c>
      <c r="I7" s="3">
        <v>366085.9086253418</v>
      </c>
      <c r="J7" s="3">
        <v>383081.7740617502</v>
      </c>
      <c r="K7" s="3">
        <v>405239.812177512</v>
      </c>
      <c r="L7" s="3">
        <v>423106.1752220379</v>
      </c>
      <c r="M7" s="3">
        <v>437206.8723742487</v>
      </c>
      <c r="N7" s="3">
        <v>453377.8437013401</v>
      </c>
      <c r="O7" s="3">
        <v>466355.6266069334</v>
      </c>
      <c r="P7" s="3">
        <v>483456.7646568047</v>
      </c>
      <c r="Q7" s="3">
        <v>495102.8563925638</v>
      </c>
      <c r="R7" s="3">
        <v>517787.2112234043</v>
      </c>
      <c r="S7" s="3">
        <v>537278.4923283039</v>
      </c>
      <c r="T7" s="3">
        <v>553084.9228404972</v>
      </c>
      <c r="U7" s="3">
        <v>569097.8395408853</v>
      </c>
      <c r="V7" s="3">
        <v>587203.9018223356</v>
      </c>
      <c r="W7" s="3">
        <v>605730.6702589279</v>
      </c>
      <c r="X7" s="3">
        <v>624929.6190707933</v>
      </c>
      <c r="Y7" s="3">
        <v>643115.7665620726</v>
      </c>
      <c r="Z7" s="3">
        <v>664520.069034267</v>
      </c>
      <c r="AA7" s="3">
        <v>681398.7788202735</v>
      </c>
      <c r="AB7" s="3">
        <v>695365.2058113971</v>
      </c>
      <c r="AC7" s="3">
        <v>712384.5655541635</v>
      </c>
      <c r="AD7" s="3">
        <v>728491.1686501295</v>
      </c>
      <c r="AE7" s="3">
        <v>742491.8139757572</v>
      </c>
      <c r="AF7" s="3">
        <v>764003.1422997238</v>
      </c>
      <c r="AG7" s="3">
        <v>783951.2867612555</v>
      </c>
      <c r="AH7" s="3">
        <v>809966.075285956</v>
      </c>
      <c r="AI7" s="3">
        <v>840327.3762024946</v>
      </c>
      <c r="AJ7" s="3">
        <v>857710.2272330234</v>
      </c>
      <c r="AK7" s="3">
        <v>895588.1604791872</v>
      </c>
      <c r="AL7" s="3">
        <v>929066</v>
      </c>
      <c r="AM7" s="3">
        <v>961822.1663105814</v>
      </c>
      <c r="AN7" s="3">
        <v>997066.2865961093</v>
      </c>
      <c r="AO7" s="3">
        <v>1029069.556616254</v>
      </c>
      <c r="AP7" s="3">
        <v>1066144.095451981</v>
      </c>
      <c r="AQ7" s="3">
        <v>1104418.768911192</v>
      </c>
      <c r="AR7" s="3">
        <v>1141708.531306131</v>
      </c>
      <c r="AS7" s="3">
        <v>1181517.538291977</v>
      </c>
      <c r="AT7" s="3">
        <v>1232353</v>
      </c>
      <c r="AU7" s="3">
        <v>1270889.300700346</v>
      </c>
      <c r="AV7" s="3">
        <v>1319509.169164973</v>
      </c>
      <c r="AW7" s="3">
        <v>1367153.525476096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>
      <c r="A8" s="1" t="str">
        <f>'Population Definitions'!$B$8</f>
        <v>0-4F_aus</v>
      </c>
      <c r="C8" t="s">
        <v>44</v>
      </c>
      <c r="D8" s="3"/>
      <c r="E8" s="3">
        <v>514618.558733347</v>
      </c>
      <c r="F8" s="3">
        <v>517814.3152529653</v>
      </c>
      <c r="G8" s="3">
        <v>524132.4847245825</v>
      </c>
      <c r="H8" s="3">
        <v>529757.2894561894</v>
      </c>
      <c r="I8" s="3">
        <v>535733.0415292482</v>
      </c>
      <c r="J8" s="3">
        <v>543338.4132316139</v>
      </c>
      <c r="K8" s="3">
        <v>546474.3517831403</v>
      </c>
      <c r="L8" s="3">
        <v>550444.9902644895</v>
      </c>
      <c r="M8" s="3">
        <v>554927.499754575</v>
      </c>
      <c r="N8" s="3">
        <v>560435.5843009058</v>
      </c>
      <c r="O8" s="3">
        <v>565372.2498905115</v>
      </c>
      <c r="P8" s="3">
        <v>570625.6242967903</v>
      </c>
      <c r="Q8" s="3">
        <v>575400.7755725953</v>
      </c>
      <c r="R8" s="3">
        <v>577855.9214204398</v>
      </c>
      <c r="S8" s="3">
        <v>579056.7860203603</v>
      </c>
      <c r="T8" s="3">
        <v>578068.3104179694</v>
      </c>
      <c r="U8" s="3">
        <v>574353.4522259212</v>
      </c>
      <c r="V8" s="3">
        <v>572978.5401991815</v>
      </c>
      <c r="W8" s="3">
        <v>568724.4196236017</v>
      </c>
      <c r="X8" s="3">
        <v>565518.5006389704</v>
      </c>
      <c r="Y8" s="3">
        <v>561808.2555464953</v>
      </c>
      <c r="Z8" s="3">
        <v>560642.4335130702</v>
      </c>
      <c r="AA8" s="3">
        <v>557124.1583894729</v>
      </c>
      <c r="AB8" s="3">
        <v>555697.4387178376</v>
      </c>
      <c r="AC8" s="3">
        <v>554436.2327525294</v>
      </c>
      <c r="AD8" s="3">
        <v>555662.9513466856</v>
      </c>
      <c r="AE8" s="3">
        <v>556881.8197466785</v>
      </c>
      <c r="AF8" s="3">
        <v>573853.8681145192</v>
      </c>
      <c r="AG8" s="3">
        <v>593164.8387384592</v>
      </c>
      <c r="AH8" s="3">
        <v>611258.719136244</v>
      </c>
      <c r="AI8" s="3">
        <v>625204</v>
      </c>
      <c r="AJ8" s="3">
        <v>624011.1317803238</v>
      </c>
      <c r="AK8" s="3">
        <v>640547.0903679878</v>
      </c>
      <c r="AL8" s="3">
        <v>654612.2257464196</v>
      </c>
      <c r="AM8" s="3">
        <v>664311.8683186265</v>
      </c>
      <c r="AN8" s="3">
        <v>670952.0422617235</v>
      </c>
      <c r="AO8" s="3">
        <v>680614.8707116086</v>
      </c>
      <c r="AP8" s="3">
        <v>680797.9138773484</v>
      </c>
      <c r="AQ8" s="3">
        <v>676574.041493339</v>
      </c>
      <c r="AR8" s="3">
        <v>672866.1201781596</v>
      </c>
      <c r="AS8" s="3">
        <v>667049.1823755098</v>
      </c>
      <c r="AT8" s="3">
        <v>659217.9410721593</v>
      </c>
      <c r="AU8" s="3">
        <v>661649.3325269767</v>
      </c>
      <c r="AV8" s="3">
        <v>663562.4441241263</v>
      </c>
      <c r="AW8" s="3">
        <v>663837.8765502688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>
      <c r="A9" s="1" t="str">
        <f>'Population Definitions'!$B$9</f>
        <v>5-14F_aus</v>
      </c>
      <c r="C9" t="s">
        <v>44</v>
      </c>
      <c r="D9" s="3"/>
      <c r="E9" s="3">
        <v>1151314.000153035</v>
      </c>
      <c r="F9" s="3">
        <v>1152079.314196213</v>
      </c>
      <c r="G9" s="3">
        <v>1151038.150645156</v>
      </c>
      <c r="H9" s="3">
        <v>1143629.194475378</v>
      </c>
      <c r="I9" s="3">
        <v>1126531.012897227</v>
      </c>
      <c r="J9" s="3">
        <v>1110724.03970808</v>
      </c>
      <c r="K9" s="3">
        <v>1089843.762311203</v>
      </c>
      <c r="L9" s="3">
        <v>1074818.615784577</v>
      </c>
      <c r="M9" s="3">
        <v>1070840.740278186</v>
      </c>
      <c r="N9" s="3">
        <v>1072982.923913379</v>
      </c>
      <c r="O9" s="3">
        <v>1077163.482958496</v>
      </c>
      <c r="P9" s="3">
        <v>1080839.491775321</v>
      </c>
      <c r="Q9" s="3">
        <v>1084308.576732075</v>
      </c>
      <c r="R9" s="3">
        <v>1088545.172589595</v>
      </c>
      <c r="S9" s="3">
        <v>1093986.10962536</v>
      </c>
      <c r="T9" s="3">
        <v>1103627.399593398</v>
      </c>
      <c r="U9" s="3">
        <v>1112155.462244196</v>
      </c>
      <c r="V9" s="3">
        <v>1116880.24394281</v>
      </c>
      <c r="W9" s="3">
        <v>1121953.430903594</v>
      </c>
      <c r="X9" s="3">
        <v>1128549.089795041</v>
      </c>
      <c r="Y9" s="3">
        <v>1134942.257447714</v>
      </c>
      <c r="Z9" s="3">
        <v>1139376.794052861</v>
      </c>
      <c r="AA9" s="3">
        <v>1139608.626779052</v>
      </c>
      <c r="AB9" s="3">
        <v>1137117.864164488</v>
      </c>
      <c r="AC9" s="3">
        <v>1134865.304830377</v>
      </c>
      <c r="AD9" s="3">
        <v>1131372.949715773</v>
      </c>
      <c r="AE9" s="3">
        <v>1124181.632795431</v>
      </c>
      <c r="AF9" s="3">
        <v>1116529.484163071</v>
      </c>
      <c r="AG9" s="3">
        <v>1109814.360382542</v>
      </c>
      <c r="AH9" s="3">
        <v>1106224.362960528</v>
      </c>
      <c r="AI9" s="3">
        <v>1105800.317805739</v>
      </c>
      <c r="AJ9" s="3">
        <v>1113086.891503606</v>
      </c>
      <c r="AK9" s="3">
        <v>1120186</v>
      </c>
      <c r="AL9" s="3">
        <v>1133621.798309709</v>
      </c>
      <c r="AM9" s="3">
        <v>1149064.540879923</v>
      </c>
      <c r="AN9" s="3">
        <v>1168722.114188661</v>
      </c>
      <c r="AO9" s="3">
        <v>1194620.557650928</v>
      </c>
      <c r="AP9" s="3">
        <v>1216632.55092801</v>
      </c>
      <c r="AQ9" s="3">
        <v>1240881.327554498</v>
      </c>
      <c r="AR9" s="3">
        <v>1263676.112202927</v>
      </c>
      <c r="AS9" s="3">
        <v>1285051.55366748</v>
      </c>
      <c r="AT9" s="3">
        <v>1301423</v>
      </c>
      <c r="AU9" s="3">
        <v>1309547.455278787</v>
      </c>
      <c r="AV9" s="3">
        <v>1317889.832356182</v>
      </c>
      <c r="AW9" s="3">
        <v>1319980.138702867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>
      <c r="A10" s="1" t="str">
        <f>'Population Definitions'!$B$10</f>
        <v>15-29F_aus</v>
      </c>
      <c r="C10" t="s">
        <v>44</v>
      </c>
      <c r="D10" s="3"/>
      <c r="E10" s="3">
        <v>1571071.353973014</v>
      </c>
      <c r="F10" s="3">
        <v>1584036.858232909</v>
      </c>
      <c r="G10" s="3">
        <v>1601351.177994756</v>
      </c>
      <c r="H10" s="3">
        <v>1606265.452284377</v>
      </c>
      <c r="I10" s="3">
        <v>1614646.75537325</v>
      </c>
      <c r="J10" s="3">
        <v>1629113.534543375</v>
      </c>
      <c r="K10" s="3">
        <v>1651162.526307466</v>
      </c>
      <c r="L10" s="3">
        <v>1673640.2245732</v>
      </c>
      <c r="M10" s="3">
        <v>1687981.981994357</v>
      </c>
      <c r="N10" s="3">
        <v>1695498.60938743</v>
      </c>
      <c r="O10" s="3">
        <v>1690914.816936838</v>
      </c>
      <c r="P10" s="3">
        <v>1670125.503227965</v>
      </c>
      <c r="Q10" s="3">
        <v>1642367.030845516</v>
      </c>
      <c r="R10" s="3">
        <v>1619753.836545267</v>
      </c>
      <c r="S10" s="3">
        <v>1600708.907267236</v>
      </c>
      <c r="T10" s="3">
        <v>1590727.348180218</v>
      </c>
      <c r="U10" s="3">
        <v>1588631.65302696</v>
      </c>
      <c r="V10" s="3">
        <v>1581753.714565879</v>
      </c>
      <c r="W10" s="3">
        <v>1571872.029825224</v>
      </c>
      <c r="X10" s="3">
        <v>1562650.717927756</v>
      </c>
      <c r="Y10" s="3">
        <v>1558501.658774397</v>
      </c>
      <c r="Z10" s="3">
        <v>1546119.802236388</v>
      </c>
      <c r="AA10" s="3">
        <v>1536454.158059127</v>
      </c>
      <c r="AB10" s="3">
        <v>1537835.927299554</v>
      </c>
      <c r="AC10" s="3">
        <v>1541364.660414899</v>
      </c>
      <c r="AD10" s="3">
        <v>1552803.042618613</v>
      </c>
      <c r="AE10" s="3">
        <v>1561094.860381042</v>
      </c>
      <c r="AF10" s="3">
        <v>1573699.575412444</v>
      </c>
      <c r="AG10" s="3">
        <v>1586162.226539234</v>
      </c>
      <c r="AH10" s="3">
        <v>1601049.489438466</v>
      </c>
      <c r="AI10" s="3">
        <v>1614375.515168302</v>
      </c>
      <c r="AJ10" s="3">
        <v>1644220.243743891</v>
      </c>
      <c r="AK10" s="3">
        <v>1654953.74805394</v>
      </c>
      <c r="AL10" s="3">
        <v>1660997.489413071</v>
      </c>
      <c r="AM10" s="3">
        <v>1664251.304559488</v>
      </c>
      <c r="AN10" s="3">
        <v>1665162.601042992</v>
      </c>
      <c r="AO10" s="3">
        <v>1681989</v>
      </c>
      <c r="AP10" s="3">
        <v>1675774.447192804</v>
      </c>
      <c r="AQ10" s="3">
        <v>1669121.567577833</v>
      </c>
      <c r="AR10" s="3">
        <v>1663106.731338058</v>
      </c>
      <c r="AS10" s="3">
        <v>1663221.72090421</v>
      </c>
      <c r="AT10" s="3">
        <v>1668072.756788882</v>
      </c>
      <c r="AU10" s="3">
        <v>1676297.447561571</v>
      </c>
      <c r="AV10" s="3">
        <v>1635632.457329331</v>
      </c>
      <c r="AW10" s="3">
        <v>1615402.670956993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>
      <c r="A11" s="1" t="str">
        <f>'Population Definitions'!$B$11</f>
        <v>30-49F_aus</v>
      </c>
      <c r="C11" t="s">
        <v>44</v>
      </c>
      <c r="D11" s="3"/>
      <c r="E11" s="3">
        <v>1214984.17482152</v>
      </c>
      <c r="F11" s="3">
        <v>1252203.571925804</v>
      </c>
      <c r="G11" s="3">
        <v>1305769.430138959</v>
      </c>
      <c r="H11" s="3">
        <v>1355526.351924215</v>
      </c>
      <c r="I11" s="3">
        <v>1402091.244455277</v>
      </c>
      <c r="J11" s="3">
        <v>1454231.63179893</v>
      </c>
      <c r="K11" s="3">
        <v>1504018.112877057</v>
      </c>
      <c r="L11" s="3">
        <v>1551265.351022277</v>
      </c>
      <c r="M11" s="3">
        <v>1602997.479752619</v>
      </c>
      <c r="N11" s="3">
        <v>1656036.171967319</v>
      </c>
      <c r="O11" s="3">
        <v>1708989.419836384</v>
      </c>
      <c r="P11" s="3">
        <v>1755990.43154865</v>
      </c>
      <c r="Q11" s="3">
        <v>1790482.528585546</v>
      </c>
      <c r="R11" s="3">
        <v>1839641.646772015</v>
      </c>
      <c r="S11" s="3">
        <v>1875187.811314232</v>
      </c>
      <c r="T11" s="3">
        <v>1902147.327858874</v>
      </c>
      <c r="U11" s="3">
        <v>1926720.639292379</v>
      </c>
      <c r="V11" s="3">
        <v>1936404.907103347</v>
      </c>
      <c r="W11" s="3">
        <v>1953699.748521806</v>
      </c>
      <c r="X11" s="3">
        <v>1976283.144593293</v>
      </c>
      <c r="Y11" s="3">
        <v>1996564.245566634</v>
      </c>
      <c r="Z11" s="3">
        <v>2020914.67849271</v>
      </c>
      <c r="AA11" s="3">
        <v>2036579.55720712</v>
      </c>
      <c r="AB11" s="3">
        <v>2040762.607626565</v>
      </c>
      <c r="AC11" s="3">
        <v>2041086.082570805</v>
      </c>
      <c r="AD11" s="3">
        <v>2030876.040458656</v>
      </c>
      <c r="AE11" s="3">
        <v>2029558.865223724</v>
      </c>
      <c r="AF11" s="3">
        <v>2031648.475301299</v>
      </c>
      <c r="AG11" s="3">
        <v>2030600.562086877</v>
      </c>
      <c r="AH11" s="3">
        <v>2029105.657807744</v>
      </c>
      <c r="AI11" s="3">
        <v>2026907.583182103</v>
      </c>
      <c r="AJ11" s="3">
        <v>2015329.601488755</v>
      </c>
      <c r="AK11" s="3">
        <v>2015967.667685732</v>
      </c>
      <c r="AL11" s="3">
        <v>2019758.0520928</v>
      </c>
      <c r="AM11" s="3">
        <v>2025192.413631988</v>
      </c>
      <c r="AN11" s="3">
        <v>2034298.248057005</v>
      </c>
      <c r="AO11" s="3">
        <v>2040515.851787651</v>
      </c>
      <c r="AP11" s="3">
        <v>2049057.36627603</v>
      </c>
      <c r="AQ11" s="3">
        <v>2055742.747842528</v>
      </c>
      <c r="AR11" s="3">
        <v>2058614.52671051</v>
      </c>
      <c r="AS11" s="3">
        <v>2067506.062525282</v>
      </c>
      <c r="AT11" s="3">
        <v>2052036</v>
      </c>
      <c r="AU11" s="3">
        <v>2049375.430465432</v>
      </c>
      <c r="AV11" s="3">
        <v>2037997.918629006</v>
      </c>
      <c r="AW11" s="3">
        <v>2029635.509296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>
      <c r="A12" s="1" t="str">
        <f>'Population Definitions'!$B$12</f>
        <v>50-64F_aus</v>
      </c>
      <c r="C12" t="s">
        <v>44</v>
      </c>
      <c r="D12" s="3"/>
      <c r="E12" s="3">
        <v>669340.4440589942</v>
      </c>
      <c r="F12" s="3">
        <v>672872.145699347</v>
      </c>
      <c r="G12" s="3">
        <v>672633.9832826288</v>
      </c>
      <c r="H12" s="3">
        <v>672281.445288292</v>
      </c>
      <c r="I12" s="3">
        <v>673098.0532298184</v>
      </c>
      <c r="J12" s="3">
        <v>670102.3750212721</v>
      </c>
      <c r="K12" s="3">
        <v>664273.0635978174</v>
      </c>
      <c r="L12" s="3">
        <v>656643.1805898964</v>
      </c>
      <c r="M12" s="3">
        <v>650405.9020023067</v>
      </c>
      <c r="N12" s="3">
        <v>645991.8710407792</v>
      </c>
      <c r="O12" s="3">
        <v>642315.9414773628</v>
      </c>
      <c r="P12" s="3">
        <v>638535.9754963836</v>
      </c>
      <c r="Q12" s="3">
        <v>632553.1746312571</v>
      </c>
      <c r="R12" s="3">
        <v>641906.9210184757</v>
      </c>
      <c r="S12" s="3">
        <v>661502.3948487343</v>
      </c>
      <c r="T12" s="3">
        <v>684327.896604136</v>
      </c>
      <c r="U12" s="3">
        <v>704900.5801476584</v>
      </c>
      <c r="V12" s="3">
        <v>758293.5719391437</v>
      </c>
      <c r="W12" s="3">
        <v>810310.9918819598</v>
      </c>
      <c r="X12" s="3">
        <v>861453.5495875204</v>
      </c>
      <c r="Y12" s="3">
        <v>914575.3229977411</v>
      </c>
      <c r="Z12" s="3">
        <v>962163.1336039706</v>
      </c>
      <c r="AA12" s="3">
        <v>1000597.76034597</v>
      </c>
      <c r="AB12" s="3">
        <v>1037547.503882724</v>
      </c>
      <c r="AC12" s="3">
        <v>1074010.454637153</v>
      </c>
      <c r="AD12" s="3">
        <v>1108249.361915879</v>
      </c>
      <c r="AE12" s="3">
        <v>1142144.340333839</v>
      </c>
      <c r="AF12" s="3">
        <v>1175438.371298999</v>
      </c>
      <c r="AG12" s="3">
        <v>1210660.032608634</v>
      </c>
      <c r="AH12" s="3">
        <v>1242121.039317561</v>
      </c>
      <c r="AI12" s="3">
        <v>1271692.068823007</v>
      </c>
      <c r="AJ12" s="3">
        <v>1304245.320258815</v>
      </c>
      <c r="AK12" s="3">
        <v>1324701.035494407</v>
      </c>
      <c r="AL12" s="3">
        <v>1349057.305707935</v>
      </c>
      <c r="AM12" s="3">
        <v>1370709.643166237</v>
      </c>
      <c r="AN12" s="3">
        <v>1384338.34055577</v>
      </c>
      <c r="AO12" s="3">
        <v>1388946.453459581</v>
      </c>
      <c r="AP12" s="3">
        <v>1399972.737971747</v>
      </c>
      <c r="AQ12" s="3">
        <v>1410456.158320229</v>
      </c>
      <c r="AR12" s="3">
        <v>1426214.702036362</v>
      </c>
      <c r="AS12" s="3">
        <v>1442748.152256403</v>
      </c>
      <c r="AT12" s="3">
        <v>1476019.082543342</v>
      </c>
      <c r="AU12" s="3">
        <v>1495059.52275479</v>
      </c>
      <c r="AV12" s="3">
        <v>1514282.673212514</v>
      </c>
      <c r="AW12" s="3">
        <v>1523540.644130856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>
      <c r="A13" s="1" t="str">
        <f>'Population Definitions'!$B$13</f>
        <v>65+F_aus</v>
      </c>
      <c r="C13" t="s">
        <v>44</v>
      </c>
      <c r="D13" s="3"/>
      <c r="E13" s="3">
        <v>524982.8095301928</v>
      </c>
      <c r="F13" s="3">
        <v>541788.993459889</v>
      </c>
      <c r="G13" s="3">
        <v>562265.1840608974</v>
      </c>
      <c r="H13" s="3">
        <v>579079.5625372566</v>
      </c>
      <c r="I13" s="3">
        <v>596163.4402527338</v>
      </c>
      <c r="J13" s="3">
        <v>618057.662008605</v>
      </c>
      <c r="K13" s="3">
        <v>644861.8881699403</v>
      </c>
      <c r="L13" s="3">
        <v>665369.9101308936</v>
      </c>
      <c r="M13" s="3">
        <v>683382.2907999858</v>
      </c>
      <c r="N13" s="3">
        <v>701474.5772183997</v>
      </c>
      <c r="O13" s="3">
        <v>715496.6280466272</v>
      </c>
      <c r="P13" s="3">
        <v>733686.0844745553</v>
      </c>
      <c r="Q13" s="3">
        <v>745385.4412289409</v>
      </c>
      <c r="R13" s="3">
        <v>769682.202707927</v>
      </c>
      <c r="S13" s="3">
        <v>789706.8541017333</v>
      </c>
      <c r="T13" s="3">
        <v>805149.7759729036</v>
      </c>
      <c r="U13" s="3">
        <v>821577.7286782681</v>
      </c>
      <c r="V13" s="3">
        <v>839278.1946278085</v>
      </c>
      <c r="W13" s="3">
        <v>857271.2316318364</v>
      </c>
      <c r="X13" s="3">
        <v>875427.3879804795</v>
      </c>
      <c r="Y13" s="3">
        <v>893669.9738250265</v>
      </c>
      <c r="Z13" s="3">
        <v>912601.5649995543</v>
      </c>
      <c r="AA13" s="3">
        <v>925239.8698151463</v>
      </c>
      <c r="AB13" s="3">
        <v>935826.0543986275</v>
      </c>
      <c r="AC13" s="3">
        <v>949235.9605037757</v>
      </c>
      <c r="AD13" s="3">
        <v>961080.9132352953</v>
      </c>
      <c r="AE13" s="3">
        <v>971713.3195275762</v>
      </c>
      <c r="AF13" s="3">
        <v>989932.3821633304</v>
      </c>
      <c r="AG13" s="3">
        <v>1006994.533279793</v>
      </c>
      <c r="AH13" s="3">
        <v>1029583.564964755</v>
      </c>
      <c r="AI13" s="3">
        <v>1056551.968834119</v>
      </c>
      <c r="AJ13" s="3">
        <v>1070542.836206483</v>
      </c>
      <c r="AK13" s="3">
        <v>1103995.888429585</v>
      </c>
      <c r="AL13" s="3">
        <v>1132871.711327567</v>
      </c>
      <c r="AM13" s="3">
        <v>1161676.641421519</v>
      </c>
      <c r="AN13" s="3">
        <v>1192532.081190499</v>
      </c>
      <c r="AO13" s="3">
        <v>1219491.826457644</v>
      </c>
      <c r="AP13" s="3">
        <v>1254563.365899994</v>
      </c>
      <c r="AQ13" s="3">
        <v>1291969.831312145</v>
      </c>
      <c r="AR13" s="3">
        <v>1329917.632375351</v>
      </c>
      <c r="AS13" s="3">
        <v>1370518.859807002</v>
      </c>
      <c r="AT13" s="3">
        <v>1429110.364091482</v>
      </c>
      <c r="AU13" s="3">
        <v>1470023.174163588</v>
      </c>
      <c r="AV13" s="3">
        <v>1520874.072100249</v>
      </c>
      <c r="AW13" s="3">
        <v>1571721.759429878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>
      <c r="A14" s="1" t="str">
        <f>'Population Definitions'!$B$14</f>
        <v>0-4M_oth</v>
      </c>
      <c r="C14" t="s">
        <v>44</v>
      </c>
      <c r="D14" s="3"/>
      <c r="E14" s="3">
        <v>11027.41815432814</v>
      </c>
      <c r="F14" s="3">
        <v>11308.2262774457</v>
      </c>
      <c r="G14" s="3">
        <v>11505.9913804776</v>
      </c>
      <c r="H14" s="3">
        <v>11721.1573394293</v>
      </c>
      <c r="I14" s="3">
        <v>11920.03076350344</v>
      </c>
      <c r="J14" s="3">
        <v>12079.87942171748</v>
      </c>
      <c r="K14" s="3">
        <v>12314.80754432439</v>
      </c>
      <c r="L14" s="3">
        <v>12683.04187135677</v>
      </c>
      <c r="M14" s="3">
        <v>13074.69988763029</v>
      </c>
      <c r="N14" s="3">
        <v>13483.47535816556</v>
      </c>
      <c r="O14" s="3">
        <v>13872.84033853243</v>
      </c>
      <c r="P14" s="3">
        <v>14305.11141179226</v>
      </c>
      <c r="Q14" s="3">
        <v>14851.9355989006</v>
      </c>
      <c r="R14" s="3">
        <v>14919.77026355548</v>
      </c>
      <c r="S14" s="3">
        <v>15064.1556174067</v>
      </c>
      <c r="T14" s="3">
        <v>15299.09789464708</v>
      </c>
      <c r="U14" s="3">
        <v>15620.01583854</v>
      </c>
      <c r="V14" s="3">
        <v>15789.94835621264</v>
      </c>
      <c r="W14" s="3">
        <v>15879.6723522558</v>
      </c>
      <c r="X14" s="3">
        <v>15985.14605960455</v>
      </c>
      <c r="Y14" s="3">
        <v>16099.14631509937</v>
      </c>
      <c r="Z14" s="3">
        <v>16378.08775914509</v>
      </c>
      <c r="AA14" s="3">
        <v>16708.88242223691</v>
      </c>
      <c r="AB14" s="3">
        <v>17119.80085572253</v>
      </c>
      <c r="AC14" s="3">
        <v>17450.47010243499</v>
      </c>
      <c r="AD14" s="3">
        <v>17940.08203768063</v>
      </c>
      <c r="AE14" s="3">
        <v>24809.85064563706</v>
      </c>
      <c r="AF14" s="3">
        <v>26760.03899453552</v>
      </c>
      <c r="AG14" s="3">
        <v>29220.08228088701</v>
      </c>
      <c r="AH14" s="3">
        <v>30649.95812669918</v>
      </c>
      <c r="AI14" s="3">
        <v>29540.07916175367</v>
      </c>
      <c r="AJ14" s="3">
        <v>32889.868181636</v>
      </c>
      <c r="AK14" s="3">
        <v>34570.09011756732</v>
      </c>
      <c r="AL14" s="3">
        <v>35580</v>
      </c>
      <c r="AM14" s="3">
        <v>34849.91190707903</v>
      </c>
      <c r="AN14" s="3">
        <v>33739.91533674596</v>
      </c>
      <c r="AO14" s="3">
        <v>34300.12736882496</v>
      </c>
      <c r="AP14" s="3">
        <v>34570</v>
      </c>
      <c r="AQ14" s="3">
        <v>33219.83468113165</v>
      </c>
      <c r="AR14" s="3">
        <v>31950.07990996061</v>
      </c>
      <c r="AS14" s="3">
        <v>28510.03610826146</v>
      </c>
      <c r="AT14" s="3">
        <v>22759.97066632298</v>
      </c>
      <c r="AU14" s="3">
        <v>21509.75092955934</v>
      </c>
      <c r="AV14" s="3">
        <v>25141.44124008651</v>
      </c>
      <c r="AW14" s="3">
        <v>28503.11902116334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>
      <c r="A15" s="1" t="str">
        <f>'Population Definitions'!$B$15</f>
        <v>5-14M_oth</v>
      </c>
      <c r="C15" t="s">
        <v>44</v>
      </c>
      <c r="D15" s="3"/>
      <c r="E15" s="3">
        <v>69372.78848010102</v>
      </c>
      <c r="F15" s="3">
        <v>71139.33457964136</v>
      </c>
      <c r="G15" s="3">
        <v>72383.46230467844</v>
      </c>
      <c r="H15" s="3">
        <v>73737.05771110783</v>
      </c>
      <c r="I15" s="3">
        <v>74988.1578135551</v>
      </c>
      <c r="J15" s="3">
        <v>75993.75558811289</v>
      </c>
      <c r="K15" s="3">
        <v>77471.67351319311</v>
      </c>
      <c r="L15" s="3">
        <v>79788.2123188158</v>
      </c>
      <c r="M15" s="3">
        <v>82252.10806841293</v>
      </c>
      <c r="N15" s="3">
        <v>84823.68863753889</v>
      </c>
      <c r="O15" s="3">
        <v>87273.15904362373</v>
      </c>
      <c r="P15" s="3">
        <v>89992.54895988895</v>
      </c>
      <c r="Q15" s="3">
        <v>93432.58525280685</v>
      </c>
      <c r="R15" s="3">
        <v>93859.32882749158</v>
      </c>
      <c r="S15" s="3">
        <v>94767.64793466302</v>
      </c>
      <c r="T15" s="3">
        <v>96245.65490564494</v>
      </c>
      <c r="U15" s="3">
        <v>98264.52934475514</v>
      </c>
      <c r="V15" s="3">
        <v>99333.56403985905</v>
      </c>
      <c r="W15" s="3">
        <v>99898.01201054278</v>
      </c>
      <c r="X15" s="3">
        <v>100561.5404165319</v>
      </c>
      <c r="Y15" s="3">
        <v>101278.7087963322</v>
      </c>
      <c r="Z15" s="3">
        <v>103033.5117361774</v>
      </c>
      <c r="AA15" s="3">
        <v>105114.5199895924</v>
      </c>
      <c r="AB15" s="3">
        <v>107699.581802777</v>
      </c>
      <c r="AC15" s="3">
        <v>109779.8010697007</v>
      </c>
      <c r="AD15" s="3">
        <v>112859.9187133576</v>
      </c>
      <c r="AE15" s="3">
        <v>119659.6554786977</v>
      </c>
      <c r="AF15" s="3">
        <v>127010.3654490785</v>
      </c>
      <c r="AG15" s="3">
        <v>135949.7074204795</v>
      </c>
      <c r="AH15" s="3">
        <v>144769.0703981164</v>
      </c>
      <c r="AI15" s="3">
        <v>148959.8941992855</v>
      </c>
      <c r="AJ15" s="3">
        <v>155289.78185777</v>
      </c>
      <c r="AK15" s="3">
        <v>162220.4500922548</v>
      </c>
      <c r="AL15" s="3">
        <v>168139.7703711291</v>
      </c>
      <c r="AM15" s="3">
        <v>172069.6530706883</v>
      </c>
      <c r="AN15" s="3">
        <v>174240.1151413826</v>
      </c>
      <c r="AO15" s="3">
        <v>170829.6671429592</v>
      </c>
      <c r="AP15" s="3">
        <v>177099.4369627143</v>
      </c>
      <c r="AQ15" s="3">
        <v>180380.3370874706</v>
      </c>
      <c r="AR15" s="3">
        <v>183380.6736174459</v>
      </c>
      <c r="AS15" s="3">
        <v>183730.1108857948</v>
      </c>
      <c r="AT15" s="3">
        <v>175760.1054538909</v>
      </c>
      <c r="AU15" s="3">
        <v>173720.2078549849</v>
      </c>
      <c r="AV15" s="3">
        <v>180370.1404271022</v>
      </c>
      <c r="AW15" s="3">
        <v>187257.3862963577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>
      <c r="A16" s="1" t="str">
        <f>'Population Definitions'!$B$16</f>
        <v>15-29M_oth</v>
      </c>
      <c r="C16" t="s">
        <v>44</v>
      </c>
      <c r="D16" s="3"/>
      <c r="E16" s="3">
        <v>248570.9914277353</v>
      </c>
      <c r="F16" s="3">
        <v>254900.7372111486</v>
      </c>
      <c r="G16" s="3">
        <v>259358.5955277984</v>
      </c>
      <c r="H16" s="3">
        <v>264208.6896286675</v>
      </c>
      <c r="I16" s="3">
        <v>268691.5308068027</v>
      </c>
      <c r="J16" s="3">
        <v>272294.7078056782</v>
      </c>
      <c r="K16" s="3">
        <v>277590.2643478718</v>
      </c>
      <c r="L16" s="3">
        <v>285890.6997233306</v>
      </c>
      <c r="M16" s="3">
        <v>294719.132638747</v>
      </c>
      <c r="N16" s="3">
        <v>303933.4131312674</v>
      </c>
      <c r="O16" s="3">
        <v>312710.1583169976</v>
      </c>
      <c r="P16" s="3">
        <v>322454.0573640789</v>
      </c>
      <c r="Q16" s="3">
        <v>334780.118498601</v>
      </c>
      <c r="R16" s="3">
        <v>336309.1917241241</v>
      </c>
      <c r="S16" s="3">
        <v>339563.8076325955</v>
      </c>
      <c r="T16" s="3">
        <v>344859.6832368963</v>
      </c>
      <c r="U16" s="3">
        <v>352093.5516151536</v>
      </c>
      <c r="V16" s="3">
        <v>355924.0306812912</v>
      </c>
      <c r="W16" s="3">
        <v>357946.5152138609</v>
      </c>
      <c r="X16" s="3">
        <v>360324.0167866064</v>
      </c>
      <c r="Y16" s="3">
        <v>362893.7167956916</v>
      </c>
      <c r="Z16" s="3">
        <v>369181.3854345665</v>
      </c>
      <c r="AA16" s="3">
        <v>376637.8866946973</v>
      </c>
      <c r="AB16" s="3">
        <v>385900.472095738</v>
      </c>
      <c r="AC16" s="3">
        <v>393354.1463229838</v>
      </c>
      <c r="AD16" s="3">
        <v>404390.5759256007</v>
      </c>
      <c r="AE16" s="3">
        <v>429159.0006752824</v>
      </c>
      <c r="AF16" s="3">
        <v>474788.4959701324</v>
      </c>
      <c r="AG16" s="3">
        <v>534437.8962276117</v>
      </c>
      <c r="AH16" s="3">
        <v>595572.0134467561</v>
      </c>
      <c r="AI16" s="3">
        <v>611659.4902323566</v>
      </c>
      <c r="AJ16" s="3">
        <v>578590.7198929972</v>
      </c>
      <c r="AK16" s="3">
        <v>596550.7332227138</v>
      </c>
      <c r="AL16" s="3">
        <v>615541.4973120678</v>
      </c>
      <c r="AM16" s="3">
        <v>629920.5069391072</v>
      </c>
      <c r="AN16" s="3">
        <v>647149.2248277129</v>
      </c>
      <c r="AO16" s="3">
        <v>649698.4581673779</v>
      </c>
      <c r="AP16" s="3">
        <v>680530.5319175544</v>
      </c>
      <c r="AQ16" s="3">
        <v>709160</v>
      </c>
      <c r="AR16" s="3">
        <v>736409.4365495633</v>
      </c>
      <c r="AS16" s="3">
        <v>708949.1792596994</v>
      </c>
      <c r="AT16" s="3">
        <v>628560</v>
      </c>
      <c r="AU16" s="3">
        <v>655195.5088236443</v>
      </c>
      <c r="AV16" s="3">
        <v>759641.7724914519</v>
      </c>
      <c r="AW16" s="3">
        <v>819366.6322484837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>
      <c r="A17" s="1" t="str">
        <f>'Population Definitions'!$B$17</f>
        <v>30-49M_oth</v>
      </c>
      <c r="C17" t="s">
        <v>44</v>
      </c>
      <c r="D17" s="3"/>
      <c r="E17" s="3">
        <v>513995.2912317863</v>
      </c>
      <c r="F17" s="3">
        <v>527083.9445323246</v>
      </c>
      <c r="G17" s="3">
        <v>536301.9074594368</v>
      </c>
      <c r="H17" s="3">
        <v>546330.9358491093</v>
      </c>
      <c r="I17" s="3">
        <v>555600.5583568157</v>
      </c>
      <c r="J17" s="3">
        <v>563051.2105840089</v>
      </c>
      <c r="K17" s="3">
        <v>574001.3665595928</v>
      </c>
      <c r="L17" s="3">
        <v>591165.0133457863</v>
      </c>
      <c r="M17" s="3">
        <v>609420.4538596442</v>
      </c>
      <c r="N17" s="3">
        <v>628473.7502963737</v>
      </c>
      <c r="O17" s="3">
        <v>646622.3108822057</v>
      </c>
      <c r="P17" s="3">
        <v>666770.7529818693</v>
      </c>
      <c r="Q17" s="3">
        <v>692258.5918732443</v>
      </c>
      <c r="R17" s="3">
        <v>695420.4106894836</v>
      </c>
      <c r="S17" s="3">
        <v>702150.3080202778</v>
      </c>
      <c r="T17" s="3">
        <v>713101.1237527372</v>
      </c>
      <c r="U17" s="3">
        <v>728059.3224647365</v>
      </c>
      <c r="V17" s="3">
        <v>735979.9900850734</v>
      </c>
      <c r="W17" s="3">
        <v>740162.0851894096</v>
      </c>
      <c r="X17" s="3">
        <v>745078.2848081517</v>
      </c>
      <c r="Y17" s="3">
        <v>750391.9125044552</v>
      </c>
      <c r="Z17" s="3">
        <v>763393.5586524813</v>
      </c>
      <c r="AA17" s="3">
        <v>778812.117812412</v>
      </c>
      <c r="AB17" s="3">
        <v>797965.299176905</v>
      </c>
      <c r="AC17" s="3">
        <v>813378.0125960161</v>
      </c>
      <c r="AD17" s="3">
        <v>836199.1503932048</v>
      </c>
      <c r="AE17" s="3">
        <v>848779.1421930111</v>
      </c>
      <c r="AF17" s="3">
        <v>869881.7436832874</v>
      </c>
      <c r="AG17" s="3">
        <v>898467.9197955943</v>
      </c>
      <c r="AH17" s="3">
        <v>928968.4798247078</v>
      </c>
      <c r="AI17" s="3">
        <v>949598.1485128246</v>
      </c>
      <c r="AJ17" s="3">
        <v>988540</v>
      </c>
      <c r="AK17" s="3">
        <v>1026731.960599474</v>
      </c>
      <c r="AL17" s="3">
        <v>1061867.998561251</v>
      </c>
      <c r="AM17" s="3">
        <v>1084580</v>
      </c>
      <c r="AN17" s="3">
        <v>1108777.951205992</v>
      </c>
      <c r="AO17" s="3">
        <v>1150058.950432582</v>
      </c>
      <c r="AP17" s="3">
        <v>1192829.28685577</v>
      </c>
      <c r="AQ17" s="3">
        <v>1231616.737392052</v>
      </c>
      <c r="AR17" s="3">
        <v>1268292.576867482</v>
      </c>
      <c r="AS17" s="3">
        <v>1299298.51236121</v>
      </c>
      <c r="AT17" s="3">
        <v>1323298.488494948</v>
      </c>
      <c r="AU17" s="3">
        <v>1352863.917145744</v>
      </c>
      <c r="AV17" s="3">
        <v>1427201.385128431</v>
      </c>
      <c r="AW17" s="3">
        <v>1492140.276400898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>
      <c r="A18" s="1" t="str">
        <f>'Population Definitions'!$B$18</f>
        <v>50-64M_oth</v>
      </c>
      <c r="C18" t="s">
        <v>44</v>
      </c>
      <c r="D18" s="3"/>
      <c r="E18" s="3">
        <v>377812.487635267</v>
      </c>
      <c r="F18" s="3">
        <v>387433.3085797958</v>
      </c>
      <c r="G18" s="3">
        <v>394208.9766916101</v>
      </c>
      <c r="H18" s="3">
        <v>401580.8188643007</v>
      </c>
      <c r="I18" s="3">
        <v>408394.4593758383</v>
      </c>
      <c r="J18" s="3">
        <v>413871.0649021557</v>
      </c>
      <c r="K18" s="3">
        <v>421919.9823527707</v>
      </c>
      <c r="L18" s="3">
        <v>434536.1292315571</v>
      </c>
      <c r="M18" s="3">
        <v>447954.7996183799</v>
      </c>
      <c r="N18" s="3">
        <v>461959.9343875363</v>
      </c>
      <c r="O18" s="3">
        <v>475300.0426315251</v>
      </c>
      <c r="P18" s="3">
        <v>490110.1647503603</v>
      </c>
      <c r="Q18" s="3">
        <v>508845.0130656434</v>
      </c>
      <c r="R18" s="3">
        <v>511169.1095170965</v>
      </c>
      <c r="S18" s="3">
        <v>516115.923807912</v>
      </c>
      <c r="T18" s="3">
        <v>524165.3262131378</v>
      </c>
      <c r="U18" s="3">
        <v>535160.3574173724</v>
      </c>
      <c r="V18" s="3">
        <v>540982.4479859455</v>
      </c>
      <c r="W18" s="3">
        <v>544056.4990168605</v>
      </c>
      <c r="X18" s="3">
        <v>547670.1539264555</v>
      </c>
      <c r="Y18" s="3">
        <v>551575.9385368496</v>
      </c>
      <c r="Z18" s="3">
        <v>561132.8048318059</v>
      </c>
      <c r="AA18" s="3">
        <v>572466.224206144</v>
      </c>
      <c r="AB18" s="3">
        <v>586544.7794398053</v>
      </c>
      <c r="AC18" s="3">
        <v>597873.9018995243</v>
      </c>
      <c r="AD18" s="3">
        <v>614648.5902846265</v>
      </c>
      <c r="AE18" s="3">
        <v>624061.0459339874</v>
      </c>
      <c r="AF18" s="3">
        <v>635379.3079779992</v>
      </c>
      <c r="AG18" s="3">
        <v>646998.6267497267</v>
      </c>
      <c r="AH18" s="3">
        <v>656746.9340515698</v>
      </c>
      <c r="AI18" s="3">
        <v>667089.6613017054</v>
      </c>
      <c r="AJ18" s="3">
        <v>676687.9829400368</v>
      </c>
      <c r="AK18" s="3">
        <v>681518.9962985145</v>
      </c>
      <c r="AL18" s="3">
        <v>687789.0007651518</v>
      </c>
      <c r="AM18" s="3">
        <v>693580.6634621364</v>
      </c>
      <c r="AN18" s="3">
        <v>699538.3410721823</v>
      </c>
      <c r="AO18" s="3">
        <v>714887.3075344142</v>
      </c>
      <c r="AP18" s="3">
        <v>725310</v>
      </c>
      <c r="AQ18" s="3">
        <v>735097.6261170034</v>
      </c>
      <c r="AR18" s="3">
        <v>746680.6795320413</v>
      </c>
      <c r="AS18" s="3">
        <v>764772.7345442844</v>
      </c>
      <c r="AT18" s="3">
        <v>764787.9770047039</v>
      </c>
      <c r="AU18" s="3">
        <v>770958.4070079688</v>
      </c>
      <c r="AV18" s="3">
        <v>784795.8738455025</v>
      </c>
      <c r="AW18" s="3">
        <v>797115.5926800068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>
      <c r="A19" s="1" t="str">
        <f>'Population Definitions'!$B$19</f>
        <v>65+M_oth</v>
      </c>
      <c r="C19" t="s">
        <v>44</v>
      </c>
      <c r="D19" s="3"/>
      <c r="E19" s="3">
        <v>265854.3181977719</v>
      </c>
      <c r="F19" s="3">
        <v>272624.1759351893</v>
      </c>
      <c r="G19" s="3">
        <v>277391.992471576</v>
      </c>
      <c r="H19" s="3">
        <v>282579.3172393434</v>
      </c>
      <c r="I19" s="3">
        <v>287373.8537142422</v>
      </c>
      <c r="J19" s="3">
        <v>291227.5623021987</v>
      </c>
      <c r="K19" s="3">
        <v>296891.3228476923</v>
      </c>
      <c r="L19" s="3">
        <v>305768.8936970197</v>
      </c>
      <c r="M19" s="3">
        <v>315211.1741497858</v>
      </c>
      <c r="N19" s="3">
        <v>325066.1304500031</v>
      </c>
      <c r="O19" s="3">
        <v>334453.1292866161</v>
      </c>
      <c r="P19" s="3">
        <v>344874.5289152322</v>
      </c>
      <c r="Q19" s="3">
        <v>358057.63029066</v>
      </c>
      <c r="R19" s="3">
        <v>359693.0211201007</v>
      </c>
      <c r="S19" s="3">
        <v>363173.9329045872</v>
      </c>
      <c r="T19" s="3">
        <v>368838.0346968146</v>
      </c>
      <c r="U19" s="3">
        <v>376574.8793486698</v>
      </c>
      <c r="V19" s="3">
        <v>380671.6944864689</v>
      </c>
      <c r="W19" s="3">
        <v>382834.8038798196</v>
      </c>
      <c r="X19" s="3">
        <v>385377.6149134238</v>
      </c>
      <c r="Y19" s="3">
        <v>388125.9880842601</v>
      </c>
      <c r="Z19" s="3">
        <v>394850.8430218386</v>
      </c>
      <c r="AA19" s="3">
        <v>402825.8003861987</v>
      </c>
      <c r="AB19" s="3">
        <v>412732.42027132</v>
      </c>
      <c r="AC19" s="3">
        <v>420704.3540370861</v>
      </c>
      <c r="AD19" s="3">
        <v>432508.1548365628</v>
      </c>
      <c r="AE19" s="3">
        <v>446288.8843214866</v>
      </c>
      <c r="AF19" s="3">
        <v>462367.7589485504</v>
      </c>
      <c r="AG19" s="3">
        <v>477748.499422855</v>
      </c>
      <c r="AH19" s="3">
        <v>495481.1282020144</v>
      </c>
      <c r="AI19" s="3">
        <v>514249.6237975054</v>
      </c>
      <c r="AJ19" s="3">
        <v>548510.7727669766</v>
      </c>
      <c r="AK19" s="3">
        <v>574118.8395208128</v>
      </c>
      <c r="AL19" s="3">
        <v>599510</v>
      </c>
      <c r="AM19" s="3">
        <v>622318.8336894186</v>
      </c>
      <c r="AN19" s="3">
        <v>642412.7134038907</v>
      </c>
      <c r="AO19" s="3">
        <v>667728.4433837456</v>
      </c>
      <c r="AP19" s="3">
        <v>685716.9045480194</v>
      </c>
      <c r="AQ19" s="3">
        <v>703299.2310888079</v>
      </c>
      <c r="AR19" s="3">
        <v>722518.4686938691</v>
      </c>
      <c r="AS19" s="3">
        <v>753688.4617080227</v>
      </c>
      <c r="AT19" s="3">
        <v>760660</v>
      </c>
      <c r="AU19" s="3">
        <v>774748.6992996536</v>
      </c>
      <c r="AV19" s="3">
        <v>797668.8308350273</v>
      </c>
      <c r="AW19" s="3">
        <v>821524.4745239039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>
      <c r="A20" s="1" t="str">
        <f>'Population Definitions'!$B$20</f>
        <v>0-4F_oth</v>
      </c>
      <c r="C20" t="s">
        <v>44</v>
      </c>
      <c r="D20" s="3"/>
      <c r="E20" s="3">
        <v>10695.37143438998</v>
      </c>
      <c r="F20" s="3">
        <v>10967.72414075375</v>
      </c>
      <c r="G20" s="3">
        <v>11159.53433640288</v>
      </c>
      <c r="H20" s="3">
        <v>11368.22143059111</v>
      </c>
      <c r="I20" s="3">
        <v>11561.10657461433</v>
      </c>
      <c r="J20" s="3">
        <v>11716.14202796902</v>
      </c>
      <c r="K20" s="3">
        <v>11943.99622706626</v>
      </c>
      <c r="L20" s="3">
        <v>12301.14264587311</v>
      </c>
      <c r="M20" s="3">
        <v>12681.00744293421</v>
      </c>
      <c r="N20" s="3">
        <v>13077.47427038704</v>
      </c>
      <c r="O20" s="3">
        <v>13455.11507717309</v>
      </c>
      <c r="P20" s="3">
        <v>13874.37003097582</v>
      </c>
      <c r="Q20" s="3">
        <v>14404.72878844587</v>
      </c>
      <c r="R20" s="3">
        <v>14470.52088270199</v>
      </c>
      <c r="S20" s="3">
        <v>14610.55864743648</v>
      </c>
      <c r="T20" s="3">
        <v>14838.42657495684</v>
      </c>
      <c r="U20" s="3">
        <v>15149.68135480288</v>
      </c>
      <c r="V20" s="3">
        <v>15314.49703240341</v>
      </c>
      <c r="W20" s="3">
        <v>15401.51934812857</v>
      </c>
      <c r="X20" s="3">
        <v>15503.81713541382</v>
      </c>
      <c r="Y20" s="3">
        <v>15614.38472785194</v>
      </c>
      <c r="Z20" s="3">
        <v>15884.92696273973</v>
      </c>
      <c r="AA20" s="3">
        <v>16205.76106377473</v>
      </c>
      <c r="AB20" s="3">
        <v>16604.30632739488</v>
      </c>
      <c r="AC20" s="3">
        <v>16925.01878846461</v>
      </c>
      <c r="AD20" s="3">
        <v>17399.88801287208</v>
      </c>
      <c r="AE20" s="3">
        <v>23620.0749746064</v>
      </c>
      <c r="AF20" s="3">
        <v>25619.92119711487</v>
      </c>
      <c r="AG20" s="3">
        <v>27720.04119850187</v>
      </c>
      <c r="AH20" s="3">
        <v>29269.78903592228</v>
      </c>
      <c r="AI20" s="3">
        <v>28040</v>
      </c>
      <c r="AJ20" s="3">
        <v>31169.86821967615</v>
      </c>
      <c r="AK20" s="3">
        <v>32869.90963201231</v>
      </c>
      <c r="AL20" s="3">
        <v>33479.77425358038</v>
      </c>
      <c r="AM20" s="3">
        <v>32930.13168137346</v>
      </c>
      <c r="AN20" s="3">
        <v>31929.95773827644</v>
      </c>
      <c r="AO20" s="3">
        <v>33000.12928839147</v>
      </c>
      <c r="AP20" s="3">
        <v>32960.08612265161</v>
      </c>
      <c r="AQ20" s="3">
        <v>31519.95850666105</v>
      </c>
      <c r="AR20" s="3">
        <v>30219.87982184045</v>
      </c>
      <c r="AS20" s="3">
        <v>27189.81762449023</v>
      </c>
      <c r="AT20" s="3">
        <v>21600.05892784068</v>
      </c>
      <c r="AU20" s="3">
        <v>20389.6674730233</v>
      </c>
      <c r="AV20" s="3">
        <v>23814.5558758737</v>
      </c>
      <c r="AW20" s="3">
        <v>27054.12344973113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>
      <c r="A21" s="1" t="str">
        <f>'Population Definitions'!$B$21</f>
        <v>5-14F_oth</v>
      </c>
      <c r="C21" t="s">
        <v>44</v>
      </c>
      <c r="D21" s="3"/>
      <c r="E21" s="3">
        <v>65512.7942431886</v>
      </c>
      <c r="F21" s="3">
        <v>67181.0473677331</v>
      </c>
      <c r="G21" s="3">
        <v>68355.95017109931</v>
      </c>
      <c r="H21" s="3">
        <v>69634.22972844144</v>
      </c>
      <c r="I21" s="3">
        <v>70815.71695686344</v>
      </c>
      <c r="J21" s="3">
        <v>71765.36193350886</v>
      </c>
      <c r="K21" s="3">
        <v>73161.04653917918</v>
      </c>
      <c r="L21" s="3">
        <v>75348.69004399019</v>
      </c>
      <c r="M21" s="3">
        <v>77675.49135638554</v>
      </c>
      <c r="N21" s="3">
        <v>80103.98576169916</v>
      </c>
      <c r="O21" s="3">
        <v>82417.16437588513</v>
      </c>
      <c r="P21" s="3">
        <v>84985.24381963398</v>
      </c>
      <c r="Q21" s="3">
        <v>88233.8719169704</v>
      </c>
      <c r="R21" s="3">
        <v>88636.87091146725</v>
      </c>
      <c r="S21" s="3">
        <v>89494.64993518846</v>
      </c>
      <c r="T21" s="3">
        <v>90890.41863212806</v>
      </c>
      <c r="U21" s="3">
        <v>92796.96021175905</v>
      </c>
      <c r="V21" s="3">
        <v>93806.51239430194</v>
      </c>
      <c r="W21" s="3">
        <v>94339.55372901773</v>
      </c>
      <c r="X21" s="3">
        <v>94966.16253181288</v>
      </c>
      <c r="Y21" s="3">
        <v>95643.42670891964</v>
      </c>
      <c r="Z21" s="3">
        <v>97300.59007879626</v>
      </c>
      <c r="AA21" s="3">
        <v>99265.80826464819</v>
      </c>
      <c r="AB21" s="3">
        <v>101707.0337996671</v>
      </c>
      <c r="AC21" s="3">
        <v>103671.5068992856</v>
      </c>
      <c r="AD21" s="3">
        <v>106580.2426998019</v>
      </c>
      <c r="AE21" s="3">
        <v>113019.4000015168</v>
      </c>
      <c r="AF21" s="3">
        <v>120379.8176336919</v>
      </c>
      <c r="AG21" s="3">
        <v>128750.5835385475</v>
      </c>
      <c r="AH21" s="3">
        <v>137260.5157203403</v>
      </c>
      <c r="AI21" s="3">
        <v>141609.6821942607</v>
      </c>
      <c r="AJ21" s="3">
        <v>146660.1084963936</v>
      </c>
      <c r="AK21" s="3">
        <v>152850</v>
      </c>
      <c r="AL21" s="3">
        <v>158419.2016902909</v>
      </c>
      <c r="AM21" s="3">
        <v>161880.4591200766</v>
      </c>
      <c r="AN21" s="3">
        <v>163709.8858113387</v>
      </c>
      <c r="AO21" s="3">
        <v>161380.4423490715</v>
      </c>
      <c r="AP21" s="3">
        <v>167130.4490719904</v>
      </c>
      <c r="AQ21" s="3">
        <v>170020.6724455021</v>
      </c>
      <c r="AR21" s="3">
        <v>173219.8877970735</v>
      </c>
      <c r="AS21" s="3">
        <v>173339.4463325199</v>
      </c>
      <c r="AT21" s="3">
        <v>165340</v>
      </c>
      <c r="AU21" s="3">
        <v>164168.5447212127</v>
      </c>
      <c r="AV21" s="3">
        <v>170612.1676438175</v>
      </c>
      <c r="AW21" s="3">
        <v>177312.8612971327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>
      <c r="A22" s="1" t="str">
        <f>'Population Definitions'!$B$22</f>
        <v>15-29F_oth</v>
      </c>
      <c r="C22" t="s">
        <v>44</v>
      </c>
      <c r="D22" s="3"/>
      <c r="E22" s="3">
        <v>244077.3231428725</v>
      </c>
      <c r="F22" s="3">
        <v>250292.639733584</v>
      </c>
      <c r="G22" s="3">
        <v>254669.908853478</v>
      </c>
      <c r="H22" s="3">
        <v>259432.3229160832</v>
      </c>
      <c r="I22" s="3">
        <v>263834.1232571016</v>
      </c>
      <c r="J22" s="3">
        <v>267372.1619946233</v>
      </c>
      <c r="K22" s="3">
        <v>272571.9854251305</v>
      </c>
      <c r="L22" s="3">
        <v>280722.3654663645</v>
      </c>
      <c r="M22" s="3">
        <v>289391.1979039892</v>
      </c>
      <c r="N22" s="3">
        <v>298438.9025632667</v>
      </c>
      <c r="O22" s="3">
        <v>307056.9816823779</v>
      </c>
      <c r="P22" s="3">
        <v>316624.7304479349</v>
      </c>
      <c r="Q22" s="3">
        <v>328727.9609549596</v>
      </c>
      <c r="R22" s="3">
        <v>330229.3915830127</v>
      </c>
      <c r="S22" s="3">
        <v>333425.1705201895</v>
      </c>
      <c r="T22" s="3">
        <v>338625.3072447966</v>
      </c>
      <c r="U22" s="3">
        <v>345728.401695165</v>
      </c>
      <c r="V22" s="3">
        <v>349489.6333314378</v>
      </c>
      <c r="W22" s="3">
        <v>351475.5553731535</v>
      </c>
      <c r="X22" s="3">
        <v>353810.0764542765</v>
      </c>
      <c r="Y22" s="3">
        <v>356333.3214069365</v>
      </c>
      <c r="Z22" s="3">
        <v>362507.3215240504</v>
      </c>
      <c r="AA22" s="3">
        <v>369829.0240973505</v>
      </c>
      <c r="AB22" s="3">
        <v>378924.1604086426</v>
      </c>
      <c r="AC22" s="3">
        <v>386243.0870561796</v>
      </c>
      <c r="AD22" s="3">
        <v>397080</v>
      </c>
      <c r="AE22" s="3">
        <v>421847.967448337</v>
      </c>
      <c r="AF22" s="3">
        <v>456729.3552471837</v>
      </c>
      <c r="AG22" s="3">
        <v>504527.9243617581</v>
      </c>
      <c r="AH22" s="3">
        <v>554448.7704845327</v>
      </c>
      <c r="AI22" s="3">
        <v>576627.4848316984</v>
      </c>
      <c r="AJ22" s="3">
        <v>563569.7562561091</v>
      </c>
      <c r="AK22" s="3">
        <v>585239.25194606</v>
      </c>
      <c r="AL22" s="3">
        <v>606950.5105869289</v>
      </c>
      <c r="AM22" s="3">
        <v>627058.6954405119</v>
      </c>
      <c r="AN22" s="3">
        <v>647788.3989570074</v>
      </c>
      <c r="AO22" s="3">
        <v>656030</v>
      </c>
      <c r="AP22" s="3">
        <v>685890.5528071957</v>
      </c>
      <c r="AQ22" s="3">
        <v>709809.432422167</v>
      </c>
      <c r="AR22" s="3">
        <v>725218.2686619424</v>
      </c>
      <c r="AS22" s="3">
        <v>693380.2790957905</v>
      </c>
      <c r="AT22" s="3">
        <v>606979.2432111182</v>
      </c>
      <c r="AU22" s="3">
        <v>626608.552438429</v>
      </c>
      <c r="AV22" s="3">
        <v>723520.542670669</v>
      </c>
      <c r="AW22" s="3">
        <v>781503.3290430065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>
      <c r="A23" s="1" t="str">
        <f>'Population Definitions'!$B$23</f>
        <v>30-49F_oth</v>
      </c>
      <c r="C23" t="s">
        <v>44</v>
      </c>
      <c r="D23" s="3"/>
      <c r="E23" s="3">
        <v>537597.2102416777</v>
      </c>
      <c r="F23" s="3">
        <v>551286.8755367179</v>
      </c>
      <c r="G23" s="3">
        <v>560928.1139648965</v>
      </c>
      <c r="H23" s="3">
        <v>571417.6608064671</v>
      </c>
      <c r="I23" s="3">
        <v>581112.9309483276</v>
      </c>
      <c r="J23" s="3">
        <v>588905.7063300262</v>
      </c>
      <c r="K23" s="3">
        <v>600358.6776015672</v>
      </c>
      <c r="L23" s="3">
        <v>618310.454178583</v>
      </c>
      <c r="M23" s="3">
        <v>637404.1580692618</v>
      </c>
      <c r="N23" s="3">
        <v>657332.3542707217</v>
      </c>
      <c r="O23" s="3">
        <v>676314.2704619452</v>
      </c>
      <c r="P23" s="3">
        <v>697387.8998283484</v>
      </c>
      <c r="Q23" s="3">
        <v>724046.1033505156</v>
      </c>
      <c r="R23" s="3">
        <v>727353.1083054177</v>
      </c>
      <c r="S23" s="3">
        <v>734392.0327702262</v>
      </c>
      <c r="T23" s="3">
        <v>745845.6940937229</v>
      </c>
      <c r="U23" s="3">
        <v>761490.7516166043</v>
      </c>
      <c r="V23" s="3">
        <v>769775.1248172617</v>
      </c>
      <c r="W23" s="3">
        <v>774149.255669061</v>
      </c>
      <c r="X23" s="3">
        <v>779291.2000508726</v>
      </c>
      <c r="Y23" s="3">
        <v>784848.8218317062</v>
      </c>
      <c r="Z23" s="3">
        <v>798447.4847318617</v>
      </c>
      <c r="AA23" s="3">
        <v>814574.0417873953</v>
      </c>
      <c r="AB23" s="3">
        <v>834606.7094877711</v>
      </c>
      <c r="AC23" s="3">
        <v>850727.1523745371</v>
      </c>
      <c r="AD23" s="3">
        <v>874596.2037522412</v>
      </c>
      <c r="AE23" s="3">
        <v>887517.3451655682</v>
      </c>
      <c r="AF23" s="3">
        <v>908131.496790931</v>
      </c>
      <c r="AG23" s="3">
        <v>935098.7783417272</v>
      </c>
      <c r="AH23" s="3">
        <v>964268.4405454622</v>
      </c>
      <c r="AI23" s="3">
        <v>985798.4168178971</v>
      </c>
      <c r="AJ23" s="3">
        <v>1020057.398511245</v>
      </c>
      <c r="AK23" s="3">
        <v>1054380.332314268</v>
      </c>
      <c r="AL23" s="3">
        <v>1089566.9479072</v>
      </c>
      <c r="AM23" s="3">
        <v>1120967.586368012</v>
      </c>
      <c r="AN23" s="3">
        <v>1154591.751942995</v>
      </c>
      <c r="AO23" s="3">
        <v>1197992.148212349</v>
      </c>
      <c r="AP23" s="3">
        <v>1247059.63372397</v>
      </c>
      <c r="AQ23" s="3">
        <v>1293359.252157472</v>
      </c>
      <c r="AR23" s="3">
        <v>1339488.47328949</v>
      </c>
      <c r="AS23" s="3">
        <v>1379421.937474718</v>
      </c>
      <c r="AT23" s="3">
        <v>1402090</v>
      </c>
      <c r="AU23" s="3">
        <v>1438358.569534568</v>
      </c>
      <c r="AV23" s="3">
        <v>1513684.081370994</v>
      </c>
      <c r="AW23" s="3">
        <v>1579986.490704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>
      <c r="A24" s="1" t="str">
        <f>'Population Definitions'!$B$24</f>
        <v>50-64F_oth</v>
      </c>
      <c r="C24" t="s">
        <v>44</v>
      </c>
      <c r="D24" s="3"/>
      <c r="E24" s="3">
        <v>367152.8990837326</v>
      </c>
      <c r="F24" s="3">
        <v>376502.2785165248</v>
      </c>
      <c r="G24" s="3">
        <v>383086.7781609183</v>
      </c>
      <c r="H24" s="3">
        <v>390250.6314317079</v>
      </c>
      <c r="I24" s="3">
        <v>396872.0321238429</v>
      </c>
      <c r="J24" s="3">
        <v>402194.120889915</v>
      </c>
      <c r="K24" s="3">
        <v>410015.9464599894</v>
      </c>
      <c r="L24" s="3">
        <v>422276.1418039938</v>
      </c>
      <c r="M24" s="3">
        <v>435316.2182853386</v>
      </c>
      <c r="N24" s="3">
        <v>448926.2126630738</v>
      </c>
      <c r="O24" s="3">
        <v>461889.9435511846</v>
      </c>
      <c r="P24" s="3">
        <v>476282.2133931592</v>
      </c>
      <c r="Q24" s="3">
        <v>494488.4773414558</v>
      </c>
      <c r="R24" s="3">
        <v>496747.0018154402</v>
      </c>
      <c r="S24" s="3">
        <v>501554.2468577351</v>
      </c>
      <c r="T24" s="3">
        <v>509376.5436999276</v>
      </c>
      <c r="U24" s="3">
        <v>520061.3614713506</v>
      </c>
      <c r="V24" s="3">
        <v>525719.1877765607</v>
      </c>
      <c r="W24" s="3">
        <v>528706.5076372566</v>
      </c>
      <c r="X24" s="3">
        <v>532218.2070113303</v>
      </c>
      <c r="Y24" s="3">
        <v>536013.7939488568</v>
      </c>
      <c r="Z24" s="3">
        <v>545301.0231463632</v>
      </c>
      <c r="AA24" s="3">
        <v>556314.6818156792</v>
      </c>
      <c r="AB24" s="3">
        <v>569996.0251754551</v>
      </c>
      <c r="AC24" s="3">
        <v>581005.5081631534</v>
      </c>
      <c r="AD24" s="3">
        <v>597306.9160662246</v>
      </c>
      <c r="AE24" s="3">
        <v>614069.6578425363</v>
      </c>
      <c r="AF24" s="3">
        <v>631287.2643746649</v>
      </c>
      <c r="AG24" s="3">
        <v>648459.6586064387</v>
      </c>
      <c r="AH24" s="3">
        <v>663507.6144012081</v>
      </c>
      <c r="AI24" s="3">
        <v>679846.9311769928</v>
      </c>
      <c r="AJ24" s="3">
        <v>694410.6797411853</v>
      </c>
      <c r="AK24" s="3">
        <v>704217.9645055929</v>
      </c>
      <c r="AL24" s="3">
        <v>716551.6942920648</v>
      </c>
      <c r="AM24" s="3">
        <v>729791.3568337633</v>
      </c>
      <c r="AN24" s="3">
        <v>742179.6594442304</v>
      </c>
      <c r="AO24" s="3">
        <v>761546.5465404185</v>
      </c>
      <c r="AP24" s="3">
        <v>776058.2620282533</v>
      </c>
      <c r="AQ24" s="3">
        <v>788403.8416797714</v>
      </c>
      <c r="AR24" s="3">
        <v>804129.297963638</v>
      </c>
      <c r="AS24" s="3">
        <v>832102.847743597</v>
      </c>
      <c r="AT24" s="3">
        <v>819037.9174566581</v>
      </c>
      <c r="AU24" s="3">
        <v>825459.4772452104</v>
      </c>
      <c r="AV24" s="3">
        <v>842000.3267874855</v>
      </c>
      <c r="AW24" s="3">
        <v>856702.3558691443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>
      <c r="A25" s="1" t="str">
        <f>'Population Definitions'!$B$25</f>
        <v>65+F_oth</v>
      </c>
      <c r="C25" t="s">
        <v>44</v>
      </c>
      <c r="D25" s="3"/>
      <c r="E25" s="3">
        <v>286183.7307271489</v>
      </c>
      <c r="F25" s="3">
        <v>293471.2675891415</v>
      </c>
      <c r="G25" s="3">
        <v>298603.670677628</v>
      </c>
      <c r="H25" s="3">
        <v>304187.6610547513</v>
      </c>
      <c r="I25" s="3">
        <v>309348.8273084933</v>
      </c>
      <c r="J25" s="3">
        <v>313497.2222200863</v>
      </c>
      <c r="K25" s="3">
        <v>319594.0805816225</v>
      </c>
      <c r="L25" s="3">
        <v>329150.503673329</v>
      </c>
      <c r="M25" s="3">
        <v>339314.8187194905</v>
      </c>
      <c r="N25" s="3">
        <v>349923.3662099668</v>
      </c>
      <c r="O25" s="3">
        <v>360028.1723519338</v>
      </c>
      <c r="P25" s="3">
        <v>371246.478096726</v>
      </c>
      <c r="Q25" s="3">
        <v>385437.6680677969</v>
      </c>
      <c r="R25" s="3">
        <v>387198.1143601086</v>
      </c>
      <c r="S25" s="3">
        <v>390945.2053517824</v>
      </c>
      <c r="T25" s="3">
        <v>397042.4310545904</v>
      </c>
      <c r="U25" s="3">
        <v>405370.8986210912</v>
      </c>
      <c r="V25" s="3">
        <v>409780.9900131844</v>
      </c>
      <c r="W25" s="3">
        <v>412109.5085806336</v>
      </c>
      <c r="X25" s="3">
        <v>414846.7639055204</v>
      </c>
      <c r="Y25" s="3">
        <v>417805.3003430411</v>
      </c>
      <c r="Z25" s="3">
        <v>425044.3931201741</v>
      </c>
      <c r="AA25" s="3">
        <v>433629.1814598718</v>
      </c>
      <c r="AB25" s="3">
        <v>444293.3431588017</v>
      </c>
      <c r="AC25" s="3">
        <v>452874.8766906342</v>
      </c>
      <c r="AD25" s="3">
        <v>465581.2933945426</v>
      </c>
      <c r="AE25" s="3">
        <v>478779.0189068455</v>
      </c>
      <c r="AF25" s="3">
        <v>494928.6790506502</v>
      </c>
      <c r="AG25" s="3">
        <v>510493.6662357588</v>
      </c>
      <c r="AH25" s="3">
        <v>528941.0087665207</v>
      </c>
      <c r="AI25" s="3">
        <v>548322.0311658805</v>
      </c>
      <c r="AJ25" s="3">
        <v>581816.1637935168</v>
      </c>
      <c r="AK25" s="3">
        <v>608722.1115704152</v>
      </c>
      <c r="AL25" s="3">
        <v>635339.2886724325</v>
      </c>
      <c r="AM25" s="3">
        <v>660290.3585784805</v>
      </c>
      <c r="AN25" s="3">
        <v>683678.9188095012</v>
      </c>
      <c r="AO25" s="3">
        <v>714658.1735423557</v>
      </c>
      <c r="AP25" s="3">
        <v>737679.6341000064</v>
      </c>
      <c r="AQ25" s="3">
        <v>761388.1686878551</v>
      </c>
      <c r="AR25" s="3">
        <v>788860.3676246487</v>
      </c>
      <c r="AS25" s="3">
        <v>828728.1401929982</v>
      </c>
      <c r="AT25" s="3">
        <v>835629.6359085186</v>
      </c>
      <c r="AU25" s="3">
        <v>857933.8258364124</v>
      </c>
      <c r="AV25" s="3">
        <v>890348.927899751</v>
      </c>
      <c r="AW25" s="3">
        <v>922455.2405701221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 spans="1:96">
      <c r="A26" s="1" t="str">
        <f>'Population Definitions'!$B$26</f>
        <v>0-4M_fns</v>
      </c>
      <c r="C26" t="s">
        <v>44</v>
      </c>
      <c r="D26" s="3"/>
      <c r="E26" s="3">
        <v>27483.29511268177</v>
      </c>
      <c r="F26" s="3">
        <v>28134.12643475001</v>
      </c>
      <c r="G26" s="3">
        <v>28800.37007939631</v>
      </c>
      <c r="H26" s="3">
        <v>29482.39102550109</v>
      </c>
      <c r="I26" s="3">
        <v>30180.56289500175</v>
      </c>
      <c r="J26" s="3">
        <v>30895.26815756881</v>
      </c>
      <c r="K26" s="3">
        <v>31626.89834012886</v>
      </c>
      <c r="L26" s="3">
        <v>32375.85424134923</v>
      </c>
      <c r="M26" s="3">
        <v>33142.54615120187</v>
      </c>
      <c r="N26" s="3">
        <v>33927.39407572678</v>
      </c>
      <c r="O26" s="3">
        <v>34730.827967118</v>
      </c>
      <c r="P26" s="3">
        <v>35553.28795925822</v>
      </c>
      <c r="Q26" s="3">
        <v>36395.2246088312</v>
      </c>
      <c r="R26" s="3">
        <v>37257.09914214383</v>
      </c>
      <c r="S26" s="3">
        <v>38139.38370779331</v>
      </c>
      <c r="T26" s="3">
        <v>39042.56163531761</v>
      </c>
      <c r="U26" s="3">
        <v>39967.12769997116</v>
      </c>
      <c r="V26" s="3">
        <v>40913.58839377054</v>
      </c>
      <c r="W26" s="3">
        <v>41882.46220295894</v>
      </c>
      <c r="X26" s="3">
        <v>42874.27989204116</v>
      </c>
      <c r="Y26" s="3">
        <v>43889.58479454482</v>
      </c>
      <c r="Z26" s="3">
        <v>44928.93311066716</v>
      </c>
      <c r="AA26" s="3">
        <v>45992.89421197039</v>
      </c>
      <c r="AB26" s="3">
        <v>47082.05095329246</v>
      </c>
      <c r="AC26" s="3">
        <v>48196.99999204421</v>
      </c>
      <c r="AD26" s="3">
        <v>49338.35211506786</v>
      </c>
      <c r="AE26" s="3">
        <v>50506.73257323571</v>
      </c>
      <c r="AF26" s="3">
        <v>51702.78142397259</v>
      </c>
      <c r="AG26" s="3">
        <v>52927.15388188947</v>
      </c>
      <c r="AH26" s="3">
        <v>54180.52067772044</v>
      </c>
      <c r="AI26" s="3">
        <v>55463.56842575975</v>
      </c>
      <c r="AJ26" s="3">
        <v>56777</v>
      </c>
      <c r="AK26" s="3">
        <v>56794</v>
      </c>
      <c r="AL26" s="3">
        <v>56670</v>
      </c>
      <c r="AM26" s="3">
        <v>56576</v>
      </c>
      <c r="AN26" s="3">
        <v>56399</v>
      </c>
      <c r="AO26" s="3">
        <v>56462</v>
      </c>
      <c r="AP26" s="3">
        <v>56209</v>
      </c>
      <c r="AQ26" s="3">
        <v>55735</v>
      </c>
      <c r="AR26" s="3">
        <v>55483</v>
      </c>
      <c r="AS26" s="3">
        <v>55049</v>
      </c>
      <c r="AT26" s="3">
        <v>54602</v>
      </c>
      <c r="AU26" s="3">
        <v>55603</v>
      </c>
      <c r="AV26" s="3">
        <v>56883</v>
      </c>
      <c r="AW26" s="3">
        <v>58194</v>
      </c>
      <c r="AX26" s="3">
        <v>60002</v>
      </c>
      <c r="AY26" s="3">
        <v>62014</v>
      </c>
      <c r="AZ26" s="3">
        <v>62989</v>
      </c>
      <c r="BA26" s="3">
        <v>63955</v>
      </c>
      <c r="BB26" s="3">
        <v>64927</v>
      </c>
      <c r="BC26" s="3">
        <v>65887</v>
      </c>
      <c r="BD26" s="3">
        <v>66808</v>
      </c>
      <c r="BE26" s="3">
        <v>67533.16050506922</v>
      </c>
      <c r="BF26" s="3">
        <v>68310.79497563033</v>
      </c>
      <c r="BG26" s="3">
        <v>69195.24641624311</v>
      </c>
      <c r="BH26" s="3">
        <v>70156.82227013106</v>
      </c>
      <c r="BI26" s="3">
        <v>71187.07183773437</v>
      </c>
      <c r="BJ26" s="3">
        <v>72260.78761371972</v>
      </c>
      <c r="BK26" s="3">
        <v>73361.77376571347</v>
      </c>
      <c r="BL26" s="3">
        <v>74506.23534769265</v>
      </c>
      <c r="BM26" s="3">
        <v>75670.6247024895</v>
      </c>
      <c r="BN26" s="3">
        <v>76853.42523109405</v>
      </c>
      <c r="BO26" s="3">
        <v>78043.61231139576</v>
      </c>
      <c r="BP26" s="3">
        <v>79231.40638352047</v>
      </c>
      <c r="BQ26" s="3">
        <v>80422.53370235275</v>
      </c>
      <c r="BR26" s="3">
        <v>81620.93477865902</v>
      </c>
      <c r="BS26" s="3">
        <v>82829.48546717786</v>
      </c>
      <c r="BT26" s="3">
        <v>84041.0906168143</v>
      </c>
      <c r="BU26" s="3">
        <v>85263.52796957052</v>
      </c>
      <c r="BV26" s="3">
        <v>86500.09396338454</v>
      </c>
      <c r="BW26" s="3">
        <v>87764.26810850002</v>
      </c>
      <c r="BX26" s="3">
        <v>89064.97658277472</v>
      </c>
      <c r="BY26" s="3">
        <v>90389.82266602192</v>
      </c>
      <c r="BZ26" s="3">
        <v>91733.8706905584</v>
      </c>
      <c r="CA26" s="3">
        <v>93115.09518819502</v>
      </c>
      <c r="CB26" s="3">
        <v>94536.22838987136</v>
      </c>
      <c r="CC26" s="3">
        <v>95992.3666846022</v>
      </c>
      <c r="CD26" s="3">
        <v>97485.98574068362</v>
      </c>
      <c r="CE26" s="3">
        <v>99013.77701947396</v>
      </c>
      <c r="CF26" s="3">
        <v>100564.6051349645</v>
      </c>
      <c r="CG26" s="3">
        <v>102135.229228905</v>
      </c>
      <c r="CH26" s="3">
        <v>103732.3201679983</v>
      </c>
      <c r="CI26" s="3">
        <v>105346.6822199184</v>
      </c>
      <c r="CJ26" s="3">
        <v>106988.552084278</v>
      </c>
      <c r="CK26" s="3">
        <v>108654.4783303365</v>
      </c>
      <c r="CL26" s="3">
        <v>110342.7121876205</v>
      </c>
      <c r="CM26" s="3">
        <v>112052.5068978406</v>
      </c>
      <c r="CN26" s="3">
        <v>113796.034688134</v>
      </c>
      <c r="CO26" s="3">
        <v>115553.3065499344</v>
      </c>
      <c r="CP26" s="3">
        <v>117330.2193402632</v>
      </c>
      <c r="CQ26" s="3">
        <v>119131.9573476041</v>
      </c>
      <c r="CR26" s="3">
        <v>120953.0677503089</v>
      </c>
    </row>
    <row r="27" spans="1:96">
      <c r="A27" s="1" t="str">
        <f>'Population Definitions'!$B$27</f>
        <v>5-14M_fns</v>
      </c>
      <c r="C27" t="s">
        <v>44</v>
      </c>
      <c r="D27" s="3"/>
      <c r="E27" s="3">
        <v>45488.75732988984</v>
      </c>
      <c r="F27" s="3">
        <v>46565.9756165207</v>
      </c>
      <c r="G27" s="3">
        <v>47668.70348629177</v>
      </c>
      <c r="H27" s="3">
        <v>48797.54503109423</v>
      </c>
      <c r="I27" s="3">
        <v>49953.1186483064</v>
      </c>
      <c r="J27" s="3">
        <v>51136.05737956162</v>
      </c>
      <c r="K27" s="3">
        <v>52347.00925753859</v>
      </c>
      <c r="L27" s="3">
        <v>53586.63766096395</v>
      </c>
      <c r="M27" s="3">
        <v>54855.62167802177</v>
      </c>
      <c r="N27" s="3">
        <v>56154.65647836883</v>
      </c>
      <c r="O27" s="3">
        <v>57484.45369395961</v>
      </c>
      <c r="P27" s="3">
        <v>58845.7418088897</v>
      </c>
      <c r="Q27" s="3">
        <v>60239.26655847088</v>
      </c>
      <c r="R27" s="3">
        <v>61665.79133775688</v>
      </c>
      <c r="S27" s="3">
        <v>63126.09761974332</v>
      </c>
      <c r="T27" s="3">
        <v>64620.98538347103</v>
      </c>
      <c r="U27" s="3">
        <v>66151.27355226742</v>
      </c>
      <c r="V27" s="3">
        <v>67717.80044236558</v>
      </c>
      <c r="W27" s="3">
        <v>69321.42422214738</v>
      </c>
      <c r="X27" s="3">
        <v>70963.02338226173</v>
      </c>
      <c r="Y27" s="3">
        <v>72643.49721687572</v>
      </c>
      <c r="Z27" s="3">
        <v>74363.76631632236</v>
      </c>
      <c r="AA27" s="3">
        <v>76124.77307141456</v>
      </c>
      <c r="AB27" s="3">
        <v>77927.48218970188</v>
      </c>
      <c r="AC27" s="3">
        <v>79772.88122395267</v>
      </c>
      <c r="AD27" s="3">
        <v>81661.9811131512</v>
      </c>
      <c r="AE27" s="3">
        <v>83595.81673630611</v>
      </c>
      <c r="AF27" s="3">
        <v>85575.44747937369</v>
      </c>
      <c r="AG27" s="3">
        <v>87601.95781560634</v>
      </c>
      <c r="AH27" s="3">
        <v>89676.45789964423</v>
      </c>
      <c r="AI27" s="3">
        <v>91800.08417567583</v>
      </c>
      <c r="AJ27" s="3">
        <v>93974</v>
      </c>
      <c r="AK27" s="3">
        <v>96734</v>
      </c>
      <c r="AL27" s="3">
        <v>99395</v>
      </c>
      <c r="AM27" s="3">
        <v>101836</v>
      </c>
      <c r="AN27" s="3">
        <v>104106</v>
      </c>
      <c r="AO27" s="3">
        <v>105957</v>
      </c>
      <c r="AP27" s="3">
        <v>107839</v>
      </c>
      <c r="AQ27" s="3">
        <v>109854</v>
      </c>
      <c r="AR27" s="3">
        <v>111546</v>
      </c>
      <c r="AS27" s="3">
        <v>112481</v>
      </c>
      <c r="AT27" s="3">
        <v>113060</v>
      </c>
      <c r="AU27" s="3">
        <v>112825</v>
      </c>
      <c r="AV27" s="3">
        <v>112228</v>
      </c>
      <c r="AW27" s="3">
        <v>111883</v>
      </c>
      <c r="AX27" s="3">
        <v>111275</v>
      </c>
      <c r="AY27" s="3">
        <v>110892</v>
      </c>
      <c r="AZ27" s="3">
        <v>111640</v>
      </c>
      <c r="BA27" s="3">
        <v>112447</v>
      </c>
      <c r="BB27" s="3">
        <v>113506</v>
      </c>
      <c r="BC27" s="3">
        <v>114881</v>
      </c>
      <c r="BD27" s="3">
        <v>116445</v>
      </c>
      <c r="BE27" s="3">
        <v>118416</v>
      </c>
      <c r="BF27" s="3">
        <v>120341.57110801</v>
      </c>
      <c r="BG27" s="3">
        <v>122236.1986497336</v>
      </c>
      <c r="BH27" s="3">
        <v>124123.5539156521</v>
      </c>
      <c r="BI27" s="3">
        <v>126019.3039337566</v>
      </c>
      <c r="BJ27" s="3">
        <v>127935.9937059423</v>
      </c>
      <c r="BK27" s="3">
        <v>129880.0866200498</v>
      </c>
      <c r="BL27" s="3">
        <v>131854.2895332222</v>
      </c>
      <c r="BM27" s="3">
        <v>133864.2009616277</v>
      </c>
      <c r="BN27" s="3">
        <v>135910.316696185</v>
      </c>
      <c r="BO27" s="3">
        <v>137992.7911051863</v>
      </c>
      <c r="BP27" s="3">
        <v>140109.6226749574</v>
      </c>
      <c r="BQ27" s="3">
        <v>142257.0995844881</v>
      </c>
      <c r="BR27" s="3">
        <v>144432.9730104417</v>
      </c>
      <c r="BS27" s="3">
        <v>146635.9720200415</v>
      </c>
      <c r="BT27" s="3">
        <v>148865.5043661924</v>
      </c>
      <c r="BU27" s="3">
        <v>151119.6556952869</v>
      </c>
      <c r="BV27" s="3">
        <v>153398.2032328203</v>
      </c>
      <c r="BW27" s="3">
        <v>155701.5855196177</v>
      </c>
      <c r="BX27" s="3">
        <v>158032.8177523262</v>
      </c>
      <c r="BY27" s="3">
        <v>160396.3638827567</v>
      </c>
      <c r="BZ27" s="3">
        <v>162793.858189855</v>
      </c>
      <c r="CA27" s="3">
        <v>165225.8218538807</v>
      </c>
      <c r="CB27" s="3">
        <v>167696.2179609268</v>
      </c>
      <c r="CC27" s="3">
        <v>170209.1657295997</v>
      </c>
      <c r="CD27" s="3">
        <v>172767.4426591173</v>
      </c>
      <c r="CE27" s="3">
        <v>175374.0445971079</v>
      </c>
      <c r="CF27" s="3">
        <v>178031.0416475973</v>
      </c>
      <c r="CG27" s="3">
        <v>180738.1454665533</v>
      </c>
      <c r="CH27" s="3">
        <v>183494.4654946197</v>
      </c>
      <c r="CI27" s="3">
        <v>186300.4910082189</v>
      </c>
      <c r="CJ27" s="3">
        <v>189154.8789723006</v>
      </c>
      <c r="CK27" s="3">
        <v>192058.4015356645</v>
      </c>
      <c r="CL27" s="3">
        <v>195011.0875074609</v>
      </c>
      <c r="CM27" s="3">
        <v>198012.6233135367</v>
      </c>
      <c r="CN27" s="3">
        <v>201062.5799735021</v>
      </c>
      <c r="CO27" s="3">
        <v>204162.9332393117</v>
      </c>
      <c r="CP27" s="3">
        <v>207311.5897084078</v>
      </c>
      <c r="CQ27" s="3">
        <v>210507.7991579464</v>
      </c>
      <c r="CR27" s="3">
        <v>213751.8892024542</v>
      </c>
    </row>
    <row r="28" spans="1:96">
      <c r="A28" s="1" t="str">
        <f>'Population Definitions'!$B$28</f>
        <v>15-29M_fns</v>
      </c>
      <c r="C28" t="s">
        <v>44</v>
      </c>
      <c r="D28" s="3"/>
      <c r="E28" s="3">
        <v>50294.95767816147</v>
      </c>
      <c r="F28" s="3">
        <v>51485.99149215051</v>
      </c>
      <c r="G28" s="3">
        <v>52705.23015234188</v>
      </c>
      <c r="H28" s="3">
        <v>53953.34157709352</v>
      </c>
      <c r="I28" s="3">
        <v>55231.0095017237</v>
      </c>
      <c r="J28" s="3">
        <v>56538.93385307206</v>
      </c>
      <c r="K28" s="3">
        <v>57877.83113293075</v>
      </c>
      <c r="L28" s="3">
        <v>59248.43481055547</v>
      </c>
      <c r="M28" s="3">
        <v>60651.49572447166</v>
      </c>
      <c r="N28" s="3">
        <v>62087.78249379572</v>
      </c>
      <c r="O28" s="3">
        <v>63558.08193929692</v>
      </c>
      <c r="P28" s="3">
        <v>65063.19951443026</v>
      </c>
      <c r="Q28" s="3">
        <v>66603.95974657674</v>
      </c>
      <c r="R28" s="3">
        <v>68181.20668873259</v>
      </c>
      <c r="S28" s="3">
        <v>69795.80438189491</v>
      </c>
      <c r="T28" s="3">
        <v>71448.63732839715</v>
      </c>
      <c r="U28" s="3">
        <v>73140.61097645354</v>
      </c>
      <c r="V28" s="3">
        <v>74872.65221617803</v>
      </c>
      <c r="W28" s="3">
        <v>76645.70988734951</v>
      </c>
      <c r="X28" s="3">
        <v>78460.75529920129</v>
      </c>
      <c r="Y28" s="3">
        <v>80318.78276251986</v>
      </c>
      <c r="Z28" s="3">
        <v>82220.81013434401</v>
      </c>
      <c r="AA28" s="3">
        <v>84167.87937556334</v>
      </c>
      <c r="AB28" s="3">
        <v>86161.05712172088</v>
      </c>
      <c r="AC28" s="3">
        <v>88201.43526733306</v>
      </c>
      <c r="AD28" s="3">
        <v>90290.13156404697</v>
      </c>
      <c r="AE28" s="3">
        <v>92428.29023296246</v>
      </c>
      <c r="AF28" s="3">
        <v>94617.08259145472</v>
      </c>
      <c r="AG28" s="3">
        <v>96857.70769484054</v>
      </c>
      <c r="AH28" s="3">
        <v>99151.39299323999</v>
      </c>
      <c r="AI28" s="3">
        <v>101499.3950039931</v>
      </c>
      <c r="AJ28" s="3">
        <v>103903</v>
      </c>
      <c r="AK28" s="3">
        <v>106816</v>
      </c>
      <c r="AL28" s="3">
        <v>109773</v>
      </c>
      <c r="AM28" s="3">
        <v>112680</v>
      </c>
      <c r="AN28" s="3">
        <v>115772</v>
      </c>
      <c r="AO28" s="3">
        <v>118837</v>
      </c>
      <c r="AP28" s="3">
        <v>121883</v>
      </c>
      <c r="AQ28" s="3">
        <v>124763</v>
      </c>
      <c r="AR28" s="3">
        <v>127468</v>
      </c>
      <c r="AS28" s="3">
        <v>130440</v>
      </c>
      <c r="AT28" s="3">
        <v>133338</v>
      </c>
      <c r="AU28" s="3">
        <v>136924</v>
      </c>
      <c r="AV28" s="3">
        <v>140434</v>
      </c>
      <c r="AW28" s="3">
        <v>143810</v>
      </c>
      <c r="AX28" s="3">
        <v>146744</v>
      </c>
      <c r="AY28" s="3">
        <v>149403</v>
      </c>
      <c r="AZ28" s="3">
        <v>152157</v>
      </c>
      <c r="BA28" s="3">
        <v>154674</v>
      </c>
      <c r="BB28" s="3">
        <v>157005</v>
      </c>
      <c r="BC28" s="3">
        <v>159081</v>
      </c>
      <c r="BD28" s="3">
        <v>160984</v>
      </c>
      <c r="BE28" s="3">
        <v>162591</v>
      </c>
      <c r="BF28" s="3">
        <v>164290.3293950073</v>
      </c>
      <c r="BG28" s="3">
        <v>166072.3230456431</v>
      </c>
      <c r="BH28" s="3">
        <v>167929.2455254963</v>
      </c>
      <c r="BI28" s="3">
        <v>169856.0453447496</v>
      </c>
      <c r="BJ28" s="3">
        <v>171849.4434209284</v>
      </c>
      <c r="BK28" s="3">
        <v>173907.5352701969</v>
      </c>
      <c r="BL28" s="3">
        <v>176029.1371529314</v>
      </c>
      <c r="BM28" s="3">
        <v>178213.3896730645</v>
      </c>
      <c r="BN28" s="3">
        <v>180460.0116951674</v>
      </c>
      <c r="BO28" s="3">
        <v>182768.7852382665</v>
      </c>
      <c r="BP28" s="3">
        <v>185139.5195849293</v>
      </c>
      <c r="BQ28" s="3">
        <v>187571.8462962595</v>
      </c>
      <c r="BR28" s="3">
        <v>190065.0682071351</v>
      </c>
      <c r="BS28" s="3">
        <v>192618.3166044171</v>
      </c>
      <c r="BT28" s="3">
        <v>195230.6534804688</v>
      </c>
      <c r="BU28" s="3">
        <v>197901.139600865</v>
      </c>
      <c r="BV28" s="3">
        <v>200628.7098417655</v>
      </c>
      <c r="BW28" s="3">
        <v>203412.3401162689</v>
      </c>
      <c r="BX28" s="3">
        <v>206251.1073753565</v>
      </c>
      <c r="BY28" s="3">
        <v>209144.4268158955</v>
      </c>
      <c r="BZ28" s="3">
        <v>212092.1688570442</v>
      </c>
      <c r="CA28" s="3">
        <v>215094.3656533968</v>
      </c>
      <c r="CB28" s="3">
        <v>218151.0966569418</v>
      </c>
      <c r="CC28" s="3">
        <v>221262.8105879971</v>
      </c>
      <c r="CD28" s="3">
        <v>224430.318651788</v>
      </c>
      <c r="CE28" s="3">
        <v>227654.64683544</v>
      </c>
      <c r="CF28" s="3">
        <v>230937.043994762</v>
      </c>
      <c r="CG28" s="3">
        <v>234278.8815305657</v>
      </c>
      <c r="CH28" s="3">
        <v>237681.4237414277</v>
      </c>
      <c r="CI28" s="3">
        <v>241145.7772475273</v>
      </c>
      <c r="CJ28" s="3">
        <v>244673.0303576253</v>
      </c>
      <c r="CK28" s="3">
        <v>248264.0812665253</v>
      </c>
      <c r="CL28" s="3">
        <v>251919.8486881538</v>
      </c>
      <c r="CM28" s="3">
        <v>255641.2005297511</v>
      </c>
      <c r="CN28" s="3">
        <v>259428.9245497482</v>
      </c>
      <c r="CO28" s="3">
        <v>263283.7221392751</v>
      </c>
      <c r="CP28" s="3">
        <v>267206.4402283584</v>
      </c>
      <c r="CQ28" s="3">
        <v>271197.678902501</v>
      </c>
      <c r="CR28" s="3">
        <v>275257.9325062037</v>
      </c>
    </row>
    <row r="29" spans="1:96">
      <c r="A29" s="1" t="str">
        <f>'Population Definitions'!$B$29</f>
        <v>30-49M_fns</v>
      </c>
      <c r="C29" t="s">
        <v>44</v>
      </c>
      <c r="D29" s="3"/>
      <c r="E29" s="3">
        <v>46262.28015762056</v>
      </c>
      <c r="F29" s="3">
        <v>47357.81622174345</v>
      </c>
      <c r="G29" s="3">
        <v>48479.29565190244</v>
      </c>
      <c r="H29" s="3">
        <v>49627.33281239216</v>
      </c>
      <c r="I29" s="3">
        <v>50802.55661625494</v>
      </c>
      <c r="J29" s="3">
        <v>52005.61086980937</v>
      </c>
      <c r="K29" s="3">
        <v>53237.15462533765</v>
      </c>
      <c r="L29" s="3">
        <v>54497.86254212495</v>
      </c>
      <c r="M29" s="3">
        <v>55788.42525604848</v>
      </c>
      <c r="N29" s="3">
        <v>57109.54975791887</v>
      </c>
      <c r="O29" s="3">
        <v>58461.95978078098</v>
      </c>
      <c r="P29" s="3">
        <v>59846.39619638634</v>
      </c>
      <c r="Q29" s="3">
        <v>61263.61742105457</v>
      </c>
      <c r="R29" s="3">
        <v>62714.39983114589</v>
      </c>
      <c r="S29" s="3">
        <v>64199.53818837244</v>
      </c>
      <c r="T29" s="3">
        <v>65719.8460751814</v>
      </c>
      <c r="U29" s="3">
        <v>67276.15634044848</v>
      </c>
      <c r="V29" s="3">
        <v>68869.32155572571</v>
      </c>
      <c r="W29" s="3">
        <v>70500.21448229376</v>
      </c>
      <c r="X29" s="3">
        <v>72169.72854927448</v>
      </c>
      <c r="Y29" s="3">
        <v>73878.77834306563</v>
      </c>
      <c r="Z29" s="3">
        <v>75628.30010836574</v>
      </c>
      <c r="AA29" s="3">
        <v>77419.25226106406</v>
      </c>
      <c r="AB29" s="3">
        <v>79252.61591327592</v>
      </c>
      <c r="AC29" s="3">
        <v>81129.39541081159</v>
      </c>
      <c r="AD29" s="3">
        <v>83050.61888337294</v>
      </c>
      <c r="AE29" s="3">
        <v>85017.33880777928</v>
      </c>
      <c r="AF29" s="3">
        <v>87030.63258453087</v>
      </c>
      <c r="AG29" s="3">
        <v>89091.60312802615</v>
      </c>
      <c r="AH29" s="3">
        <v>91201.37947075572</v>
      </c>
      <c r="AI29" s="3">
        <v>93361.11738180445</v>
      </c>
      <c r="AJ29" s="3">
        <v>95572</v>
      </c>
      <c r="AK29" s="3">
        <v>96524</v>
      </c>
      <c r="AL29" s="3">
        <v>97789</v>
      </c>
      <c r="AM29" s="3">
        <v>99133</v>
      </c>
      <c r="AN29" s="3">
        <v>100402</v>
      </c>
      <c r="AO29" s="3">
        <v>101863</v>
      </c>
      <c r="AP29" s="3">
        <v>103312</v>
      </c>
      <c r="AQ29" s="3">
        <v>104810</v>
      </c>
      <c r="AR29" s="3">
        <v>106662</v>
      </c>
      <c r="AS29" s="3">
        <v>108455</v>
      </c>
      <c r="AT29" s="3">
        <v>110255</v>
      </c>
      <c r="AU29" s="3">
        <v>112094</v>
      </c>
      <c r="AV29" s="3">
        <v>114493</v>
      </c>
      <c r="AW29" s="3">
        <v>117182</v>
      </c>
      <c r="AX29" s="3">
        <v>120399</v>
      </c>
      <c r="AY29" s="3">
        <v>123582</v>
      </c>
      <c r="AZ29" s="3">
        <v>126928</v>
      </c>
      <c r="BA29" s="3">
        <v>130778</v>
      </c>
      <c r="BB29" s="3">
        <v>134598</v>
      </c>
      <c r="BC29" s="3">
        <v>138498</v>
      </c>
      <c r="BD29" s="3">
        <v>142180</v>
      </c>
      <c r="BE29" s="3">
        <v>145839</v>
      </c>
      <c r="BF29" s="3">
        <v>149447.5237000472</v>
      </c>
      <c r="BG29" s="3">
        <v>153012.7980246018</v>
      </c>
      <c r="BH29" s="3">
        <v>156541.2178994447</v>
      </c>
      <c r="BI29" s="3">
        <v>160038.4886352775</v>
      </c>
      <c r="BJ29" s="3">
        <v>163509.8057988582</v>
      </c>
      <c r="BK29" s="3">
        <v>166959.9761063772</v>
      </c>
      <c r="BL29" s="3">
        <v>170393.5109310103</v>
      </c>
      <c r="BM29" s="3">
        <v>173814.6788844439</v>
      </c>
      <c r="BN29" s="3">
        <v>177227.5337464695</v>
      </c>
      <c r="BO29" s="3">
        <v>180635.9557922485</v>
      </c>
      <c r="BP29" s="3">
        <v>184043.6621342445</v>
      </c>
      <c r="BQ29" s="3">
        <v>187454.2146153217</v>
      </c>
      <c r="BR29" s="3">
        <v>190871.0157035622</v>
      </c>
      <c r="BS29" s="3">
        <v>194297.2959337326</v>
      </c>
      <c r="BT29" s="3">
        <v>197736.1108015177</v>
      </c>
      <c r="BU29" s="3">
        <v>201190.3436106052</v>
      </c>
      <c r="BV29" s="3">
        <v>204662.7120915331</v>
      </c>
      <c r="BW29" s="3">
        <v>208155.7676530798</v>
      </c>
      <c r="BX29" s="3">
        <v>211671.9041836666</v>
      </c>
      <c r="BY29" s="3">
        <v>215213.3699331253</v>
      </c>
      <c r="BZ29" s="3">
        <v>218782.292462485</v>
      </c>
      <c r="CA29" s="3">
        <v>222380.709296532</v>
      </c>
      <c r="CB29" s="3">
        <v>226010.5806461385</v>
      </c>
      <c r="CC29" s="3">
        <v>229673.7951092197</v>
      </c>
      <c r="CD29" s="3">
        <v>233372.1935144042</v>
      </c>
      <c r="CE29" s="3">
        <v>237107.5914515893</v>
      </c>
      <c r="CF29" s="3">
        <v>240881.7925027987</v>
      </c>
      <c r="CG29" s="3">
        <v>244696.6014203297</v>
      </c>
      <c r="CH29" s="3">
        <v>248553.8310708591</v>
      </c>
      <c r="CI29" s="3">
        <v>252455.2960114789</v>
      </c>
      <c r="CJ29" s="3">
        <v>256402.8034305719</v>
      </c>
      <c r="CK29" s="3">
        <v>260398.1523896274</v>
      </c>
      <c r="CL29" s="3">
        <v>264443.1232954538</v>
      </c>
      <c r="CM29" s="3">
        <v>268539.4797951659</v>
      </c>
      <c r="CN29" s="3">
        <v>272688.9665293701</v>
      </c>
      <c r="CO29" s="3">
        <v>276893.3052990488</v>
      </c>
      <c r="CP29" s="3">
        <v>281154.1910266611</v>
      </c>
      <c r="CQ29" s="3">
        <v>285473.3011013043</v>
      </c>
      <c r="CR29" s="3">
        <v>289852.2819805959</v>
      </c>
    </row>
    <row r="30" spans="1:96">
      <c r="A30" s="1" t="str">
        <f>'Population Definitions'!$B$30</f>
        <v>50-64M_fns</v>
      </c>
      <c r="C30" t="s">
        <v>44</v>
      </c>
      <c r="D30" s="3"/>
      <c r="E30" s="3">
        <v>19531.20937178078</v>
      </c>
      <c r="F30" s="3">
        <v>19993.72752198475</v>
      </c>
      <c r="G30" s="3">
        <v>20467.19855458305</v>
      </c>
      <c r="H30" s="3">
        <v>20951.88184454873</v>
      </c>
      <c r="I30" s="3">
        <v>21448.04290910801</v>
      </c>
      <c r="J30" s="3">
        <v>21955.95355319485</v>
      </c>
      <c r="K30" s="3">
        <v>22475.89201835003</v>
      </c>
      <c r="L30" s="3">
        <v>23008.14313514627</v>
      </c>
      <c r="M30" s="3">
        <v>23552.998479223</v>
      </c>
      <c r="N30" s="3">
        <v>24110.75653101608</v>
      </c>
      <c r="O30" s="3">
        <v>24681.7228392702</v>
      </c>
      <c r="P30" s="3">
        <v>25266.21018842331</v>
      </c>
      <c r="Q30" s="3">
        <v>25864.53876995491</v>
      </c>
      <c r="R30" s="3">
        <v>26477.03635779209</v>
      </c>
      <c r="S30" s="3">
        <v>27104.03848786924</v>
      </c>
      <c r="T30" s="3">
        <v>27745.88864194005</v>
      </c>
      <c r="U30" s="3">
        <v>28402.93843574222</v>
      </c>
      <c r="V30" s="3">
        <v>29075.54781161822</v>
      </c>
      <c r="W30" s="3">
        <v>29764.08523569738</v>
      </c>
      <c r="X30" s="3">
        <v>30468.92789974758</v>
      </c>
      <c r="Y30" s="3">
        <v>31190.46192780683</v>
      </c>
      <c r="Z30" s="3">
        <v>31929.08258770821</v>
      </c>
      <c r="AA30" s="3">
        <v>32685.19450761388</v>
      </c>
      <c r="AB30" s="3">
        <v>33459.21189767683</v>
      </c>
      <c r="AC30" s="3">
        <v>34251.55877695179</v>
      </c>
      <c r="AD30" s="3">
        <v>35062.66920567964</v>
      </c>
      <c r="AE30" s="3">
        <v>35892.98752307251</v>
      </c>
      <c r="AF30" s="3">
        <v>36742.96859072988</v>
      </c>
      <c r="AG30" s="3">
        <v>37613.07804181901</v>
      </c>
      <c r="AH30" s="3">
        <v>38503.79253615622</v>
      </c>
      <c r="AI30" s="3">
        <v>39415.60002132871</v>
      </c>
      <c r="AJ30" s="3">
        <v>40349</v>
      </c>
      <c r="AK30" s="3">
        <v>42260</v>
      </c>
      <c r="AL30" s="3">
        <v>44044</v>
      </c>
      <c r="AM30" s="3">
        <v>45944</v>
      </c>
      <c r="AN30" s="3">
        <v>47611</v>
      </c>
      <c r="AO30" s="3">
        <v>49129</v>
      </c>
      <c r="AP30" s="3">
        <v>50705</v>
      </c>
      <c r="AQ30" s="3">
        <v>52290</v>
      </c>
      <c r="AR30" s="3">
        <v>53845</v>
      </c>
      <c r="AS30" s="3">
        <v>55526</v>
      </c>
      <c r="AT30" s="3">
        <v>57503</v>
      </c>
      <c r="AU30" s="3">
        <v>59193</v>
      </c>
      <c r="AV30" s="3">
        <v>60665</v>
      </c>
      <c r="AW30" s="3">
        <v>61721</v>
      </c>
      <c r="AX30" s="3">
        <v>62499</v>
      </c>
      <c r="AY30" s="3">
        <v>63086</v>
      </c>
      <c r="AZ30" s="3">
        <v>63495</v>
      </c>
      <c r="BA30" s="3">
        <v>63752</v>
      </c>
      <c r="BB30" s="3">
        <v>64072</v>
      </c>
      <c r="BC30" s="3">
        <v>64418</v>
      </c>
      <c r="BD30" s="3">
        <v>65134</v>
      </c>
      <c r="BE30" s="3">
        <v>65828.91681824088</v>
      </c>
      <c r="BF30" s="3">
        <v>66606.65280930855</v>
      </c>
      <c r="BG30" s="3">
        <v>67459.95075747116</v>
      </c>
      <c r="BH30" s="3">
        <v>68382.28807666221</v>
      </c>
      <c r="BI30" s="3">
        <v>69367.79891026046</v>
      </c>
      <c r="BJ30" s="3">
        <v>70411.20639789347</v>
      </c>
      <c r="BK30" s="3">
        <v>71507.76575611782</v>
      </c>
      <c r="BL30" s="3">
        <v>72653.21538126728</v>
      </c>
      <c r="BM30" s="3">
        <v>73843.73447959014</v>
      </c>
      <c r="BN30" s="3">
        <v>75075.90535207576</v>
      </c>
      <c r="BO30" s="3">
        <v>76346.67915816419</v>
      </c>
      <c r="BP30" s="3">
        <v>77653.34539975494</v>
      </c>
      <c r="BQ30" s="3">
        <v>78993.50378859216</v>
      </c>
      <c r="BR30" s="3">
        <v>80365.03825310853</v>
      </c>
      <c r="BS30" s="3">
        <v>81766.09252079256</v>
      </c>
      <c r="BT30" s="3">
        <v>83195.04687424947</v>
      </c>
      <c r="BU30" s="3">
        <v>84650.49633604397</v>
      </c>
      <c r="BV30" s="3">
        <v>86131.23039733063</v>
      </c>
      <c r="BW30" s="3">
        <v>87636.21432088807</v>
      </c>
      <c r="BX30" s="3">
        <v>89164.57165502683</v>
      </c>
      <c r="BY30" s="3">
        <v>90715.56821442225</v>
      </c>
      <c r="BZ30" s="3">
        <v>92288.59753923694</v>
      </c>
      <c r="CA30" s="3">
        <v>93883.16819472896</v>
      </c>
      <c r="CB30" s="3">
        <v>95498.89299030452</v>
      </c>
      <c r="CC30" s="3">
        <v>97135.479359823</v>
      </c>
      <c r="CD30" s="3">
        <v>98792.72057914612</v>
      </c>
      <c r="CE30" s="3">
        <v>100470.4884041857</v>
      </c>
      <c r="CF30" s="3">
        <v>102168.7269892282</v>
      </c>
      <c r="CG30" s="3">
        <v>103887.4476734497</v>
      </c>
      <c r="CH30" s="3">
        <v>105626.7245763158</v>
      </c>
      <c r="CI30" s="3">
        <v>107386.690728891</v>
      </c>
      <c r="CJ30" s="3">
        <v>109167.5342350134</v>
      </c>
      <c r="CK30" s="3">
        <v>110969.494367596</v>
      </c>
      <c r="CL30" s="3">
        <v>112792.8578965571</v>
      </c>
      <c r="CM30" s="3">
        <v>114637.955289142</v>
      </c>
      <c r="CN30" s="3">
        <v>116505.1572283877</v>
      </c>
      <c r="CO30" s="3">
        <v>118394.8712828762</v>
      </c>
      <c r="CP30" s="3">
        <v>120307.5386619268</v>
      </c>
      <c r="CQ30" s="3">
        <v>122243.6310433287</v>
      </c>
      <c r="CR30" s="3">
        <v>124203.6479399576</v>
      </c>
    </row>
    <row r="31" spans="1:96">
      <c r="A31" s="1" t="str">
        <f>'Population Definitions'!$B$31</f>
        <v>65+M_fns</v>
      </c>
      <c r="C31" t="s">
        <v>44</v>
      </c>
      <c r="D31" s="3"/>
      <c r="E31" s="3">
        <v>5988.751204433111</v>
      </c>
      <c r="F31" s="3">
        <v>6130.570693251262</v>
      </c>
      <c r="G31" s="3">
        <v>6275.748606342198</v>
      </c>
      <c r="H31" s="3">
        <v>6424.364474479089</v>
      </c>
      <c r="I31" s="3">
        <v>6576.499711801635</v>
      </c>
      <c r="J31" s="3">
        <v>6732.237660416035</v>
      </c>
      <c r="K31" s="3">
        <v>6891.663636051116</v>
      </c>
      <c r="L31" s="3">
        <v>7054.864974795648</v>
      </c>
      <c r="M31" s="3">
        <v>7221.931080942448</v>
      </c>
      <c r="N31" s="3">
        <v>7392.953475965473</v>
      </c>
      <c r="O31" s="3">
        <v>7568.025848656741</v>
      </c>
      <c r="P31" s="3">
        <v>7747.244106450546</v>
      </c>
      <c r="Q31" s="3">
        <v>7930.706427963074</v>
      </c>
      <c r="R31" s="3">
        <v>8118.513316776218</v>
      </c>
      <c r="S31" s="3">
        <v>8310.767656495036</v>
      </c>
      <c r="T31" s="3">
        <v>8507.574767109028</v>
      </c>
      <c r="U31" s="3">
        <v>8709.042462688112</v>
      </c>
      <c r="V31" s="3">
        <v>8915.281110444879</v>
      </c>
      <c r="W31" s="3">
        <v>9126.403691195517</v>
      </c>
      <c r="X31" s="3">
        <v>9342.525861252498</v>
      </c>
      <c r="Y31" s="3">
        <v>9563.766015782947</v>
      </c>
      <c r="Z31" s="3">
        <v>9790.245353667402</v>
      </c>
      <c r="AA31" s="3">
        <v>10022.08794389449</v>
      </c>
      <c r="AB31" s="3">
        <v>10259.42079352791</v>
      </c>
      <c r="AC31" s="3">
        <v>10502.37391728289</v>
      </c>
      <c r="AD31" s="3">
        <v>10751.08040875036</v>
      </c>
      <c r="AE31" s="3">
        <v>11005.67651330772</v>
      </c>
      <c r="AF31" s="3">
        <v>11266.3017027562</v>
      </c>
      <c r="AG31" s="3">
        <v>11533.09875172581</v>
      </c>
      <c r="AH31" s="3">
        <v>11806.21381588948</v>
      </c>
      <c r="AI31" s="3">
        <v>12085.79651202951</v>
      </c>
      <c r="AJ31" s="3">
        <v>12372</v>
      </c>
      <c r="AK31" s="3">
        <v>13381</v>
      </c>
      <c r="AL31" s="3">
        <v>14470</v>
      </c>
      <c r="AM31" s="3">
        <v>15454</v>
      </c>
      <c r="AN31" s="3">
        <v>16596</v>
      </c>
      <c r="AO31" s="3">
        <v>17808</v>
      </c>
      <c r="AP31" s="3">
        <v>19048</v>
      </c>
      <c r="AQ31" s="3">
        <v>20331</v>
      </c>
      <c r="AR31" s="3">
        <v>21620</v>
      </c>
      <c r="AS31" s="3">
        <v>23099</v>
      </c>
      <c r="AT31" s="3">
        <v>24600</v>
      </c>
      <c r="AU31" s="3">
        <v>26097</v>
      </c>
      <c r="AV31" s="3">
        <v>27565</v>
      </c>
      <c r="AW31" s="3">
        <v>29127</v>
      </c>
      <c r="AX31" s="3">
        <v>30761</v>
      </c>
      <c r="AY31" s="3">
        <v>32582</v>
      </c>
      <c r="AZ31" s="3">
        <v>34355</v>
      </c>
      <c r="BA31" s="3">
        <v>36088</v>
      </c>
      <c r="BB31" s="3">
        <v>37822</v>
      </c>
      <c r="BC31" s="3">
        <v>39487</v>
      </c>
      <c r="BD31" s="3">
        <v>41087</v>
      </c>
      <c r="BE31" s="3">
        <v>42708.59290399372</v>
      </c>
      <c r="BF31" s="3">
        <v>44291.72147127634</v>
      </c>
      <c r="BG31" s="3">
        <v>45842.72257187199</v>
      </c>
      <c r="BH31" s="3">
        <v>47367.23799113558</v>
      </c>
      <c r="BI31" s="3">
        <v>48870.28731846914</v>
      </c>
      <c r="BJ31" s="3">
        <v>50356.33314546859</v>
      </c>
      <c r="BK31" s="3">
        <v>51829.33949133533</v>
      </c>
      <c r="BL31" s="3">
        <v>53292.82436546507</v>
      </c>
      <c r="BM31" s="3">
        <v>54749.9071817432</v>
      </c>
      <c r="BN31" s="3">
        <v>56203.35162374147</v>
      </c>
      <c r="BO31" s="3">
        <v>57655.60442947884</v>
      </c>
      <c r="BP31" s="3">
        <v>59108.83047809204</v>
      </c>
      <c r="BQ31" s="3">
        <v>60564.94455592935</v>
      </c>
      <c r="BR31" s="3">
        <v>62025.64008875826</v>
      </c>
      <c r="BS31" s="3">
        <v>63492.41509994227</v>
      </c>
      <c r="BT31" s="3">
        <v>64966.59561138964</v>
      </c>
      <c r="BU31" s="3">
        <v>66449.35667190867</v>
      </c>
      <c r="BV31" s="3">
        <v>67941.74120283703</v>
      </c>
      <c r="BW31" s="3">
        <v>69444.67684814651</v>
      </c>
      <c r="BX31" s="3">
        <v>70958.99100907421</v>
      </c>
      <c r="BY31" s="3">
        <v>72485.42421498735</v>
      </c>
      <c r="BZ31" s="3">
        <v>74024.64198902638</v>
      </c>
      <c r="CA31" s="3">
        <v>75577.24536021912</v>
      </c>
      <c r="CB31" s="3">
        <v>77143.78018639525</v>
      </c>
      <c r="CC31" s="3">
        <v>78724.74544879868</v>
      </c>
      <c r="CD31" s="3">
        <v>80320.60063029568</v>
      </c>
      <c r="CE31" s="3">
        <v>81931.77226610317</v>
      </c>
      <c r="CF31" s="3">
        <v>83558.65978363222</v>
      </c>
      <c r="CG31" s="3">
        <v>85201.64073488623</v>
      </c>
      <c r="CH31" s="3">
        <v>86861.07549746807</v>
      </c>
      <c r="CI31" s="3">
        <v>88537.31151342651</v>
      </c>
      <c r="CJ31" s="3">
        <v>90230.68711699758</v>
      </c>
      <c r="CK31" s="3">
        <v>91941.53497224767</v>
      </c>
      <c r="CL31" s="3">
        <v>93670.18513545948</v>
      </c>
      <c r="CM31" s="3">
        <v>95416.96777259966</v>
      </c>
      <c r="CN31" s="3">
        <v>97182.21554115297</v>
      </c>
      <c r="CO31" s="3">
        <v>98966.26566952019</v>
      </c>
      <c r="CP31" s="3">
        <v>100769.4617564976</v>
      </c>
      <c r="CQ31" s="3">
        <v>102592.1553086977</v>
      </c>
      <c r="CR31" s="3">
        <v>104434.7070322243</v>
      </c>
    </row>
    <row r="32" spans="1:96">
      <c r="A32" s="1" t="str">
        <f>'Population Definitions'!$B$32</f>
        <v>0-4F_fns</v>
      </c>
      <c r="C32" t="s">
        <v>44</v>
      </c>
      <c r="D32" s="3"/>
      <c r="E32" s="3">
        <v>26354.95862241879</v>
      </c>
      <c r="F32" s="3">
        <v>26979.06983226304</v>
      </c>
      <c r="G32" s="3">
        <v>27617.96060628091</v>
      </c>
      <c r="H32" s="3">
        <v>28271.9809390146</v>
      </c>
      <c r="I32" s="3">
        <v>28941.48911321953</v>
      </c>
      <c r="J32" s="3">
        <v>29626.85189613737</v>
      </c>
      <c r="K32" s="3">
        <v>30328.444740417</v>
      </c>
      <c r="L32" s="3">
        <v>31046.6519897934</v>
      </c>
      <c r="M32" s="3">
        <v>31781.86708963729</v>
      </c>
      <c r="N32" s="3">
        <v>32534.4928024908</v>
      </c>
      <c r="O32" s="3">
        <v>33304.94142870716</v>
      </c>
      <c r="P32" s="3">
        <v>34093.63503231543</v>
      </c>
      <c r="Q32" s="3">
        <v>34901.00567223388</v>
      </c>
      <c r="R32" s="3">
        <v>35727.49563895878</v>
      </c>
      <c r="S32" s="3">
        <v>36573.55769685813</v>
      </c>
      <c r="T32" s="3">
        <v>37439.65533220322</v>
      </c>
      <c r="U32" s="3">
        <v>38326.2630070738</v>
      </c>
      <c r="V32" s="3">
        <v>39233.86641927595</v>
      </c>
      <c r="W32" s="3">
        <v>40162.96276841507</v>
      </c>
      <c r="X32" s="3">
        <v>41114.06102826977</v>
      </c>
      <c r="Y32" s="3">
        <v>42087.68222561578</v>
      </c>
      <c r="Z32" s="3">
        <v>43084.35972565271</v>
      </c>
      <c r="AA32" s="3">
        <v>44104.63952419008</v>
      </c>
      <c r="AB32" s="3">
        <v>45149.0805467524</v>
      </c>
      <c r="AC32" s="3">
        <v>46218.25495476758</v>
      </c>
      <c r="AD32" s="3">
        <v>47312.748459006</v>
      </c>
      <c r="AE32" s="3">
        <v>48433.16064044228</v>
      </c>
      <c r="AF32" s="3">
        <v>49580.10527871518</v>
      </c>
      <c r="AG32" s="3">
        <v>50754.21068836596</v>
      </c>
      <c r="AH32" s="3">
        <v>51956.12006303903</v>
      </c>
      <c r="AI32" s="3">
        <v>53186.49182783372</v>
      </c>
      <c r="AJ32" s="3">
        <v>54446</v>
      </c>
      <c r="AK32" s="3">
        <v>54406</v>
      </c>
      <c r="AL32" s="3">
        <v>54051</v>
      </c>
      <c r="AM32" s="3">
        <v>53443</v>
      </c>
      <c r="AN32" s="3">
        <v>52981</v>
      </c>
      <c r="AO32" s="3">
        <v>52647</v>
      </c>
      <c r="AP32" s="3">
        <v>52118</v>
      </c>
      <c r="AQ32" s="3">
        <v>51664</v>
      </c>
      <c r="AR32" s="3">
        <v>51545</v>
      </c>
      <c r="AS32" s="3">
        <v>51291</v>
      </c>
      <c r="AT32" s="3">
        <v>51196</v>
      </c>
      <c r="AU32" s="3">
        <v>52284</v>
      </c>
      <c r="AV32" s="3">
        <v>53769</v>
      </c>
      <c r="AW32" s="3">
        <v>55318</v>
      </c>
      <c r="AX32" s="3">
        <v>57042</v>
      </c>
      <c r="AY32" s="3">
        <v>58854</v>
      </c>
      <c r="AZ32" s="3">
        <v>59777</v>
      </c>
      <c r="BA32" s="3">
        <v>60692</v>
      </c>
      <c r="BB32" s="3">
        <v>61612</v>
      </c>
      <c r="BC32" s="3">
        <v>62520</v>
      </c>
      <c r="BD32" s="3">
        <v>63392</v>
      </c>
      <c r="BE32" s="3">
        <v>64127.19645719028</v>
      </c>
      <c r="BF32" s="3">
        <v>64903.66819424857</v>
      </c>
      <c r="BG32" s="3">
        <v>65774.86534019734</v>
      </c>
      <c r="BH32" s="3">
        <v>66713.87282978505</v>
      </c>
      <c r="BI32" s="3">
        <v>67713.74067167805</v>
      </c>
      <c r="BJ32" s="3">
        <v>68751.34607852431</v>
      </c>
      <c r="BK32" s="3">
        <v>69811.97687019507</v>
      </c>
      <c r="BL32" s="3">
        <v>70911.64027133165</v>
      </c>
      <c r="BM32" s="3">
        <v>72028.37164266277</v>
      </c>
      <c r="BN32" s="3">
        <v>73161.09872321428</v>
      </c>
      <c r="BO32" s="3">
        <v>74299.62148429768</v>
      </c>
      <c r="BP32" s="3">
        <v>75434.86746364375</v>
      </c>
      <c r="BQ32" s="3">
        <v>76572.48475845205</v>
      </c>
      <c r="BR32" s="3">
        <v>77716.38274008932</v>
      </c>
      <c r="BS32" s="3">
        <v>78869.42624642946</v>
      </c>
      <c r="BT32" s="3">
        <v>80024.95932247765</v>
      </c>
      <c r="BU32" s="3">
        <v>81190.4710462355</v>
      </c>
      <c r="BV32" s="3">
        <v>82369.16652429837</v>
      </c>
      <c r="BW32" s="3">
        <v>83573.93617435264</v>
      </c>
      <c r="BX32" s="3">
        <v>84813.32338038067</v>
      </c>
      <c r="BY32" s="3">
        <v>86075.55560966837</v>
      </c>
      <c r="BZ32" s="3">
        <v>87355.95971017772</v>
      </c>
      <c r="CA32" s="3">
        <v>88671.67649702921</v>
      </c>
      <c r="CB32" s="3">
        <v>90025.32566248253</v>
      </c>
      <c r="CC32" s="3">
        <v>91412.25119605839</v>
      </c>
      <c r="CD32" s="3">
        <v>92834.82231103077</v>
      </c>
      <c r="CE32" s="3">
        <v>94289.8971799142</v>
      </c>
      <c r="CF32" s="3">
        <v>95766.87810721248</v>
      </c>
      <c r="CG32" s="3">
        <v>97262.68474197297</v>
      </c>
      <c r="CH32" s="3">
        <v>98783.67532350271</v>
      </c>
      <c r="CI32" s="3">
        <v>100321.0959461254</v>
      </c>
      <c r="CJ32" s="3">
        <v>101884.6991768964</v>
      </c>
      <c r="CK32" s="3">
        <v>103471.2004393482</v>
      </c>
      <c r="CL32" s="3">
        <v>105078.9363115</v>
      </c>
      <c r="CM32" s="3">
        <v>106707.1972952173</v>
      </c>
      <c r="CN32" s="3">
        <v>108367.5773697224</v>
      </c>
      <c r="CO32" s="3">
        <v>110041.0402826132</v>
      </c>
      <c r="CP32" s="3">
        <v>111733.2031630155</v>
      </c>
      <c r="CQ32" s="3">
        <v>113449.0041901914</v>
      </c>
      <c r="CR32" s="3">
        <v>115183.2507227316</v>
      </c>
    </row>
    <row r="33" spans="1:98">
      <c r="A33" s="1" t="str">
        <f>'Population Definitions'!$B$33</f>
        <v>5-14F_fns</v>
      </c>
      <c r="C33" t="s">
        <v>44</v>
      </c>
      <c r="D33" s="3"/>
      <c r="E33" s="3">
        <v>43249.0263387072</v>
      </c>
      <c r="F33" s="3">
        <v>44273.20560377633</v>
      </c>
      <c r="G33" s="3">
        <v>45321.63843605373</v>
      </c>
      <c r="H33" s="3">
        <v>46394.89918374422</v>
      </c>
      <c r="I33" s="3">
        <v>47493.57579618016</v>
      </c>
      <c r="J33" s="3">
        <v>48618.27014590945</v>
      </c>
      <c r="K33" s="3">
        <v>49769.59835841086</v>
      </c>
      <c r="L33" s="3">
        <v>50948.19114961743</v>
      </c>
      <c r="M33" s="3">
        <v>52154.69417143267</v>
      </c>
      <c r="N33" s="3">
        <v>53389.76836542896</v>
      </c>
      <c r="O33" s="3">
        <v>54654.09032492191</v>
      </c>
      <c r="P33" s="3">
        <v>55948.3526656189</v>
      </c>
      <c r="Q33" s="3">
        <v>57273.26440504502</v>
      </c>
      <c r="R33" s="3">
        <v>58629.55135095416</v>
      </c>
      <c r="S33" s="3">
        <v>60017.9564989381</v>
      </c>
      <c r="T33" s="3">
        <v>61439.24043945122</v>
      </c>
      <c r="U33" s="3">
        <v>62894.18177447421</v>
      </c>
      <c r="V33" s="3">
        <v>64383.57754404453</v>
      </c>
      <c r="W33" s="3">
        <v>65908.24366288766</v>
      </c>
      <c r="X33" s="3">
        <v>67469.01536738823</v>
      </c>
      <c r="Y33" s="3">
        <v>69066.74767314574</v>
      </c>
      <c r="Z33" s="3">
        <v>70702.31584336578</v>
      </c>
      <c r="AA33" s="3">
        <v>72376.61586834314</v>
      </c>
      <c r="AB33" s="3">
        <v>74090.56495629958</v>
      </c>
      <c r="AC33" s="3">
        <v>75845.10203584505</v>
      </c>
      <c r="AD33" s="3">
        <v>77641.18827033778</v>
      </c>
      <c r="AE33" s="3">
        <v>79479.80758442488</v>
      </c>
      <c r="AF33" s="3">
        <v>81361.96720305193</v>
      </c>
      <c r="AG33" s="3">
        <v>83288.69820323684</v>
      </c>
      <c r="AH33" s="3">
        <v>85261.05607891026</v>
      </c>
      <c r="AI33" s="3">
        <v>87280.12131913197</v>
      </c>
      <c r="AJ33" s="3">
        <v>89347</v>
      </c>
      <c r="AK33" s="3">
        <v>92004</v>
      </c>
      <c r="AL33" s="3">
        <v>94604</v>
      </c>
      <c r="AM33" s="3">
        <v>97062</v>
      </c>
      <c r="AN33" s="3">
        <v>99409</v>
      </c>
      <c r="AO33" s="3">
        <v>101247</v>
      </c>
      <c r="AP33" s="3">
        <v>103303</v>
      </c>
      <c r="AQ33" s="3">
        <v>104911</v>
      </c>
      <c r="AR33" s="3">
        <v>106134</v>
      </c>
      <c r="AS33" s="3">
        <v>106913</v>
      </c>
      <c r="AT33" s="3">
        <v>106984</v>
      </c>
      <c r="AU33" s="3">
        <v>106417</v>
      </c>
      <c r="AV33" s="3">
        <v>105610</v>
      </c>
      <c r="AW33" s="3">
        <v>104885</v>
      </c>
      <c r="AX33" s="3">
        <v>104171</v>
      </c>
      <c r="AY33" s="3">
        <v>103746</v>
      </c>
      <c r="AZ33" s="3">
        <v>104304</v>
      </c>
      <c r="BA33" s="3">
        <v>105334</v>
      </c>
      <c r="BB33" s="3">
        <v>106764</v>
      </c>
      <c r="BC33" s="3">
        <v>108234</v>
      </c>
      <c r="BD33" s="3">
        <v>109951</v>
      </c>
      <c r="BE33" s="3">
        <v>111958</v>
      </c>
      <c r="BF33" s="3">
        <v>113919.653442383</v>
      </c>
      <c r="BG33" s="3">
        <v>115848.2321746063</v>
      </c>
      <c r="BH33" s="3">
        <v>117765.2426294974</v>
      </c>
      <c r="BI33" s="3">
        <v>119684.9450329429</v>
      </c>
      <c r="BJ33" s="3">
        <v>121618.912066977</v>
      </c>
      <c r="BK33" s="3">
        <v>123573.138520665</v>
      </c>
      <c r="BL33" s="3">
        <v>125550.198496067</v>
      </c>
      <c r="BM33" s="3">
        <v>127555.5349113404</v>
      </c>
      <c r="BN33" s="3">
        <v>129589.8126007372</v>
      </c>
      <c r="BO33" s="3">
        <v>131653.4257184409</v>
      </c>
      <c r="BP33" s="3">
        <v>133744.7496041553</v>
      </c>
      <c r="BQ33" s="3">
        <v>135860.5491703945</v>
      </c>
      <c r="BR33" s="3">
        <v>137998.9901001698</v>
      </c>
      <c r="BS33" s="3">
        <v>140159.1696654512</v>
      </c>
      <c r="BT33" s="3">
        <v>142340.8264211861</v>
      </c>
      <c r="BU33" s="3">
        <v>144542.4301926066</v>
      </c>
      <c r="BV33" s="3">
        <v>146764.0494080733</v>
      </c>
      <c r="BW33" s="3">
        <v>149006.36882838</v>
      </c>
      <c r="BX33" s="3">
        <v>151272.5135997731</v>
      </c>
      <c r="BY33" s="3">
        <v>153566.9757971949</v>
      </c>
      <c r="BZ33" s="3">
        <v>155891.538887097</v>
      </c>
      <c r="CA33" s="3">
        <v>158246.9111133845</v>
      </c>
      <c r="CB33" s="3">
        <v>160637.0647512497</v>
      </c>
      <c r="CC33" s="3">
        <v>163066.1086029382</v>
      </c>
      <c r="CD33" s="3">
        <v>165536.8615342253</v>
      </c>
      <c r="CE33" s="3">
        <v>168052.3384242284</v>
      </c>
      <c r="CF33" s="3">
        <v>170614.6609959078</v>
      </c>
      <c r="CG33" s="3">
        <v>173223.6928990249</v>
      </c>
      <c r="CH33" s="3">
        <v>175878.71205977</v>
      </c>
      <c r="CI33" s="3">
        <v>178580.2995118209</v>
      </c>
      <c r="CJ33" s="3">
        <v>181327.2809310696</v>
      </c>
      <c r="CK33" s="3">
        <v>184120.487022342</v>
      </c>
      <c r="CL33" s="3">
        <v>186960.0324062592</v>
      </c>
      <c r="CM33" s="3">
        <v>189845.6977544067</v>
      </c>
      <c r="CN33" s="3">
        <v>192777.1464498325</v>
      </c>
      <c r="CO33" s="3">
        <v>195756.3261379985</v>
      </c>
      <c r="CP33" s="3">
        <v>198781.3031113743</v>
      </c>
      <c r="CQ33" s="3">
        <v>201851.4163867095</v>
      </c>
      <c r="CR33" s="3">
        <v>204967.0264436407</v>
      </c>
    </row>
    <row r="34" spans="1:98">
      <c r="A34" s="1" t="str">
        <f>'Population Definitions'!$B$34</f>
        <v>15-29F_fns</v>
      </c>
      <c r="C34" t="s">
        <v>44</v>
      </c>
      <c r="D34" s="3"/>
      <c r="E34" s="3">
        <v>49178.72260885798</v>
      </c>
      <c r="F34" s="3">
        <v>50343.32288411321</v>
      </c>
      <c r="G34" s="3">
        <v>51535.502033507</v>
      </c>
      <c r="H34" s="3">
        <v>52755.91315176627</v>
      </c>
      <c r="I34" s="3">
        <v>54005.22479954017</v>
      </c>
      <c r="J34" s="3">
        <v>55284.12136964825</v>
      </c>
      <c r="K34" s="3">
        <v>56593.30346200173</v>
      </c>
      <c r="L34" s="3">
        <v>57933.48826740329</v>
      </c>
      <c r="M34" s="3">
        <v>59305.40996043566</v>
      </c>
      <c r="N34" s="3">
        <v>60709.82010165408</v>
      </c>
      <c r="O34" s="3">
        <v>62147.48804930318</v>
      </c>
      <c r="P34" s="3">
        <v>63619.20138078372</v>
      </c>
      <c r="Q34" s="3">
        <v>65125.76632409995</v>
      </c>
      <c r="R34" s="3">
        <v>66668.00819952421</v>
      </c>
      <c r="S34" s="3">
        <v>68246.77187172053</v>
      </c>
      <c r="T34" s="3">
        <v>69862.92221257485</v>
      </c>
      <c r="U34" s="3">
        <v>71517.34457498579</v>
      </c>
      <c r="V34" s="3">
        <v>73210.94527787493</v>
      </c>
      <c r="W34" s="3">
        <v>74944.65210268277</v>
      </c>
      <c r="X34" s="3">
        <v>76719.41480162222</v>
      </c>
      <c r="Y34" s="3">
        <v>78536.20561796799</v>
      </c>
      <c r="Z34" s="3">
        <v>80396.01981866691</v>
      </c>
      <c r="AA34" s="3">
        <v>82299.87623956101</v>
      </c>
      <c r="AB34" s="3">
        <v>84248.81784352209</v>
      </c>
      <c r="AC34" s="3">
        <v>86243.91229180328</v>
      </c>
      <c r="AD34" s="3">
        <v>88286.252528921</v>
      </c>
      <c r="AE34" s="3">
        <v>90376.95738138731</v>
      </c>
      <c r="AF34" s="3">
        <v>92517.17217062091</v>
      </c>
      <c r="AG34" s="3">
        <v>94708.0693403724</v>
      </c>
      <c r="AH34" s="3">
        <v>96950.84909900776</v>
      </c>
      <c r="AI34" s="3">
        <v>99246.74007700148</v>
      </c>
      <c r="AJ34" s="3">
        <v>101597</v>
      </c>
      <c r="AK34" s="3">
        <v>104349</v>
      </c>
      <c r="AL34" s="3">
        <v>106854</v>
      </c>
      <c r="AM34" s="3">
        <v>109514</v>
      </c>
      <c r="AN34" s="3">
        <v>112025</v>
      </c>
      <c r="AO34" s="3">
        <v>114673</v>
      </c>
      <c r="AP34" s="3">
        <v>117221</v>
      </c>
      <c r="AQ34" s="3">
        <v>119817</v>
      </c>
      <c r="AR34" s="3">
        <v>122257</v>
      </c>
      <c r="AS34" s="3">
        <v>124939</v>
      </c>
      <c r="AT34" s="3">
        <v>127779</v>
      </c>
      <c r="AU34" s="3">
        <v>131085</v>
      </c>
      <c r="AV34" s="3">
        <v>134285</v>
      </c>
      <c r="AW34" s="3">
        <v>137428</v>
      </c>
      <c r="AX34" s="3">
        <v>140375</v>
      </c>
      <c r="AY34" s="3">
        <v>143108</v>
      </c>
      <c r="AZ34" s="3">
        <v>145718</v>
      </c>
      <c r="BA34" s="3">
        <v>147957</v>
      </c>
      <c r="BB34" s="3">
        <v>149801</v>
      </c>
      <c r="BC34" s="3">
        <v>151679</v>
      </c>
      <c r="BD34" s="3">
        <v>153181</v>
      </c>
      <c r="BE34" s="3">
        <v>154697</v>
      </c>
      <c r="BF34" s="3">
        <v>156314.0534696748</v>
      </c>
      <c r="BG34" s="3">
        <v>158022.1208436247</v>
      </c>
      <c r="BH34" s="3">
        <v>159812.8873363597</v>
      </c>
      <c r="BI34" s="3">
        <v>161680.5288968081</v>
      </c>
      <c r="BJ34" s="3">
        <v>163620.8908154706</v>
      </c>
      <c r="BK34" s="3">
        <v>165631.1403398594</v>
      </c>
      <c r="BL34" s="3">
        <v>167709.1685199988</v>
      </c>
      <c r="BM34" s="3">
        <v>169853.2283668203</v>
      </c>
      <c r="BN34" s="3">
        <v>172062.1827699379</v>
      </c>
      <c r="BO34" s="3">
        <v>174335.0220653346</v>
      </c>
      <c r="BP34" s="3">
        <v>176670.8313801767</v>
      </c>
      <c r="BQ34" s="3">
        <v>179068.5961353638</v>
      </c>
      <c r="BR34" s="3">
        <v>181527.0569433173</v>
      </c>
      <c r="BS34" s="3">
        <v>184044.8548247543</v>
      </c>
      <c r="BT34" s="3">
        <v>186620.6241617755</v>
      </c>
      <c r="BU34" s="3">
        <v>189253.0531350881</v>
      </c>
      <c r="BV34" s="3">
        <v>191940.7618224735</v>
      </c>
      <c r="BW34" s="3">
        <v>194682.4558132173</v>
      </c>
      <c r="BX34" s="3">
        <v>197476.9790262487</v>
      </c>
      <c r="BY34" s="3">
        <v>200323.534324555</v>
      </c>
      <c r="BZ34" s="3">
        <v>203221.7909529262</v>
      </c>
      <c r="CA34" s="3">
        <v>206171.6041395517</v>
      </c>
      <c r="CB34" s="3">
        <v>209172.9037391834</v>
      </c>
      <c r="CC34" s="3">
        <v>212225.995634385</v>
      </c>
      <c r="CD34" s="3">
        <v>215331.5529658546</v>
      </c>
      <c r="CE34" s="3">
        <v>218490.474276</v>
      </c>
      <c r="CF34" s="3">
        <v>221703.8889447431</v>
      </c>
      <c r="CG34" s="3">
        <v>224973.0603121145</v>
      </c>
      <c r="CH34" s="3">
        <v>228299.1665286993</v>
      </c>
      <c r="CI34" s="3">
        <v>231683.2505855798</v>
      </c>
      <c r="CJ34" s="3">
        <v>235126.3500993346</v>
      </c>
      <c r="CK34" s="3">
        <v>238629.3332294533</v>
      </c>
      <c r="CL34" s="3">
        <v>242193.0961649322</v>
      </c>
      <c r="CM34" s="3">
        <v>245818.4944556372</v>
      </c>
      <c r="CN34" s="3">
        <v>249506.3140673181</v>
      </c>
      <c r="CO34" s="3">
        <v>253257.2643863056</v>
      </c>
      <c r="CP34" s="3">
        <v>257072.1965323974</v>
      </c>
      <c r="CQ34" s="3">
        <v>260951.7317422364</v>
      </c>
      <c r="CR34" s="3">
        <v>264896.3937388679</v>
      </c>
    </row>
    <row r="35" spans="1:98">
      <c r="A35" s="1" t="str">
        <f>'Population Definitions'!$B$35</f>
        <v>30-49F_fns</v>
      </c>
      <c r="C35" t="s">
        <v>44</v>
      </c>
      <c r="D35" s="3"/>
      <c r="E35" s="3">
        <v>48714.99615769028</v>
      </c>
      <c r="F35" s="3">
        <v>49868.61493680198</v>
      </c>
      <c r="G35" s="3">
        <v>51049.5525374776</v>
      </c>
      <c r="H35" s="3">
        <v>52258.45589614463</v>
      </c>
      <c r="I35" s="3">
        <v>53495.98726931823</v>
      </c>
      <c r="J35" s="3">
        <v>54762.82459639587</v>
      </c>
      <c r="K35" s="3">
        <v>56059.66187104337</v>
      </c>
      <c r="L35" s="3">
        <v>57387.20952137565</v>
      </c>
      <c r="M35" s="3">
        <v>58746.19479914059</v>
      </c>
      <c r="N35" s="3">
        <v>60137.3621781191</v>
      </c>
      <c r="O35" s="3">
        <v>61561.47376195976</v>
      </c>
      <c r="P35" s="3">
        <v>63019.30970167126</v>
      </c>
      <c r="Q35" s="3">
        <v>64511.66862300163</v>
      </c>
      <c r="R35" s="3">
        <v>66039.36806393811</v>
      </c>
      <c r="S35" s="3">
        <v>67603.24492256744</v>
      </c>
      <c r="T35" s="3">
        <v>69204.15591554201</v>
      </c>
      <c r="U35" s="3">
        <v>70842.97804740294</v>
      </c>
      <c r="V35" s="3">
        <v>72520.60909101702</v>
      </c>
      <c r="W35" s="3">
        <v>74237.96807939104</v>
      </c>
      <c r="X35" s="3">
        <v>75995.99580913274</v>
      </c>
      <c r="Y35" s="3">
        <v>77795.65535583414</v>
      </c>
      <c r="Z35" s="3">
        <v>79637.93260165969</v>
      </c>
      <c r="AA35" s="3">
        <v>81523.83677542822</v>
      </c>
      <c r="AB35" s="3">
        <v>83454.40100548461</v>
      </c>
      <c r="AC35" s="3">
        <v>85430.68288566386</v>
      </c>
      <c r="AD35" s="3">
        <v>87453.76505465794</v>
      </c>
      <c r="AE35" s="3">
        <v>89524.75578910243</v>
      </c>
      <c r="AF35" s="3">
        <v>91644.78961070818</v>
      </c>
      <c r="AG35" s="3">
        <v>93815.0279077703</v>
      </c>
      <c r="AH35" s="3">
        <v>96036.65957139524</v>
      </c>
      <c r="AI35" s="3">
        <v>98310.90164679423</v>
      </c>
      <c r="AJ35" s="3">
        <v>100639</v>
      </c>
      <c r="AK35" s="3">
        <v>101455</v>
      </c>
      <c r="AL35" s="3">
        <v>102493</v>
      </c>
      <c r="AM35" s="3">
        <v>103586</v>
      </c>
      <c r="AN35" s="3">
        <v>104863</v>
      </c>
      <c r="AO35" s="3">
        <v>106285</v>
      </c>
      <c r="AP35" s="3">
        <v>107508</v>
      </c>
      <c r="AQ35" s="3">
        <v>108582</v>
      </c>
      <c r="AR35" s="3">
        <v>109806</v>
      </c>
      <c r="AS35" s="3">
        <v>111373</v>
      </c>
      <c r="AT35" s="3">
        <v>112917</v>
      </c>
      <c r="AU35" s="3">
        <v>114624</v>
      </c>
      <c r="AV35" s="3">
        <v>116697</v>
      </c>
      <c r="AW35" s="3">
        <v>119061</v>
      </c>
      <c r="AX35" s="3">
        <v>121813</v>
      </c>
      <c r="AY35" s="3">
        <v>124612</v>
      </c>
      <c r="AZ35" s="3">
        <v>127722</v>
      </c>
      <c r="BA35" s="3">
        <v>130815</v>
      </c>
      <c r="BB35" s="3">
        <v>133936</v>
      </c>
      <c r="BC35" s="3">
        <v>137222</v>
      </c>
      <c r="BD35" s="3">
        <v>140522</v>
      </c>
      <c r="BE35" s="3">
        <v>143752</v>
      </c>
      <c r="BF35" s="3">
        <v>146942.4748598893</v>
      </c>
      <c r="BG35" s="3">
        <v>150100.6950068658</v>
      </c>
      <c r="BH35" s="3">
        <v>153233.0785929156</v>
      </c>
      <c r="BI35" s="3">
        <v>156345.3224919588</v>
      </c>
      <c r="BJ35" s="3">
        <v>159442.5716680302</v>
      </c>
      <c r="BK35" s="3">
        <v>162529.5353516614</v>
      </c>
      <c r="BL35" s="3">
        <v>165610.5789888053</v>
      </c>
      <c r="BM35" s="3">
        <v>168689.7786744873</v>
      </c>
      <c r="BN35" s="3">
        <v>171770.9529385567</v>
      </c>
      <c r="BO35" s="3">
        <v>174857.7073636275</v>
      </c>
      <c r="BP35" s="3">
        <v>177953.4500939319</v>
      </c>
      <c r="BQ35" s="3">
        <v>181061.4048883913</v>
      </c>
      <c r="BR35" s="3">
        <v>184184.6126298891</v>
      </c>
      <c r="BS35" s="3">
        <v>187325.9245422971</v>
      </c>
      <c r="BT35" s="3">
        <v>190488.0039112344</v>
      </c>
      <c r="BU35" s="3">
        <v>193673.3330124097</v>
      </c>
      <c r="BV35" s="3">
        <v>196884.2232000724</v>
      </c>
      <c r="BW35" s="3">
        <v>200122.8176862335</v>
      </c>
      <c r="BX35" s="3">
        <v>203391.1029284538</v>
      </c>
      <c r="BY35" s="3">
        <v>206690.9225720735</v>
      </c>
      <c r="BZ35" s="3">
        <v>210024.0033689126</v>
      </c>
      <c r="CA35" s="3">
        <v>213391.9861849036</v>
      </c>
      <c r="CB35" s="3">
        <v>216796.4398917383</v>
      </c>
      <c r="CC35" s="3">
        <v>220238.868399797</v>
      </c>
      <c r="CD35" s="3">
        <v>223720.7345202236</v>
      </c>
      <c r="CE35" s="3">
        <v>227243.4824018758</v>
      </c>
      <c r="CF35" s="3">
        <v>230808.5510467597</v>
      </c>
      <c r="CG35" s="3">
        <v>234417.3876085739</v>
      </c>
      <c r="CH35" s="3">
        <v>238071.4546772008</v>
      </c>
      <c r="CI35" s="3">
        <v>241772.2248447799</v>
      </c>
      <c r="CJ35" s="3">
        <v>245521.1726475254</v>
      </c>
      <c r="CK35" s="3">
        <v>249319.7741851945</v>
      </c>
      <c r="CL35" s="3">
        <v>253169.4974447542</v>
      </c>
      <c r="CM35" s="3">
        <v>257071.8042062073</v>
      </c>
      <c r="CN35" s="3">
        <v>261028.1479778536</v>
      </c>
      <c r="CO35" s="3">
        <v>265039.9703693719</v>
      </c>
      <c r="CP35" s="3">
        <v>269108.6972089395</v>
      </c>
      <c r="CQ35" s="3">
        <v>273235.7471990787</v>
      </c>
      <c r="CR35" s="3">
        <v>277422.5191492905</v>
      </c>
    </row>
    <row r="36" spans="1:98">
      <c r="A36" s="1" t="str">
        <f>'Population Definitions'!$B$36</f>
        <v>50-64F_fns</v>
      </c>
      <c r="C36" t="s">
        <v>44</v>
      </c>
      <c r="D36" s="3"/>
      <c r="E36" s="3">
        <v>20457.21010360105</v>
      </c>
      <c r="F36" s="3">
        <v>20941.65685727328</v>
      </c>
      <c r="G36" s="3">
        <v>21437.5757841282</v>
      </c>
      <c r="H36" s="3">
        <v>21945.23855645291</v>
      </c>
      <c r="I36" s="3">
        <v>22464.92328000007</v>
      </c>
      <c r="J36" s="3">
        <v>22996.91464633872</v>
      </c>
      <c r="K36" s="3">
        <v>23541.50408881283</v>
      </c>
      <c r="L36" s="3">
        <v>24098.98994219316</v>
      </c>
      <c r="M36" s="3">
        <v>24669.67760610975</v>
      </c>
      <c r="N36" s="3">
        <v>25253.87971235474</v>
      </c>
      <c r="O36" s="3">
        <v>25851.91629614705</v>
      </c>
      <c r="P36" s="3">
        <v>26464.11497145272</v>
      </c>
      <c r="Q36" s="3">
        <v>27090.81111045713</v>
      </c>
      <c r="R36" s="3">
        <v>27732.34802728715</v>
      </c>
      <c r="S36" s="3">
        <v>28389.07716608417</v>
      </c>
      <c r="T36" s="3">
        <v>29061.3582935307</v>
      </c>
      <c r="U36" s="3">
        <v>29749.5596959364</v>
      </c>
      <c r="V36" s="3">
        <v>30454.05838099108</v>
      </c>
      <c r="W36" s="3">
        <v>31175.2402842956</v>
      </c>
      <c r="X36" s="3">
        <v>31913.50048078348</v>
      </c>
      <c r="Y36" s="3">
        <v>32669.24340114929</v>
      </c>
      <c r="Z36" s="3">
        <v>33442.88305340218</v>
      </c>
      <c r="AA36" s="3">
        <v>34234.84324966611</v>
      </c>
      <c r="AB36" s="3">
        <v>35045.55783835085</v>
      </c>
      <c r="AC36" s="3">
        <v>35875.47094182103</v>
      </c>
      <c r="AD36" s="3">
        <v>36725.03719969349</v>
      </c>
      <c r="AE36" s="3">
        <v>37594.72201789611</v>
      </c>
      <c r="AF36" s="3">
        <v>38485.00182362452</v>
      </c>
      <c r="AG36" s="3">
        <v>39396.36432633659</v>
      </c>
      <c r="AH36" s="3">
        <v>40329.30878492737</v>
      </c>
      <c r="AI36" s="3">
        <v>41284.3462812311</v>
      </c>
      <c r="AJ36" s="3">
        <v>42262</v>
      </c>
      <c r="AK36" s="3">
        <v>44506</v>
      </c>
      <c r="AL36" s="3">
        <v>46895</v>
      </c>
      <c r="AM36" s="3">
        <v>48996</v>
      </c>
      <c r="AN36" s="3">
        <v>50953</v>
      </c>
      <c r="AO36" s="3">
        <v>52801</v>
      </c>
      <c r="AP36" s="3">
        <v>54677</v>
      </c>
      <c r="AQ36" s="3">
        <v>56624</v>
      </c>
      <c r="AR36" s="3">
        <v>58601</v>
      </c>
      <c r="AS36" s="3">
        <v>60504</v>
      </c>
      <c r="AT36" s="3">
        <v>62727</v>
      </c>
      <c r="AU36" s="3">
        <v>64667</v>
      </c>
      <c r="AV36" s="3">
        <v>66276</v>
      </c>
      <c r="AW36" s="3">
        <v>67522</v>
      </c>
      <c r="AX36" s="3">
        <v>68386</v>
      </c>
      <c r="AY36" s="3">
        <v>68840</v>
      </c>
      <c r="AZ36" s="3">
        <v>69189</v>
      </c>
      <c r="BA36" s="3">
        <v>69543</v>
      </c>
      <c r="BB36" s="3">
        <v>70069</v>
      </c>
      <c r="BC36" s="3">
        <v>70473</v>
      </c>
      <c r="BD36" s="3">
        <v>71143</v>
      </c>
      <c r="BE36" s="3">
        <v>71591.63597341043</v>
      </c>
      <c r="BF36" s="3">
        <v>72128.48401645763</v>
      </c>
      <c r="BG36" s="3">
        <v>72746.3133824524</v>
      </c>
      <c r="BH36" s="3">
        <v>73438.63285601212</v>
      </c>
      <c r="BI36" s="3">
        <v>74199.61115756532</v>
      </c>
      <c r="BJ36" s="3">
        <v>75024.00734513007</v>
      </c>
      <c r="BK36" s="3">
        <v>75907.11195486753</v>
      </c>
      <c r="BL36" s="3">
        <v>76844.69623774082</v>
      </c>
      <c r="BM36" s="3">
        <v>77832.96807822082</v>
      </c>
      <c r="BN36" s="3">
        <v>78868.53278975525</v>
      </c>
      <c r="BO36" s="3">
        <v>79948.35764182538</v>
      </c>
      <c r="BP36" s="3">
        <v>81069.74034107747</v>
      </c>
      <c r="BQ36" s="3">
        <v>82230.28014655467</v>
      </c>
      <c r="BR36" s="3">
        <v>83427.85135664642</v>
      </c>
      <c r="BS36" s="3">
        <v>84660.57859153552</v>
      </c>
      <c r="BT36" s="3">
        <v>85926.81345119861</v>
      </c>
      <c r="BU36" s="3">
        <v>87225.11276843661</v>
      </c>
      <c r="BV36" s="3">
        <v>88554.21854192932</v>
      </c>
      <c r="BW36" s="3">
        <v>89913.03955414267</v>
      </c>
      <c r="BX36" s="3">
        <v>91300.63429721816</v>
      </c>
      <c r="BY36" s="3">
        <v>92716.19543457548</v>
      </c>
      <c r="BZ36" s="3">
        <v>94159.03579046692</v>
      </c>
      <c r="CA36" s="3">
        <v>95628.57620346161</v>
      </c>
      <c r="CB36" s="3">
        <v>97124.33530687903</v>
      </c>
      <c r="CC36" s="3">
        <v>98645.92048616352</v>
      </c>
      <c r="CD36" s="3">
        <v>100193.0196860837</v>
      </c>
      <c r="CE36" s="3">
        <v>101765.3946250279</v>
      </c>
      <c r="CF36" s="3">
        <v>103362.8752721079</v>
      </c>
      <c r="CG36" s="3">
        <v>104985.3551791745</v>
      </c>
      <c r="CH36" s="3">
        <v>106632.7876037187</v>
      </c>
      <c r="CI36" s="3">
        <v>108305.1821516599</v>
      </c>
      <c r="CJ36" s="3">
        <v>110002.6014425753</v>
      </c>
      <c r="CK36" s="3">
        <v>111725.1577003031</v>
      </c>
      <c r="CL36" s="3">
        <v>113473.0095535011</v>
      </c>
      <c r="CM36" s="3">
        <v>115246.3586937475</v>
      </c>
      <c r="CN36" s="3">
        <v>117045.4468224552</v>
      </c>
      <c r="CO36" s="3">
        <v>118870.5527229985</v>
      </c>
      <c r="CP36" s="3">
        <v>120721.989392925</v>
      </c>
      <c r="CQ36" s="3">
        <v>122600.1012229823</v>
      </c>
      <c r="CR36" s="3">
        <v>124505.261676655</v>
      </c>
    </row>
    <row r="37" spans="1:98">
      <c r="A37" s="1" t="str">
        <f>'Population Definitions'!$B$37</f>
        <v>65+F_fns</v>
      </c>
      <c r="C37" t="s">
        <v>44</v>
      </c>
      <c r="D37" s="3"/>
      <c r="E37" s="3">
        <v>7189.212163614663</v>
      </c>
      <c r="F37" s="3">
        <v>7359.459742658244</v>
      </c>
      <c r="G37" s="3">
        <v>7533.738950969479</v>
      </c>
      <c r="H37" s="3">
        <v>7712.145261474578</v>
      </c>
      <c r="I37" s="3">
        <v>7894.776407992073</v>
      </c>
      <c r="J37" s="3">
        <v>8081.732438772955</v>
      </c>
      <c r="K37" s="3">
        <v>8273.115771308698</v>
      </c>
      <c r="L37" s="3">
        <v>8469.031248437197</v>
      </c>
      <c r="M37" s="3">
        <v>8669.586195777341</v>
      </c>
      <c r="N37" s="3">
        <v>8874.890480523702</v>
      </c>
      <c r="O37" s="3">
        <v>9085.056571633522</v>
      </c>
      <c r="P37" s="3">
        <v>9300.199601439019</v>
      </c>
      <c r="Q37" s="3">
        <v>9520.437428718689</v>
      </c>
      <c r="R37" s="3">
        <v>9745.890703262239</v>
      </c>
      <c r="S37" s="3">
        <v>9976.68293196446</v>
      </c>
      <c r="T37" s="3">
        <v>10212.94054648426</v>
      </c>
      <c r="U37" s="3">
        <v>10454.79297250597</v>
      </c>
      <c r="V37" s="3">
        <v>10702.37270064075</v>
      </c>
      <c r="W37" s="3">
        <v>10955.8153590071</v>
      </c>
      <c r="X37" s="3">
        <v>11215.25978753008</v>
      </c>
      <c r="Y37" s="3">
        <v>11480.84811400003</v>
      </c>
      <c r="Z37" s="3">
        <v>11752.72583193245</v>
      </c>
      <c r="AA37" s="3">
        <v>12031.04188027166</v>
      </c>
      <c r="AB37" s="3">
        <v>12315.94872498194</v>
      </c>
      <c r="AC37" s="3">
        <v>12607.60244257077</v>
      </c>
      <c r="AD37" s="3">
        <v>12906.16280559008</v>
      </c>
      <c r="AE37" s="3">
        <v>13211.79337016216</v>
      </c>
      <c r="AF37" s="3">
        <v>13524.66156557833</v>
      </c>
      <c r="AG37" s="3">
        <v>13844.93878601938</v>
      </c>
      <c r="AH37" s="3">
        <v>14172.800484448</v>
      </c>
      <c r="AI37" s="3">
        <v>14508.42626872473</v>
      </c>
      <c r="AJ37" s="3">
        <v>14852</v>
      </c>
      <c r="AK37" s="3">
        <v>15950</v>
      </c>
      <c r="AL37" s="3">
        <v>16958</v>
      </c>
      <c r="AM37" s="3">
        <v>18137</v>
      </c>
      <c r="AN37" s="3">
        <v>19444</v>
      </c>
      <c r="AO37" s="3">
        <v>20806</v>
      </c>
      <c r="AP37" s="3">
        <v>22255</v>
      </c>
      <c r="AQ37" s="3">
        <v>23826</v>
      </c>
      <c r="AR37" s="3">
        <v>25447</v>
      </c>
      <c r="AS37" s="3">
        <v>27053</v>
      </c>
      <c r="AT37" s="3">
        <v>28748</v>
      </c>
      <c r="AU37" s="3">
        <v>30369</v>
      </c>
      <c r="AV37" s="3">
        <v>32051</v>
      </c>
      <c r="AW37" s="3">
        <v>33828</v>
      </c>
      <c r="AX37" s="3">
        <v>35718</v>
      </c>
      <c r="AY37" s="3">
        <v>37917</v>
      </c>
      <c r="AZ37" s="3">
        <v>40054</v>
      </c>
      <c r="BA37" s="3">
        <v>42224</v>
      </c>
      <c r="BB37" s="3">
        <v>44277</v>
      </c>
      <c r="BC37" s="3">
        <v>46300</v>
      </c>
      <c r="BD37" s="3">
        <v>48261</v>
      </c>
      <c r="BE37" s="3">
        <v>50284.70576673866</v>
      </c>
      <c r="BF37" s="3">
        <v>52249.019286519</v>
      </c>
      <c r="BG37" s="3">
        <v>54161.45344246463</v>
      </c>
      <c r="BH37" s="3">
        <v>56028.79430883914</v>
      </c>
      <c r="BI37" s="3">
        <v>57857.17374124649</v>
      </c>
      <c r="BJ37" s="3">
        <v>59652.13439049014</v>
      </c>
      <c r="BK37" s="3">
        <v>61418.68802701567</v>
      </c>
      <c r="BL37" s="3">
        <v>63161.36806784269</v>
      </c>
      <c r="BM37" s="3">
        <v>64884.27701005947</v>
      </c>
      <c r="BN37" s="3">
        <v>66591.12936492744</v>
      </c>
      <c r="BO37" s="3">
        <v>68285.29055896828</v>
      </c>
      <c r="BP37" s="3">
        <v>69969.81218365884</v>
      </c>
      <c r="BQ37" s="3">
        <v>71647.46397200676</v>
      </c>
      <c r="BR37" s="3">
        <v>73320.76278928043</v>
      </c>
      <c r="BS37" s="3">
        <v>74991.99889817846</v>
      </c>
      <c r="BT37" s="3">
        <v>76663.25971500642</v>
      </c>
      <c r="BU37" s="3">
        <v>78336.4512404392</v>
      </c>
      <c r="BV37" s="3">
        <v>80013.3173532348</v>
      </c>
      <c r="BW37" s="3">
        <v>81695.45715219819</v>
      </c>
      <c r="BX37" s="3">
        <v>83384.34052419179</v>
      </c>
      <c r="BY37" s="3">
        <v>85081.32208707958</v>
      </c>
      <c r="BZ37" s="3">
        <v>86787.65366320405</v>
      </c>
      <c r="CA37" s="3">
        <v>88504.4954320242</v>
      </c>
      <c r="CB37" s="3">
        <v>90232.92592342688</v>
      </c>
      <c r="CC37" s="3">
        <v>91973.95101003272</v>
      </c>
      <c r="CD37" s="3">
        <v>93728.51200748811</v>
      </c>
      <c r="CE37" s="3">
        <v>95497.49296854361</v>
      </c>
      <c r="CF37" s="3">
        <v>97281.72728483446</v>
      </c>
      <c r="CG37" s="3">
        <v>99082.00369728719</v>
      </c>
      <c r="CH37" s="3">
        <v>100899.0717886251</v>
      </c>
      <c r="CI37" s="3">
        <v>102733.6470247188</v>
      </c>
      <c r="CJ37" s="3">
        <v>104586.415393304</v>
      </c>
      <c r="CK37" s="3">
        <v>106458.037658239</v>
      </c>
      <c r="CL37" s="3">
        <v>108349.1532411901</v>
      </c>
      <c r="CM37" s="3">
        <v>110260.383758329</v>
      </c>
      <c r="CN37" s="3">
        <v>112192.3362184111</v>
      </c>
      <c r="CO37" s="3">
        <v>114145.6059128839</v>
      </c>
      <c r="CP37" s="3">
        <v>116120.7790180743</v>
      </c>
      <c r="CQ37" s="3">
        <v>118118.4349249589</v>
      </c>
      <c r="CR37" s="3">
        <v>120139.1483106121</v>
      </c>
    </row>
    <row r="39" spans="1:98">
      <c r="A39" s="1" t="s">
        <v>45</v>
      </c>
      <c r="B39" s="1" t="s">
        <v>41</v>
      </c>
      <c r="C39" s="1" t="s">
        <v>42</v>
      </c>
      <c r="D39" s="1" t="s">
        <v>43</v>
      </c>
      <c r="E39" s="1" t="s">
        <v>46</v>
      </c>
      <c r="F39" s="1"/>
      <c r="G39" s="1">
        <v>1980</v>
      </c>
      <c r="H39" s="1">
        <v>1981</v>
      </c>
      <c r="I39" s="1">
        <v>1982</v>
      </c>
      <c r="J39" s="1">
        <v>1983</v>
      </c>
      <c r="K39" s="1">
        <v>1984</v>
      </c>
      <c r="L39" s="1">
        <v>1985</v>
      </c>
      <c r="M39" s="1">
        <v>1986</v>
      </c>
      <c r="N39" s="1">
        <v>1987</v>
      </c>
      <c r="O39" s="1">
        <v>1988</v>
      </c>
      <c r="P39" s="1">
        <v>1989</v>
      </c>
      <c r="Q39" s="1">
        <v>1990</v>
      </c>
      <c r="R39" s="1">
        <v>1991</v>
      </c>
      <c r="S39" s="1">
        <v>1992</v>
      </c>
      <c r="T39" s="1">
        <v>1993</v>
      </c>
      <c r="U39" s="1">
        <v>1994</v>
      </c>
      <c r="V39" s="1">
        <v>1995</v>
      </c>
      <c r="W39" s="1">
        <v>1996</v>
      </c>
      <c r="X39" s="1">
        <v>1997</v>
      </c>
      <c r="Y39" s="1">
        <v>1998</v>
      </c>
      <c r="Z39" s="1">
        <v>1999</v>
      </c>
      <c r="AA39" s="1">
        <v>2000</v>
      </c>
      <c r="AB39" s="1">
        <v>2001</v>
      </c>
      <c r="AC39" s="1">
        <v>2002</v>
      </c>
      <c r="AD39" s="1">
        <v>2003</v>
      </c>
      <c r="AE39" s="1">
        <v>2004</v>
      </c>
      <c r="AF39" s="1">
        <v>2005</v>
      </c>
      <c r="AG39" s="1">
        <v>2006</v>
      </c>
      <c r="AH39" s="1">
        <v>2007</v>
      </c>
      <c r="AI39" s="1">
        <v>2008</v>
      </c>
      <c r="AJ39" s="1">
        <v>2009</v>
      </c>
      <c r="AK39" s="1">
        <v>2010</v>
      </c>
      <c r="AL39" s="1">
        <v>2011</v>
      </c>
      <c r="AM39" s="1">
        <v>2012</v>
      </c>
      <c r="AN39" s="1">
        <v>2013</v>
      </c>
      <c r="AO39" s="1">
        <v>2014</v>
      </c>
      <c r="AP39" s="1">
        <v>2015</v>
      </c>
      <c r="AQ39" s="1">
        <v>2016</v>
      </c>
      <c r="AR39" s="1">
        <v>2017</v>
      </c>
      <c r="AS39" s="1">
        <v>2018</v>
      </c>
      <c r="AT39" s="1">
        <v>2019</v>
      </c>
      <c r="AU39" s="1">
        <v>2020</v>
      </c>
      <c r="AV39" s="1">
        <v>2021</v>
      </c>
      <c r="AW39" s="1">
        <v>2022</v>
      </c>
      <c r="AX39" s="1">
        <v>2023</v>
      </c>
      <c r="AY39" s="1">
        <v>2024</v>
      </c>
      <c r="AZ39" s="1">
        <v>2025</v>
      </c>
      <c r="BA39" s="1">
        <v>2026</v>
      </c>
      <c r="BB39" s="1">
        <v>2027</v>
      </c>
      <c r="BC39" s="1">
        <v>2028</v>
      </c>
      <c r="BD39" s="1">
        <v>2029</v>
      </c>
      <c r="BE39" s="1">
        <v>2030</v>
      </c>
      <c r="BF39" s="1">
        <v>2031</v>
      </c>
      <c r="BG39" s="1">
        <v>2032</v>
      </c>
      <c r="BH39" s="1">
        <v>2033</v>
      </c>
      <c r="BI39" s="1">
        <v>2034</v>
      </c>
      <c r="BJ39" s="1">
        <v>2035</v>
      </c>
      <c r="BK39" s="1">
        <v>2036</v>
      </c>
      <c r="BL39" s="1">
        <v>2037</v>
      </c>
      <c r="BM39" s="1">
        <v>2038</v>
      </c>
      <c r="BN39" s="1">
        <v>2039</v>
      </c>
      <c r="BO39" s="1">
        <v>2040</v>
      </c>
      <c r="BP39" s="1">
        <v>2041</v>
      </c>
      <c r="BQ39" s="1">
        <v>2042</v>
      </c>
      <c r="BR39" s="1">
        <v>2043</v>
      </c>
      <c r="BS39" s="1">
        <v>2044</v>
      </c>
      <c r="BT39" s="1">
        <v>2045</v>
      </c>
      <c r="BU39" s="1">
        <v>2046</v>
      </c>
      <c r="BV39" s="1">
        <v>2047</v>
      </c>
      <c r="BW39" s="1">
        <v>2048</v>
      </c>
      <c r="BX39" s="1">
        <v>2049</v>
      </c>
      <c r="BY39" s="1">
        <v>2050</v>
      </c>
      <c r="BZ39" s="1">
        <v>2051</v>
      </c>
      <c r="CA39" s="1">
        <v>2052</v>
      </c>
      <c r="CB39" s="1">
        <v>2053</v>
      </c>
      <c r="CC39" s="1">
        <v>2054</v>
      </c>
      <c r="CD39" s="1">
        <v>2055</v>
      </c>
      <c r="CE39" s="1">
        <v>2056</v>
      </c>
      <c r="CF39" s="1">
        <v>2057</v>
      </c>
      <c r="CG39" s="1">
        <v>2058</v>
      </c>
      <c r="CH39" s="1">
        <v>2059</v>
      </c>
      <c r="CI39" s="1">
        <v>2060</v>
      </c>
      <c r="CJ39" s="1">
        <v>2061</v>
      </c>
      <c r="CK39" s="1">
        <v>2062</v>
      </c>
      <c r="CL39" s="1">
        <v>2063</v>
      </c>
      <c r="CM39" s="1">
        <v>2064</v>
      </c>
      <c r="CN39" s="1">
        <v>2065</v>
      </c>
      <c r="CO39" s="1">
        <v>2066</v>
      </c>
      <c r="CP39" s="1">
        <v>2067</v>
      </c>
      <c r="CQ39" s="1">
        <v>2068</v>
      </c>
      <c r="CR39" s="1">
        <v>2069</v>
      </c>
      <c r="CS39" s="1">
        <v>2070</v>
      </c>
      <c r="CT39" s="1">
        <v>2071</v>
      </c>
    </row>
    <row r="40" spans="1:98">
      <c r="A40" s="1" t="str">
        <f>'Population Definitions'!$B$2</f>
        <v>0-4M_aus</v>
      </c>
      <c r="C40" t="s">
        <v>47</v>
      </c>
      <c r="D40" s="3"/>
      <c r="E40" s="3"/>
      <c r="F40" s="4" t="s">
        <v>48</v>
      </c>
      <c r="G40" s="3">
        <v>109112.7873624825</v>
      </c>
      <c r="H40" s="3">
        <v>114243.0894347017</v>
      </c>
      <c r="I40" s="3">
        <v>116134.0388234068</v>
      </c>
      <c r="J40" s="3">
        <v>117426.5635400438</v>
      </c>
      <c r="K40" s="3">
        <v>112598.9981010377</v>
      </c>
      <c r="L40" s="3">
        <v>119325.9233153681</v>
      </c>
      <c r="M40" s="3">
        <v>117380.6073408465</v>
      </c>
      <c r="N40" s="3">
        <v>117586.1086527636</v>
      </c>
      <c r="O40" s="3">
        <v>118357.3160969159</v>
      </c>
      <c r="P40" s="3">
        <v>120516.7385299907</v>
      </c>
      <c r="Q40" s="3">
        <v>127096.9241880558</v>
      </c>
      <c r="R40" s="3">
        <v>123797.4427939493</v>
      </c>
      <c r="S40" s="3">
        <v>127255.9875067208</v>
      </c>
      <c r="T40" s="3">
        <v>125127.8781926479</v>
      </c>
      <c r="U40" s="3">
        <v>123999.2422616946</v>
      </c>
      <c r="V40" s="3">
        <v>122672.427622867</v>
      </c>
      <c r="W40" s="3">
        <v>121606.4370076662</v>
      </c>
      <c r="X40" s="3">
        <v>120074.18166431</v>
      </c>
      <c r="Y40" s="3">
        <v>118762.1722791932</v>
      </c>
      <c r="Z40" s="3">
        <v>117920.3112103519</v>
      </c>
      <c r="AA40" s="3">
        <v>118626.0363674676</v>
      </c>
      <c r="AB40" s="3">
        <v>116573.0249382687</v>
      </c>
      <c r="AC40" s="3">
        <v>118697.2831378934</v>
      </c>
      <c r="AD40" s="3">
        <v>119084.7666962613</v>
      </c>
      <c r="AE40" s="3">
        <v>120319.9796939563</v>
      </c>
      <c r="AF40" s="3">
        <v>125370.1688292119</v>
      </c>
      <c r="AG40" s="3">
        <v>128711.3156860683</v>
      </c>
      <c r="AH40" s="3">
        <v>139106.2343491107</v>
      </c>
      <c r="AI40" s="3">
        <v>144011.4519318919</v>
      </c>
      <c r="AJ40" s="3">
        <v>143482.9664565409</v>
      </c>
      <c r="AK40" s="3">
        <v>143974.4181225413</v>
      </c>
      <c r="AL40" s="3">
        <v>143151.1280236502</v>
      </c>
      <c r="AM40" s="3">
        <v>147078.8633022486</v>
      </c>
      <c r="AN40" s="3">
        <v>146876.1240543586</v>
      </c>
      <c r="AO40" s="3">
        <v>141912.3579524051</v>
      </c>
      <c r="AP40" s="3">
        <v>145355.5266460081</v>
      </c>
      <c r="AQ40" s="3">
        <v>148015.41691973</v>
      </c>
      <c r="AR40" s="3">
        <v>147785.9076954014</v>
      </c>
      <c r="AS40" s="3">
        <v>150562.7227877023</v>
      </c>
      <c r="AT40" s="3">
        <v>146071.3680153804</v>
      </c>
      <c r="AU40" s="3">
        <v>139781.3482421968</v>
      </c>
      <c r="AV40" s="3">
        <v>146514.0300253952</v>
      </c>
      <c r="AW40" s="3">
        <v>141640.423659283</v>
      </c>
      <c r="AX40" s="3">
        <v>143454.7405856008</v>
      </c>
      <c r="AY40" s="3">
        <v>144312.7283812647</v>
      </c>
      <c r="AZ40" s="3">
        <v>144929.6682809699</v>
      </c>
      <c r="BA40" s="3">
        <v>145338.5872706586</v>
      </c>
      <c r="BB40" s="3">
        <v>145559.9557987552</v>
      </c>
      <c r="BC40" s="3">
        <v>146168.5176294408</v>
      </c>
      <c r="BD40" s="3">
        <v>146742.3701050364</v>
      </c>
      <c r="BE40" s="3">
        <v>147331.4179872595</v>
      </c>
      <c r="BF40" s="3">
        <v>148131.2558823144</v>
      </c>
      <c r="BG40" s="3">
        <v>148793.2302672761</v>
      </c>
      <c r="BH40" s="3">
        <v>149567.1473203528</v>
      </c>
      <c r="BI40" s="3">
        <v>150543.3472255911</v>
      </c>
      <c r="BJ40" s="3">
        <v>151682.194343482</v>
      </c>
      <c r="BK40" s="3">
        <v>152971.1515776257</v>
      </c>
      <c r="BL40" s="3">
        <v>154333.3724564504</v>
      </c>
      <c r="BM40" s="3">
        <v>155712.823909167</v>
      </c>
      <c r="BN40" s="3">
        <v>157073.4565970332</v>
      </c>
      <c r="BO40" s="3">
        <v>158335.0220314339</v>
      </c>
      <c r="BP40" s="3">
        <v>159457.2592159755</v>
      </c>
      <c r="BQ40" s="3">
        <v>160392.4131380949</v>
      </c>
      <c r="BR40" s="3">
        <v>161117.1957539236</v>
      </c>
      <c r="BS40" s="3">
        <v>161655.0762366875</v>
      </c>
      <c r="BT40" s="3">
        <v>162009.7606803967</v>
      </c>
      <c r="BU40" s="3">
        <v>162210.1973078687</v>
      </c>
      <c r="BV40" s="3">
        <v>162272.7423949483</v>
      </c>
      <c r="BW40" s="3">
        <v>162233.1512156903</v>
      </c>
      <c r="BX40" s="3">
        <v>162110.9706971069</v>
      </c>
      <c r="BY40" s="3">
        <v>161929.3664218231</v>
      </c>
      <c r="BZ40" s="3">
        <v>161746.3595053193</v>
      </c>
      <c r="CA40" s="3">
        <v>161573.0851345169</v>
      </c>
      <c r="CB40" s="3">
        <v>161417.2123625393</v>
      </c>
      <c r="CC40" s="3">
        <v>161299.4054981619</v>
      </c>
      <c r="CD40" s="3">
        <v>161228.659174135</v>
      </c>
      <c r="CE40" s="3">
        <v>161199.5720850001</v>
      </c>
      <c r="CF40" s="3">
        <v>161208.4190941635</v>
      </c>
      <c r="CG40" s="3">
        <v>161263.2581795963</v>
      </c>
      <c r="CH40" s="3">
        <v>161382.9225844847</v>
      </c>
      <c r="CI40" s="3">
        <v>161545.7019490479</v>
      </c>
      <c r="CJ40" s="3">
        <v>161768.5983958749</v>
      </c>
      <c r="CK40" s="3">
        <v>162028.9974218771</v>
      </c>
      <c r="CL40" s="3">
        <v>162342.812281775</v>
      </c>
      <c r="CM40" s="3">
        <v>162706.9643306897</v>
      </c>
      <c r="CN40" s="3">
        <v>163125.610187983</v>
      </c>
      <c r="CO40" s="3">
        <v>163576.8880516663</v>
      </c>
      <c r="CP40" s="3">
        <v>164066.3449068145</v>
      </c>
      <c r="CQ40" s="3">
        <v>164574.8639603916</v>
      </c>
      <c r="CR40" s="3">
        <v>165092.0509979846</v>
      </c>
      <c r="CS40" s="3">
        <v>165612.348327494</v>
      </c>
      <c r="CT40" s="3"/>
    </row>
    <row r="41" spans="1:98">
      <c r="A41" s="1" t="str">
        <f>'Population Definitions'!$B$3</f>
        <v>5-14M_aus</v>
      </c>
      <c r="C41" t="s">
        <v>47</v>
      </c>
      <c r="D41" s="3"/>
      <c r="E41" s="3">
        <v>0</v>
      </c>
      <c r="F41" s="4" t="s">
        <v>48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Definitions'!$B$4</f>
        <v>15-29M_aus</v>
      </c>
      <c r="C42" t="s">
        <v>47</v>
      </c>
      <c r="D42" s="3"/>
      <c r="E42" s="3">
        <v>0</v>
      </c>
      <c r="F42" s="4" t="s">
        <v>48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Definitions'!$B$5</f>
        <v>30-49M_aus</v>
      </c>
      <c r="C43" t="s">
        <v>47</v>
      </c>
      <c r="D43" s="3"/>
      <c r="E43" s="3">
        <v>0</v>
      </c>
      <c r="F43" s="4" t="s">
        <v>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Definitions'!$B$6</f>
        <v>50-64M_aus</v>
      </c>
      <c r="C44" t="s">
        <v>47</v>
      </c>
      <c r="D44" s="3"/>
      <c r="E44" s="3">
        <v>0</v>
      </c>
      <c r="F44" s="4" t="s">
        <v>48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Definitions'!$B$7</f>
        <v>65+M_aus</v>
      </c>
      <c r="C45" t="s">
        <v>47</v>
      </c>
      <c r="D45" s="3"/>
      <c r="E45" s="3">
        <v>0</v>
      </c>
      <c r="F45" s="4" t="s">
        <v>48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Definitions'!$B$8</f>
        <v>0-4F_aus</v>
      </c>
      <c r="C46" t="s">
        <v>47</v>
      </c>
      <c r="D46" s="3"/>
      <c r="E46" s="3"/>
      <c r="F46" s="4" t="s">
        <v>48</v>
      </c>
      <c r="G46" s="3">
        <v>103405.5303042456</v>
      </c>
      <c r="H46" s="3">
        <v>108398.8581531472</v>
      </c>
      <c r="I46" s="3">
        <v>110180.0184501163</v>
      </c>
      <c r="J46" s="3">
        <v>111469.5755650052</v>
      </c>
      <c r="K46" s="3">
        <v>107574.4544173733</v>
      </c>
      <c r="L46" s="3">
        <v>113637.3417755963</v>
      </c>
      <c r="M46" s="3">
        <v>111537.3167025882</v>
      </c>
      <c r="N46" s="3">
        <v>111610.0550517529</v>
      </c>
      <c r="O46" s="3">
        <v>112709.3358789266</v>
      </c>
      <c r="P46" s="3">
        <v>114919.4157763393</v>
      </c>
      <c r="Q46" s="3">
        <v>119939.2732457075</v>
      </c>
      <c r="R46" s="3">
        <v>117646.0233607228</v>
      </c>
      <c r="S46" s="3">
        <v>120726.2965067127</v>
      </c>
      <c r="T46" s="3">
        <v>118724.4037240555</v>
      </c>
      <c r="U46" s="3">
        <v>117297.8066211045</v>
      </c>
      <c r="V46" s="3">
        <v>116469.228396929</v>
      </c>
      <c r="W46" s="3">
        <v>114789.8442975823</v>
      </c>
      <c r="X46" s="3">
        <v>113992.3355645132</v>
      </c>
      <c r="Y46" s="3">
        <v>112798.5630882322</v>
      </c>
      <c r="Z46" s="3">
        <v>112522.0717276809</v>
      </c>
      <c r="AA46" s="3">
        <v>112272.1340435717</v>
      </c>
      <c r="AB46" s="3">
        <v>110759.4952330065</v>
      </c>
      <c r="AC46" s="3">
        <v>112766.4534102787</v>
      </c>
      <c r="AD46" s="3">
        <v>112196.3289560333</v>
      </c>
      <c r="AE46" s="3">
        <v>113688.4179732953</v>
      </c>
      <c r="AF46" s="3">
        <v>118493.933709121</v>
      </c>
      <c r="AG46" s="3">
        <v>121062.7699199504</v>
      </c>
      <c r="AH46" s="3">
        <v>131468.2776255112</v>
      </c>
      <c r="AI46" s="3">
        <v>136158.3296302035</v>
      </c>
      <c r="AJ46" s="3">
        <v>135271.0603506492</v>
      </c>
      <c r="AK46" s="3">
        <v>136398.7371038956</v>
      </c>
      <c r="AL46" s="3">
        <v>135046.0659225345</v>
      </c>
      <c r="AM46" s="3">
        <v>139323.8023930979</v>
      </c>
      <c r="AN46" s="3">
        <v>138337.042892944</v>
      </c>
      <c r="AO46" s="3">
        <v>134855.4305704779</v>
      </c>
      <c r="AP46" s="3">
        <v>137072.3265727098</v>
      </c>
      <c r="AQ46" s="3">
        <v>140523.685915108</v>
      </c>
      <c r="AR46" s="3">
        <v>139072.7836003131</v>
      </c>
      <c r="AS46" s="3">
        <v>142166.1375637265</v>
      </c>
      <c r="AT46" s="3">
        <v>137321.0914084985</v>
      </c>
      <c r="AU46" s="3">
        <v>132496.1976864838</v>
      </c>
      <c r="AV46" s="3">
        <v>139107.6190934377</v>
      </c>
      <c r="AW46" s="3">
        <v>134059.9226057315</v>
      </c>
      <c r="AX46" s="3">
        <v>135778.5886442064</v>
      </c>
      <c r="AY46" s="3">
        <v>136585.7710203026</v>
      </c>
      <c r="AZ46" s="3">
        <v>137160.0920836033</v>
      </c>
      <c r="BA46" s="3">
        <v>137533.3986388472</v>
      </c>
      <c r="BB46" s="3">
        <v>137726.1766712433</v>
      </c>
      <c r="BC46" s="3">
        <v>138283.6229390971</v>
      </c>
      <c r="BD46" s="3">
        <v>138806.4676807054</v>
      </c>
      <c r="BE46" s="3">
        <v>139340.3442308186</v>
      </c>
      <c r="BF46" s="3">
        <v>140024.2314989828</v>
      </c>
      <c r="BG46" s="3">
        <v>140617.7234338978</v>
      </c>
      <c r="BH46" s="3">
        <v>141315.2527276253</v>
      </c>
      <c r="BI46" s="3">
        <v>142203.4345876773</v>
      </c>
      <c r="BJ46" s="3">
        <v>143243.2291497621</v>
      </c>
      <c r="BK46" s="3">
        <v>144422.0613455778</v>
      </c>
      <c r="BL46" s="3">
        <v>145670.0920512957</v>
      </c>
      <c r="BM46" s="3">
        <v>146930.9178478193</v>
      </c>
      <c r="BN46" s="3">
        <v>148169.4530748956</v>
      </c>
      <c r="BO46" s="3">
        <v>149311.4934804847</v>
      </c>
      <c r="BP46" s="3">
        <v>150318.640804011</v>
      </c>
      <c r="BQ46" s="3">
        <v>151150.4926998121</v>
      </c>
      <c r="BR46" s="3">
        <v>151783.110442508</v>
      </c>
      <c r="BS46" s="3">
        <v>152244.4683014565</v>
      </c>
      <c r="BT46" s="3">
        <v>152530.3446099871</v>
      </c>
      <c r="BU46" s="3">
        <v>152671.1597695128</v>
      </c>
      <c r="BV46" s="3">
        <v>152683.4727159624</v>
      </c>
      <c r="BW46" s="3">
        <v>152601.1608005989</v>
      </c>
      <c r="BX46" s="3">
        <v>152440.031979823</v>
      </c>
      <c r="BY46" s="3">
        <v>152225.1961681749</v>
      </c>
      <c r="BZ46" s="3">
        <v>152008.2186210694</v>
      </c>
      <c r="CA46" s="3">
        <v>151801.1483207507</v>
      </c>
      <c r="CB46" s="3">
        <v>151615.6291069397</v>
      </c>
      <c r="CC46" s="3">
        <v>151467.2085456145</v>
      </c>
      <c r="CD46" s="3">
        <v>151362.5756162438</v>
      </c>
      <c r="CE46" s="3">
        <v>151300.2353580415</v>
      </c>
      <c r="CF46" s="3">
        <v>151277.483198368</v>
      </c>
      <c r="CG46" s="3">
        <v>151297.2493104707</v>
      </c>
      <c r="CH46" s="3">
        <v>151373.2071308212</v>
      </c>
      <c r="CI46" s="3">
        <v>151493.0965955342</v>
      </c>
      <c r="CJ46" s="3">
        <v>151667.1815220115</v>
      </c>
      <c r="CK46" s="3">
        <v>151874.3945902504</v>
      </c>
      <c r="CL46" s="3">
        <v>152129.6612025699</v>
      </c>
      <c r="CM46" s="3">
        <v>152427.4530098709</v>
      </c>
      <c r="CN46" s="3">
        <v>152773.16805622</v>
      </c>
      <c r="CO46" s="3">
        <v>153152.2606906647</v>
      </c>
      <c r="CP46" s="3">
        <v>153567.6194579909</v>
      </c>
      <c r="CQ46" s="3">
        <v>153995.8714368401</v>
      </c>
      <c r="CR46" s="3">
        <v>154434.2964963888</v>
      </c>
      <c r="CS46" s="3">
        <v>154872.690430733</v>
      </c>
      <c r="CT46" s="3"/>
    </row>
    <row r="47" spans="1:98">
      <c r="A47" s="1" t="str">
        <f>'Population Definitions'!$B$9</f>
        <v>5-14F_aus</v>
      </c>
      <c r="C47" t="s">
        <v>47</v>
      </c>
      <c r="D47" s="3"/>
      <c r="E47" s="3">
        <v>0</v>
      </c>
      <c r="F47" s="4" t="s">
        <v>48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Definitions'!$B$10</f>
        <v>15-29F_aus</v>
      </c>
      <c r="C48" t="s">
        <v>47</v>
      </c>
      <c r="D48" s="3"/>
      <c r="E48" s="3">
        <v>0</v>
      </c>
      <c r="F48" s="4" t="s">
        <v>48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Definitions'!$B$11</f>
        <v>30-49F_aus</v>
      </c>
      <c r="C49" t="s">
        <v>47</v>
      </c>
      <c r="D49" s="3"/>
      <c r="E49" s="3">
        <v>0</v>
      </c>
      <c r="F49" s="4" t="s">
        <v>48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Definitions'!$B$12</f>
        <v>50-64F_aus</v>
      </c>
      <c r="C50" t="s">
        <v>47</v>
      </c>
      <c r="D50" s="3"/>
      <c r="E50" s="3">
        <v>0</v>
      </c>
      <c r="F50" s="4" t="s">
        <v>48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Definitions'!$B$13</f>
        <v>65+F_aus</v>
      </c>
      <c r="C51" t="s">
        <v>47</v>
      </c>
      <c r="D51" s="3"/>
      <c r="E51" s="3">
        <v>0</v>
      </c>
      <c r="F51" s="4" t="s">
        <v>48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2" spans="1:98">
      <c r="A52" s="1" t="str">
        <f>'Population Definitions'!$B$14</f>
        <v>0-4M_oth</v>
      </c>
      <c r="C52" t="s">
        <v>47</v>
      </c>
      <c r="D52" s="3"/>
      <c r="E52" s="3">
        <v>0</v>
      </c>
      <c r="F52" s="4" t="s">
        <v>48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</row>
    <row r="53" spans="1:98">
      <c r="A53" s="1" t="str">
        <f>'Population Definitions'!$B$15</f>
        <v>5-14M_oth</v>
      </c>
      <c r="C53" t="s">
        <v>47</v>
      </c>
      <c r="D53" s="3"/>
      <c r="E53" s="3">
        <v>0</v>
      </c>
      <c r="F53" s="4" t="s">
        <v>48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</row>
    <row r="54" spans="1:98">
      <c r="A54" s="1" t="str">
        <f>'Population Definitions'!$B$16</f>
        <v>15-29M_oth</v>
      </c>
      <c r="C54" t="s">
        <v>47</v>
      </c>
      <c r="D54" s="3"/>
      <c r="E54" s="3">
        <v>0</v>
      </c>
      <c r="F54" s="4" t="s">
        <v>48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Definitions'!$B$17</f>
        <v>30-49M_oth</v>
      </c>
      <c r="C55" t="s">
        <v>47</v>
      </c>
      <c r="D55" s="3"/>
      <c r="E55" s="3">
        <v>0</v>
      </c>
      <c r="F55" s="4" t="s">
        <v>48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Definitions'!$B$18</f>
        <v>50-64M_oth</v>
      </c>
      <c r="C56" t="s">
        <v>47</v>
      </c>
      <c r="D56" s="3"/>
      <c r="E56" s="3">
        <v>0</v>
      </c>
      <c r="F56" s="4" t="s">
        <v>48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Definitions'!$B$19</f>
        <v>65+M_oth</v>
      </c>
      <c r="C57" t="s">
        <v>47</v>
      </c>
      <c r="D57" s="3"/>
      <c r="E57" s="3">
        <v>0</v>
      </c>
      <c r="F57" s="4" t="s">
        <v>48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Definitions'!$B$20</f>
        <v>0-4F_oth</v>
      </c>
      <c r="C58" t="s">
        <v>47</v>
      </c>
      <c r="D58" s="3"/>
      <c r="E58" s="3">
        <v>0</v>
      </c>
      <c r="F58" s="4" t="s">
        <v>48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Definitions'!$B$21</f>
        <v>5-14F_oth</v>
      </c>
      <c r="C59" t="s">
        <v>47</v>
      </c>
      <c r="D59" s="3"/>
      <c r="E59" s="3">
        <v>0</v>
      </c>
      <c r="F59" s="4" t="s">
        <v>48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Definitions'!$B$22</f>
        <v>15-29F_oth</v>
      </c>
      <c r="C60" t="s">
        <v>47</v>
      </c>
      <c r="D60" s="3"/>
      <c r="E60" s="3">
        <v>0</v>
      </c>
      <c r="F60" s="4" t="s">
        <v>48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Definitions'!$B$23</f>
        <v>30-49F_oth</v>
      </c>
      <c r="C61" t="s">
        <v>47</v>
      </c>
      <c r="D61" s="3"/>
      <c r="E61" s="3">
        <v>0</v>
      </c>
      <c r="F61" s="4" t="s">
        <v>48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Definitions'!$B$24</f>
        <v>50-64F_oth</v>
      </c>
      <c r="C62" t="s">
        <v>47</v>
      </c>
      <c r="D62" s="3"/>
      <c r="E62" s="3">
        <v>0</v>
      </c>
      <c r="F62" s="4" t="s">
        <v>48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Definitions'!$B$25</f>
        <v>65+F_oth</v>
      </c>
      <c r="C63" t="s">
        <v>47</v>
      </c>
      <c r="D63" s="3"/>
      <c r="E63" s="3">
        <v>0</v>
      </c>
      <c r="F63" s="4" t="s">
        <v>48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Definitions'!$B$26</f>
        <v>0-4M_fns</v>
      </c>
      <c r="C64" t="s">
        <v>47</v>
      </c>
      <c r="D64" s="3"/>
      <c r="E64" s="3"/>
      <c r="F64" s="4" t="s">
        <v>48</v>
      </c>
      <c r="G64" s="3">
        <v>6835.212637517459</v>
      </c>
      <c r="H64" s="3">
        <v>6926.910565298247</v>
      </c>
      <c r="I64" s="3">
        <v>7119.961176593199</v>
      </c>
      <c r="J64" s="3">
        <v>7131.436459956185</v>
      </c>
      <c r="K64" s="3">
        <v>7217.00189896228</v>
      </c>
      <c r="L64" s="3">
        <v>7487.076684631927</v>
      </c>
      <c r="M64" s="3">
        <v>7533.392659153527</v>
      </c>
      <c r="N64" s="3">
        <v>7678.891347236364</v>
      </c>
      <c r="O64" s="3">
        <v>7865.683903084129</v>
      </c>
      <c r="P64" s="3">
        <v>7993.261470009333</v>
      </c>
      <c r="Q64" s="3">
        <v>8097.075811944167</v>
      </c>
      <c r="R64" s="3">
        <v>8167.557206050733</v>
      </c>
      <c r="S64" s="3">
        <v>8345.012493279144</v>
      </c>
      <c r="T64" s="3">
        <v>8444.121807352065</v>
      </c>
      <c r="U64" s="3">
        <v>8625.757738305416</v>
      </c>
      <c r="V64" s="3">
        <v>8759.572377132987</v>
      </c>
      <c r="W64" s="3">
        <v>8965.562992333827</v>
      </c>
      <c r="X64" s="3">
        <v>9104.818335690019</v>
      </c>
      <c r="Y64" s="3">
        <v>9253.827720806825</v>
      </c>
      <c r="Z64" s="3">
        <v>9436.68878964812</v>
      </c>
      <c r="AA64" s="3">
        <v>9563.963632532417</v>
      </c>
      <c r="AB64" s="3">
        <v>9724.975061731289</v>
      </c>
      <c r="AC64" s="3">
        <v>9925.716862106601</v>
      </c>
      <c r="AD64" s="3">
        <v>10108.23330373869</v>
      </c>
      <c r="AE64" s="3">
        <v>10280.02030604368</v>
      </c>
      <c r="AF64" s="3">
        <v>10476.83117078809</v>
      </c>
      <c r="AG64" s="3">
        <v>10683.68431393172</v>
      </c>
      <c r="AH64" s="3">
        <v>10922.76565088925</v>
      </c>
      <c r="AI64" s="3">
        <v>11192.54806810812</v>
      </c>
      <c r="AJ64" s="3">
        <v>11392.03354345914</v>
      </c>
      <c r="AK64" s="3">
        <v>11616.58187745867</v>
      </c>
      <c r="AL64" s="3">
        <v>11844.87197634982</v>
      </c>
      <c r="AM64" s="3">
        <v>11909.13669775145</v>
      </c>
      <c r="AN64" s="3">
        <v>11829.87594564137</v>
      </c>
      <c r="AO64" s="3">
        <v>11679.64204759493</v>
      </c>
      <c r="AP64" s="3">
        <v>11732.47335399187</v>
      </c>
      <c r="AQ64" s="3">
        <v>11521.58308027005</v>
      </c>
      <c r="AR64" s="3">
        <v>11435.09230459863</v>
      </c>
      <c r="AS64" s="3">
        <v>11525.27721229773</v>
      </c>
      <c r="AT64" s="3">
        <v>11404.63198461959</v>
      </c>
      <c r="AU64" s="3">
        <v>11161.65175780324</v>
      </c>
      <c r="AV64" s="3">
        <v>12402.96997460481</v>
      </c>
      <c r="AW64" s="3">
        <v>12656.021596191</v>
      </c>
      <c r="AX64" s="3">
        <v>12865.09764815424</v>
      </c>
      <c r="AY64" s="3">
        <v>13075.78630728131</v>
      </c>
      <c r="AZ64" s="3">
        <v>13288.1235298851</v>
      </c>
      <c r="BA64" s="3">
        <v>13498.72006664436</v>
      </c>
      <c r="BB64" s="3">
        <v>13738.70849661384</v>
      </c>
      <c r="BC64" s="3">
        <v>13960.03614138516</v>
      </c>
      <c r="BD64" s="3">
        <v>14163.83189472658</v>
      </c>
      <c r="BE64" s="3">
        <v>14349.52737683956</v>
      </c>
      <c r="BF64" s="3">
        <v>14366.39036291761</v>
      </c>
      <c r="BG64" s="3">
        <v>14599.62652383589</v>
      </c>
      <c r="BH64" s="3">
        <v>14897.02617328615</v>
      </c>
      <c r="BI64" s="3">
        <v>15184.8567242959</v>
      </c>
      <c r="BJ64" s="3">
        <v>15478.79135770601</v>
      </c>
      <c r="BK64" s="3">
        <v>15749.41833021626</v>
      </c>
      <c r="BL64" s="3">
        <v>16022.11401490062</v>
      </c>
      <c r="BM64" s="3">
        <v>16324.00748502296</v>
      </c>
      <c r="BN64" s="3">
        <v>16611.81254984082</v>
      </c>
      <c r="BO64" s="3">
        <v>16905.25277414305</v>
      </c>
      <c r="BP64" s="3">
        <v>17193.20778730947</v>
      </c>
      <c r="BQ64" s="3">
        <v>17475.59646413516</v>
      </c>
      <c r="BR64" s="3">
        <v>17761.97867152239</v>
      </c>
      <c r="BS64" s="3">
        <v>18052.49930634146</v>
      </c>
      <c r="BT64" s="3">
        <v>18341.63221681735</v>
      </c>
      <c r="BU64" s="3">
        <v>18616.3812503143</v>
      </c>
      <c r="BV64" s="3">
        <v>18897.57180293273</v>
      </c>
      <c r="BW64" s="3">
        <v>19178.46349354269</v>
      </c>
      <c r="BX64" s="3">
        <v>19472.55439567812</v>
      </c>
      <c r="BY64" s="3">
        <v>19777.9987877729</v>
      </c>
      <c r="BZ64" s="3">
        <v>20074.76113644674</v>
      </c>
      <c r="CA64" s="3">
        <v>20369.80286829312</v>
      </c>
      <c r="CB64" s="3">
        <v>20687.56932515869</v>
      </c>
      <c r="CC64" s="3">
        <v>21008.97255458507</v>
      </c>
      <c r="CD64" s="3">
        <v>21324.51705573604</v>
      </c>
      <c r="CE64" s="3">
        <v>21646.8571145059</v>
      </c>
      <c r="CF64" s="3">
        <v>21977.79071648647</v>
      </c>
      <c r="CG64" s="3">
        <v>22301.39453641973</v>
      </c>
      <c r="CH64" s="3">
        <v>22624.07223913234</v>
      </c>
      <c r="CI64" s="3">
        <v>22957.62403450914</v>
      </c>
      <c r="CJ64" s="3">
        <v>23295.5426200151</v>
      </c>
      <c r="CK64" s="3">
        <v>23651.6409243869</v>
      </c>
      <c r="CL64" s="3">
        <v>24014.91910486203</v>
      </c>
      <c r="CM64" s="3">
        <v>24382.00623995632</v>
      </c>
      <c r="CN64" s="3">
        <v>24746.32188102706</v>
      </c>
      <c r="CO64" s="3">
        <v>25129.79867915067</v>
      </c>
      <c r="CP64" s="3">
        <v>25511.57743579151</v>
      </c>
      <c r="CQ64" s="3">
        <v>25902.75228164638</v>
      </c>
      <c r="CR64" s="3">
        <v>26302.74834053341</v>
      </c>
      <c r="CS64" s="3">
        <v>26699.91706430803</v>
      </c>
      <c r="CT64" s="3"/>
    </row>
    <row r="65" spans="1:98">
      <c r="A65" s="1" t="str">
        <f>'Population Definitions'!$B$27</f>
        <v>5-14M_fns</v>
      </c>
      <c r="C65" t="s">
        <v>47</v>
      </c>
      <c r="D65" s="3"/>
      <c r="E65" s="3">
        <v>0</v>
      </c>
      <c r="F65" s="4" t="s">
        <v>48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Definitions'!$B$28</f>
        <v>15-29M_fns</v>
      </c>
      <c r="C66" t="s">
        <v>47</v>
      </c>
      <c r="D66" s="3"/>
      <c r="E66" s="3">
        <v>0</v>
      </c>
      <c r="F66" s="4" t="s">
        <v>48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Definitions'!$B$29</f>
        <v>30-49M_fns</v>
      </c>
      <c r="C67" t="s">
        <v>47</v>
      </c>
      <c r="D67" s="3"/>
      <c r="E67" s="3">
        <v>0</v>
      </c>
      <c r="F67" s="4" t="s">
        <v>48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Definitions'!$B$30</f>
        <v>50-64M_fns</v>
      </c>
      <c r="C68" t="s">
        <v>47</v>
      </c>
      <c r="D68" s="3"/>
      <c r="E68" s="3">
        <v>0</v>
      </c>
      <c r="F68" s="4" t="s">
        <v>48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Definitions'!$B$31</f>
        <v>65+M_fns</v>
      </c>
      <c r="C69" t="s">
        <v>47</v>
      </c>
      <c r="D69" s="3"/>
      <c r="E69" s="3">
        <v>0</v>
      </c>
      <c r="F69" s="4" t="s">
        <v>48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Definitions'!$B$32</f>
        <v>0-4F_fns</v>
      </c>
      <c r="C70" t="s">
        <v>47</v>
      </c>
      <c r="D70" s="3"/>
      <c r="E70" s="3"/>
      <c r="F70" s="4" t="s">
        <v>48</v>
      </c>
      <c r="G70" s="3">
        <v>6173.469695754364</v>
      </c>
      <c r="H70" s="3">
        <v>6273.141846852785</v>
      </c>
      <c r="I70" s="3">
        <v>6468.981549883745</v>
      </c>
      <c r="J70" s="3">
        <v>6542.424434994788</v>
      </c>
      <c r="K70" s="3">
        <v>6643.545582626728</v>
      </c>
      <c r="L70" s="3">
        <v>6897.65822440368</v>
      </c>
      <c r="M70" s="3">
        <v>6956.683297411808</v>
      </c>
      <c r="N70" s="3">
        <v>7083.944948247125</v>
      </c>
      <c r="O70" s="3">
        <v>7260.664121073409</v>
      </c>
      <c r="P70" s="3">
        <v>7423.584223660702</v>
      </c>
      <c r="Q70" s="3">
        <v>7514.726754292453</v>
      </c>
      <c r="R70" s="3">
        <v>7635.9766392772</v>
      </c>
      <c r="S70" s="3">
        <v>7823.703493287314</v>
      </c>
      <c r="T70" s="3">
        <v>7932.596275944474</v>
      </c>
      <c r="U70" s="3">
        <v>8128.193378895485</v>
      </c>
      <c r="V70" s="3">
        <v>8288.771603070971</v>
      </c>
      <c r="W70" s="3">
        <v>8472.155702417753</v>
      </c>
      <c r="X70" s="3">
        <v>8670.664435486789</v>
      </c>
      <c r="Y70" s="3">
        <v>8801.436911767785</v>
      </c>
      <c r="Z70" s="3">
        <v>8990.928272319099</v>
      </c>
      <c r="AA70" s="3">
        <v>9173.865956428257</v>
      </c>
      <c r="AB70" s="3">
        <v>9336.504766993508</v>
      </c>
      <c r="AC70" s="3">
        <v>9598.546589721351</v>
      </c>
      <c r="AD70" s="3">
        <v>9771.671043966693</v>
      </c>
      <c r="AE70" s="3">
        <v>9957.582026704651</v>
      </c>
      <c r="AF70" s="3">
        <v>10152.06629087903</v>
      </c>
      <c r="AG70" s="3">
        <v>10391.23008004956</v>
      </c>
      <c r="AH70" s="3">
        <v>10654.72237448885</v>
      </c>
      <c r="AI70" s="3">
        <v>10909.67036979644</v>
      </c>
      <c r="AJ70" s="3">
        <v>11106.93964935079</v>
      </c>
      <c r="AK70" s="3">
        <v>11328.26289610436</v>
      </c>
      <c r="AL70" s="3">
        <v>11574.93407746552</v>
      </c>
      <c r="AM70" s="3">
        <v>11270.19760690211</v>
      </c>
      <c r="AN70" s="3">
        <v>11021.95710705601</v>
      </c>
      <c r="AO70" s="3">
        <v>11249.56942952215</v>
      </c>
      <c r="AP70" s="3">
        <v>11216.67342729015</v>
      </c>
      <c r="AQ70" s="3">
        <v>11043.31408489196</v>
      </c>
      <c r="AR70" s="3">
        <v>10848.21639968691</v>
      </c>
      <c r="AS70" s="3">
        <v>10892.86243627353</v>
      </c>
      <c r="AT70" s="3">
        <v>11034.90859150147</v>
      </c>
      <c r="AU70" s="3">
        <v>10929.80231351619</v>
      </c>
      <c r="AV70" s="3">
        <v>11971.38090656228</v>
      </c>
      <c r="AW70" s="3">
        <v>12192.6321387945</v>
      </c>
      <c r="AX70" s="3">
        <v>12391.87413660457</v>
      </c>
      <c r="AY70" s="3">
        <v>12597.65522476437</v>
      </c>
      <c r="AZ70" s="3">
        <v>12809.37882715968</v>
      </c>
      <c r="BA70" s="3">
        <v>13023.29078039783</v>
      </c>
      <c r="BB70" s="3">
        <v>13267.81792152267</v>
      </c>
      <c r="BC70" s="3">
        <v>13496.99674888886</v>
      </c>
      <c r="BD70" s="3">
        <v>13711.25933328763</v>
      </c>
      <c r="BE70" s="3">
        <v>13911.73668301936</v>
      </c>
      <c r="BF70" s="3">
        <v>14001.97347280121</v>
      </c>
      <c r="BG70" s="3">
        <v>14257.02233966817</v>
      </c>
      <c r="BH70" s="3">
        <v>14574.95911468677</v>
      </c>
      <c r="BI70" s="3">
        <v>14884.91038851874</v>
      </c>
      <c r="BJ70" s="3">
        <v>15203.20279449187</v>
      </c>
      <c r="BK70" s="3">
        <v>15502.64946754224</v>
      </c>
      <c r="BL70" s="3">
        <v>15804.3027082793</v>
      </c>
      <c r="BM70" s="3">
        <v>16137.16878174472</v>
      </c>
      <c r="BN70" s="3">
        <v>16461.13379417938</v>
      </c>
      <c r="BO70" s="3">
        <v>16793.03240157929</v>
      </c>
      <c r="BP70" s="3">
        <v>17122.56014696999</v>
      </c>
      <c r="BQ70" s="3">
        <v>17444.77706533493</v>
      </c>
      <c r="BR70" s="3">
        <v>17770.60939203801</v>
      </c>
      <c r="BS70" s="3">
        <v>18094.46586255245</v>
      </c>
      <c r="BT70" s="3">
        <v>18418.84297031088</v>
      </c>
      <c r="BU70" s="3">
        <v>18728.44075957016</v>
      </c>
      <c r="BV70" s="3">
        <v>19041.94358534658</v>
      </c>
      <c r="BW70" s="3">
        <v>19352.97636455009</v>
      </c>
      <c r="BX70" s="3">
        <v>19677.05341618197</v>
      </c>
      <c r="BY70" s="3">
        <v>20009.27322480708</v>
      </c>
      <c r="BZ70" s="3">
        <v>20334.07582610159</v>
      </c>
      <c r="CA70" s="3">
        <v>20656.56542598824</v>
      </c>
      <c r="CB70" s="3">
        <v>20995.53836955134</v>
      </c>
      <c r="CC70" s="3">
        <v>21336.94126741649</v>
      </c>
      <c r="CD70" s="3">
        <v>21673.6103836332</v>
      </c>
      <c r="CE70" s="3">
        <v>22013.91554196451</v>
      </c>
      <c r="CF70" s="3">
        <v>22358.734631632</v>
      </c>
      <c r="CG70" s="3">
        <v>22697.68217390527</v>
      </c>
      <c r="CH70" s="3">
        <v>23041.00597213277</v>
      </c>
      <c r="CI70" s="3">
        <v>23391.5725831928</v>
      </c>
      <c r="CJ70" s="3">
        <v>23749.06588641452</v>
      </c>
      <c r="CK70" s="3">
        <v>24126.21047729861</v>
      </c>
      <c r="CL70" s="3">
        <v>24512.73821604312</v>
      </c>
      <c r="CM70" s="3">
        <v>24908.06411870309</v>
      </c>
      <c r="CN70" s="3">
        <v>25304.49267269998</v>
      </c>
      <c r="CO70" s="3">
        <v>25716.63668451727</v>
      </c>
      <c r="CP70" s="3">
        <v>26127.09366296206</v>
      </c>
      <c r="CQ70" s="3">
        <v>26551.63211011588</v>
      </c>
      <c r="CR70" s="3">
        <v>26982.57491452921</v>
      </c>
      <c r="CS70" s="3">
        <v>27413.81704964802</v>
      </c>
      <c r="CT70" s="3"/>
    </row>
    <row r="71" spans="1:98">
      <c r="A71" s="1" t="str">
        <f>'Population Definitions'!$B$33</f>
        <v>5-14F_fns</v>
      </c>
      <c r="C71" t="s">
        <v>47</v>
      </c>
      <c r="D71" s="3"/>
      <c r="E71" s="3">
        <v>0</v>
      </c>
      <c r="F71" s="4" t="s">
        <v>48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Definitions'!$B$34</f>
        <v>15-29F_fns</v>
      </c>
      <c r="C72" t="s">
        <v>47</v>
      </c>
      <c r="D72" s="3"/>
      <c r="E72" s="3">
        <v>0</v>
      </c>
      <c r="F72" s="4" t="s">
        <v>48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Definitions'!$B$35</f>
        <v>30-49F_fns</v>
      </c>
      <c r="C73" t="s">
        <v>47</v>
      </c>
      <c r="D73" s="3"/>
      <c r="E73" s="3">
        <v>0</v>
      </c>
      <c r="F73" s="4" t="s">
        <v>48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Definitions'!$B$36</f>
        <v>50-64F_fns</v>
      </c>
      <c r="C74" t="s">
        <v>47</v>
      </c>
      <c r="D74" s="3"/>
      <c r="E74" s="3">
        <v>0</v>
      </c>
      <c r="F74" s="4" t="s">
        <v>48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Definitions'!$B$37</f>
        <v>65+F_fns</v>
      </c>
      <c r="C75" t="s">
        <v>47</v>
      </c>
      <c r="D75" s="3"/>
      <c r="E75" s="3">
        <v>0</v>
      </c>
      <c r="F75" s="4" t="s">
        <v>48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7" spans="1:98">
      <c r="A77" s="1" t="s">
        <v>49</v>
      </c>
      <c r="B77" s="1" t="s">
        <v>41</v>
      </c>
      <c r="C77" s="1" t="s">
        <v>42</v>
      </c>
      <c r="D77" s="1" t="s">
        <v>43</v>
      </c>
      <c r="E77" s="1" t="s">
        <v>46</v>
      </c>
      <c r="F77" s="1"/>
      <c r="G77" s="1">
        <v>1980</v>
      </c>
      <c r="H77" s="1">
        <v>1981</v>
      </c>
      <c r="I77" s="1">
        <v>1982</v>
      </c>
      <c r="J77" s="1">
        <v>1983</v>
      </c>
      <c r="K77" s="1">
        <v>1984</v>
      </c>
      <c r="L77" s="1">
        <v>1985</v>
      </c>
      <c r="M77" s="1">
        <v>1986</v>
      </c>
      <c r="N77" s="1">
        <v>1987</v>
      </c>
      <c r="O77" s="1">
        <v>1988</v>
      </c>
      <c r="P77" s="1">
        <v>1989</v>
      </c>
      <c r="Q77" s="1">
        <v>1990</v>
      </c>
      <c r="R77" s="1">
        <v>1991</v>
      </c>
      <c r="S77" s="1">
        <v>1992</v>
      </c>
      <c r="T77" s="1">
        <v>1993</v>
      </c>
      <c r="U77" s="1">
        <v>1994</v>
      </c>
      <c r="V77" s="1">
        <v>1995</v>
      </c>
      <c r="W77" s="1">
        <v>1996</v>
      </c>
      <c r="X77" s="1">
        <v>1997</v>
      </c>
      <c r="Y77" s="1">
        <v>1998</v>
      </c>
      <c r="Z77" s="1">
        <v>1999</v>
      </c>
      <c r="AA77" s="1">
        <v>2000</v>
      </c>
      <c r="AB77" s="1">
        <v>2001</v>
      </c>
      <c r="AC77" s="1">
        <v>2002</v>
      </c>
      <c r="AD77" s="1">
        <v>2003</v>
      </c>
      <c r="AE77" s="1">
        <v>2004</v>
      </c>
      <c r="AF77" s="1">
        <v>2005</v>
      </c>
      <c r="AG77" s="1">
        <v>2006</v>
      </c>
      <c r="AH77" s="1">
        <v>2007</v>
      </c>
      <c r="AI77" s="1">
        <v>2008</v>
      </c>
      <c r="AJ77" s="1">
        <v>2009</v>
      </c>
      <c r="AK77" s="1">
        <v>2010</v>
      </c>
      <c r="AL77" s="1">
        <v>2011</v>
      </c>
      <c r="AM77" s="1">
        <v>2012</v>
      </c>
      <c r="AN77" s="1">
        <v>2013</v>
      </c>
      <c r="AO77" s="1">
        <v>2014</v>
      </c>
      <c r="AP77" s="1">
        <v>2015</v>
      </c>
      <c r="AQ77" s="1">
        <v>2016</v>
      </c>
      <c r="AR77" s="1">
        <v>2017</v>
      </c>
      <c r="AS77" s="1">
        <v>2018</v>
      </c>
      <c r="AT77" s="1">
        <v>2019</v>
      </c>
      <c r="AU77" s="1">
        <v>2020</v>
      </c>
      <c r="AV77" s="1">
        <v>2021</v>
      </c>
      <c r="AW77" s="1">
        <v>2022</v>
      </c>
      <c r="AX77" s="1">
        <v>2023</v>
      </c>
      <c r="AY77" s="1">
        <v>2024</v>
      </c>
      <c r="AZ77" s="1">
        <v>2025</v>
      </c>
      <c r="BA77" s="1">
        <v>2026</v>
      </c>
      <c r="BB77" s="1">
        <v>2027</v>
      </c>
      <c r="BC77" s="1">
        <v>2028</v>
      </c>
      <c r="BD77" s="1">
        <v>2029</v>
      </c>
      <c r="BE77" s="1">
        <v>2030</v>
      </c>
      <c r="BF77" s="1">
        <v>2031</v>
      </c>
      <c r="BG77" s="1">
        <v>2032</v>
      </c>
      <c r="BH77" s="1">
        <v>2033</v>
      </c>
      <c r="BI77" s="1">
        <v>2034</v>
      </c>
      <c r="BJ77" s="1">
        <v>2035</v>
      </c>
      <c r="BK77" s="1">
        <v>2036</v>
      </c>
      <c r="BL77" s="1">
        <v>2037</v>
      </c>
      <c r="BM77" s="1">
        <v>2038</v>
      </c>
      <c r="BN77" s="1">
        <v>2039</v>
      </c>
      <c r="BO77" s="1">
        <v>2040</v>
      </c>
      <c r="BP77" s="1">
        <v>2041</v>
      </c>
      <c r="BQ77" s="1">
        <v>2042</v>
      </c>
      <c r="BR77" s="1">
        <v>2043</v>
      </c>
      <c r="BS77" s="1">
        <v>2044</v>
      </c>
      <c r="BT77" s="1">
        <v>2045</v>
      </c>
      <c r="BU77" s="1">
        <v>2046</v>
      </c>
      <c r="BV77" s="1">
        <v>2047</v>
      </c>
      <c r="BW77" s="1">
        <v>2048</v>
      </c>
      <c r="BX77" s="1">
        <v>2049</v>
      </c>
      <c r="BY77" s="1">
        <v>2050</v>
      </c>
      <c r="BZ77" s="1">
        <v>2051</v>
      </c>
      <c r="CA77" s="1">
        <v>2052</v>
      </c>
      <c r="CB77" s="1">
        <v>2053</v>
      </c>
      <c r="CC77" s="1">
        <v>2054</v>
      </c>
      <c r="CD77" s="1">
        <v>2055</v>
      </c>
      <c r="CE77" s="1">
        <v>2056</v>
      </c>
      <c r="CF77" s="1">
        <v>2057</v>
      </c>
      <c r="CG77" s="1">
        <v>2058</v>
      </c>
      <c r="CH77" s="1">
        <v>2059</v>
      </c>
      <c r="CI77" s="1">
        <v>2060</v>
      </c>
      <c r="CJ77" s="1">
        <v>2061</v>
      </c>
      <c r="CK77" s="1">
        <v>2062</v>
      </c>
      <c r="CL77" s="1">
        <v>2063</v>
      </c>
      <c r="CM77" s="1">
        <v>2064</v>
      </c>
      <c r="CN77" s="1">
        <v>2065</v>
      </c>
      <c r="CO77" s="1">
        <v>2066</v>
      </c>
      <c r="CP77" s="1">
        <v>2067</v>
      </c>
      <c r="CQ77" s="1">
        <v>2068</v>
      </c>
      <c r="CR77" s="1">
        <v>2069</v>
      </c>
      <c r="CS77" s="1">
        <v>2070</v>
      </c>
      <c r="CT77" s="1">
        <v>2071</v>
      </c>
    </row>
    <row r="78" spans="1:98">
      <c r="A78" s="1" t="str">
        <f>'Population Definitions'!$B$2</f>
        <v>0-4M_aus</v>
      </c>
      <c r="C78" t="s">
        <v>47</v>
      </c>
      <c r="D78" s="3"/>
      <c r="E78" s="3"/>
      <c r="F78" s="4" t="s">
        <v>48</v>
      </c>
      <c r="G78" s="3">
        <v>714.1855887521966</v>
      </c>
      <c r="H78" s="3">
        <v>826.0438743260827</v>
      </c>
      <c r="I78" s="3">
        <v>771.7096744696419</v>
      </c>
      <c r="J78" s="3">
        <v>554.986416404037</v>
      </c>
      <c r="K78" s="3">
        <v>478.1007714653996</v>
      </c>
      <c r="L78" s="3">
        <v>615.6150983033816</v>
      </c>
      <c r="M78" s="3">
        <v>694.8718097179121</v>
      </c>
      <c r="N78" s="3">
        <v>670.5692337320522</v>
      </c>
      <c r="O78" s="3">
        <v>773.9871185878155</v>
      </c>
      <c r="P78" s="3">
        <v>754.2899199449082</v>
      </c>
      <c r="Q78" s="3">
        <v>699.5074046211714</v>
      </c>
      <c r="R78" s="3">
        <v>708.174460431655</v>
      </c>
      <c r="S78" s="3">
        <v>668.1697306303806</v>
      </c>
      <c r="T78" s="3">
        <v>582.6840878070975</v>
      </c>
      <c r="U78" s="3">
        <v>575.2863372093025</v>
      </c>
      <c r="V78" s="3">
        <v>865.0214067278285</v>
      </c>
      <c r="W78" s="3">
        <v>2017.336438356164</v>
      </c>
      <c r="X78" s="3">
        <v>646.6117685656031</v>
      </c>
      <c r="Y78" s="3">
        <v>366.4123510556282</v>
      </c>
      <c r="Z78" s="3">
        <v>439.5843493648862</v>
      </c>
      <c r="AA78" s="3">
        <v>493.1713681558462</v>
      </c>
      <c r="AB78" s="3">
        <v>563.4109266507697</v>
      </c>
      <c r="AC78" s="3">
        <v>571.1500877311374</v>
      </c>
      <c r="AD78" s="3">
        <v>604.1882995156037</v>
      </c>
      <c r="AE78" s="3">
        <v>1595.942355008787</v>
      </c>
      <c r="AF78" s="3">
        <v>1676.594693649908</v>
      </c>
      <c r="AG78" s="3">
        <v>1629.191752011705</v>
      </c>
      <c r="AH78" s="3">
        <v>1335.213926676507</v>
      </c>
      <c r="AI78" s="3">
        <v>1572.19092325747</v>
      </c>
      <c r="AJ78" s="3">
        <v>1849.211129632589</v>
      </c>
      <c r="AK78" s="3">
        <v>1756.197716429664</v>
      </c>
      <c r="AL78" s="3">
        <v>1580.79765904179</v>
      </c>
      <c r="AM78" s="3">
        <v>1676.180692401834</v>
      </c>
      <c r="AN78" s="3">
        <v>1544.963587845399</v>
      </c>
      <c r="AO78" s="3">
        <v>1475.907834497582</v>
      </c>
      <c r="AP78" s="3">
        <v>1420.800359712231</v>
      </c>
      <c r="AQ78" s="3">
        <v>1393.527705267056</v>
      </c>
      <c r="AR78" s="3">
        <v>1451.280899302396</v>
      </c>
      <c r="AS78" s="3">
        <v>1277.721947674419</v>
      </c>
      <c r="AT78" s="3">
        <v>1615.672684226102</v>
      </c>
      <c r="AU78" s="3">
        <v>3735.470136986301</v>
      </c>
      <c r="AV78" s="3">
        <v>438.24636186816</v>
      </c>
      <c r="AW78" s="3">
        <v>613.0421845625326</v>
      </c>
      <c r="AX78" s="3">
        <v>838.5514464390151</v>
      </c>
      <c r="AY78" s="3">
        <v>762.3874267032583</v>
      </c>
      <c r="AZ78" s="3">
        <v>752.5666981598952</v>
      </c>
      <c r="BA78" s="3">
        <v>742.6925960918397</v>
      </c>
      <c r="BB78" s="3">
        <v>732.7651204990922</v>
      </c>
      <c r="BC78" s="3">
        <v>723.1578860544978</v>
      </c>
      <c r="BD78" s="3">
        <v>713.3371575111346</v>
      </c>
      <c r="BE78" s="3">
        <v>702.6624525726965</v>
      </c>
      <c r="BF78" s="3">
        <v>692.8950975540254</v>
      </c>
      <c r="BG78" s="3">
        <v>682.2203926155872</v>
      </c>
      <c r="BH78" s="3">
        <v>682.2203926155872</v>
      </c>
      <c r="BI78" s="3">
        <v>682.2203926155872</v>
      </c>
      <c r="BJ78" s="3">
        <v>682.2203926155872</v>
      </c>
      <c r="BK78" s="3">
        <v>682.2203926155872</v>
      </c>
      <c r="BL78" s="3">
        <v>682.2203926155872</v>
      </c>
      <c r="BM78" s="3">
        <v>682.2203926155872</v>
      </c>
      <c r="BN78" s="3">
        <v>682.2203926155872</v>
      </c>
      <c r="BO78" s="3">
        <v>682.2203926155872</v>
      </c>
      <c r="BP78" s="3">
        <v>682.2203926155872</v>
      </c>
      <c r="BQ78" s="3">
        <v>682.2203926155872</v>
      </c>
      <c r="BR78" s="3">
        <v>682.2203926155872</v>
      </c>
      <c r="BS78" s="3">
        <v>682.2203926155872</v>
      </c>
      <c r="BT78" s="3">
        <v>682.2203926155872</v>
      </c>
      <c r="BU78" s="3">
        <v>682.2203926155872</v>
      </c>
      <c r="BV78" s="3">
        <v>682.2203926155872</v>
      </c>
      <c r="BW78" s="3">
        <v>682.2203926155872</v>
      </c>
      <c r="BX78" s="3">
        <v>682.2203926155872</v>
      </c>
      <c r="BY78" s="3">
        <v>682.2203926155872</v>
      </c>
      <c r="BZ78" s="3">
        <v>682.2203926155872</v>
      </c>
      <c r="CA78" s="3">
        <v>682.2203926155872</v>
      </c>
      <c r="CB78" s="3">
        <v>682.2203926155872</v>
      </c>
      <c r="CC78" s="3">
        <v>682.2203926155872</v>
      </c>
      <c r="CD78" s="3">
        <v>682.2203926155872</v>
      </c>
      <c r="CE78" s="3">
        <v>682.2203926155872</v>
      </c>
      <c r="CF78" s="3">
        <v>682.2203926155872</v>
      </c>
      <c r="CG78" s="3">
        <v>682.2203926155872</v>
      </c>
      <c r="CH78" s="3">
        <v>682.2203926155872</v>
      </c>
      <c r="CI78" s="3">
        <v>682.2203926155872</v>
      </c>
      <c r="CJ78" s="3">
        <v>682.2203926155872</v>
      </c>
      <c r="CK78" s="3">
        <v>682.2203926155872</v>
      </c>
      <c r="CL78" s="3">
        <v>682.2203926155872</v>
      </c>
      <c r="CM78" s="3">
        <v>682.2203926155872</v>
      </c>
      <c r="CN78" s="3">
        <v>682.2203926155872</v>
      </c>
      <c r="CO78" s="3">
        <v>682.2203926155872</v>
      </c>
      <c r="CP78" s="3">
        <v>682.2203926155872</v>
      </c>
      <c r="CQ78" s="3">
        <v>682.2203926155872</v>
      </c>
      <c r="CR78" s="3">
        <v>682.2203926155872</v>
      </c>
      <c r="CS78" s="3">
        <v>682.2203926155872</v>
      </c>
      <c r="CT78" s="3">
        <v>682.2203926155872</v>
      </c>
    </row>
    <row r="79" spans="1:98">
      <c r="A79" s="1" t="str">
        <f>'Population Definitions'!$B$3</f>
        <v>5-14M_aus</v>
      </c>
      <c r="C79" t="s">
        <v>47</v>
      </c>
      <c r="D79" s="3"/>
      <c r="E79" s="3"/>
      <c r="F79" s="4" t="s">
        <v>48</v>
      </c>
      <c r="G79" s="3">
        <v>1060.545518453427</v>
      </c>
      <c r="H79" s="3">
        <v>1226.412769234855</v>
      </c>
      <c r="I79" s="3">
        <v>1145.890270665692</v>
      </c>
      <c r="J79" s="3">
        <v>824.1511150117682</v>
      </c>
      <c r="K79" s="3">
        <v>709.8709863598764</v>
      </c>
      <c r="L79" s="3">
        <v>914.0838261822662</v>
      </c>
      <c r="M79" s="3">
        <v>1031.783083977952</v>
      </c>
      <c r="N79" s="3">
        <v>995.6740204994328</v>
      </c>
      <c r="O79" s="3">
        <v>1149.320749237694</v>
      </c>
      <c r="P79" s="3">
        <v>1120.021348024447</v>
      </c>
      <c r="Q79" s="3">
        <v>1038.75305749597</v>
      </c>
      <c r="R79" s="3">
        <v>1051.528776978418</v>
      </c>
      <c r="S79" s="3">
        <v>992.0794223826716</v>
      </c>
      <c r="T79" s="3">
        <v>865.1975849256902</v>
      </c>
      <c r="U79" s="3">
        <v>854.2269258720933</v>
      </c>
      <c r="V79" s="3">
        <v>1284.538226299694</v>
      </c>
      <c r="W79" s="3">
        <v>2995.577260273972</v>
      </c>
      <c r="X79" s="3">
        <v>960.1824807255167</v>
      </c>
      <c r="Y79" s="3">
        <v>544.0350568727426</v>
      </c>
      <c r="Z79" s="3">
        <v>652.7048334608055</v>
      </c>
      <c r="AA79" s="3">
        <v>732.2847587768625</v>
      </c>
      <c r="AB79" s="3">
        <v>836.5766260254039</v>
      </c>
      <c r="AC79" s="3">
        <v>848.1053073589172</v>
      </c>
      <c r="AD79" s="3">
        <v>897.1022030263488</v>
      </c>
      <c r="AE79" s="3">
        <v>2735.841827768013</v>
      </c>
      <c r="AF79" s="3">
        <v>2937.237271930523</v>
      </c>
      <c r="AG79" s="3">
        <v>2846.942117776153</v>
      </c>
      <c r="AH79" s="3">
        <v>2175.597678222363</v>
      </c>
      <c r="AI79" s="3">
        <v>2444.181534850614</v>
      </c>
      <c r="AJ79" s="3">
        <v>2839.997807868836</v>
      </c>
      <c r="AK79" s="3">
        <v>2427.065982676364</v>
      </c>
      <c r="AL79" s="3">
        <v>2212.921789741724</v>
      </c>
      <c r="AM79" s="3">
        <v>2263.819992117654</v>
      </c>
      <c r="AN79" s="3">
        <v>2165.381251614014</v>
      </c>
      <c r="AO79" s="3">
        <v>1921.827619559377</v>
      </c>
      <c r="AP79" s="3">
        <v>1875.935251798562</v>
      </c>
      <c r="AQ79" s="3">
        <v>1934.601980931223</v>
      </c>
      <c r="AR79" s="3">
        <v>2052.188618441007</v>
      </c>
      <c r="AS79" s="3">
        <v>1872.795203488373</v>
      </c>
      <c r="AT79" s="3">
        <v>2415.90431094012</v>
      </c>
      <c r="AU79" s="3">
        <v>6012.960821917808</v>
      </c>
      <c r="AV79" s="3">
        <v>681.9528976167596</v>
      </c>
      <c r="AW79" s="3">
        <v>1118.972909368786</v>
      </c>
      <c r="AX79" s="3">
        <v>1510.417375264317</v>
      </c>
      <c r="AY79" s="3">
        <v>1297.617132316551</v>
      </c>
      <c r="AZ79" s="3">
        <v>1270.876996445763</v>
      </c>
      <c r="BA79" s="3">
        <v>1244.350354673744</v>
      </c>
      <c r="BB79" s="3">
        <v>1217.770339377033</v>
      </c>
      <c r="BC79" s="3">
        <v>1191.350444654398</v>
      </c>
      <c r="BD79" s="3">
        <v>1165.357538129301</v>
      </c>
      <c r="BE79" s="3">
        <v>1137.336437665901</v>
      </c>
      <c r="BF79" s="3">
        <v>1111.450278190188</v>
      </c>
      <c r="BG79" s="3">
        <v>1083.696045350249</v>
      </c>
      <c r="BH79" s="3">
        <v>1083.696045350249</v>
      </c>
      <c r="BI79" s="3">
        <v>1083.696045350249</v>
      </c>
      <c r="BJ79" s="3">
        <v>1083.696045350249</v>
      </c>
      <c r="BK79" s="3">
        <v>1083.696045350249</v>
      </c>
      <c r="BL79" s="3">
        <v>1083.696045350249</v>
      </c>
      <c r="BM79" s="3">
        <v>1083.696045350249</v>
      </c>
      <c r="BN79" s="3">
        <v>1083.696045350249</v>
      </c>
      <c r="BO79" s="3">
        <v>1083.696045350249</v>
      </c>
      <c r="BP79" s="3">
        <v>1083.696045350249</v>
      </c>
      <c r="BQ79" s="3">
        <v>1083.696045350249</v>
      </c>
      <c r="BR79" s="3">
        <v>1083.696045350249</v>
      </c>
      <c r="BS79" s="3">
        <v>1083.696045350249</v>
      </c>
      <c r="BT79" s="3">
        <v>1083.696045350249</v>
      </c>
      <c r="BU79" s="3">
        <v>1083.696045350249</v>
      </c>
      <c r="BV79" s="3">
        <v>1083.696045350249</v>
      </c>
      <c r="BW79" s="3">
        <v>1083.696045350249</v>
      </c>
      <c r="BX79" s="3">
        <v>1083.696045350249</v>
      </c>
      <c r="BY79" s="3">
        <v>1083.696045350249</v>
      </c>
      <c r="BZ79" s="3">
        <v>1083.696045350249</v>
      </c>
      <c r="CA79" s="3">
        <v>1083.696045350249</v>
      </c>
      <c r="CB79" s="3">
        <v>1083.696045350249</v>
      </c>
      <c r="CC79" s="3">
        <v>1083.696045350249</v>
      </c>
      <c r="CD79" s="3">
        <v>1083.696045350249</v>
      </c>
      <c r="CE79" s="3">
        <v>1083.696045350249</v>
      </c>
      <c r="CF79" s="3">
        <v>1083.696045350249</v>
      </c>
      <c r="CG79" s="3">
        <v>1083.696045350249</v>
      </c>
      <c r="CH79" s="3">
        <v>1083.696045350249</v>
      </c>
      <c r="CI79" s="3">
        <v>1083.696045350249</v>
      </c>
      <c r="CJ79" s="3">
        <v>1083.696045350249</v>
      </c>
      <c r="CK79" s="3">
        <v>1083.696045350249</v>
      </c>
      <c r="CL79" s="3">
        <v>1083.696045350249</v>
      </c>
      <c r="CM79" s="3">
        <v>1083.696045350249</v>
      </c>
      <c r="CN79" s="3">
        <v>1083.696045350249</v>
      </c>
      <c r="CO79" s="3">
        <v>1083.696045350249</v>
      </c>
      <c r="CP79" s="3">
        <v>1083.696045350249</v>
      </c>
      <c r="CQ79" s="3">
        <v>1083.696045350249</v>
      </c>
      <c r="CR79" s="3">
        <v>1083.696045350249</v>
      </c>
      <c r="CS79" s="3">
        <v>1083.696045350249</v>
      </c>
      <c r="CT79" s="3">
        <v>1083.696045350249</v>
      </c>
    </row>
    <row r="80" spans="1:98">
      <c r="A80" s="1" t="str">
        <f>'Population Definitions'!$B$4</f>
        <v>15-29M_aus</v>
      </c>
      <c r="C80" t="s">
        <v>47</v>
      </c>
      <c r="D80" s="3"/>
      <c r="E80" s="3"/>
      <c r="F80" s="4" t="s">
        <v>48</v>
      </c>
      <c r="G80" s="3">
        <v>5856.127943760982</v>
      </c>
      <c r="H80" s="3">
        <v>6772.440974158763</v>
      </c>
      <c r="I80" s="3">
        <v>6327.801572787128</v>
      </c>
      <c r="J80" s="3">
        <v>4550.655204053136</v>
      </c>
      <c r="K80" s="3">
        <v>3919.883029685067</v>
      </c>
      <c r="L80" s="3">
        <v>5047.57063914324</v>
      </c>
      <c r="M80" s="3">
        <v>5697.333364213259</v>
      </c>
      <c r="N80" s="3">
        <v>5498.08291785248</v>
      </c>
      <c r="O80" s="3">
        <v>6346.377813271381</v>
      </c>
      <c r="P80" s="3">
        <v>6184.938107945251</v>
      </c>
      <c r="Q80" s="3">
        <v>5735.900956475014</v>
      </c>
      <c r="R80" s="3">
        <v>5806.654676258996</v>
      </c>
      <c r="S80" s="3">
        <v>5478.294603350922</v>
      </c>
      <c r="T80" s="3">
        <v>4777.518520624812</v>
      </c>
      <c r="U80" s="3">
        <v>4716.889934593024</v>
      </c>
      <c r="V80" s="3">
        <v>7092.983920291998</v>
      </c>
      <c r="W80" s="3">
        <v>16541.09383561644</v>
      </c>
      <c r="X80" s="3">
        <v>5301.823823026267</v>
      </c>
      <c r="Y80" s="3">
        <v>3004.180180423873</v>
      </c>
      <c r="Z80" s="3">
        <v>3604.100628364899</v>
      </c>
      <c r="AA80" s="3">
        <v>4043.79172477917</v>
      </c>
      <c r="AB80" s="3">
        <v>4619.63868268322</v>
      </c>
      <c r="AC80" s="3">
        <v>4683.259924116312</v>
      </c>
      <c r="AD80" s="3">
        <v>4953.917067830414</v>
      </c>
      <c r="AE80" s="3">
        <v>13304.32056239015</v>
      </c>
      <c r="AF80" s="3">
        <v>12930.8764241893</v>
      </c>
      <c r="AG80" s="3">
        <v>13247.90453547916</v>
      </c>
      <c r="AH80" s="3">
        <v>12195.8026289544</v>
      </c>
      <c r="AI80" s="3">
        <v>14368.44941226265</v>
      </c>
      <c r="AJ80" s="3">
        <v>17100.75144429474</v>
      </c>
      <c r="AK80" s="3">
        <v>12377.33486960953</v>
      </c>
      <c r="AL80" s="3">
        <v>10804.15691267413</v>
      </c>
      <c r="AM80" s="3">
        <v>11741.49538467921</v>
      </c>
      <c r="AN80" s="3">
        <v>11610.80158388568</v>
      </c>
      <c r="AO80" s="3">
        <v>11979.97317571198</v>
      </c>
      <c r="AP80" s="3">
        <v>11631.01618705037</v>
      </c>
      <c r="AQ80" s="3">
        <v>11391.38944737573</v>
      </c>
      <c r="AR80" s="3">
        <v>13050.19733848954</v>
      </c>
      <c r="AS80" s="3">
        <v>13178.91224563954</v>
      </c>
      <c r="AT80" s="3">
        <v>15096.37802111078</v>
      </c>
      <c r="AU80" s="3">
        <v>24461.09178082192</v>
      </c>
      <c r="AV80" s="3">
        <v>2077.927495137439</v>
      </c>
      <c r="AW80" s="3">
        <v>7635.907597008259</v>
      </c>
      <c r="AX80" s="3">
        <v>7530.684092920017</v>
      </c>
      <c r="AY80" s="3">
        <v>6923.24000839819</v>
      </c>
      <c r="AZ80" s="3">
        <v>6844.193818329055</v>
      </c>
      <c r="BA80" s="3">
        <v>6764.240278340152</v>
      </c>
      <c r="BB80" s="3">
        <v>6684.553605974711</v>
      </c>
      <c r="BC80" s="3">
        <v>6604.760186559885</v>
      </c>
      <c r="BD80" s="3">
        <v>6523.899296651216</v>
      </c>
      <c r="BE80" s="3">
        <v>6436.153222057254</v>
      </c>
      <c r="BF80" s="3">
        <v>6355.238958623891</v>
      </c>
      <c r="BG80" s="3">
        <v>6267.119269357084</v>
      </c>
      <c r="BH80" s="3">
        <v>6267.119269357084</v>
      </c>
      <c r="BI80" s="3">
        <v>6267.119269357084</v>
      </c>
      <c r="BJ80" s="3">
        <v>6267.119269357084</v>
      </c>
      <c r="BK80" s="3">
        <v>6267.119269357084</v>
      </c>
      <c r="BL80" s="3">
        <v>6267.119269357084</v>
      </c>
      <c r="BM80" s="3">
        <v>6267.119269357084</v>
      </c>
      <c r="BN80" s="3">
        <v>6267.119269357084</v>
      </c>
      <c r="BO80" s="3">
        <v>6267.119269357084</v>
      </c>
      <c r="BP80" s="3">
        <v>6267.119269357084</v>
      </c>
      <c r="BQ80" s="3">
        <v>6267.119269357084</v>
      </c>
      <c r="BR80" s="3">
        <v>6267.119269357084</v>
      </c>
      <c r="BS80" s="3">
        <v>6267.119269357084</v>
      </c>
      <c r="BT80" s="3">
        <v>6267.119269357084</v>
      </c>
      <c r="BU80" s="3">
        <v>6267.119269357084</v>
      </c>
      <c r="BV80" s="3">
        <v>6267.119269357084</v>
      </c>
      <c r="BW80" s="3">
        <v>6267.119269357084</v>
      </c>
      <c r="BX80" s="3">
        <v>6267.119269357084</v>
      </c>
      <c r="BY80" s="3">
        <v>6267.119269357084</v>
      </c>
      <c r="BZ80" s="3">
        <v>6267.119269357084</v>
      </c>
      <c r="CA80" s="3">
        <v>6267.119269357084</v>
      </c>
      <c r="CB80" s="3">
        <v>6267.119269357084</v>
      </c>
      <c r="CC80" s="3">
        <v>6267.119269357084</v>
      </c>
      <c r="CD80" s="3">
        <v>6267.119269357084</v>
      </c>
      <c r="CE80" s="3">
        <v>6267.119269357084</v>
      </c>
      <c r="CF80" s="3">
        <v>6267.119269357084</v>
      </c>
      <c r="CG80" s="3">
        <v>6267.119269357084</v>
      </c>
      <c r="CH80" s="3">
        <v>6267.119269357084</v>
      </c>
      <c r="CI80" s="3">
        <v>6267.119269357084</v>
      </c>
      <c r="CJ80" s="3">
        <v>6267.119269357084</v>
      </c>
      <c r="CK80" s="3">
        <v>6267.119269357084</v>
      </c>
      <c r="CL80" s="3">
        <v>6267.119269357084</v>
      </c>
      <c r="CM80" s="3">
        <v>6267.119269357084</v>
      </c>
      <c r="CN80" s="3">
        <v>6267.119269357084</v>
      </c>
      <c r="CO80" s="3">
        <v>6267.119269357084</v>
      </c>
      <c r="CP80" s="3">
        <v>6267.119269357084</v>
      </c>
      <c r="CQ80" s="3">
        <v>6267.119269357084</v>
      </c>
      <c r="CR80" s="3">
        <v>6267.119269357084</v>
      </c>
      <c r="CS80" s="3">
        <v>6267.119269357084</v>
      </c>
      <c r="CT80" s="3">
        <v>6267.119269357084</v>
      </c>
    </row>
    <row r="81" spans="1:98">
      <c r="A81" s="1" t="str">
        <f>'Population Definitions'!$B$5</f>
        <v>30-49M_aus</v>
      </c>
      <c r="C81" t="s">
        <v>47</v>
      </c>
      <c r="D81" s="3"/>
      <c r="E81" s="3"/>
      <c r="F81" s="4" t="s">
        <v>48</v>
      </c>
      <c r="G81" s="3">
        <v>3465.2611599297</v>
      </c>
      <c r="H81" s="3">
        <v>4007.551456723234</v>
      </c>
      <c r="I81" s="3">
        <v>3744.346470373082</v>
      </c>
      <c r="J81" s="3">
        <v>2692.814038377148</v>
      </c>
      <c r="K81" s="3">
        <v>2319.440697204641</v>
      </c>
      <c r="L81" s="3">
        <v>2986.804078277349</v>
      </c>
      <c r="M81" s="3">
        <v>3371.20535921071</v>
      </c>
      <c r="N81" s="3">
        <v>3253.430381101149</v>
      </c>
      <c r="O81" s="3">
        <v>3755.341181107262</v>
      </c>
      <c r="P81" s="3">
        <v>3659.80631832659</v>
      </c>
      <c r="Q81" s="3">
        <v>3394.14976894143</v>
      </c>
      <c r="R81" s="3">
        <v>3435.917266187052</v>
      </c>
      <c r="S81" s="3">
        <v>3241.640710913636</v>
      </c>
      <c r="T81" s="3">
        <v>2827.023430391265</v>
      </c>
      <c r="U81" s="3">
        <v>2791.14640261628</v>
      </c>
      <c r="V81" s="3">
        <v>4197.084344480615</v>
      </c>
      <c r="W81" s="3">
        <v>9787.733013698629</v>
      </c>
      <c r="X81" s="3">
        <v>3137.261476812034</v>
      </c>
      <c r="Y81" s="3">
        <v>1777.685597197613</v>
      </c>
      <c r="Z81" s="3">
        <v>2132.645926125881</v>
      </c>
      <c r="AA81" s="3">
        <v>2392.841859000313</v>
      </c>
      <c r="AB81" s="3">
        <v>2733.578440635262</v>
      </c>
      <c r="AC81" s="3">
        <v>2771.206775543256</v>
      </c>
      <c r="AD81" s="3">
        <v>2931.380723144522</v>
      </c>
      <c r="AE81" s="3">
        <v>8742.78383128295</v>
      </c>
      <c r="AF81" s="3">
        <v>9492.845058826651</v>
      </c>
      <c r="AG81" s="3">
        <v>9152.967904169718</v>
      </c>
      <c r="AH81" s="3">
        <v>7282.406350979373</v>
      </c>
      <c r="AI81" s="3">
        <v>8217.791646626525</v>
      </c>
      <c r="AJ81" s="3">
        <v>9098.502272052607</v>
      </c>
      <c r="AK81" s="3">
        <v>8221.890661911162</v>
      </c>
      <c r="AL81" s="3">
        <v>7207.211413776132</v>
      </c>
      <c r="AM81" s="3">
        <v>7702.622726047003</v>
      </c>
      <c r="AN81" s="3">
        <v>6622.539898424721</v>
      </c>
      <c r="AO81" s="3">
        <v>6122.656937130575</v>
      </c>
      <c r="AP81" s="3">
        <v>6045.944244604319</v>
      </c>
      <c r="AQ81" s="3">
        <v>6183.584874571879</v>
      </c>
      <c r="AR81" s="3">
        <v>7016.570177434032</v>
      </c>
      <c r="AS81" s="3">
        <v>6278.407594476746</v>
      </c>
      <c r="AT81" s="3">
        <v>8470.934398737298</v>
      </c>
      <c r="AU81" s="3">
        <v>18235.13917808219</v>
      </c>
      <c r="AV81" s="3">
        <v>2092.816581913621</v>
      </c>
      <c r="AW81" s="3">
        <v>4237.511665336703</v>
      </c>
      <c r="AX81" s="3">
        <v>3814.81930384967</v>
      </c>
      <c r="AY81" s="3">
        <v>3606.662557550124</v>
      </c>
      <c r="AZ81" s="3">
        <v>3577.947601265726</v>
      </c>
      <c r="BA81" s="3">
        <v>3549.873127277633</v>
      </c>
      <c r="BB81" s="3">
        <v>3521.264918042618</v>
      </c>
      <c r="BC81" s="3">
        <v>3492.283094134759</v>
      </c>
      <c r="BD81" s="3">
        <v>3463.781631949128</v>
      </c>
      <c r="BE81" s="3">
        <v>3431.490649510353</v>
      </c>
      <c r="BF81" s="3">
        <v>3402.402078553109</v>
      </c>
      <c r="BG81" s="3">
        <v>3369.897602015564</v>
      </c>
      <c r="BH81" s="3">
        <v>3369.897602015564</v>
      </c>
      <c r="BI81" s="3">
        <v>3369.897602015564</v>
      </c>
      <c r="BJ81" s="3">
        <v>3369.897602015564</v>
      </c>
      <c r="BK81" s="3">
        <v>3369.897602015564</v>
      </c>
      <c r="BL81" s="3">
        <v>3369.897602015564</v>
      </c>
      <c r="BM81" s="3">
        <v>3369.897602015564</v>
      </c>
      <c r="BN81" s="3">
        <v>3369.897602015564</v>
      </c>
      <c r="BO81" s="3">
        <v>3369.897602015564</v>
      </c>
      <c r="BP81" s="3">
        <v>3369.897602015564</v>
      </c>
      <c r="BQ81" s="3">
        <v>3369.897602015564</v>
      </c>
      <c r="BR81" s="3">
        <v>3369.897602015564</v>
      </c>
      <c r="BS81" s="3">
        <v>3369.897602015564</v>
      </c>
      <c r="BT81" s="3">
        <v>3369.897602015564</v>
      </c>
      <c r="BU81" s="3">
        <v>3369.897602015564</v>
      </c>
      <c r="BV81" s="3">
        <v>3369.897602015564</v>
      </c>
      <c r="BW81" s="3">
        <v>3369.897602015564</v>
      </c>
      <c r="BX81" s="3">
        <v>3369.897602015564</v>
      </c>
      <c r="BY81" s="3">
        <v>3369.897602015564</v>
      </c>
      <c r="BZ81" s="3">
        <v>3369.897602015564</v>
      </c>
      <c r="CA81" s="3">
        <v>3369.897602015564</v>
      </c>
      <c r="CB81" s="3">
        <v>3369.897602015564</v>
      </c>
      <c r="CC81" s="3">
        <v>3369.897602015564</v>
      </c>
      <c r="CD81" s="3">
        <v>3369.897602015564</v>
      </c>
      <c r="CE81" s="3">
        <v>3369.897602015564</v>
      </c>
      <c r="CF81" s="3">
        <v>3369.897602015564</v>
      </c>
      <c r="CG81" s="3">
        <v>3369.897602015564</v>
      </c>
      <c r="CH81" s="3">
        <v>3369.897602015564</v>
      </c>
      <c r="CI81" s="3">
        <v>3369.897602015564</v>
      </c>
      <c r="CJ81" s="3">
        <v>3369.897602015564</v>
      </c>
      <c r="CK81" s="3">
        <v>3369.897602015564</v>
      </c>
      <c r="CL81" s="3">
        <v>3369.897602015564</v>
      </c>
      <c r="CM81" s="3">
        <v>3369.897602015564</v>
      </c>
      <c r="CN81" s="3">
        <v>3369.897602015564</v>
      </c>
      <c r="CO81" s="3">
        <v>3369.897602015564</v>
      </c>
      <c r="CP81" s="3">
        <v>3369.897602015564</v>
      </c>
      <c r="CQ81" s="3">
        <v>3369.897602015564</v>
      </c>
      <c r="CR81" s="3">
        <v>3369.897602015564</v>
      </c>
      <c r="CS81" s="3">
        <v>3369.897602015564</v>
      </c>
      <c r="CT81" s="3">
        <v>3369.897602015564</v>
      </c>
    </row>
    <row r="82" spans="1:98">
      <c r="A82" s="1" t="str">
        <f>'Population Definitions'!$B$6</f>
        <v>50-64M_aus</v>
      </c>
      <c r="C82" t="s">
        <v>47</v>
      </c>
      <c r="D82" s="3"/>
      <c r="E82" s="3"/>
      <c r="F82" s="4" t="s">
        <v>48</v>
      </c>
      <c r="G82" s="3">
        <v>718.0632688927941</v>
      </c>
      <c r="H82" s="3">
        <v>830.4391416354604</v>
      </c>
      <c r="I82" s="3">
        <v>775.943855157279</v>
      </c>
      <c r="J82" s="3">
        <v>558.0631906490604</v>
      </c>
      <c r="K82" s="3">
        <v>480.7085938552109</v>
      </c>
      <c r="L82" s="3">
        <v>618.9770739615918</v>
      </c>
      <c r="M82" s="3">
        <v>698.5646625596371</v>
      </c>
      <c r="N82" s="3">
        <v>674.2512999379453</v>
      </c>
      <c r="O82" s="3">
        <v>778.2079072372378</v>
      </c>
      <c r="P82" s="3">
        <v>758.3768614960832</v>
      </c>
      <c r="Q82" s="3">
        <v>703.3918968296615</v>
      </c>
      <c r="R82" s="3">
        <v>712.0323741007198</v>
      </c>
      <c r="S82" s="3">
        <v>671.7498842914007</v>
      </c>
      <c r="T82" s="3">
        <v>585.8000454959055</v>
      </c>
      <c r="U82" s="3">
        <v>578.400944767442</v>
      </c>
      <c r="V82" s="3">
        <v>869.8117786327314</v>
      </c>
      <c r="W82" s="3">
        <v>2028.239589041096</v>
      </c>
      <c r="X82" s="3">
        <v>650.1295198368988</v>
      </c>
      <c r="Y82" s="3">
        <v>368.3722628724452</v>
      </c>
      <c r="Z82" s="3">
        <v>441.9327844513427</v>
      </c>
      <c r="AA82" s="3">
        <v>495.8400443904557</v>
      </c>
      <c r="AB82" s="3">
        <v>566.4532175582247</v>
      </c>
      <c r="AC82" s="3">
        <v>574.2991256879767</v>
      </c>
      <c r="AD82" s="3">
        <v>607.4440845218274</v>
      </c>
      <c r="AE82" s="3">
        <v>1803.398242530755</v>
      </c>
      <c r="AF82" s="3">
        <v>1952.830584548375</v>
      </c>
      <c r="AG82" s="3">
        <v>1671.775512070227</v>
      </c>
      <c r="AH82" s="3">
        <v>1323.119021023656</v>
      </c>
      <c r="AI82" s="3">
        <v>1553.936166528791</v>
      </c>
      <c r="AJ82" s="3">
        <v>1880.216016258305</v>
      </c>
      <c r="AK82" s="3">
        <v>1888.155657973969</v>
      </c>
      <c r="AL82" s="3">
        <v>1557.838893287398</v>
      </c>
      <c r="AM82" s="3">
        <v>1545.230724553506</v>
      </c>
      <c r="AN82" s="3">
        <v>1458.639407764483</v>
      </c>
      <c r="AO82" s="3">
        <v>1320.52814615798</v>
      </c>
      <c r="AP82" s="3">
        <v>1320.692446043166</v>
      </c>
      <c r="AQ82" s="3">
        <v>1421.038359714894</v>
      </c>
      <c r="AR82" s="3">
        <v>1466.671841825903</v>
      </c>
      <c r="AS82" s="3">
        <v>1294.943895348837</v>
      </c>
      <c r="AT82" s="3">
        <v>2987.395679195028</v>
      </c>
      <c r="AU82" s="3">
        <v>6269.565205479452</v>
      </c>
      <c r="AV82" s="3">
        <v>559.8133011506102</v>
      </c>
      <c r="AW82" s="3">
        <v>790.8016284133785</v>
      </c>
      <c r="AX82" s="3">
        <v>1321.848712526806</v>
      </c>
      <c r="AY82" s="3">
        <v>1215.048289617731</v>
      </c>
      <c r="AZ82" s="3">
        <v>1201.064426148377</v>
      </c>
      <c r="BA82" s="3">
        <v>1187.347430302484</v>
      </c>
      <c r="BB82" s="3">
        <v>1173.683807981283</v>
      </c>
      <c r="BC82" s="3">
        <v>1159.699944511929</v>
      </c>
      <c r="BD82" s="3">
        <v>1146.08969571542</v>
      </c>
      <c r="BE82" s="3">
        <v>1130.824867653454</v>
      </c>
      <c r="BF82" s="3">
        <v>1117.001124758176</v>
      </c>
      <c r="BG82" s="3">
        <v>1102.056537844363</v>
      </c>
      <c r="BH82" s="3">
        <v>1102.056537844363</v>
      </c>
      <c r="BI82" s="3">
        <v>1102.056537844363</v>
      </c>
      <c r="BJ82" s="3">
        <v>1102.056537844363</v>
      </c>
      <c r="BK82" s="3">
        <v>1102.056537844363</v>
      </c>
      <c r="BL82" s="3">
        <v>1102.056537844363</v>
      </c>
      <c r="BM82" s="3">
        <v>1102.056537844363</v>
      </c>
      <c r="BN82" s="3">
        <v>1102.056537844363</v>
      </c>
      <c r="BO82" s="3">
        <v>1102.056537844363</v>
      </c>
      <c r="BP82" s="3">
        <v>1102.056537844363</v>
      </c>
      <c r="BQ82" s="3">
        <v>1102.056537844363</v>
      </c>
      <c r="BR82" s="3">
        <v>1102.056537844363</v>
      </c>
      <c r="BS82" s="3">
        <v>1102.056537844363</v>
      </c>
      <c r="BT82" s="3">
        <v>1102.056537844363</v>
      </c>
      <c r="BU82" s="3">
        <v>1102.056537844363</v>
      </c>
      <c r="BV82" s="3">
        <v>1102.056537844363</v>
      </c>
      <c r="BW82" s="3">
        <v>1102.056537844363</v>
      </c>
      <c r="BX82" s="3">
        <v>1102.056537844363</v>
      </c>
      <c r="BY82" s="3">
        <v>1102.056537844363</v>
      </c>
      <c r="BZ82" s="3">
        <v>1102.056537844363</v>
      </c>
      <c r="CA82" s="3">
        <v>1102.056537844363</v>
      </c>
      <c r="CB82" s="3">
        <v>1102.056537844363</v>
      </c>
      <c r="CC82" s="3">
        <v>1102.056537844363</v>
      </c>
      <c r="CD82" s="3">
        <v>1102.056537844363</v>
      </c>
      <c r="CE82" s="3">
        <v>1102.056537844363</v>
      </c>
      <c r="CF82" s="3">
        <v>1102.056537844363</v>
      </c>
      <c r="CG82" s="3">
        <v>1102.056537844363</v>
      </c>
      <c r="CH82" s="3">
        <v>1102.056537844363</v>
      </c>
      <c r="CI82" s="3">
        <v>1102.056537844363</v>
      </c>
      <c r="CJ82" s="3">
        <v>1102.056537844363</v>
      </c>
      <c r="CK82" s="3">
        <v>1102.056537844363</v>
      </c>
      <c r="CL82" s="3">
        <v>1102.056537844363</v>
      </c>
      <c r="CM82" s="3">
        <v>1102.056537844363</v>
      </c>
      <c r="CN82" s="3">
        <v>1102.056537844363</v>
      </c>
      <c r="CO82" s="3">
        <v>1102.056537844363</v>
      </c>
      <c r="CP82" s="3">
        <v>1102.056537844363</v>
      </c>
      <c r="CQ82" s="3">
        <v>1102.056537844363</v>
      </c>
      <c r="CR82" s="3">
        <v>1102.056537844363</v>
      </c>
      <c r="CS82" s="3">
        <v>1102.056537844363</v>
      </c>
      <c r="CT82" s="3">
        <v>1102.056537844363</v>
      </c>
    </row>
    <row r="83" spans="1:98">
      <c r="A83" s="1" t="str">
        <f>'Population Definitions'!$B$7</f>
        <v>65+M_aus</v>
      </c>
      <c r="C83" t="s">
        <v>47</v>
      </c>
      <c r="D83" s="3"/>
      <c r="E83" s="3"/>
      <c r="F83" s="4" t="s">
        <v>48</v>
      </c>
      <c r="G83" s="3">
        <v>280.7163444639718</v>
      </c>
      <c r="H83" s="3">
        <v>324.5838313016226</v>
      </c>
      <c r="I83" s="3">
        <v>303.2883138258962</v>
      </c>
      <c r="J83" s="3">
        <v>218.1326844057924</v>
      </c>
      <c r="K83" s="3">
        <v>187.8718713326537</v>
      </c>
      <c r="L83" s="3">
        <v>241.9377297741647</v>
      </c>
      <c r="M83" s="3">
        <v>273.0249200981983</v>
      </c>
      <c r="N83" s="3">
        <v>263.4843258511116</v>
      </c>
      <c r="O83" s="3">
        <v>304.1078221908772</v>
      </c>
      <c r="P83" s="3">
        <v>296.4527847120598</v>
      </c>
      <c r="Q83" s="3">
        <v>274.9025255239119</v>
      </c>
      <c r="R83" s="3">
        <v>278.2643884892088</v>
      </c>
      <c r="S83" s="3">
        <v>262.5760066648154</v>
      </c>
      <c r="T83" s="3">
        <v>228.9756786472551</v>
      </c>
      <c r="U83" s="3">
        <v>226.0838662790698</v>
      </c>
      <c r="V83" s="3">
        <v>339.8768866528558</v>
      </c>
      <c r="W83" s="3">
        <v>792.6336986301369</v>
      </c>
      <c r="X83" s="3">
        <v>254.0961732242869</v>
      </c>
      <c r="Y83" s="3">
        <v>143.9851495191852</v>
      </c>
      <c r="Z83" s="3">
        <v>172.7167259039306</v>
      </c>
      <c r="AA83" s="3">
        <v>193.799268157346</v>
      </c>
      <c r="AB83" s="3">
        <v>221.3933804232089</v>
      </c>
      <c r="AC83" s="3">
        <v>224.4356713306638</v>
      </c>
      <c r="AD83" s="3">
        <v>237.4054378308662</v>
      </c>
      <c r="AE83" s="3">
        <v>695.0741652021087</v>
      </c>
      <c r="AF83" s="3">
        <v>640.5103179029558</v>
      </c>
      <c r="AG83" s="3">
        <v>532.5389539136798</v>
      </c>
      <c r="AH83" s="3">
        <v>432.3398292575895</v>
      </c>
      <c r="AI83" s="3">
        <v>589.4765193635893</v>
      </c>
      <c r="AJ83" s="3">
        <v>701.5322540131982</v>
      </c>
      <c r="AK83" s="3">
        <v>691.055861781463</v>
      </c>
      <c r="AL83" s="3">
        <v>497.7287141848372</v>
      </c>
      <c r="AM83" s="3">
        <v>548.3859652761932</v>
      </c>
      <c r="AN83" s="3">
        <v>734.8520272015149</v>
      </c>
      <c r="AO83" s="3">
        <v>537.7531649650725</v>
      </c>
      <c r="AP83" s="3">
        <v>592.2392086330939</v>
      </c>
      <c r="AQ83" s="3">
        <v>641.3185781727299</v>
      </c>
      <c r="AR83" s="3">
        <v>657.4670723384896</v>
      </c>
      <c r="AS83" s="3">
        <v>626.6773619186048</v>
      </c>
      <c r="AT83" s="3">
        <v>2145.966854098845</v>
      </c>
      <c r="AU83" s="3">
        <v>4538.246301369863</v>
      </c>
      <c r="AV83" s="3">
        <v>314.4706020200124</v>
      </c>
      <c r="AW83" s="3">
        <v>545.5847545883654</v>
      </c>
      <c r="AX83" s="3">
        <v>875.4325520013191</v>
      </c>
      <c r="AY83" s="3">
        <v>782.8294866603675</v>
      </c>
      <c r="AZ83" s="3">
        <v>770.9805641787011</v>
      </c>
      <c r="BA83" s="3">
        <v>759.3985093204956</v>
      </c>
      <c r="BB83" s="3">
        <v>747.6029603635213</v>
      </c>
      <c r="BC83" s="3">
        <v>736.2343996040846</v>
      </c>
      <c r="BD83" s="3">
        <v>724.4388506471104</v>
      </c>
      <c r="BE83" s="3">
        <v>712.5365546407518</v>
      </c>
      <c r="BF83" s="3">
        <v>701.1679938813151</v>
      </c>
      <c r="BG83" s="3">
        <v>688.571842053958</v>
      </c>
      <c r="BH83" s="3">
        <v>688.571842053958</v>
      </c>
      <c r="BI83" s="3">
        <v>688.571842053958</v>
      </c>
      <c r="BJ83" s="3">
        <v>688.571842053958</v>
      </c>
      <c r="BK83" s="3">
        <v>688.571842053958</v>
      </c>
      <c r="BL83" s="3">
        <v>688.571842053958</v>
      </c>
      <c r="BM83" s="3">
        <v>688.571842053958</v>
      </c>
      <c r="BN83" s="3">
        <v>688.571842053958</v>
      </c>
      <c r="BO83" s="3">
        <v>688.571842053958</v>
      </c>
      <c r="BP83" s="3">
        <v>688.571842053958</v>
      </c>
      <c r="BQ83" s="3">
        <v>688.571842053958</v>
      </c>
      <c r="BR83" s="3">
        <v>688.571842053958</v>
      </c>
      <c r="BS83" s="3">
        <v>688.571842053958</v>
      </c>
      <c r="BT83" s="3">
        <v>688.571842053958</v>
      </c>
      <c r="BU83" s="3">
        <v>688.571842053958</v>
      </c>
      <c r="BV83" s="3">
        <v>688.571842053958</v>
      </c>
      <c r="BW83" s="3">
        <v>688.571842053958</v>
      </c>
      <c r="BX83" s="3">
        <v>688.571842053958</v>
      </c>
      <c r="BY83" s="3">
        <v>688.571842053958</v>
      </c>
      <c r="BZ83" s="3">
        <v>688.571842053958</v>
      </c>
      <c r="CA83" s="3">
        <v>688.571842053958</v>
      </c>
      <c r="CB83" s="3">
        <v>688.571842053958</v>
      </c>
      <c r="CC83" s="3">
        <v>688.571842053958</v>
      </c>
      <c r="CD83" s="3">
        <v>688.571842053958</v>
      </c>
      <c r="CE83" s="3">
        <v>688.571842053958</v>
      </c>
      <c r="CF83" s="3">
        <v>688.571842053958</v>
      </c>
      <c r="CG83" s="3">
        <v>688.571842053958</v>
      </c>
      <c r="CH83" s="3">
        <v>688.571842053958</v>
      </c>
      <c r="CI83" s="3">
        <v>688.571842053958</v>
      </c>
      <c r="CJ83" s="3">
        <v>688.571842053958</v>
      </c>
      <c r="CK83" s="3">
        <v>688.571842053958</v>
      </c>
      <c r="CL83" s="3">
        <v>688.571842053958</v>
      </c>
      <c r="CM83" s="3">
        <v>688.571842053958</v>
      </c>
      <c r="CN83" s="3">
        <v>688.571842053958</v>
      </c>
      <c r="CO83" s="3">
        <v>688.571842053958</v>
      </c>
      <c r="CP83" s="3">
        <v>688.571842053958</v>
      </c>
      <c r="CQ83" s="3">
        <v>688.571842053958</v>
      </c>
      <c r="CR83" s="3">
        <v>688.571842053958</v>
      </c>
      <c r="CS83" s="3">
        <v>688.571842053958</v>
      </c>
      <c r="CT83" s="3">
        <v>688.571842053958</v>
      </c>
    </row>
    <row r="84" spans="1:98">
      <c r="A84" s="1" t="str">
        <f>'Population Definitions'!$B$8</f>
        <v>0-4F_aus</v>
      </c>
      <c r="C84" t="s">
        <v>47</v>
      </c>
      <c r="D84" s="3"/>
      <c r="E84" s="3"/>
      <c r="F84" s="4" t="s">
        <v>48</v>
      </c>
      <c r="G84" s="3">
        <v>676.9321616871703</v>
      </c>
      <c r="H84" s="3">
        <v>782.7571508246352</v>
      </c>
      <c r="I84" s="3">
        <v>731.4244696415511</v>
      </c>
      <c r="J84" s="3">
        <v>526.022300235369</v>
      </c>
      <c r="K84" s="3">
        <v>453.1091402297083</v>
      </c>
      <c r="L84" s="3">
        <v>583.3650355079577</v>
      </c>
      <c r="M84" s="3">
        <v>658.5587567742834</v>
      </c>
      <c r="N84" s="3">
        <v>635.4813087111891</v>
      </c>
      <c r="O84" s="3">
        <v>733.5730672695969</v>
      </c>
      <c r="P84" s="3">
        <v>714.9157269518807</v>
      </c>
      <c r="Q84" s="3">
        <v>662.9533369156368</v>
      </c>
      <c r="R84" s="3">
        <v>671.1780575539572</v>
      </c>
      <c r="S84" s="3">
        <v>633.2161251504212</v>
      </c>
      <c r="T84" s="3">
        <v>552.1854716408858</v>
      </c>
      <c r="U84" s="3">
        <v>545.239534883721</v>
      </c>
      <c r="V84" s="3">
        <v>819.8721515241194</v>
      </c>
      <c r="W84" s="3">
        <v>1911.854794520548</v>
      </c>
      <c r="X84" s="3">
        <v>612.8249947273448</v>
      </c>
      <c r="Y84" s="3">
        <v>347.2234469886523</v>
      </c>
      <c r="Z84" s="3">
        <v>416.5803602225519</v>
      </c>
      <c r="AA84" s="3">
        <v>467.3919557295179</v>
      </c>
      <c r="AB84" s="3">
        <v>533.9487410206802</v>
      </c>
      <c r="AC84" s="3">
        <v>541.3142874282025</v>
      </c>
      <c r="AD84" s="3">
        <v>572.5911728978266</v>
      </c>
      <c r="AE84" s="3">
        <v>1513.541652021089</v>
      </c>
      <c r="AF84" s="3">
        <v>1634.240299577722</v>
      </c>
      <c r="AG84" s="3">
        <v>1535.555870519386</v>
      </c>
      <c r="AH84" s="3">
        <v>1271.662624167231</v>
      </c>
      <c r="AI84" s="3">
        <v>1476.679428230632</v>
      </c>
      <c r="AJ84" s="3">
        <v>1772.134724727696</v>
      </c>
      <c r="AK84" s="3">
        <v>1620.546922043634</v>
      </c>
      <c r="AL84" s="3">
        <v>1504.773821496587</v>
      </c>
      <c r="AM84" s="3">
        <v>1565.912588935676</v>
      </c>
      <c r="AN84" s="3">
        <v>1475.68494447792</v>
      </c>
      <c r="AO84" s="3">
        <v>1386.16610424503</v>
      </c>
      <c r="AP84" s="3">
        <v>1359.568345323742</v>
      </c>
      <c r="AQ84" s="3">
        <v>1321.7362029066</v>
      </c>
      <c r="AR84" s="3">
        <v>1358.179860479224</v>
      </c>
      <c r="AS84" s="3">
        <v>1227.063771802326</v>
      </c>
      <c r="AT84" s="3">
        <v>1516.991022985104</v>
      </c>
      <c r="AU84" s="3">
        <v>3484.190547945205</v>
      </c>
      <c r="AV84" s="3">
        <v>411.1678578960933</v>
      </c>
      <c r="AW84" s="3">
        <v>593.8988598401338</v>
      </c>
      <c r="AX84" s="3">
        <v>818.3228805806746</v>
      </c>
      <c r="AY84" s="3">
        <v>743.4398254375304</v>
      </c>
      <c r="AZ84" s="3">
        <v>733.4056027953985</v>
      </c>
      <c r="BA84" s="3">
        <v>723.6916213014197</v>
      </c>
      <c r="BB84" s="3">
        <v>714.0843868568253</v>
      </c>
      <c r="BC84" s="3">
        <v>704.3704053628466</v>
      </c>
      <c r="BD84" s="3">
        <v>694.5496768194834</v>
      </c>
      <c r="BE84" s="3">
        <v>684.0350924551217</v>
      </c>
      <c r="BF84" s="3">
        <v>674.6947256339882</v>
      </c>
      <c r="BG84" s="3">
        <v>664.0733942202422</v>
      </c>
      <c r="BH84" s="3">
        <v>664.0733942202422</v>
      </c>
      <c r="BI84" s="3">
        <v>664.0733942202422</v>
      </c>
      <c r="BJ84" s="3">
        <v>664.0733942202422</v>
      </c>
      <c r="BK84" s="3">
        <v>664.0733942202422</v>
      </c>
      <c r="BL84" s="3">
        <v>664.0733942202422</v>
      </c>
      <c r="BM84" s="3">
        <v>664.0733942202422</v>
      </c>
      <c r="BN84" s="3">
        <v>664.0733942202422</v>
      </c>
      <c r="BO84" s="3">
        <v>664.0733942202422</v>
      </c>
      <c r="BP84" s="3">
        <v>664.0733942202422</v>
      </c>
      <c r="BQ84" s="3">
        <v>664.0733942202422</v>
      </c>
      <c r="BR84" s="3">
        <v>664.0733942202422</v>
      </c>
      <c r="BS84" s="3">
        <v>664.0733942202422</v>
      </c>
      <c r="BT84" s="3">
        <v>664.0733942202422</v>
      </c>
      <c r="BU84" s="3">
        <v>664.0733942202422</v>
      </c>
      <c r="BV84" s="3">
        <v>664.0733942202422</v>
      </c>
      <c r="BW84" s="3">
        <v>664.0733942202422</v>
      </c>
      <c r="BX84" s="3">
        <v>664.0733942202422</v>
      </c>
      <c r="BY84" s="3">
        <v>664.0733942202422</v>
      </c>
      <c r="BZ84" s="3">
        <v>664.0733942202422</v>
      </c>
      <c r="CA84" s="3">
        <v>664.0733942202422</v>
      </c>
      <c r="CB84" s="3">
        <v>664.0733942202422</v>
      </c>
      <c r="CC84" s="3">
        <v>664.0733942202422</v>
      </c>
      <c r="CD84" s="3">
        <v>664.0733942202422</v>
      </c>
      <c r="CE84" s="3">
        <v>664.0733942202422</v>
      </c>
      <c r="CF84" s="3">
        <v>664.0733942202422</v>
      </c>
      <c r="CG84" s="3">
        <v>664.0733942202422</v>
      </c>
      <c r="CH84" s="3">
        <v>664.0733942202422</v>
      </c>
      <c r="CI84" s="3">
        <v>664.0733942202422</v>
      </c>
      <c r="CJ84" s="3">
        <v>664.0733942202422</v>
      </c>
      <c r="CK84" s="3">
        <v>664.0733942202422</v>
      </c>
      <c r="CL84" s="3">
        <v>664.0733942202422</v>
      </c>
      <c r="CM84" s="3">
        <v>664.0733942202422</v>
      </c>
      <c r="CN84" s="3">
        <v>664.0733942202422</v>
      </c>
      <c r="CO84" s="3">
        <v>664.0733942202422</v>
      </c>
      <c r="CP84" s="3">
        <v>664.0733942202422</v>
      </c>
      <c r="CQ84" s="3">
        <v>664.0733942202422</v>
      </c>
      <c r="CR84" s="3">
        <v>664.0733942202422</v>
      </c>
      <c r="CS84" s="3">
        <v>664.0733942202422</v>
      </c>
      <c r="CT84" s="3">
        <v>664.0733942202422</v>
      </c>
    </row>
    <row r="85" spans="1:98">
      <c r="A85" s="1" t="str">
        <f>'Population Definitions'!$B$9</f>
        <v>5-14F_aus</v>
      </c>
      <c r="C85" t="s">
        <v>47</v>
      </c>
      <c r="D85" s="3"/>
      <c r="E85" s="3"/>
      <c r="F85" s="4" t="s">
        <v>48</v>
      </c>
      <c r="G85" s="3">
        <v>999.1950790861157</v>
      </c>
      <c r="H85" s="3">
        <v>1155.555732610947</v>
      </c>
      <c r="I85" s="3">
        <v>1079.716075347477</v>
      </c>
      <c r="J85" s="3">
        <v>776.5141620457173</v>
      </c>
      <c r="K85" s="3">
        <v>668.7977837203489</v>
      </c>
      <c r="L85" s="3">
        <v>861.2883565866688</v>
      </c>
      <c r="M85" s="3">
        <v>972.0819630367321</v>
      </c>
      <c r="N85" s="3">
        <v>938.1688100485737</v>
      </c>
      <c r="O85" s="3">
        <v>1082.843328009293</v>
      </c>
      <c r="P85" s="3">
        <v>1055.328053714384</v>
      </c>
      <c r="Q85" s="3">
        <v>978.6928318108544</v>
      </c>
      <c r="R85" s="3">
        <v>990.7913669064753</v>
      </c>
      <c r="S85" s="3">
        <v>934.7969638063503</v>
      </c>
      <c r="T85" s="3">
        <v>815.1534159842282</v>
      </c>
      <c r="U85" s="3">
        <v>804.8512354651165</v>
      </c>
      <c r="V85" s="3">
        <v>1210.2874617737</v>
      </c>
      <c r="W85" s="3">
        <v>2822.394657534246</v>
      </c>
      <c r="X85" s="3">
        <v>904.6347339066853</v>
      </c>
      <c r="Y85" s="3">
        <v>512.6308884590932</v>
      </c>
      <c r="Z85" s="3">
        <v>614.9697515034263</v>
      </c>
      <c r="AA85" s="3">
        <v>690.012927220647</v>
      </c>
      <c r="AB85" s="3">
        <v>788.273586178971</v>
      </c>
      <c r="AC85" s="3">
        <v>799.1084116914858</v>
      </c>
      <c r="AD85" s="3">
        <v>845.2765105502311</v>
      </c>
      <c r="AE85" s="3">
        <v>2561.761687170474</v>
      </c>
      <c r="AF85" s="3">
        <v>2766.088226701723</v>
      </c>
      <c r="AG85" s="3">
        <v>2674.913405267009</v>
      </c>
      <c r="AH85" s="3">
        <v>2066.74352734671</v>
      </c>
      <c r="AI85" s="3">
        <v>2308.031474249217</v>
      </c>
      <c r="AJ85" s="3">
        <v>2654.840111433333</v>
      </c>
      <c r="AK85" s="3">
        <v>2305.324933994164</v>
      </c>
      <c r="AL85" s="3">
        <v>2034.774763015428</v>
      </c>
      <c r="AM85" s="3">
        <v>2117.3586259827</v>
      </c>
      <c r="AN85" s="3">
        <v>2006.787983128174</v>
      </c>
      <c r="AO85" s="3">
        <v>1827.006168726491</v>
      </c>
      <c r="AP85" s="3">
        <v>1793.237410071943</v>
      </c>
      <c r="AQ85" s="3">
        <v>1832.661816162178</v>
      </c>
      <c r="AR85" s="3">
        <v>1954.272008644222</v>
      </c>
      <c r="AS85" s="3">
        <v>1790.441315406977</v>
      </c>
      <c r="AT85" s="3">
        <v>2301.055144520074</v>
      </c>
      <c r="AU85" s="3">
        <v>5625.011506849314</v>
      </c>
      <c r="AV85" s="3">
        <v>634.9950085534175</v>
      </c>
      <c r="AW85" s="3">
        <v>1071.114597562789</v>
      </c>
      <c r="AX85" s="3">
        <v>1473.963257899551</v>
      </c>
      <c r="AY85" s="3">
        <v>1266.020005698774</v>
      </c>
      <c r="AZ85" s="3">
        <v>1239.920352124293</v>
      </c>
      <c r="BA85" s="3">
        <v>1213.607204451042</v>
      </c>
      <c r="BB85" s="3">
        <v>1187.827792024714</v>
      </c>
      <c r="BC85" s="3">
        <v>1162.208500172462</v>
      </c>
      <c r="BD85" s="3">
        <v>1136.749328894287</v>
      </c>
      <c r="BE85" s="3">
        <v>1109.208590153116</v>
      </c>
      <c r="BF85" s="3">
        <v>1084.069660023094</v>
      </c>
      <c r="BG85" s="3">
        <v>1056.955909479461</v>
      </c>
      <c r="BH85" s="3">
        <v>1056.955909479461</v>
      </c>
      <c r="BI85" s="3">
        <v>1056.955909479461</v>
      </c>
      <c r="BJ85" s="3">
        <v>1056.955909479461</v>
      </c>
      <c r="BK85" s="3">
        <v>1056.955909479461</v>
      </c>
      <c r="BL85" s="3">
        <v>1056.955909479461</v>
      </c>
      <c r="BM85" s="3">
        <v>1056.955909479461</v>
      </c>
      <c r="BN85" s="3">
        <v>1056.955909479461</v>
      </c>
      <c r="BO85" s="3">
        <v>1056.955909479461</v>
      </c>
      <c r="BP85" s="3">
        <v>1056.955909479461</v>
      </c>
      <c r="BQ85" s="3">
        <v>1056.955909479461</v>
      </c>
      <c r="BR85" s="3">
        <v>1056.955909479461</v>
      </c>
      <c r="BS85" s="3">
        <v>1056.955909479461</v>
      </c>
      <c r="BT85" s="3">
        <v>1056.955909479461</v>
      </c>
      <c r="BU85" s="3">
        <v>1056.955909479461</v>
      </c>
      <c r="BV85" s="3">
        <v>1056.955909479461</v>
      </c>
      <c r="BW85" s="3">
        <v>1056.955909479461</v>
      </c>
      <c r="BX85" s="3">
        <v>1056.955909479461</v>
      </c>
      <c r="BY85" s="3">
        <v>1056.955909479461</v>
      </c>
      <c r="BZ85" s="3">
        <v>1056.955909479461</v>
      </c>
      <c r="CA85" s="3">
        <v>1056.955909479461</v>
      </c>
      <c r="CB85" s="3">
        <v>1056.955909479461</v>
      </c>
      <c r="CC85" s="3">
        <v>1056.955909479461</v>
      </c>
      <c r="CD85" s="3">
        <v>1056.955909479461</v>
      </c>
      <c r="CE85" s="3">
        <v>1056.955909479461</v>
      </c>
      <c r="CF85" s="3">
        <v>1056.955909479461</v>
      </c>
      <c r="CG85" s="3">
        <v>1056.955909479461</v>
      </c>
      <c r="CH85" s="3">
        <v>1056.955909479461</v>
      </c>
      <c r="CI85" s="3">
        <v>1056.955909479461</v>
      </c>
      <c r="CJ85" s="3">
        <v>1056.955909479461</v>
      </c>
      <c r="CK85" s="3">
        <v>1056.955909479461</v>
      </c>
      <c r="CL85" s="3">
        <v>1056.955909479461</v>
      </c>
      <c r="CM85" s="3">
        <v>1056.955909479461</v>
      </c>
      <c r="CN85" s="3">
        <v>1056.955909479461</v>
      </c>
      <c r="CO85" s="3">
        <v>1056.955909479461</v>
      </c>
      <c r="CP85" s="3">
        <v>1056.955909479461</v>
      </c>
      <c r="CQ85" s="3">
        <v>1056.955909479461</v>
      </c>
      <c r="CR85" s="3">
        <v>1056.955909479461</v>
      </c>
      <c r="CS85" s="3">
        <v>1056.955909479461</v>
      </c>
      <c r="CT85" s="3">
        <v>1056.955909479461</v>
      </c>
    </row>
    <row r="86" spans="1:98">
      <c r="A86" s="1" t="str">
        <f>'Population Definitions'!$B$10</f>
        <v>15-29F_aus</v>
      </c>
      <c r="C86" t="s">
        <v>47</v>
      </c>
      <c r="D86" s="3"/>
      <c r="E86" s="3"/>
      <c r="F86" s="4" t="s">
        <v>48</v>
      </c>
      <c r="G86" s="3">
        <v>5654.21159929701</v>
      </c>
      <c r="H86" s="3">
        <v>6539.092237006345</v>
      </c>
      <c r="I86" s="3">
        <v>6109.680779078276</v>
      </c>
      <c r="J86" s="3">
        <v>4393.845813220568</v>
      </c>
      <c r="K86" s="3">
        <v>3784.710902479849</v>
      </c>
      <c r="L86" s="3">
        <v>4873.619528235105</v>
      </c>
      <c r="M86" s="3">
        <v>5500.873593033491</v>
      </c>
      <c r="N86" s="3">
        <v>5308.564804313867</v>
      </c>
      <c r="O86" s="3">
        <v>6127.635441515069</v>
      </c>
      <c r="P86" s="3">
        <v>5971.719376775414</v>
      </c>
      <c r="Q86" s="3">
        <v>5538.190263299301</v>
      </c>
      <c r="R86" s="3">
        <v>5606.438848920866</v>
      </c>
      <c r="S86" s="3">
        <v>5289.394390447099</v>
      </c>
      <c r="T86" s="3">
        <v>4612.750454959055</v>
      </c>
      <c r="U86" s="3">
        <v>4554.28909883721</v>
      </c>
      <c r="V86" s="3">
        <v>6848.435434546709</v>
      </c>
      <c r="W86" s="3">
        <v>15970.83369863013</v>
      </c>
      <c r="X86" s="3">
        <v>5119.064373257092</v>
      </c>
      <c r="Y86" s="3">
        <v>2900.62390954461</v>
      </c>
      <c r="Z86" s="3">
        <v>3479.847062881478</v>
      </c>
      <c r="AA86" s="3">
        <v>3904.380078283166</v>
      </c>
      <c r="AB86" s="3">
        <v>4460.372085001722</v>
      </c>
      <c r="AC86" s="3">
        <v>4521.805011922434</v>
      </c>
      <c r="AD86" s="3">
        <v>4783.121788815401</v>
      </c>
      <c r="AE86" s="3">
        <v>12457.18594024604</v>
      </c>
      <c r="AF86" s="3">
        <v>12282.50790109685</v>
      </c>
      <c r="AG86" s="3">
        <v>12207.74780541332</v>
      </c>
      <c r="AH86" s="3">
        <v>10448.51314477201</v>
      </c>
      <c r="AI86" s="3">
        <v>12683.47017064584</v>
      </c>
      <c r="AJ86" s="3">
        <v>15969.38437649852</v>
      </c>
      <c r="AK86" s="3">
        <v>12718.43137709019</v>
      </c>
      <c r="AL86" s="3">
        <v>10906.17180579034</v>
      </c>
      <c r="AM86" s="3">
        <v>11438.44275965069</v>
      </c>
      <c r="AN86" s="3">
        <v>11794.51459068606</v>
      </c>
      <c r="AO86" s="3">
        <v>11806.46585706609</v>
      </c>
      <c r="AP86" s="3">
        <v>11896.51978417267</v>
      </c>
      <c r="AQ86" s="3">
        <v>11708.13883180598</v>
      </c>
      <c r="AR86" s="3">
        <v>13103.92400288141</v>
      </c>
      <c r="AS86" s="3">
        <v>12549.4867005814</v>
      </c>
      <c r="AT86" s="3">
        <v>14632.31074282332</v>
      </c>
      <c r="AU86" s="3">
        <v>24624.89260273972</v>
      </c>
      <c r="AV86" s="3">
        <v>1886.741803950975</v>
      </c>
      <c r="AW86" s="3">
        <v>7401.173972435988</v>
      </c>
      <c r="AX86" s="3">
        <v>7445.873562184125</v>
      </c>
      <c r="AY86" s="3">
        <v>6827.434531575706</v>
      </c>
      <c r="AZ86" s="3">
        <v>6747.641112160881</v>
      </c>
      <c r="BA86" s="3">
        <v>6667.153836925057</v>
      </c>
      <c r="BB86" s="3">
        <v>6586.880055788001</v>
      </c>
      <c r="BC86" s="3">
        <v>6505.912418829947</v>
      </c>
      <c r="BD86" s="3">
        <v>6425.051528921278</v>
      </c>
      <c r="BE86" s="3">
        <v>6336.718345555701</v>
      </c>
      <c r="BF86" s="3">
        <v>6255.483840974186</v>
      </c>
      <c r="BG86" s="3">
        <v>6167.257404657995</v>
      </c>
      <c r="BH86" s="3">
        <v>6167.257404657995</v>
      </c>
      <c r="BI86" s="3">
        <v>6167.257404657995</v>
      </c>
      <c r="BJ86" s="3">
        <v>6167.257404657995</v>
      </c>
      <c r="BK86" s="3">
        <v>6167.257404657995</v>
      </c>
      <c r="BL86" s="3">
        <v>6167.257404657995</v>
      </c>
      <c r="BM86" s="3">
        <v>6167.257404657995</v>
      </c>
      <c r="BN86" s="3">
        <v>6167.257404657995</v>
      </c>
      <c r="BO86" s="3">
        <v>6167.257404657995</v>
      </c>
      <c r="BP86" s="3">
        <v>6167.257404657995</v>
      </c>
      <c r="BQ86" s="3">
        <v>6167.257404657995</v>
      </c>
      <c r="BR86" s="3">
        <v>6167.257404657995</v>
      </c>
      <c r="BS86" s="3">
        <v>6167.257404657995</v>
      </c>
      <c r="BT86" s="3">
        <v>6167.257404657995</v>
      </c>
      <c r="BU86" s="3">
        <v>6167.257404657995</v>
      </c>
      <c r="BV86" s="3">
        <v>6167.257404657995</v>
      </c>
      <c r="BW86" s="3">
        <v>6167.257404657995</v>
      </c>
      <c r="BX86" s="3">
        <v>6167.257404657995</v>
      </c>
      <c r="BY86" s="3">
        <v>6167.257404657995</v>
      </c>
      <c r="BZ86" s="3">
        <v>6167.257404657995</v>
      </c>
      <c r="CA86" s="3">
        <v>6167.257404657995</v>
      </c>
      <c r="CB86" s="3">
        <v>6167.257404657995</v>
      </c>
      <c r="CC86" s="3">
        <v>6167.257404657995</v>
      </c>
      <c r="CD86" s="3">
        <v>6167.257404657995</v>
      </c>
      <c r="CE86" s="3">
        <v>6167.257404657995</v>
      </c>
      <c r="CF86" s="3">
        <v>6167.257404657995</v>
      </c>
      <c r="CG86" s="3">
        <v>6167.257404657995</v>
      </c>
      <c r="CH86" s="3">
        <v>6167.257404657995</v>
      </c>
      <c r="CI86" s="3">
        <v>6167.257404657995</v>
      </c>
      <c r="CJ86" s="3">
        <v>6167.257404657995</v>
      </c>
      <c r="CK86" s="3">
        <v>6167.257404657995</v>
      </c>
      <c r="CL86" s="3">
        <v>6167.257404657995</v>
      </c>
      <c r="CM86" s="3">
        <v>6167.257404657995</v>
      </c>
      <c r="CN86" s="3">
        <v>6167.257404657995</v>
      </c>
      <c r="CO86" s="3">
        <v>6167.257404657995</v>
      </c>
      <c r="CP86" s="3">
        <v>6167.257404657995</v>
      </c>
      <c r="CQ86" s="3">
        <v>6167.257404657995</v>
      </c>
      <c r="CR86" s="3">
        <v>6167.257404657995</v>
      </c>
      <c r="CS86" s="3">
        <v>6167.257404657995</v>
      </c>
      <c r="CT86" s="3">
        <v>6167.257404657995</v>
      </c>
    </row>
    <row r="87" spans="1:98">
      <c r="A87" s="1" t="str">
        <f>'Population Definitions'!$B$11</f>
        <v>30-49F_aus</v>
      </c>
      <c r="C87" t="s">
        <v>47</v>
      </c>
      <c r="D87" s="3"/>
      <c r="E87" s="3"/>
      <c r="F87" s="4" t="s">
        <v>48</v>
      </c>
      <c r="G87" s="3">
        <v>3145.768014059753</v>
      </c>
      <c r="H87" s="3">
        <v>3637.949432980106</v>
      </c>
      <c r="I87" s="3">
        <v>3399.079279444039</v>
      </c>
      <c r="J87" s="3">
        <v>2444.550185502851</v>
      </c>
      <c r="K87" s="3">
        <v>2105.599261240117</v>
      </c>
      <c r="L87" s="3">
        <v>2711.495627155024</v>
      </c>
      <c r="M87" s="3">
        <v>3060.390245032193</v>
      </c>
      <c r="N87" s="3">
        <v>2953.450281385744</v>
      </c>
      <c r="O87" s="3">
        <v>3409.130992138397</v>
      </c>
      <c r="P87" s="3">
        <v>3322.384436601532</v>
      </c>
      <c r="Q87" s="3">
        <v>3081.199140247179</v>
      </c>
      <c r="R87" s="3">
        <v>3119.172661870505</v>
      </c>
      <c r="S87" s="3">
        <v>2942.792094788485</v>
      </c>
      <c r="T87" s="3">
        <v>2566.321637094329</v>
      </c>
      <c r="U87" s="3">
        <v>2533.824854651163</v>
      </c>
      <c r="V87" s="3">
        <v>3810.142053862089</v>
      </c>
      <c r="W87" s="3">
        <v>8885.30712328767</v>
      </c>
      <c r="X87" s="3">
        <v>2847.98779087479</v>
      </c>
      <c r="Y87" s="3">
        <v>1613.782274098218</v>
      </c>
      <c r="Z87" s="3">
        <v>1936.017861159849</v>
      </c>
      <c r="AA87" s="3">
        <v>2172.195707922795</v>
      </c>
      <c r="AB87" s="3">
        <v>2481.548657038735</v>
      </c>
      <c r="AC87" s="3">
        <v>2515.707712841737</v>
      </c>
      <c r="AD87" s="3">
        <v>2661.097194103266</v>
      </c>
      <c r="AE87" s="3">
        <v>7648.862565905094</v>
      </c>
      <c r="AF87" s="3">
        <v>8061.186625235702</v>
      </c>
      <c r="AG87" s="3">
        <v>7771.536210680325</v>
      </c>
      <c r="AH87" s="3">
        <v>6194.183129213706</v>
      </c>
      <c r="AI87" s="3">
        <v>7123.266857769487</v>
      </c>
      <c r="AJ87" s="3">
        <v>8260.498709839469</v>
      </c>
      <c r="AK87" s="3">
        <v>7371.057367177732</v>
      </c>
      <c r="AL87" s="3">
        <v>6454.337170735882</v>
      </c>
      <c r="AM87" s="3">
        <v>6648.058681988839</v>
      </c>
      <c r="AN87" s="3">
        <v>6295.285529826977</v>
      </c>
      <c r="AO87" s="3">
        <v>5952.137689414294</v>
      </c>
      <c r="AP87" s="3">
        <v>6021.708633093528</v>
      </c>
      <c r="AQ87" s="3">
        <v>6062.990224937518</v>
      </c>
      <c r="AR87" s="3">
        <v>6658.518312101912</v>
      </c>
      <c r="AS87" s="3">
        <v>6135.502071220932</v>
      </c>
      <c r="AT87" s="3">
        <v>8224.829042122914</v>
      </c>
      <c r="AU87" s="3">
        <v>18530.03136986301</v>
      </c>
      <c r="AV87" s="3">
        <v>1944.743795842803</v>
      </c>
      <c r="AW87" s="3">
        <v>4006.424388330603</v>
      </c>
      <c r="AX87" s="3">
        <v>4016.03749193923</v>
      </c>
      <c r="AY87" s="3">
        <v>3713.24948636043</v>
      </c>
      <c r="AZ87" s="3">
        <v>3673.326089890671</v>
      </c>
      <c r="BA87" s="3">
        <v>3634.310043340679</v>
      </c>
      <c r="BB87" s="3">
        <v>3594.653514494381</v>
      </c>
      <c r="BC87" s="3">
        <v>3555.210479746852</v>
      </c>
      <c r="BD87" s="3">
        <v>3515.820818524015</v>
      </c>
      <c r="BE87" s="3">
        <v>3472.855131146801</v>
      </c>
      <c r="BF87" s="3">
        <v>3433.251975825195</v>
      </c>
      <c r="BG87" s="3">
        <v>3389.912673775136</v>
      </c>
      <c r="BH87" s="3">
        <v>3389.912673775136</v>
      </c>
      <c r="BI87" s="3">
        <v>3389.912673775136</v>
      </c>
      <c r="BJ87" s="3">
        <v>3389.912673775136</v>
      </c>
      <c r="BK87" s="3">
        <v>3389.912673775136</v>
      </c>
      <c r="BL87" s="3">
        <v>3389.912673775136</v>
      </c>
      <c r="BM87" s="3">
        <v>3389.912673775136</v>
      </c>
      <c r="BN87" s="3">
        <v>3389.912673775136</v>
      </c>
      <c r="BO87" s="3">
        <v>3389.912673775136</v>
      </c>
      <c r="BP87" s="3">
        <v>3389.912673775136</v>
      </c>
      <c r="BQ87" s="3">
        <v>3389.912673775136</v>
      </c>
      <c r="BR87" s="3">
        <v>3389.912673775136</v>
      </c>
      <c r="BS87" s="3">
        <v>3389.912673775136</v>
      </c>
      <c r="BT87" s="3">
        <v>3389.912673775136</v>
      </c>
      <c r="BU87" s="3">
        <v>3389.912673775136</v>
      </c>
      <c r="BV87" s="3">
        <v>3389.912673775136</v>
      </c>
      <c r="BW87" s="3">
        <v>3389.912673775136</v>
      </c>
      <c r="BX87" s="3">
        <v>3389.912673775136</v>
      </c>
      <c r="BY87" s="3">
        <v>3389.912673775136</v>
      </c>
      <c r="BZ87" s="3">
        <v>3389.912673775136</v>
      </c>
      <c r="CA87" s="3">
        <v>3389.912673775136</v>
      </c>
      <c r="CB87" s="3">
        <v>3389.912673775136</v>
      </c>
      <c r="CC87" s="3">
        <v>3389.912673775136</v>
      </c>
      <c r="CD87" s="3">
        <v>3389.912673775136</v>
      </c>
      <c r="CE87" s="3">
        <v>3389.912673775136</v>
      </c>
      <c r="CF87" s="3">
        <v>3389.912673775136</v>
      </c>
      <c r="CG87" s="3">
        <v>3389.912673775136</v>
      </c>
      <c r="CH87" s="3">
        <v>3389.912673775136</v>
      </c>
      <c r="CI87" s="3">
        <v>3389.912673775136</v>
      </c>
      <c r="CJ87" s="3">
        <v>3389.912673775136</v>
      </c>
      <c r="CK87" s="3">
        <v>3389.912673775136</v>
      </c>
      <c r="CL87" s="3">
        <v>3389.912673775136</v>
      </c>
      <c r="CM87" s="3">
        <v>3389.912673775136</v>
      </c>
      <c r="CN87" s="3">
        <v>3389.912673775136</v>
      </c>
      <c r="CO87" s="3">
        <v>3389.912673775136</v>
      </c>
      <c r="CP87" s="3">
        <v>3389.912673775136</v>
      </c>
      <c r="CQ87" s="3">
        <v>3389.912673775136</v>
      </c>
      <c r="CR87" s="3">
        <v>3389.912673775136</v>
      </c>
      <c r="CS87" s="3">
        <v>3389.912673775136</v>
      </c>
      <c r="CT87" s="3">
        <v>3389.912673775136</v>
      </c>
    </row>
    <row r="88" spans="1:98">
      <c r="A88" s="1" t="str">
        <f>'Population Definitions'!$B$12</f>
        <v>50-64F_aus</v>
      </c>
      <c r="C88" t="s">
        <v>47</v>
      </c>
      <c r="D88" s="3"/>
      <c r="E88" s="3"/>
      <c r="F88" s="4" t="s">
        <v>48</v>
      </c>
      <c r="G88" s="3">
        <v>720.5560632688926</v>
      </c>
      <c r="H88" s="3">
        <v>833.2361299232462</v>
      </c>
      <c r="I88" s="3">
        <v>778.6053401609367</v>
      </c>
      <c r="J88" s="3">
        <v>559.9729125942472</v>
      </c>
      <c r="K88" s="3">
        <v>482.338482848843</v>
      </c>
      <c r="L88" s="3">
        <v>621.0938734500945</v>
      </c>
      <c r="M88" s="3">
        <v>701.0265644541204</v>
      </c>
      <c r="N88" s="3">
        <v>676.5255173004086</v>
      </c>
      <c r="O88" s="3">
        <v>780.8459001431268</v>
      </c>
      <c r="P88" s="3">
        <v>760.9685805285357</v>
      </c>
      <c r="Q88" s="3">
        <v>705.7823535733477</v>
      </c>
      <c r="R88" s="3">
        <v>714.4064748201442</v>
      </c>
      <c r="S88" s="3">
        <v>674.011033972045</v>
      </c>
      <c r="T88" s="3">
        <v>587.7829276615106</v>
      </c>
      <c r="U88" s="3">
        <v>580.4162790697676</v>
      </c>
      <c r="V88" s="3">
        <v>872.6860017756732</v>
      </c>
      <c r="W88" s="3">
        <v>2035.339315068493</v>
      </c>
      <c r="X88" s="3">
        <v>652.3383404025961</v>
      </c>
      <c r="Y88" s="3">
        <v>369.6484845206052</v>
      </c>
      <c r="Z88" s="3">
        <v>443.427243142724</v>
      </c>
      <c r="AA88" s="3">
        <v>497.5479971806058</v>
      </c>
      <c r="AB88" s="3">
        <v>568.4280379718357</v>
      </c>
      <c r="AC88" s="3">
        <v>576.2205725768956</v>
      </c>
      <c r="AD88" s="3">
        <v>609.5256519848228</v>
      </c>
      <c r="AE88" s="3">
        <v>1746.340949033391</v>
      </c>
      <c r="AF88" s="3">
        <v>1767.696597880646</v>
      </c>
      <c r="AG88" s="3">
        <v>1486.076444769569</v>
      </c>
      <c r="AH88" s="3">
        <v>1214.264870148003</v>
      </c>
      <c r="AI88" s="3">
        <v>1515.253467746591</v>
      </c>
      <c r="AJ88" s="3">
        <v>1827.545064279679</v>
      </c>
      <c r="AK88" s="3">
        <v>1804.450993561537</v>
      </c>
      <c r="AL88" s="3">
        <v>1489.179188153981</v>
      </c>
      <c r="AM88" s="3">
        <v>1496.797174801386</v>
      </c>
      <c r="AN88" s="3">
        <v>1585.135232848412</v>
      </c>
      <c r="AO88" s="3">
        <v>1416.445222998388</v>
      </c>
      <c r="AP88" s="3">
        <v>1476.196043165468</v>
      </c>
      <c r="AQ88" s="3">
        <v>1557.649486253819</v>
      </c>
      <c r="AR88" s="3">
        <v>1586.683424325144</v>
      </c>
      <c r="AS88" s="3">
        <v>1472.201707848837</v>
      </c>
      <c r="AT88" s="3">
        <v>4274.568610042418</v>
      </c>
      <c r="AU88" s="3">
        <v>8213.622328767122</v>
      </c>
      <c r="AV88" s="3">
        <v>605.1350268319543</v>
      </c>
      <c r="AW88" s="3">
        <v>1094.815856742902</v>
      </c>
      <c r="AX88" s="3">
        <v>1613.428277920246</v>
      </c>
      <c r="AY88" s="3">
        <v>1452.720595072059</v>
      </c>
      <c r="AZ88" s="3">
        <v>1432.758896837179</v>
      </c>
      <c r="BA88" s="3">
        <v>1412.103342781301</v>
      </c>
      <c r="BB88" s="3">
        <v>1391.928150447653</v>
      </c>
      <c r="BC88" s="3">
        <v>1371.806331638697</v>
      </c>
      <c r="BD88" s="3">
        <v>1351.951380453202</v>
      </c>
      <c r="BE88" s="3">
        <v>1329.961488280019</v>
      </c>
      <c r="BF88" s="3">
        <v>1309.893042995755</v>
      </c>
      <c r="BG88" s="3">
        <v>1288.543633118879</v>
      </c>
      <c r="BH88" s="3">
        <v>1288.543633118879</v>
      </c>
      <c r="BI88" s="3">
        <v>1288.543633118879</v>
      </c>
      <c r="BJ88" s="3">
        <v>1288.543633118879</v>
      </c>
      <c r="BK88" s="3">
        <v>1288.543633118879</v>
      </c>
      <c r="BL88" s="3">
        <v>1288.543633118879</v>
      </c>
      <c r="BM88" s="3">
        <v>1288.543633118879</v>
      </c>
      <c r="BN88" s="3">
        <v>1288.543633118879</v>
      </c>
      <c r="BO88" s="3">
        <v>1288.543633118879</v>
      </c>
      <c r="BP88" s="3">
        <v>1288.543633118879</v>
      </c>
      <c r="BQ88" s="3">
        <v>1288.543633118879</v>
      </c>
      <c r="BR88" s="3">
        <v>1288.543633118879</v>
      </c>
      <c r="BS88" s="3">
        <v>1288.543633118879</v>
      </c>
      <c r="BT88" s="3">
        <v>1288.543633118879</v>
      </c>
      <c r="BU88" s="3">
        <v>1288.543633118879</v>
      </c>
      <c r="BV88" s="3">
        <v>1288.543633118879</v>
      </c>
      <c r="BW88" s="3">
        <v>1288.543633118879</v>
      </c>
      <c r="BX88" s="3">
        <v>1288.543633118879</v>
      </c>
      <c r="BY88" s="3">
        <v>1288.543633118879</v>
      </c>
      <c r="BZ88" s="3">
        <v>1288.543633118879</v>
      </c>
      <c r="CA88" s="3">
        <v>1288.543633118879</v>
      </c>
      <c r="CB88" s="3">
        <v>1288.543633118879</v>
      </c>
      <c r="CC88" s="3">
        <v>1288.543633118879</v>
      </c>
      <c r="CD88" s="3">
        <v>1288.543633118879</v>
      </c>
      <c r="CE88" s="3">
        <v>1288.543633118879</v>
      </c>
      <c r="CF88" s="3">
        <v>1288.543633118879</v>
      </c>
      <c r="CG88" s="3">
        <v>1288.543633118879</v>
      </c>
      <c r="CH88" s="3">
        <v>1288.543633118879</v>
      </c>
      <c r="CI88" s="3">
        <v>1288.543633118879</v>
      </c>
      <c r="CJ88" s="3">
        <v>1288.543633118879</v>
      </c>
      <c r="CK88" s="3">
        <v>1288.543633118879</v>
      </c>
      <c r="CL88" s="3">
        <v>1288.543633118879</v>
      </c>
      <c r="CM88" s="3">
        <v>1288.543633118879</v>
      </c>
      <c r="CN88" s="3">
        <v>1288.543633118879</v>
      </c>
      <c r="CO88" s="3">
        <v>1288.543633118879</v>
      </c>
      <c r="CP88" s="3">
        <v>1288.543633118879</v>
      </c>
      <c r="CQ88" s="3">
        <v>1288.543633118879</v>
      </c>
      <c r="CR88" s="3">
        <v>1288.543633118879</v>
      </c>
      <c r="CS88" s="3">
        <v>1288.543633118879</v>
      </c>
      <c r="CT88" s="3">
        <v>1288.543633118879</v>
      </c>
    </row>
    <row r="89" spans="1:98">
      <c r="A89" s="1" t="str">
        <f>'Population Definitions'!$B$13</f>
        <v>65+F_aus</v>
      </c>
      <c r="C89" t="s">
        <v>47</v>
      </c>
      <c r="D89" s="3"/>
      <c r="E89" s="3"/>
      <c r="F89" s="4" t="s">
        <v>48</v>
      </c>
      <c r="G89" s="3">
        <v>292.6263620386642</v>
      </c>
      <c r="H89" s="3">
        <v>338.4355828220858</v>
      </c>
      <c r="I89" s="3">
        <v>316.2328090709584</v>
      </c>
      <c r="J89" s="3">
        <v>227.3630071408624</v>
      </c>
      <c r="K89" s="3">
        <v>195.9126570345717</v>
      </c>
      <c r="L89" s="3">
        <v>252.2726919827369</v>
      </c>
      <c r="M89" s="3">
        <v>284.718954096994</v>
      </c>
      <c r="N89" s="3">
        <v>274.7471165985492</v>
      </c>
      <c r="O89" s="3">
        <v>317.0867472878508</v>
      </c>
      <c r="P89" s="3">
        <v>309.1123353705776</v>
      </c>
      <c r="Q89" s="3">
        <v>286.6556045137023</v>
      </c>
      <c r="R89" s="3">
        <v>290.1348920863311</v>
      </c>
      <c r="S89" s="3">
        <v>273.7875404980099</v>
      </c>
      <c r="T89" s="3">
        <v>238.7012435547468</v>
      </c>
      <c r="U89" s="3">
        <v>235.7025072674419</v>
      </c>
      <c r="V89" s="3">
        <v>354.4875209628095</v>
      </c>
      <c r="W89" s="3">
        <v>826.6109589041095</v>
      </c>
      <c r="X89" s="3">
        <v>264.9766597145735</v>
      </c>
      <c r="Y89" s="3">
        <v>150.1383610370991</v>
      </c>
      <c r="Z89" s="3">
        <v>180.0822723114529</v>
      </c>
      <c r="AA89" s="3">
        <v>202.0721644846357</v>
      </c>
      <c r="AB89" s="3">
        <v>230.8404942937267</v>
      </c>
      <c r="AC89" s="3">
        <v>234.0429057752582</v>
      </c>
      <c r="AD89" s="3">
        <v>247.5464075223825</v>
      </c>
      <c r="AE89" s="3">
        <v>772.6277680140595</v>
      </c>
      <c r="AF89" s="3">
        <v>718.9591798794251</v>
      </c>
      <c r="AG89" s="3">
        <v>579.235918068764</v>
      </c>
      <c r="AH89" s="3">
        <v>470.5342681613275</v>
      </c>
      <c r="AI89" s="3">
        <v>621.9656399699882</v>
      </c>
      <c r="AJ89" s="3">
        <v>767.7756262416365</v>
      </c>
      <c r="AK89" s="3">
        <v>725.276298114781</v>
      </c>
      <c r="AL89" s="3">
        <v>510.2910577108253</v>
      </c>
      <c r="AM89" s="3">
        <v>568.012632496007</v>
      </c>
      <c r="AN89" s="3">
        <v>760.9685805285357</v>
      </c>
      <c r="AO89" s="3">
        <v>535.6615153143472</v>
      </c>
      <c r="AP89" s="3">
        <v>589.3705035971226</v>
      </c>
      <c r="AQ89" s="3">
        <v>648.3846709247432</v>
      </c>
      <c r="AR89" s="3">
        <v>646.9861237488627</v>
      </c>
      <c r="AS89" s="3">
        <v>620.3565406976745</v>
      </c>
      <c r="AT89" s="3">
        <v>2233.75041925619</v>
      </c>
      <c r="AU89" s="3">
        <v>4789.525890410959</v>
      </c>
      <c r="AV89" s="3">
        <v>296.2273803107349</v>
      </c>
      <c r="AW89" s="3">
        <v>675.030093187443</v>
      </c>
      <c r="AX89" s="3">
        <v>895.0206355633533</v>
      </c>
      <c r="AY89" s="3">
        <v>798.7347970186405</v>
      </c>
      <c r="AZ89" s="3">
        <v>786.885874536974</v>
      </c>
      <c r="BA89" s="3">
        <v>774.9835785306154</v>
      </c>
      <c r="BB89" s="3">
        <v>762.9211619501802</v>
      </c>
      <c r="BC89" s="3">
        <v>751.125612993206</v>
      </c>
      <c r="BD89" s="3">
        <v>739.2233169868473</v>
      </c>
      <c r="BE89" s="3">
        <v>726.1468034372605</v>
      </c>
      <c r="BF89" s="3">
        <v>714.564748579055</v>
      </c>
      <c r="BG89" s="3">
        <v>701.434861504776</v>
      </c>
      <c r="BH89" s="3">
        <v>701.434861504776</v>
      </c>
      <c r="BI89" s="3">
        <v>701.434861504776</v>
      </c>
      <c r="BJ89" s="3">
        <v>701.434861504776</v>
      </c>
      <c r="BK89" s="3">
        <v>701.434861504776</v>
      </c>
      <c r="BL89" s="3">
        <v>701.434861504776</v>
      </c>
      <c r="BM89" s="3">
        <v>701.434861504776</v>
      </c>
      <c r="BN89" s="3">
        <v>701.434861504776</v>
      </c>
      <c r="BO89" s="3">
        <v>701.434861504776</v>
      </c>
      <c r="BP89" s="3">
        <v>701.434861504776</v>
      </c>
      <c r="BQ89" s="3">
        <v>701.434861504776</v>
      </c>
      <c r="BR89" s="3">
        <v>701.434861504776</v>
      </c>
      <c r="BS89" s="3">
        <v>701.434861504776</v>
      </c>
      <c r="BT89" s="3">
        <v>701.434861504776</v>
      </c>
      <c r="BU89" s="3">
        <v>701.434861504776</v>
      </c>
      <c r="BV89" s="3">
        <v>701.434861504776</v>
      </c>
      <c r="BW89" s="3">
        <v>701.434861504776</v>
      </c>
      <c r="BX89" s="3">
        <v>701.434861504776</v>
      </c>
      <c r="BY89" s="3">
        <v>701.434861504776</v>
      </c>
      <c r="BZ89" s="3">
        <v>701.434861504776</v>
      </c>
      <c r="CA89" s="3">
        <v>701.434861504776</v>
      </c>
      <c r="CB89" s="3">
        <v>701.434861504776</v>
      </c>
      <c r="CC89" s="3">
        <v>701.434861504776</v>
      </c>
      <c r="CD89" s="3">
        <v>701.434861504776</v>
      </c>
      <c r="CE89" s="3">
        <v>701.434861504776</v>
      </c>
      <c r="CF89" s="3">
        <v>701.434861504776</v>
      </c>
      <c r="CG89" s="3">
        <v>701.434861504776</v>
      </c>
      <c r="CH89" s="3">
        <v>701.434861504776</v>
      </c>
      <c r="CI89" s="3">
        <v>701.434861504776</v>
      </c>
      <c r="CJ89" s="3">
        <v>701.434861504776</v>
      </c>
      <c r="CK89" s="3">
        <v>701.434861504776</v>
      </c>
      <c r="CL89" s="3">
        <v>701.434861504776</v>
      </c>
      <c r="CM89" s="3">
        <v>701.434861504776</v>
      </c>
      <c r="CN89" s="3">
        <v>701.434861504776</v>
      </c>
      <c r="CO89" s="3">
        <v>701.434861504776</v>
      </c>
      <c r="CP89" s="3">
        <v>701.434861504776</v>
      </c>
      <c r="CQ89" s="3">
        <v>701.434861504776</v>
      </c>
      <c r="CR89" s="3">
        <v>701.434861504776</v>
      </c>
      <c r="CS89" s="3">
        <v>701.434861504776</v>
      </c>
      <c r="CT89" s="3">
        <v>701.434861504776</v>
      </c>
    </row>
    <row r="90" spans="1:98">
      <c r="A90" s="1" t="str">
        <f>'Population Definitions'!$B$14</f>
        <v>0-4M_oth</v>
      </c>
      <c r="C90" t="s">
        <v>47</v>
      </c>
      <c r="D90" s="3"/>
      <c r="E90" s="3"/>
      <c r="F90" s="4" t="s">
        <v>48</v>
      </c>
      <c r="G90" s="3">
        <v>4442.814411247803</v>
      </c>
      <c r="H90" s="3">
        <v>5375.956125673917</v>
      </c>
      <c r="I90" s="3">
        <v>5607.290325530358</v>
      </c>
      <c r="J90" s="3">
        <v>4676.013583595963</v>
      </c>
      <c r="K90" s="3">
        <v>3921.8992285346</v>
      </c>
      <c r="L90" s="3">
        <v>4328.384901696619</v>
      </c>
      <c r="M90" s="3">
        <v>4950.128190282087</v>
      </c>
      <c r="N90" s="3">
        <v>5521.430766267948</v>
      </c>
      <c r="O90" s="3">
        <v>6561.012881412184</v>
      </c>
      <c r="P90" s="3">
        <v>6812.710080055092</v>
      </c>
      <c r="Q90" s="3">
        <v>6323.492595378829</v>
      </c>
      <c r="R90" s="3">
        <v>6450.825539568345</v>
      </c>
      <c r="S90" s="3">
        <v>6423.83026936962</v>
      </c>
      <c r="T90" s="3">
        <v>5588.315912192903</v>
      </c>
      <c r="U90" s="3">
        <v>5704.713662790698</v>
      </c>
      <c r="V90" s="3">
        <v>6357.978593272172</v>
      </c>
      <c r="W90" s="3">
        <v>5938.663561643836</v>
      </c>
      <c r="X90" s="3">
        <v>7257.388231434396</v>
      </c>
      <c r="Y90" s="3">
        <v>7672.587648944372</v>
      </c>
      <c r="Z90" s="3">
        <v>7796.415650635114</v>
      </c>
      <c r="AA90" s="3">
        <v>8746.828631844153</v>
      </c>
      <c r="AB90" s="3">
        <v>9992.589073349231</v>
      </c>
      <c r="AC90" s="3">
        <v>10129.84991226886</v>
      </c>
      <c r="AD90" s="3">
        <v>10715.8117004844</v>
      </c>
      <c r="AE90" s="3">
        <v>9928.057644991213</v>
      </c>
      <c r="AF90" s="3">
        <v>10911.40530635009</v>
      </c>
      <c r="AG90" s="3">
        <v>11837.80824798829</v>
      </c>
      <c r="AH90" s="3">
        <v>11249.78607332349</v>
      </c>
      <c r="AI90" s="3">
        <v>12896.80907674253</v>
      </c>
      <c r="AJ90" s="3">
        <v>13001.78887036741</v>
      </c>
      <c r="AK90" s="3">
        <v>12510.80228357034</v>
      </c>
      <c r="AL90" s="3">
        <v>13016.20234095821</v>
      </c>
      <c r="AM90" s="3">
        <v>14208.81930759817</v>
      </c>
      <c r="AN90" s="3">
        <v>13954.0364121546</v>
      </c>
      <c r="AO90" s="3">
        <v>13342.09216550242</v>
      </c>
      <c r="AP90" s="3">
        <v>12942.19964028777</v>
      </c>
      <c r="AQ90" s="3">
        <v>13397.47229473294</v>
      </c>
      <c r="AR90" s="3">
        <v>13918.7191006976</v>
      </c>
      <c r="AS90" s="3">
        <v>12670.27805232558</v>
      </c>
      <c r="AT90" s="3">
        <v>11875.3273157739</v>
      </c>
      <c r="AU90" s="3">
        <v>10996.5298630137</v>
      </c>
      <c r="AV90" s="3">
        <v>4918.75363813184</v>
      </c>
      <c r="AW90" s="3">
        <v>12836.95781543747</v>
      </c>
      <c r="AX90" s="3">
        <v>14872.44855356099</v>
      </c>
      <c r="AY90" s="3">
        <v>13521.61257329674</v>
      </c>
      <c r="AZ90" s="3">
        <v>13347.4333018401</v>
      </c>
      <c r="BA90" s="3">
        <v>13172.30740390816</v>
      </c>
      <c r="BB90" s="3">
        <v>12996.23487950091</v>
      </c>
      <c r="BC90" s="3">
        <v>12825.8421139455</v>
      </c>
      <c r="BD90" s="3">
        <v>12651.66284248887</v>
      </c>
      <c r="BE90" s="3">
        <v>12462.3375474273</v>
      </c>
      <c r="BF90" s="3">
        <v>12289.10490244598</v>
      </c>
      <c r="BG90" s="3">
        <v>12099.77960738441</v>
      </c>
      <c r="BH90" s="3">
        <v>12099.77960738441</v>
      </c>
      <c r="BI90" s="3">
        <v>12099.77960738441</v>
      </c>
      <c r="BJ90" s="3">
        <v>12099.77960738441</v>
      </c>
      <c r="BK90" s="3">
        <v>12099.77960738441</v>
      </c>
      <c r="BL90" s="3">
        <v>12099.77960738441</v>
      </c>
      <c r="BM90" s="3">
        <v>12099.77960738441</v>
      </c>
      <c r="BN90" s="3">
        <v>12099.77960738441</v>
      </c>
      <c r="BO90" s="3">
        <v>12099.77960738441</v>
      </c>
      <c r="BP90" s="3">
        <v>12099.77960738441</v>
      </c>
      <c r="BQ90" s="3">
        <v>12099.77960738441</v>
      </c>
      <c r="BR90" s="3">
        <v>12099.77960738441</v>
      </c>
      <c r="BS90" s="3">
        <v>12099.77960738441</v>
      </c>
      <c r="BT90" s="3">
        <v>12099.77960738441</v>
      </c>
      <c r="BU90" s="3">
        <v>12099.77960738441</v>
      </c>
      <c r="BV90" s="3">
        <v>12099.77960738441</v>
      </c>
      <c r="BW90" s="3">
        <v>12099.77960738441</v>
      </c>
      <c r="BX90" s="3">
        <v>12099.77960738441</v>
      </c>
      <c r="BY90" s="3">
        <v>12099.77960738441</v>
      </c>
      <c r="BZ90" s="3">
        <v>12099.77960738441</v>
      </c>
      <c r="CA90" s="3">
        <v>12099.77960738441</v>
      </c>
      <c r="CB90" s="3">
        <v>12099.77960738441</v>
      </c>
      <c r="CC90" s="3">
        <v>12099.77960738441</v>
      </c>
      <c r="CD90" s="3">
        <v>12099.77960738441</v>
      </c>
      <c r="CE90" s="3">
        <v>12099.77960738441</v>
      </c>
      <c r="CF90" s="3">
        <v>12099.77960738441</v>
      </c>
      <c r="CG90" s="3">
        <v>12099.77960738441</v>
      </c>
      <c r="CH90" s="3">
        <v>12099.77960738441</v>
      </c>
      <c r="CI90" s="3">
        <v>12099.77960738441</v>
      </c>
      <c r="CJ90" s="3">
        <v>12099.77960738441</v>
      </c>
      <c r="CK90" s="3">
        <v>12099.77960738441</v>
      </c>
      <c r="CL90" s="3">
        <v>12099.77960738441</v>
      </c>
      <c r="CM90" s="3">
        <v>12099.77960738441</v>
      </c>
      <c r="CN90" s="3">
        <v>12099.77960738441</v>
      </c>
      <c r="CO90" s="3">
        <v>12099.77960738441</v>
      </c>
      <c r="CP90" s="3">
        <v>12099.77960738441</v>
      </c>
      <c r="CQ90" s="3">
        <v>12099.77960738441</v>
      </c>
      <c r="CR90" s="3">
        <v>12099.77960738441</v>
      </c>
      <c r="CS90" s="3">
        <v>12099.77960738441</v>
      </c>
      <c r="CT90" s="3">
        <v>12099.77960738441</v>
      </c>
    </row>
    <row r="91" spans="1:98">
      <c r="A91" s="1" t="str">
        <f>'Population Definitions'!$B$15</f>
        <v>5-14M_oth</v>
      </c>
      <c r="C91" t="s">
        <v>47</v>
      </c>
      <c r="D91" s="3"/>
      <c r="E91" s="3"/>
      <c r="F91" s="4" t="s">
        <v>48</v>
      </c>
      <c r="G91" s="3">
        <v>6597.454481546573</v>
      </c>
      <c r="H91" s="3">
        <v>7981.587230765145</v>
      </c>
      <c r="I91" s="3">
        <v>8326.109729334308</v>
      </c>
      <c r="J91" s="3">
        <v>6943.848884988231</v>
      </c>
      <c r="K91" s="3">
        <v>5823.129013640124</v>
      </c>
      <c r="L91" s="3">
        <v>6426.916173817734</v>
      </c>
      <c r="M91" s="3">
        <v>7350.216916022048</v>
      </c>
      <c r="N91" s="3">
        <v>8198.325979500567</v>
      </c>
      <c r="O91" s="3">
        <v>9742.679250762307</v>
      </c>
      <c r="P91" s="3">
        <v>10115.97865197555</v>
      </c>
      <c r="Q91" s="3">
        <v>9390.246942504031</v>
      </c>
      <c r="R91" s="3">
        <v>9578.471223021583</v>
      </c>
      <c r="S91" s="3">
        <v>9537.920577617328</v>
      </c>
      <c r="T91" s="3">
        <v>8297.802415074309</v>
      </c>
      <c r="U91" s="3">
        <v>8470.773074127907</v>
      </c>
      <c r="V91" s="3">
        <v>9441.461773700306</v>
      </c>
      <c r="W91" s="3">
        <v>8818.422739726027</v>
      </c>
      <c r="X91" s="3">
        <v>10776.81751927448</v>
      </c>
      <c r="Y91" s="3">
        <v>11391.96494312726</v>
      </c>
      <c r="Z91" s="3">
        <v>11576.29516653919</v>
      </c>
      <c r="AA91" s="3">
        <v>12987.71524122314</v>
      </c>
      <c r="AB91" s="3">
        <v>14837.4233739746</v>
      </c>
      <c r="AC91" s="3">
        <v>15041.89469264108</v>
      </c>
      <c r="AD91" s="3">
        <v>15910.89779697365</v>
      </c>
      <c r="AE91" s="3">
        <v>17019.15817223199</v>
      </c>
      <c r="AF91" s="3">
        <v>19115.76272806948</v>
      </c>
      <c r="AG91" s="3">
        <v>20686.05788222385</v>
      </c>
      <c r="AH91" s="3">
        <v>18330.40232177764</v>
      </c>
      <c r="AI91" s="3">
        <v>20049.81846514939</v>
      </c>
      <c r="AJ91" s="3">
        <v>19968.00219213116</v>
      </c>
      <c r="AK91" s="3">
        <v>17289.93401732364</v>
      </c>
      <c r="AL91" s="3">
        <v>18221.07821025827</v>
      </c>
      <c r="AM91" s="3">
        <v>19190.18000788235</v>
      </c>
      <c r="AN91" s="3">
        <v>19557.61874838599</v>
      </c>
      <c r="AO91" s="3">
        <v>17373.17238044062</v>
      </c>
      <c r="AP91" s="3">
        <v>17088.06474820144</v>
      </c>
      <c r="AQ91" s="3">
        <v>18599.39801906878</v>
      </c>
      <c r="AR91" s="3">
        <v>19681.81138155899</v>
      </c>
      <c r="AS91" s="3">
        <v>18571.20479651163</v>
      </c>
      <c r="AT91" s="3">
        <v>17757.09568905988</v>
      </c>
      <c r="AU91" s="3">
        <v>17701.03917808219</v>
      </c>
      <c r="AV91" s="3">
        <v>7654.047102383241</v>
      </c>
      <c r="AW91" s="3">
        <v>23431.02709063121</v>
      </c>
      <c r="AX91" s="3">
        <v>26788.58262473568</v>
      </c>
      <c r="AY91" s="3">
        <v>23014.38286768345</v>
      </c>
      <c r="AZ91" s="3">
        <v>22540.12300355424</v>
      </c>
      <c r="BA91" s="3">
        <v>22069.64964532626</v>
      </c>
      <c r="BB91" s="3">
        <v>21598.22966062297</v>
      </c>
      <c r="BC91" s="3">
        <v>21129.6495553456</v>
      </c>
      <c r="BD91" s="3">
        <v>20668.6424618707</v>
      </c>
      <c r="BE91" s="3">
        <v>20171.6635623341</v>
      </c>
      <c r="BF91" s="3">
        <v>19712.54972180981</v>
      </c>
      <c r="BG91" s="3">
        <v>19220.30395464975</v>
      </c>
      <c r="BH91" s="3">
        <v>19220.30395464975</v>
      </c>
      <c r="BI91" s="3">
        <v>19220.30395464975</v>
      </c>
      <c r="BJ91" s="3">
        <v>19220.30395464975</v>
      </c>
      <c r="BK91" s="3">
        <v>19220.30395464975</v>
      </c>
      <c r="BL91" s="3">
        <v>19220.30395464975</v>
      </c>
      <c r="BM91" s="3">
        <v>19220.30395464975</v>
      </c>
      <c r="BN91" s="3">
        <v>19220.30395464975</v>
      </c>
      <c r="BO91" s="3">
        <v>19220.30395464975</v>
      </c>
      <c r="BP91" s="3">
        <v>19220.30395464975</v>
      </c>
      <c r="BQ91" s="3">
        <v>19220.30395464975</v>
      </c>
      <c r="BR91" s="3">
        <v>19220.30395464975</v>
      </c>
      <c r="BS91" s="3">
        <v>19220.30395464975</v>
      </c>
      <c r="BT91" s="3">
        <v>19220.30395464975</v>
      </c>
      <c r="BU91" s="3">
        <v>19220.30395464975</v>
      </c>
      <c r="BV91" s="3">
        <v>19220.30395464975</v>
      </c>
      <c r="BW91" s="3">
        <v>19220.30395464975</v>
      </c>
      <c r="BX91" s="3">
        <v>19220.30395464975</v>
      </c>
      <c r="BY91" s="3">
        <v>19220.30395464975</v>
      </c>
      <c r="BZ91" s="3">
        <v>19220.30395464975</v>
      </c>
      <c r="CA91" s="3">
        <v>19220.30395464975</v>
      </c>
      <c r="CB91" s="3">
        <v>19220.30395464975</v>
      </c>
      <c r="CC91" s="3">
        <v>19220.30395464975</v>
      </c>
      <c r="CD91" s="3">
        <v>19220.30395464975</v>
      </c>
      <c r="CE91" s="3">
        <v>19220.30395464975</v>
      </c>
      <c r="CF91" s="3">
        <v>19220.30395464975</v>
      </c>
      <c r="CG91" s="3">
        <v>19220.30395464975</v>
      </c>
      <c r="CH91" s="3">
        <v>19220.30395464975</v>
      </c>
      <c r="CI91" s="3">
        <v>19220.30395464975</v>
      </c>
      <c r="CJ91" s="3">
        <v>19220.30395464975</v>
      </c>
      <c r="CK91" s="3">
        <v>19220.30395464975</v>
      </c>
      <c r="CL91" s="3">
        <v>19220.30395464975</v>
      </c>
      <c r="CM91" s="3">
        <v>19220.30395464975</v>
      </c>
      <c r="CN91" s="3">
        <v>19220.30395464975</v>
      </c>
      <c r="CO91" s="3">
        <v>19220.30395464975</v>
      </c>
      <c r="CP91" s="3">
        <v>19220.30395464975</v>
      </c>
      <c r="CQ91" s="3">
        <v>19220.30395464975</v>
      </c>
      <c r="CR91" s="3">
        <v>19220.30395464975</v>
      </c>
      <c r="CS91" s="3">
        <v>19220.30395464975</v>
      </c>
      <c r="CT91" s="3">
        <v>19220.30395464975</v>
      </c>
    </row>
    <row r="92" spans="1:98">
      <c r="A92" s="1" t="str">
        <f>'Population Definitions'!$B$16</f>
        <v>15-29M_oth</v>
      </c>
      <c r="C92" t="s">
        <v>47</v>
      </c>
      <c r="D92" s="3"/>
      <c r="E92" s="3"/>
      <c r="F92" s="4" t="s">
        <v>48</v>
      </c>
      <c r="G92" s="3">
        <v>36429.87205623902</v>
      </c>
      <c r="H92" s="3">
        <v>44075.55902584123</v>
      </c>
      <c r="I92" s="3">
        <v>45978.19842721288</v>
      </c>
      <c r="J92" s="3">
        <v>38341.34479594686</v>
      </c>
      <c r="K92" s="3">
        <v>32155.11697031493</v>
      </c>
      <c r="L92" s="3">
        <v>35489.42936085676</v>
      </c>
      <c r="M92" s="3">
        <v>40586.66663578674</v>
      </c>
      <c r="N92" s="3">
        <v>45270.91708214752</v>
      </c>
      <c r="O92" s="3">
        <v>53797.62218672862</v>
      </c>
      <c r="P92" s="3">
        <v>55862.06189205475</v>
      </c>
      <c r="Q92" s="3">
        <v>51852.09904352498</v>
      </c>
      <c r="R92" s="3">
        <v>52893.34532374101</v>
      </c>
      <c r="S92" s="3">
        <v>52668.70539664908</v>
      </c>
      <c r="T92" s="3">
        <v>45819.48147937519</v>
      </c>
      <c r="U92" s="3">
        <v>46774.11006540697</v>
      </c>
      <c r="V92" s="3">
        <v>52134.016079708</v>
      </c>
      <c r="W92" s="3">
        <v>48693.90616438357</v>
      </c>
      <c r="X92" s="3">
        <v>59506.17617697373</v>
      </c>
      <c r="Y92" s="3">
        <v>62906.81981957613</v>
      </c>
      <c r="Z92" s="3">
        <v>63921.8993716351</v>
      </c>
      <c r="AA92" s="3">
        <v>71720.20827522084</v>
      </c>
      <c r="AB92" s="3">
        <v>81933.36131731678</v>
      </c>
      <c r="AC92" s="3">
        <v>83061.74007588369</v>
      </c>
      <c r="AD92" s="3">
        <v>87862.08293216959</v>
      </c>
      <c r="AE92" s="3">
        <v>82763.67943760984</v>
      </c>
      <c r="AF92" s="3">
        <v>84155.12357581069</v>
      </c>
      <c r="AG92" s="3">
        <v>96260.09546452084</v>
      </c>
      <c r="AH92" s="3">
        <v>102755.1973710456</v>
      </c>
      <c r="AI92" s="3">
        <v>117865.5505877374</v>
      </c>
      <c r="AJ92" s="3">
        <v>120235.2485557053</v>
      </c>
      <c r="AK92" s="3">
        <v>88173.66513039047</v>
      </c>
      <c r="AL92" s="3">
        <v>88960.84308732588</v>
      </c>
      <c r="AM92" s="3">
        <v>99531.50461532079</v>
      </c>
      <c r="AN92" s="3">
        <v>104868.1984161143</v>
      </c>
      <c r="AO92" s="3">
        <v>108298.026824288</v>
      </c>
      <c r="AP92" s="3">
        <v>105947.9838129496</v>
      </c>
      <c r="AQ92" s="3">
        <v>109517.6105526243</v>
      </c>
      <c r="AR92" s="3">
        <v>125159.8026615105</v>
      </c>
      <c r="AS92" s="3">
        <v>130686.0877543605</v>
      </c>
      <c r="AT92" s="3">
        <v>110959.6219788892</v>
      </c>
      <c r="AU92" s="3">
        <v>72008.90821917809</v>
      </c>
      <c r="AV92" s="3">
        <v>23322.07250486256</v>
      </c>
      <c r="AW92" s="3">
        <v>159894.0924029918</v>
      </c>
      <c r="AX92" s="3">
        <v>133563.31590708</v>
      </c>
      <c r="AY92" s="3">
        <v>122789.7599916018</v>
      </c>
      <c r="AZ92" s="3">
        <v>121387.806181671</v>
      </c>
      <c r="BA92" s="3">
        <v>119969.7597216599</v>
      </c>
      <c r="BB92" s="3">
        <v>118556.4463940253</v>
      </c>
      <c r="BC92" s="3">
        <v>117141.2398134401</v>
      </c>
      <c r="BD92" s="3">
        <v>115707.1007033488</v>
      </c>
      <c r="BE92" s="3">
        <v>114150.8467779427</v>
      </c>
      <c r="BF92" s="3">
        <v>112715.7610413761</v>
      </c>
      <c r="BG92" s="3">
        <v>111152.8807306429</v>
      </c>
      <c r="BH92" s="3">
        <v>111152.8807306429</v>
      </c>
      <c r="BI92" s="3">
        <v>111152.8807306429</v>
      </c>
      <c r="BJ92" s="3">
        <v>111152.8807306429</v>
      </c>
      <c r="BK92" s="3">
        <v>111152.8807306429</v>
      </c>
      <c r="BL92" s="3">
        <v>111152.8807306429</v>
      </c>
      <c r="BM92" s="3">
        <v>111152.8807306429</v>
      </c>
      <c r="BN92" s="3">
        <v>111152.8807306429</v>
      </c>
      <c r="BO92" s="3">
        <v>111152.8807306429</v>
      </c>
      <c r="BP92" s="3">
        <v>111152.8807306429</v>
      </c>
      <c r="BQ92" s="3">
        <v>111152.8807306429</v>
      </c>
      <c r="BR92" s="3">
        <v>111152.8807306429</v>
      </c>
      <c r="BS92" s="3">
        <v>111152.8807306429</v>
      </c>
      <c r="BT92" s="3">
        <v>111152.8807306429</v>
      </c>
      <c r="BU92" s="3">
        <v>111152.8807306429</v>
      </c>
      <c r="BV92" s="3">
        <v>111152.8807306429</v>
      </c>
      <c r="BW92" s="3">
        <v>111152.8807306429</v>
      </c>
      <c r="BX92" s="3">
        <v>111152.8807306429</v>
      </c>
      <c r="BY92" s="3">
        <v>111152.8807306429</v>
      </c>
      <c r="BZ92" s="3">
        <v>111152.8807306429</v>
      </c>
      <c r="CA92" s="3">
        <v>111152.8807306429</v>
      </c>
      <c r="CB92" s="3">
        <v>111152.8807306429</v>
      </c>
      <c r="CC92" s="3">
        <v>111152.8807306429</v>
      </c>
      <c r="CD92" s="3">
        <v>111152.8807306429</v>
      </c>
      <c r="CE92" s="3">
        <v>111152.8807306429</v>
      </c>
      <c r="CF92" s="3">
        <v>111152.8807306429</v>
      </c>
      <c r="CG92" s="3">
        <v>111152.8807306429</v>
      </c>
      <c r="CH92" s="3">
        <v>111152.8807306429</v>
      </c>
      <c r="CI92" s="3">
        <v>111152.8807306429</v>
      </c>
      <c r="CJ92" s="3">
        <v>111152.8807306429</v>
      </c>
      <c r="CK92" s="3">
        <v>111152.8807306429</v>
      </c>
      <c r="CL92" s="3">
        <v>111152.8807306429</v>
      </c>
      <c r="CM92" s="3">
        <v>111152.8807306429</v>
      </c>
      <c r="CN92" s="3">
        <v>111152.8807306429</v>
      </c>
      <c r="CO92" s="3">
        <v>111152.8807306429</v>
      </c>
      <c r="CP92" s="3">
        <v>111152.8807306429</v>
      </c>
      <c r="CQ92" s="3">
        <v>111152.8807306429</v>
      </c>
      <c r="CR92" s="3">
        <v>111152.8807306429</v>
      </c>
      <c r="CS92" s="3">
        <v>111152.8807306429</v>
      </c>
      <c r="CT92" s="3">
        <v>111152.8807306429</v>
      </c>
    </row>
    <row r="93" spans="1:98">
      <c r="A93" s="1" t="str">
        <f>'Population Definitions'!$B$17</f>
        <v>30-49M_oth</v>
      </c>
      <c r="C93" t="s">
        <v>47</v>
      </c>
      <c r="D93" s="3"/>
      <c r="E93" s="3"/>
      <c r="F93" s="4" t="s">
        <v>48</v>
      </c>
      <c r="G93" s="3">
        <v>21556.7388400703</v>
      </c>
      <c r="H93" s="3">
        <v>26081.44854327677</v>
      </c>
      <c r="I93" s="3">
        <v>27206.65352962692</v>
      </c>
      <c r="J93" s="3">
        <v>22688.18596162285</v>
      </c>
      <c r="K93" s="3">
        <v>19026.55930279536</v>
      </c>
      <c r="L93" s="3">
        <v>21000.19592172265</v>
      </c>
      <c r="M93" s="3">
        <v>24015.79464078929</v>
      </c>
      <c r="N93" s="3">
        <v>26788.56961889885</v>
      </c>
      <c r="O93" s="3">
        <v>31833.65881889274</v>
      </c>
      <c r="P93" s="3">
        <v>33055.19368167341</v>
      </c>
      <c r="Q93" s="3">
        <v>30682.85023105857</v>
      </c>
      <c r="R93" s="3">
        <v>31298.08273381295</v>
      </c>
      <c r="S93" s="3">
        <v>31165.35928908637</v>
      </c>
      <c r="T93" s="3">
        <v>27112.97656960873</v>
      </c>
      <c r="U93" s="3">
        <v>27677.85359738372</v>
      </c>
      <c r="V93" s="3">
        <v>30848.91565551938</v>
      </c>
      <c r="W93" s="3">
        <v>28813.26698630137</v>
      </c>
      <c r="X93" s="3">
        <v>35211.73852318797</v>
      </c>
      <c r="Y93" s="3">
        <v>37224.31440280239</v>
      </c>
      <c r="Z93" s="3">
        <v>37824.35407387412</v>
      </c>
      <c r="AA93" s="3">
        <v>42439.15814099969</v>
      </c>
      <c r="AB93" s="3">
        <v>48482.42155936474</v>
      </c>
      <c r="AC93" s="3">
        <v>49149.79322445674</v>
      </c>
      <c r="AD93" s="3">
        <v>51990.61927685548</v>
      </c>
      <c r="AE93" s="3">
        <v>54387.21616871705</v>
      </c>
      <c r="AF93" s="3">
        <v>61780.15494117335</v>
      </c>
      <c r="AG93" s="3">
        <v>66506.03209583028</v>
      </c>
      <c r="AH93" s="3">
        <v>61357.59364902063</v>
      </c>
      <c r="AI93" s="3">
        <v>67411.20835337347</v>
      </c>
      <c r="AJ93" s="3">
        <v>63971.49772794739</v>
      </c>
      <c r="AK93" s="3">
        <v>58571.10933808884</v>
      </c>
      <c r="AL93" s="3">
        <v>59343.78858622387</v>
      </c>
      <c r="AM93" s="3">
        <v>65294.377273953</v>
      </c>
      <c r="AN93" s="3">
        <v>59814.46010157528</v>
      </c>
      <c r="AO93" s="3">
        <v>55348.34306286943</v>
      </c>
      <c r="AP93" s="3">
        <v>55073.05575539568</v>
      </c>
      <c r="AQ93" s="3">
        <v>59449.41512542812</v>
      </c>
      <c r="AR93" s="3">
        <v>67293.42982256597</v>
      </c>
      <c r="AS93" s="3">
        <v>62258.59240552325</v>
      </c>
      <c r="AT93" s="3">
        <v>62262.0656012627</v>
      </c>
      <c r="AU93" s="3">
        <v>53680.86082191781</v>
      </c>
      <c r="AV93" s="3">
        <v>23489.18341808638</v>
      </c>
      <c r="AW93" s="3">
        <v>88732.4883346633</v>
      </c>
      <c r="AX93" s="3">
        <v>67659.18069615033</v>
      </c>
      <c r="AY93" s="3">
        <v>63967.33744244988</v>
      </c>
      <c r="AZ93" s="3">
        <v>63458.05239873427</v>
      </c>
      <c r="BA93" s="3">
        <v>62960.12687272237</v>
      </c>
      <c r="BB93" s="3">
        <v>62452.73508195738</v>
      </c>
      <c r="BC93" s="3">
        <v>61938.71690586524</v>
      </c>
      <c r="BD93" s="3">
        <v>61433.21836805087</v>
      </c>
      <c r="BE93" s="3">
        <v>60860.50935048965</v>
      </c>
      <c r="BF93" s="3">
        <v>60344.59792144689</v>
      </c>
      <c r="BG93" s="3">
        <v>59768.10239798443</v>
      </c>
      <c r="BH93" s="3">
        <v>59768.10239798443</v>
      </c>
      <c r="BI93" s="3">
        <v>59768.10239798443</v>
      </c>
      <c r="BJ93" s="3">
        <v>59768.10239798443</v>
      </c>
      <c r="BK93" s="3">
        <v>59768.10239798443</v>
      </c>
      <c r="BL93" s="3">
        <v>59768.10239798443</v>
      </c>
      <c r="BM93" s="3">
        <v>59768.10239798443</v>
      </c>
      <c r="BN93" s="3">
        <v>59768.10239798443</v>
      </c>
      <c r="BO93" s="3">
        <v>59768.10239798443</v>
      </c>
      <c r="BP93" s="3">
        <v>59768.10239798443</v>
      </c>
      <c r="BQ93" s="3">
        <v>59768.10239798443</v>
      </c>
      <c r="BR93" s="3">
        <v>59768.10239798443</v>
      </c>
      <c r="BS93" s="3">
        <v>59768.10239798443</v>
      </c>
      <c r="BT93" s="3">
        <v>59768.10239798443</v>
      </c>
      <c r="BU93" s="3">
        <v>59768.10239798443</v>
      </c>
      <c r="BV93" s="3">
        <v>59768.10239798443</v>
      </c>
      <c r="BW93" s="3">
        <v>59768.10239798443</v>
      </c>
      <c r="BX93" s="3">
        <v>59768.10239798443</v>
      </c>
      <c r="BY93" s="3">
        <v>59768.10239798443</v>
      </c>
      <c r="BZ93" s="3">
        <v>59768.10239798443</v>
      </c>
      <c r="CA93" s="3">
        <v>59768.10239798443</v>
      </c>
      <c r="CB93" s="3">
        <v>59768.10239798443</v>
      </c>
      <c r="CC93" s="3">
        <v>59768.10239798443</v>
      </c>
      <c r="CD93" s="3">
        <v>59768.10239798443</v>
      </c>
      <c r="CE93" s="3">
        <v>59768.10239798443</v>
      </c>
      <c r="CF93" s="3">
        <v>59768.10239798443</v>
      </c>
      <c r="CG93" s="3">
        <v>59768.10239798443</v>
      </c>
      <c r="CH93" s="3">
        <v>59768.10239798443</v>
      </c>
      <c r="CI93" s="3">
        <v>59768.10239798443</v>
      </c>
      <c r="CJ93" s="3">
        <v>59768.10239798443</v>
      </c>
      <c r="CK93" s="3">
        <v>59768.10239798443</v>
      </c>
      <c r="CL93" s="3">
        <v>59768.10239798443</v>
      </c>
      <c r="CM93" s="3">
        <v>59768.10239798443</v>
      </c>
      <c r="CN93" s="3">
        <v>59768.10239798443</v>
      </c>
      <c r="CO93" s="3">
        <v>59768.10239798443</v>
      </c>
      <c r="CP93" s="3">
        <v>59768.10239798443</v>
      </c>
      <c r="CQ93" s="3">
        <v>59768.10239798443</v>
      </c>
      <c r="CR93" s="3">
        <v>59768.10239798443</v>
      </c>
      <c r="CS93" s="3">
        <v>59768.10239798443</v>
      </c>
      <c r="CT93" s="3">
        <v>59768.10239798443</v>
      </c>
    </row>
    <row r="94" spans="1:98">
      <c r="A94" s="1" t="str">
        <f>'Population Definitions'!$B$18</f>
        <v>50-64M_oth</v>
      </c>
      <c r="C94" t="s">
        <v>47</v>
      </c>
      <c r="D94" s="3"/>
      <c r="E94" s="3"/>
      <c r="F94" s="4" t="s">
        <v>48</v>
      </c>
      <c r="G94" s="3">
        <v>4466.936731107206</v>
      </c>
      <c r="H94" s="3">
        <v>5404.56085836454</v>
      </c>
      <c r="I94" s="3">
        <v>5638.056144842721</v>
      </c>
      <c r="J94" s="3">
        <v>4701.936809350939</v>
      </c>
      <c r="K94" s="3">
        <v>3943.291406144789</v>
      </c>
      <c r="L94" s="3">
        <v>4352.022926038409</v>
      </c>
      <c r="M94" s="3">
        <v>4976.435337440363</v>
      </c>
      <c r="N94" s="3">
        <v>5551.748700062055</v>
      </c>
      <c r="O94" s="3">
        <v>6596.792092762762</v>
      </c>
      <c r="P94" s="3">
        <v>6849.623138503916</v>
      </c>
      <c r="Q94" s="3">
        <v>6358.608103170339</v>
      </c>
      <c r="R94" s="3">
        <v>6485.96762589928</v>
      </c>
      <c r="S94" s="3">
        <v>6458.250115708599</v>
      </c>
      <c r="T94" s="3">
        <v>5618.199954504094</v>
      </c>
      <c r="U94" s="3">
        <v>5735.599055232558</v>
      </c>
      <c r="V94" s="3">
        <v>6393.188221367269</v>
      </c>
      <c r="W94" s="3">
        <v>5970.760410958905</v>
      </c>
      <c r="X94" s="3">
        <v>7296.870480163101</v>
      </c>
      <c r="Y94" s="3">
        <v>7713.627737127555</v>
      </c>
      <c r="Z94" s="3">
        <v>7838.067215548657</v>
      </c>
      <c r="AA94" s="3">
        <v>8794.159955609544</v>
      </c>
      <c r="AB94" s="3">
        <v>10046.54678244178</v>
      </c>
      <c r="AC94" s="3">
        <v>10185.70087431202</v>
      </c>
      <c r="AD94" s="3">
        <v>10773.55591547817</v>
      </c>
      <c r="AE94" s="3">
        <v>11218.60175746925</v>
      </c>
      <c r="AF94" s="3">
        <v>12709.16941545162</v>
      </c>
      <c r="AG94" s="3">
        <v>12147.22448792977</v>
      </c>
      <c r="AH94" s="3">
        <v>11147.88097897634</v>
      </c>
      <c r="AI94" s="3">
        <v>12747.06383347121</v>
      </c>
      <c r="AJ94" s="3">
        <v>13219.78398374169</v>
      </c>
      <c r="AK94" s="3">
        <v>13450.84434202603</v>
      </c>
      <c r="AL94" s="3">
        <v>12827.1611067126</v>
      </c>
      <c r="AM94" s="3">
        <v>13098.76927544649</v>
      </c>
      <c r="AN94" s="3">
        <v>13174.36059223552</v>
      </c>
      <c r="AO94" s="3">
        <v>11937.47185384202</v>
      </c>
      <c r="AP94" s="3">
        <v>12030.30755395683</v>
      </c>
      <c r="AQ94" s="3">
        <v>13661.96164028511</v>
      </c>
      <c r="AR94" s="3">
        <v>14066.3281581741</v>
      </c>
      <c r="AS94" s="3">
        <v>12841.05610465116</v>
      </c>
      <c r="AT94" s="3">
        <v>21957.60432080497</v>
      </c>
      <c r="AU94" s="3">
        <v>18456.43479452055</v>
      </c>
      <c r="AV94" s="3">
        <v>6283.18669884939</v>
      </c>
      <c r="AW94" s="3">
        <v>16559.19837158662</v>
      </c>
      <c r="AX94" s="3">
        <v>23444.15128747319</v>
      </c>
      <c r="AY94" s="3">
        <v>21549.95171038227</v>
      </c>
      <c r="AZ94" s="3">
        <v>21301.93557385162</v>
      </c>
      <c r="BA94" s="3">
        <v>21058.65256969751</v>
      </c>
      <c r="BB94" s="3">
        <v>20816.31619201872</v>
      </c>
      <c r="BC94" s="3">
        <v>20568.30005548807</v>
      </c>
      <c r="BD94" s="3">
        <v>20326.91030428458</v>
      </c>
      <c r="BE94" s="3">
        <v>20056.17513234655</v>
      </c>
      <c r="BF94" s="3">
        <v>19810.99887524182</v>
      </c>
      <c r="BG94" s="3">
        <v>19545.94346215564</v>
      </c>
      <c r="BH94" s="3">
        <v>19545.94346215564</v>
      </c>
      <c r="BI94" s="3">
        <v>19545.94346215564</v>
      </c>
      <c r="BJ94" s="3">
        <v>19545.94346215564</v>
      </c>
      <c r="BK94" s="3">
        <v>19545.94346215564</v>
      </c>
      <c r="BL94" s="3">
        <v>19545.94346215564</v>
      </c>
      <c r="BM94" s="3">
        <v>19545.94346215564</v>
      </c>
      <c r="BN94" s="3">
        <v>19545.94346215564</v>
      </c>
      <c r="BO94" s="3">
        <v>19545.94346215564</v>
      </c>
      <c r="BP94" s="3">
        <v>19545.94346215564</v>
      </c>
      <c r="BQ94" s="3">
        <v>19545.94346215564</v>
      </c>
      <c r="BR94" s="3">
        <v>19545.94346215564</v>
      </c>
      <c r="BS94" s="3">
        <v>19545.94346215564</v>
      </c>
      <c r="BT94" s="3">
        <v>19545.94346215564</v>
      </c>
      <c r="BU94" s="3">
        <v>19545.94346215564</v>
      </c>
      <c r="BV94" s="3">
        <v>19545.94346215564</v>
      </c>
      <c r="BW94" s="3">
        <v>19545.94346215564</v>
      </c>
      <c r="BX94" s="3">
        <v>19545.94346215564</v>
      </c>
      <c r="BY94" s="3">
        <v>19545.94346215564</v>
      </c>
      <c r="BZ94" s="3">
        <v>19545.94346215564</v>
      </c>
      <c r="CA94" s="3">
        <v>19545.94346215564</v>
      </c>
      <c r="CB94" s="3">
        <v>19545.94346215564</v>
      </c>
      <c r="CC94" s="3">
        <v>19545.94346215564</v>
      </c>
      <c r="CD94" s="3">
        <v>19545.94346215564</v>
      </c>
      <c r="CE94" s="3">
        <v>19545.94346215564</v>
      </c>
      <c r="CF94" s="3">
        <v>19545.94346215564</v>
      </c>
      <c r="CG94" s="3">
        <v>19545.94346215564</v>
      </c>
      <c r="CH94" s="3">
        <v>19545.94346215564</v>
      </c>
      <c r="CI94" s="3">
        <v>19545.94346215564</v>
      </c>
      <c r="CJ94" s="3">
        <v>19545.94346215564</v>
      </c>
      <c r="CK94" s="3">
        <v>19545.94346215564</v>
      </c>
      <c r="CL94" s="3">
        <v>19545.94346215564</v>
      </c>
      <c r="CM94" s="3">
        <v>19545.94346215564</v>
      </c>
      <c r="CN94" s="3">
        <v>19545.94346215564</v>
      </c>
      <c r="CO94" s="3">
        <v>19545.94346215564</v>
      </c>
      <c r="CP94" s="3">
        <v>19545.94346215564</v>
      </c>
      <c r="CQ94" s="3">
        <v>19545.94346215564</v>
      </c>
      <c r="CR94" s="3">
        <v>19545.94346215564</v>
      </c>
      <c r="CS94" s="3">
        <v>19545.94346215564</v>
      </c>
      <c r="CT94" s="3">
        <v>19545.94346215564</v>
      </c>
    </row>
    <row r="95" spans="1:98">
      <c r="A95" s="1" t="str">
        <f>'Population Definitions'!$B$19</f>
        <v>65+M_oth</v>
      </c>
      <c r="C95" t="s">
        <v>47</v>
      </c>
      <c r="D95" s="3"/>
      <c r="E95" s="3"/>
      <c r="F95" s="4" t="s">
        <v>48</v>
      </c>
      <c r="G95" s="3">
        <v>1746.283655536028</v>
      </c>
      <c r="H95" s="3">
        <v>2112.416168698378</v>
      </c>
      <c r="I95" s="3">
        <v>2203.711686174104</v>
      </c>
      <c r="J95" s="3">
        <v>1837.867315594208</v>
      </c>
      <c r="K95" s="3">
        <v>1541.128128667346</v>
      </c>
      <c r="L95" s="3">
        <v>1701.062270225835</v>
      </c>
      <c r="M95" s="3">
        <v>1944.975079901802</v>
      </c>
      <c r="N95" s="3">
        <v>2169.515674148889</v>
      </c>
      <c r="O95" s="3">
        <v>2577.892177809123</v>
      </c>
      <c r="P95" s="3">
        <v>2677.54721528794</v>
      </c>
      <c r="Q95" s="3">
        <v>2485.097474476088</v>
      </c>
      <c r="R95" s="3">
        <v>2534.735611510791</v>
      </c>
      <c r="S95" s="3">
        <v>2524.423993335185</v>
      </c>
      <c r="T95" s="3">
        <v>2196.024321352745</v>
      </c>
      <c r="U95" s="3">
        <v>2241.91613372093</v>
      </c>
      <c r="V95" s="3">
        <v>2498.123113347144</v>
      </c>
      <c r="W95" s="3">
        <v>2333.366301369863</v>
      </c>
      <c r="X95" s="3">
        <v>2851.903826775713</v>
      </c>
      <c r="Y95" s="3">
        <v>3015.014850480815</v>
      </c>
      <c r="Z95" s="3">
        <v>3063.283274096069</v>
      </c>
      <c r="AA95" s="3">
        <v>3437.200731842654</v>
      </c>
      <c r="AB95" s="3">
        <v>3926.606619576791</v>
      </c>
      <c r="AC95" s="3">
        <v>3980.564328669336</v>
      </c>
      <c r="AD95" s="3">
        <v>4210.594562169133</v>
      </c>
      <c r="AE95" s="3">
        <v>4323.925834797891</v>
      </c>
      <c r="AF95" s="3">
        <v>4168.489682097044</v>
      </c>
      <c r="AG95" s="3">
        <v>3869.46104608632</v>
      </c>
      <c r="AH95" s="3">
        <v>3642.660170742411</v>
      </c>
      <c r="AI95" s="3">
        <v>4835.523480636411</v>
      </c>
      <c r="AJ95" s="3">
        <v>4932.467745986802</v>
      </c>
      <c r="AK95" s="3">
        <v>4922.944138218537</v>
      </c>
      <c r="AL95" s="3">
        <v>4098.271285815163</v>
      </c>
      <c r="AM95" s="3">
        <v>4648.614034723807</v>
      </c>
      <c r="AN95" s="3">
        <v>6637.147972798485</v>
      </c>
      <c r="AO95" s="3">
        <v>4861.246835034927</v>
      </c>
      <c r="AP95" s="3">
        <v>5394.760791366906</v>
      </c>
      <c r="AQ95" s="3">
        <v>6165.68142182727</v>
      </c>
      <c r="AR95" s="3">
        <v>6305.53292766151</v>
      </c>
      <c r="AS95" s="3">
        <v>6214.322638081395</v>
      </c>
      <c r="AT95" s="3">
        <v>15773.03314590115</v>
      </c>
      <c r="AU95" s="3">
        <v>13359.75369863014</v>
      </c>
      <c r="AV95" s="3">
        <v>3529.529397979988</v>
      </c>
      <c r="AW95" s="3">
        <v>11424.41524541163</v>
      </c>
      <c r="AX95" s="3">
        <v>15526.56744799868</v>
      </c>
      <c r="AY95" s="3">
        <v>13884.17051333963</v>
      </c>
      <c r="AZ95" s="3">
        <v>13674.0194358213</v>
      </c>
      <c r="BA95" s="3">
        <v>13468.6014906795</v>
      </c>
      <c r="BB95" s="3">
        <v>13259.39703963648</v>
      </c>
      <c r="BC95" s="3">
        <v>13057.76560039591</v>
      </c>
      <c r="BD95" s="3">
        <v>12848.56114935289</v>
      </c>
      <c r="BE95" s="3">
        <v>12637.46344535925</v>
      </c>
      <c r="BF95" s="3">
        <v>12435.83200611868</v>
      </c>
      <c r="BG95" s="3">
        <v>12212.42815794604</v>
      </c>
      <c r="BH95" s="3">
        <v>12212.42815794604</v>
      </c>
      <c r="BI95" s="3">
        <v>12212.42815794604</v>
      </c>
      <c r="BJ95" s="3">
        <v>12212.42815794604</v>
      </c>
      <c r="BK95" s="3">
        <v>12212.42815794604</v>
      </c>
      <c r="BL95" s="3">
        <v>12212.42815794604</v>
      </c>
      <c r="BM95" s="3">
        <v>12212.42815794604</v>
      </c>
      <c r="BN95" s="3">
        <v>12212.42815794604</v>
      </c>
      <c r="BO95" s="3">
        <v>12212.42815794604</v>
      </c>
      <c r="BP95" s="3">
        <v>12212.42815794604</v>
      </c>
      <c r="BQ95" s="3">
        <v>12212.42815794604</v>
      </c>
      <c r="BR95" s="3">
        <v>12212.42815794604</v>
      </c>
      <c r="BS95" s="3">
        <v>12212.42815794604</v>
      </c>
      <c r="BT95" s="3">
        <v>12212.42815794604</v>
      </c>
      <c r="BU95" s="3">
        <v>12212.42815794604</v>
      </c>
      <c r="BV95" s="3">
        <v>12212.42815794604</v>
      </c>
      <c r="BW95" s="3">
        <v>12212.42815794604</v>
      </c>
      <c r="BX95" s="3">
        <v>12212.42815794604</v>
      </c>
      <c r="BY95" s="3">
        <v>12212.42815794604</v>
      </c>
      <c r="BZ95" s="3">
        <v>12212.42815794604</v>
      </c>
      <c r="CA95" s="3">
        <v>12212.42815794604</v>
      </c>
      <c r="CB95" s="3">
        <v>12212.42815794604</v>
      </c>
      <c r="CC95" s="3">
        <v>12212.42815794604</v>
      </c>
      <c r="CD95" s="3">
        <v>12212.42815794604</v>
      </c>
      <c r="CE95" s="3">
        <v>12212.42815794604</v>
      </c>
      <c r="CF95" s="3">
        <v>12212.42815794604</v>
      </c>
      <c r="CG95" s="3">
        <v>12212.42815794604</v>
      </c>
      <c r="CH95" s="3">
        <v>12212.42815794604</v>
      </c>
      <c r="CI95" s="3">
        <v>12212.42815794604</v>
      </c>
      <c r="CJ95" s="3">
        <v>12212.42815794604</v>
      </c>
      <c r="CK95" s="3">
        <v>12212.42815794604</v>
      </c>
      <c r="CL95" s="3">
        <v>12212.42815794604</v>
      </c>
      <c r="CM95" s="3">
        <v>12212.42815794604</v>
      </c>
      <c r="CN95" s="3">
        <v>12212.42815794604</v>
      </c>
      <c r="CO95" s="3">
        <v>12212.42815794604</v>
      </c>
      <c r="CP95" s="3">
        <v>12212.42815794604</v>
      </c>
      <c r="CQ95" s="3">
        <v>12212.42815794604</v>
      </c>
      <c r="CR95" s="3">
        <v>12212.42815794604</v>
      </c>
      <c r="CS95" s="3">
        <v>12212.42815794604</v>
      </c>
      <c r="CT95" s="3">
        <v>12212.42815794604</v>
      </c>
    </row>
    <row r="96" spans="1:98">
      <c r="A96" s="1" t="str">
        <f>'Population Definitions'!$B$20</f>
        <v>0-4F_oth</v>
      </c>
      <c r="C96" t="s">
        <v>47</v>
      </c>
      <c r="D96" s="3"/>
      <c r="E96" s="3"/>
      <c r="F96" s="4" t="s">
        <v>48</v>
      </c>
      <c r="G96" s="3">
        <v>4211.06783831283</v>
      </c>
      <c r="H96" s="3">
        <v>5094.242849175364</v>
      </c>
      <c r="I96" s="3">
        <v>5314.575530358449</v>
      </c>
      <c r="J96" s="3">
        <v>4431.977699764631</v>
      </c>
      <c r="K96" s="3">
        <v>3716.890859770292</v>
      </c>
      <c r="L96" s="3">
        <v>4101.634964492042</v>
      </c>
      <c r="M96" s="3">
        <v>4691.441243225717</v>
      </c>
      <c r="N96" s="3">
        <v>5232.518691288811</v>
      </c>
      <c r="O96" s="3">
        <v>6218.426932730403</v>
      </c>
      <c r="P96" s="3">
        <v>6457.084273048119</v>
      </c>
      <c r="Q96" s="3">
        <v>5993.046663084363</v>
      </c>
      <c r="R96" s="3">
        <v>6113.821942446043</v>
      </c>
      <c r="S96" s="3">
        <v>6087.783874849579</v>
      </c>
      <c r="T96" s="3">
        <v>5295.814528359114</v>
      </c>
      <c r="U96" s="3">
        <v>5406.760465116279</v>
      </c>
      <c r="V96" s="3">
        <v>6026.12784847588</v>
      </c>
      <c r="W96" s="3">
        <v>5628.145205479453</v>
      </c>
      <c r="X96" s="3">
        <v>6878.175005272655</v>
      </c>
      <c r="Y96" s="3">
        <v>7270.776553011347</v>
      </c>
      <c r="Z96" s="3">
        <v>7388.419639777449</v>
      </c>
      <c r="AA96" s="3">
        <v>8289.608044270482</v>
      </c>
      <c r="AB96" s="3">
        <v>9470.05125897932</v>
      </c>
      <c r="AC96" s="3">
        <v>9600.685712571798</v>
      </c>
      <c r="AD96" s="3">
        <v>10155.40882710217</v>
      </c>
      <c r="AE96" s="3">
        <v>9415.458347978911</v>
      </c>
      <c r="AF96" s="3">
        <v>10635.75970042228</v>
      </c>
      <c r="AG96" s="3">
        <v>11157.44412948061</v>
      </c>
      <c r="AH96" s="3">
        <v>10714.33737583277</v>
      </c>
      <c r="AI96" s="3">
        <v>12113.32057176937</v>
      </c>
      <c r="AJ96" s="3">
        <v>12459.8652752723</v>
      </c>
      <c r="AK96" s="3">
        <v>11544.45307795637</v>
      </c>
      <c r="AL96" s="3">
        <v>12390.22617850341</v>
      </c>
      <c r="AM96" s="3">
        <v>13274.08741106432</v>
      </c>
      <c r="AN96" s="3">
        <v>13328.31505552208</v>
      </c>
      <c r="AO96" s="3">
        <v>12530.83389575497</v>
      </c>
      <c r="AP96" s="3">
        <v>12384.43165467626</v>
      </c>
      <c r="AQ96" s="3">
        <v>12707.2637970934</v>
      </c>
      <c r="AR96" s="3">
        <v>13025.82013952078</v>
      </c>
      <c r="AS96" s="3">
        <v>12167.93622819767</v>
      </c>
      <c r="AT96" s="3">
        <v>11150.0089770149</v>
      </c>
      <c r="AU96" s="3">
        <v>10256.80945205479</v>
      </c>
      <c r="AV96" s="3">
        <v>4614.832142103906</v>
      </c>
      <c r="AW96" s="3">
        <v>12436.10114015987</v>
      </c>
      <c r="AX96" s="3">
        <v>14513.67711941933</v>
      </c>
      <c r="AY96" s="3">
        <v>13185.56017456247</v>
      </c>
      <c r="AZ96" s="3">
        <v>13007.5943972046</v>
      </c>
      <c r="BA96" s="3">
        <v>12835.30837869858</v>
      </c>
      <c r="BB96" s="3">
        <v>12664.91561314318</v>
      </c>
      <c r="BC96" s="3">
        <v>12492.62959463715</v>
      </c>
      <c r="BD96" s="3">
        <v>12318.45032318052</v>
      </c>
      <c r="BE96" s="3">
        <v>12131.96490754488</v>
      </c>
      <c r="BF96" s="3">
        <v>11966.30527436601</v>
      </c>
      <c r="BG96" s="3">
        <v>11777.92660577976</v>
      </c>
      <c r="BH96" s="3">
        <v>11777.92660577976</v>
      </c>
      <c r="BI96" s="3">
        <v>11777.92660577976</v>
      </c>
      <c r="BJ96" s="3">
        <v>11777.92660577976</v>
      </c>
      <c r="BK96" s="3">
        <v>11777.92660577976</v>
      </c>
      <c r="BL96" s="3">
        <v>11777.92660577976</v>
      </c>
      <c r="BM96" s="3">
        <v>11777.92660577976</v>
      </c>
      <c r="BN96" s="3">
        <v>11777.92660577976</v>
      </c>
      <c r="BO96" s="3">
        <v>11777.92660577976</v>
      </c>
      <c r="BP96" s="3">
        <v>11777.92660577976</v>
      </c>
      <c r="BQ96" s="3">
        <v>11777.92660577976</v>
      </c>
      <c r="BR96" s="3">
        <v>11777.92660577976</v>
      </c>
      <c r="BS96" s="3">
        <v>11777.92660577976</v>
      </c>
      <c r="BT96" s="3">
        <v>11777.92660577976</v>
      </c>
      <c r="BU96" s="3">
        <v>11777.92660577976</v>
      </c>
      <c r="BV96" s="3">
        <v>11777.92660577976</v>
      </c>
      <c r="BW96" s="3">
        <v>11777.92660577976</v>
      </c>
      <c r="BX96" s="3">
        <v>11777.92660577976</v>
      </c>
      <c r="BY96" s="3">
        <v>11777.92660577976</v>
      </c>
      <c r="BZ96" s="3">
        <v>11777.92660577976</v>
      </c>
      <c r="CA96" s="3">
        <v>11777.92660577976</v>
      </c>
      <c r="CB96" s="3">
        <v>11777.92660577976</v>
      </c>
      <c r="CC96" s="3">
        <v>11777.92660577976</v>
      </c>
      <c r="CD96" s="3">
        <v>11777.92660577976</v>
      </c>
      <c r="CE96" s="3">
        <v>11777.92660577976</v>
      </c>
      <c r="CF96" s="3">
        <v>11777.92660577976</v>
      </c>
      <c r="CG96" s="3">
        <v>11777.92660577976</v>
      </c>
      <c r="CH96" s="3">
        <v>11777.92660577976</v>
      </c>
      <c r="CI96" s="3">
        <v>11777.92660577976</v>
      </c>
      <c r="CJ96" s="3">
        <v>11777.92660577976</v>
      </c>
      <c r="CK96" s="3">
        <v>11777.92660577976</v>
      </c>
      <c r="CL96" s="3">
        <v>11777.92660577976</v>
      </c>
      <c r="CM96" s="3">
        <v>11777.92660577976</v>
      </c>
      <c r="CN96" s="3">
        <v>11777.92660577976</v>
      </c>
      <c r="CO96" s="3">
        <v>11777.92660577976</v>
      </c>
      <c r="CP96" s="3">
        <v>11777.92660577976</v>
      </c>
      <c r="CQ96" s="3">
        <v>11777.92660577976</v>
      </c>
      <c r="CR96" s="3">
        <v>11777.92660577976</v>
      </c>
      <c r="CS96" s="3">
        <v>11777.92660577976</v>
      </c>
      <c r="CT96" s="3">
        <v>11777.92660577976</v>
      </c>
    </row>
    <row r="97" spans="1:98">
      <c r="A97" s="1" t="str">
        <f>'Population Definitions'!$B$21</f>
        <v>5-14F_oth</v>
      </c>
      <c r="C97" t="s">
        <v>47</v>
      </c>
      <c r="D97" s="3"/>
      <c r="E97" s="3"/>
      <c r="F97" s="4" t="s">
        <v>48</v>
      </c>
      <c r="G97" s="3">
        <v>6215.804920913884</v>
      </c>
      <c r="H97" s="3">
        <v>7520.444267389053</v>
      </c>
      <c r="I97" s="3">
        <v>7845.283924652524</v>
      </c>
      <c r="J97" s="3">
        <v>6542.485837954283</v>
      </c>
      <c r="K97" s="3">
        <v>5486.202216279651</v>
      </c>
      <c r="L97" s="3">
        <v>6055.711643413331</v>
      </c>
      <c r="M97" s="3">
        <v>6924.918036963268</v>
      </c>
      <c r="N97" s="3">
        <v>7724.831189951426</v>
      </c>
      <c r="O97" s="3">
        <v>9179.156671990708</v>
      </c>
      <c r="P97" s="3">
        <v>9531.671946285616</v>
      </c>
      <c r="Q97" s="3">
        <v>8847.307168189145</v>
      </c>
      <c r="R97" s="3">
        <v>9025.208633093525</v>
      </c>
      <c r="S97" s="3">
        <v>8987.20303619365</v>
      </c>
      <c r="T97" s="3">
        <v>7817.846584015771</v>
      </c>
      <c r="U97" s="3">
        <v>7981.148764534883</v>
      </c>
      <c r="V97" s="3">
        <v>8895.7125382263</v>
      </c>
      <c r="W97" s="3">
        <v>8308.605342465753</v>
      </c>
      <c r="X97" s="3">
        <v>10153.36526609331</v>
      </c>
      <c r="Y97" s="3">
        <v>10734.36911154091</v>
      </c>
      <c r="Z97" s="3">
        <v>10907.03024849657</v>
      </c>
      <c r="AA97" s="3">
        <v>12237.98707277935</v>
      </c>
      <c r="AB97" s="3">
        <v>13980.72641382103</v>
      </c>
      <c r="AC97" s="3">
        <v>14172.89158830851</v>
      </c>
      <c r="AD97" s="3">
        <v>14991.72348944977</v>
      </c>
      <c r="AE97" s="3">
        <v>15936.23831282953</v>
      </c>
      <c r="AF97" s="3">
        <v>18001.91177329828</v>
      </c>
      <c r="AG97" s="3">
        <v>19436.08659473299</v>
      </c>
      <c r="AH97" s="3">
        <v>17413.25647265329</v>
      </c>
      <c r="AI97" s="3">
        <v>18932.96852575078</v>
      </c>
      <c r="AJ97" s="3">
        <v>18666.15988856667</v>
      </c>
      <c r="AK97" s="3">
        <v>16422.67506600584</v>
      </c>
      <c r="AL97" s="3">
        <v>16754.22523698457</v>
      </c>
      <c r="AM97" s="3">
        <v>17948.6413740173</v>
      </c>
      <c r="AN97" s="3">
        <v>18125.21201687182</v>
      </c>
      <c r="AO97" s="3">
        <v>16515.99383127351</v>
      </c>
      <c r="AP97" s="3">
        <v>16334.76258992806</v>
      </c>
      <c r="AQ97" s="3">
        <v>17619.33818383782</v>
      </c>
      <c r="AR97" s="3">
        <v>18742.72799135578</v>
      </c>
      <c r="AS97" s="3">
        <v>17754.55868459302</v>
      </c>
      <c r="AT97" s="3">
        <v>16912.94485547992</v>
      </c>
      <c r="AU97" s="3">
        <v>16558.98849315069</v>
      </c>
      <c r="AV97" s="3">
        <v>7127.004991446583</v>
      </c>
      <c r="AW97" s="3">
        <v>22428.88540243721</v>
      </c>
      <c r="AX97" s="3">
        <v>26142.03674210045</v>
      </c>
      <c r="AY97" s="3">
        <v>22453.97999430123</v>
      </c>
      <c r="AZ97" s="3">
        <v>21991.07964787571</v>
      </c>
      <c r="BA97" s="3">
        <v>21524.39279554896</v>
      </c>
      <c r="BB97" s="3">
        <v>21067.17220797529</v>
      </c>
      <c r="BC97" s="3">
        <v>20612.79149982754</v>
      </c>
      <c r="BD97" s="3">
        <v>20161.25067110571</v>
      </c>
      <c r="BE97" s="3">
        <v>19672.79140984688</v>
      </c>
      <c r="BF97" s="3">
        <v>19226.93033997691</v>
      </c>
      <c r="BG97" s="3">
        <v>18746.04409052054</v>
      </c>
      <c r="BH97" s="3">
        <v>18746.04409052054</v>
      </c>
      <c r="BI97" s="3">
        <v>18746.04409052054</v>
      </c>
      <c r="BJ97" s="3">
        <v>18746.04409052054</v>
      </c>
      <c r="BK97" s="3">
        <v>18746.04409052054</v>
      </c>
      <c r="BL97" s="3">
        <v>18746.04409052054</v>
      </c>
      <c r="BM97" s="3">
        <v>18746.04409052054</v>
      </c>
      <c r="BN97" s="3">
        <v>18746.04409052054</v>
      </c>
      <c r="BO97" s="3">
        <v>18746.04409052054</v>
      </c>
      <c r="BP97" s="3">
        <v>18746.04409052054</v>
      </c>
      <c r="BQ97" s="3">
        <v>18746.04409052054</v>
      </c>
      <c r="BR97" s="3">
        <v>18746.04409052054</v>
      </c>
      <c r="BS97" s="3">
        <v>18746.04409052054</v>
      </c>
      <c r="BT97" s="3">
        <v>18746.04409052054</v>
      </c>
      <c r="BU97" s="3">
        <v>18746.04409052054</v>
      </c>
      <c r="BV97" s="3">
        <v>18746.04409052054</v>
      </c>
      <c r="BW97" s="3">
        <v>18746.04409052054</v>
      </c>
      <c r="BX97" s="3">
        <v>18746.04409052054</v>
      </c>
      <c r="BY97" s="3">
        <v>18746.04409052054</v>
      </c>
      <c r="BZ97" s="3">
        <v>18746.04409052054</v>
      </c>
      <c r="CA97" s="3">
        <v>18746.04409052054</v>
      </c>
      <c r="CB97" s="3">
        <v>18746.04409052054</v>
      </c>
      <c r="CC97" s="3">
        <v>18746.04409052054</v>
      </c>
      <c r="CD97" s="3">
        <v>18746.04409052054</v>
      </c>
      <c r="CE97" s="3">
        <v>18746.04409052054</v>
      </c>
      <c r="CF97" s="3">
        <v>18746.04409052054</v>
      </c>
      <c r="CG97" s="3">
        <v>18746.04409052054</v>
      </c>
      <c r="CH97" s="3">
        <v>18746.04409052054</v>
      </c>
      <c r="CI97" s="3">
        <v>18746.04409052054</v>
      </c>
      <c r="CJ97" s="3">
        <v>18746.04409052054</v>
      </c>
      <c r="CK97" s="3">
        <v>18746.04409052054</v>
      </c>
      <c r="CL97" s="3">
        <v>18746.04409052054</v>
      </c>
      <c r="CM97" s="3">
        <v>18746.04409052054</v>
      </c>
      <c r="CN97" s="3">
        <v>18746.04409052054</v>
      </c>
      <c r="CO97" s="3">
        <v>18746.04409052054</v>
      </c>
      <c r="CP97" s="3">
        <v>18746.04409052054</v>
      </c>
      <c r="CQ97" s="3">
        <v>18746.04409052054</v>
      </c>
      <c r="CR97" s="3">
        <v>18746.04409052054</v>
      </c>
      <c r="CS97" s="3">
        <v>18746.04409052054</v>
      </c>
      <c r="CT97" s="3">
        <v>18746.04409052054</v>
      </c>
    </row>
    <row r="98" spans="1:98">
      <c r="A98" s="1" t="str">
        <f>'Population Definitions'!$B$22</f>
        <v>15-29F_oth</v>
      </c>
      <c r="C98" t="s">
        <v>47</v>
      </c>
      <c r="D98" s="3"/>
      <c r="E98" s="3"/>
      <c r="F98" s="4" t="s">
        <v>48</v>
      </c>
      <c r="G98" s="3">
        <v>35173.78840070299</v>
      </c>
      <c r="H98" s="3">
        <v>42556.90776299366</v>
      </c>
      <c r="I98" s="3">
        <v>44393.31922092172</v>
      </c>
      <c r="J98" s="3">
        <v>37020.15418677943</v>
      </c>
      <c r="K98" s="3">
        <v>31046.28909752015</v>
      </c>
      <c r="L98" s="3">
        <v>34266.3804717649</v>
      </c>
      <c r="M98" s="3">
        <v>39187.12640696651</v>
      </c>
      <c r="N98" s="3">
        <v>43710.43519568614</v>
      </c>
      <c r="O98" s="3">
        <v>51943.36455848493</v>
      </c>
      <c r="P98" s="3">
        <v>53936.28062322459</v>
      </c>
      <c r="Q98" s="3">
        <v>50064.8097367007</v>
      </c>
      <c r="R98" s="3">
        <v>51069.56115107914</v>
      </c>
      <c r="S98" s="3">
        <v>50852.6056095529</v>
      </c>
      <c r="T98" s="3">
        <v>44239.24954504095</v>
      </c>
      <c r="U98" s="3">
        <v>45161.71090116279</v>
      </c>
      <c r="V98" s="3">
        <v>50336.56456545329</v>
      </c>
      <c r="W98" s="3">
        <v>47015.16630136986</v>
      </c>
      <c r="X98" s="3">
        <v>57454.93562674291</v>
      </c>
      <c r="Y98" s="3">
        <v>60738.37609045539</v>
      </c>
      <c r="Z98" s="3">
        <v>61718.15293711852</v>
      </c>
      <c r="AA98" s="3">
        <v>69247.61992171683</v>
      </c>
      <c r="AB98" s="3">
        <v>79108.62791499827</v>
      </c>
      <c r="AC98" s="3">
        <v>80198.19498807756</v>
      </c>
      <c r="AD98" s="3">
        <v>84832.87821118459</v>
      </c>
      <c r="AE98" s="3">
        <v>77493.81405975396</v>
      </c>
      <c r="AF98" s="3">
        <v>79935.49209890315</v>
      </c>
      <c r="AG98" s="3">
        <v>88702.25219458668</v>
      </c>
      <c r="AH98" s="3">
        <v>88033.48685522799</v>
      </c>
      <c r="AI98" s="3">
        <v>104043.5298293542</v>
      </c>
      <c r="AJ98" s="3">
        <v>112280.6156235015</v>
      </c>
      <c r="AK98" s="3">
        <v>90603.56862290981</v>
      </c>
      <c r="AL98" s="3">
        <v>89800.82819420967</v>
      </c>
      <c r="AM98" s="3">
        <v>96962.55724034931</v>
      </c>
      <c r="AN98" s="3">
        <v>106527.4854093139</v>
      </c>
      <c r="AO98" s="3">
        <v>106729.5341429339</v>
      </c>
      <c r="AP98" s="3">
        <v>108366.4802158273</v>
      </c>
      <c r="AQ98" s="3">
        <v>112562.861168194</v>
      </c>
      <c r="AR98" s="3">
        <v>125675.0759971186</v>
      </c>
      <c r="AS98" s="3">
        <v>124444.5132994186</v>
      </c>
      <c r="AT98" s="3">
        <v>107548.6892571767</v>
      </c>
      <c r="AU98" s="3">
        <v>72491.10739726028</v>
      </c>
      <c r="AV98" s="3">
        <v>21176.25819604902</v>
      </c>
      <c r="AW98" s="3">
        <v>154978.826027564</v>
      </c>
      <c r="AX98" s="3">
        <v>132059.1264378159</v>
      </c>
      <c r="AY98" s="3">
        <v>121090.5654684243</v>
      </c>
      <c r="AZ98" s="3">
        <v>119675.3588878391</v>
      </c>
      <c r="BA98" s="3">
        <v>118247.8461630749</v>
      </c>
      <c r="BB98" s="3">
        <v>116824.119944212</v>
      </c>
      <c r="BC98" s="3">
        <v>115388.0875811701</v>
      </c>
      <c r="BD98" s="3">
        <v>113953.9484710787</v>
      </c>
      <c r="BE98" s="3">
        <v>112387.2816544443</v>
      </c>
      <c r="BF98" s="3">
        <v>110946.5161590258</v>
      </c>
      <c r="BG98" s="3">
        <v>109381.742595342</v>
      </c>
      <c r="BH98" s="3">
        <v>109381.742595342</v>
      </c>
      <c r="BI98" s="3">
        <v>109381.742595342</v>
      </c>
      <c r="BJ98" s="3">
        <v>109381.742595342</v>
      </c>
      <c r="BK98" s="3">
        <v>109381.742595342</v>
      </c>
      <c r="BL98" s="3">
        <v>109381.742595342</v>
      </c>
      <c r="BM98" s="3">
        <v>109381.742595342</v>
      </c>
      <c r="BN98" s="3">
        <v>109381.742595342</v>
      </c>
      <c r="BO98" s="3">
        <v>109381.742595342</v>
      </c>
      <c r="BP98" s="3">
        <v>109381.742595342</v>
      </c>
      <c r="BQ98" s="3">
        <v>109381.742595342</v>
      </c>
      <c r="BR98" s="3">
        <v>109381.742595342</v>
      </c>
      <c r="BS98" s="3">
        <v>109381.742595342</v>
      </c>
      <c r="BT98" s="3">
        <v>109381.742595342</v>
      </c>
      <c r="BU98" s="3">
        <v>109381.742595342</v>
      </c>
      <c r="BV98" s="3">
        <v>109381.742595342</v>
      </c>
      <c r="BW98" s="3">
        <v>109381.742595342</v>
      </c>
      <c r="BX98" s="3">
        <v>109381.742595342</v>
      </c>
      <c r="BY98" s="3">
        <v>109381.742595342</v>
      </c>
      <c r="BZ98" s="3">
        <v>109381.742595342</v>
      </c>
      <c r="CA98" s="3">
        <v>109381.742595342</v>
      </c>
      <c r="CB98" s="3">
        <v>109381.742595342</v>
      </c>
      <c r="CC98" s="3">
        <v>109381.742595342</v>
      </c>
      <c r="CD98" s="3">
        <v>109381.742595342</v>
      </c>
      <c r="CE98" s="3">
        <v>109381.742595342</v>
      </c>
      <c r="CF98" s="3">
        <v>109381.742595342</v>
      </c>
      <c r="CG98" s="3">
        <v>109381.742595342</v>
      </c>
      <c r="CH98" s="3">
        <v>109381.742595342</v>
      </c>
      <c r="CI98" s="3">
        <v>109381.742595342</v>
      </c>
      <c r="CJ98" s="3">
        <v>109381.742595342</v>
      </c>
      <c r="CK98" s="3">
        <v>109381.742595342</v>
      </c>
      <c r="CL98" s="3">
        <v>109381.742595342</v>
      </c>
      <c r="CM98" s="3">
        <v>109381.742595342</v>
      </c>
      <c r="CN98" s="3">
        <v>109381.742595342</v>
      </c>
      <c r="CO98" s="3">
        <v>109381.742595342</v>
      </c>
      <c r="CP98" s="3">
        <v>109381.742595342</v>
      </c>
      <c r="CQ98" s="3">
        <v>109381.742595342</v>
      </c>
      <c r="CR98" s="3">
        <v>109381.742595342</v>
      </c>
      <c r="CS98" s="3">
        <v>109381.742595342</v>
      </c>
      <c r="CT98" s="3">
        <v>109381.742595342</v>
      </c>
    </row>
    <row r="99" spans="1:98">
      <c r="A99" s="1" t="str">
        <f>'Population Definitions'!$B$23</f>
        <v>30-49F_oth</v>
      </c>
      <c r="C99" t="s">
        <v>47</v>
      </c>
      <c r="D99" s="3"/>
      <c r="E99" s="3"/>
      <c r="F99" s="4" t="s">
        <v>48</v>
      </c>
      <c r="G99" s="3">
        <v>19569.23198594025</v>
      </c>
      <c r="H99" s="3">
        <v>23676.05056701989</v>
      </c>
      <c r="I99" s="3">
        <v>24697.92072055596</v>
      </c>
      <c r="J99" s="3">
        <v>20596.44981449715</v>
      </c>
      <c r="K99" s="3">
        <v>17272.40073875988</v>
      </c>
      <c r="L99" s="3">
        <v>19064.50437284497</v>
      </c>
      <c r="M99" s="3">
        <v>21801.60975496781</v>
      </c>
      <c r="N99" s="3">
        <v>24318.54971861426</v>
      </c>
      <c r="O99" s="3">
        <v>28898.8690078616</v>
      </c>
      <c r="P99" s="3">
        <v>30007.61556339847</v>
      </c>
      <c r="Q99" s="3">
        <v>27853.80085975282</v>
      </c>
      <c r="R99" s="3">
        <v>28412.82733812949</v>
      </c>
      <c r="S99" s="3">
        <v>28292.20790521152</v>
      </c>
      <c r="T99" s="3">
        <v>24612.67836290567</v>
      </c>
      <c r="U99" s="3">
        <v>25126.17514534884</v>
      </c>
      <c r="V99" s="3">
        <v>28004.85794613791</v>
      </c>
      <c r="W99" s="3">
        <v>26156.69287671233</v>
      </c>
      <c r="X99" s="3">
        <v>31965.01220912521</v>
      </c>
      <c r="Y99" s="3">
        <v>33792.21772590178</v>
      </c>
      <c r="Z99" s="3">
        <v>34336.98213884015</v>
      </c>
      <c r="AA99" s="3">
        <v>38525.80429207721</v>
      </c>
      <c r="AB99" s="3">
        <v>44012.45134296126</v>
      </c>
      <c r="AC99" s="3">
        <v>44618.29228715826</v>
      </c>
      <c r="AD99" s="3">
        <v>47196.90280589673</v>
      </c>
      <c r="AE99" s="3">
        <v>47582.1374340949</v>
      </c>
      <c r="AF99" s="3">
        <v>52462.8133747643</v>
      </c>
      <c r="AG99" s="3">
        <v>56468.46378931968</v>
      </c>
      <c r="AH99" s="3">
        <v>52188.81687078629</v>
      </c>
      <c r="AI99" s="3">
        <v>58432.73314223051</v>
      </c>
      <c r="AJ99" s="3">
        <v>58079.50129016053</v>
      </c>
      <c r="AK99" s="3">
        <v>52509.94263282227</v>
      </c>
      <c r="AL99" s="3">
        <v>53144.66282926412</v>
      </c>
      <c r="AM99" s="3">
        <v>56354.94131801116</v>
      </c>
      <c r="AN99" s="3">
        <v>56858.71447017302</v>
      </c>
      <c r="AO99" s="3">
        <v>53806.8623105857</v>
      </c>
      <c r="AP99" s="3">
        <v>54852.29136690647</v>
      </c>
      <c r="AQ99" s="3">
        <v>58290.00977506248</v>
      </c>
      <c r="AR99" s="3">
        <v>63859.48168789809</v>
      </c>
      <c r="AS99" s="3">
        <v>60841.49792877907</v>
      </c>
      <c r="AT99" s="3">
        <v>60453.17095787708</v>
      </c>
      <c r="AU99" s="3">
        <v>54548.96863013699</v>
      </c>
      <c r="AV99" s="3">
        <v>21827.2562041572</v>
      </c>
      <c r="AW99" s="3">
        <v>83893.5756116694</v>
      </c>
      <c r="AX99" s="3">
        <v>71227.96250806077</v>
      </c>
      <c r="AY99" s="3">
        <v>65857.75051363956</v>
      </c>
      <c r="AZ99" s="3">
        <v>65149.67391010933</v>
      </c>
      <c r="BA99" s="3">
        <v>64457.68995665932</v>
      </c>
      <c r="BB99" s="3">
        <v>63754.34648550562</v>
      </c>
      <c r="BC99" s="3">
        <v>63054.78952025315</v>
      </c>
      <c r="BD99" s="3">
        <v>62356.17918147599</v>
      </c>
      <c r="BE99" s="3">
        <v>61594.1448688532</v>
      </c>
      <c r="BF99" s="3">
        <v>60891.74802417481</v>
      </c>
      <c r="BG99" s="3">
        <v>60123.08732622486</v>
      </c>
      <c r="BH99" s="3">
        <v>60123.08732622486</v>
      </c>
      <c r="BI99" s="3">
        <v>60123.08732622486</v>
      </c>
      <c r="BJ99" s="3">
        <v>60123.08732622486</v>
      </c>
      <c r="BK99" s="3">
        <v>60123.08732622486</v>
      </c>
      <c r="BL99" s="3">
        <v>60123.08732622486</v>
      </c>
      <c r="BM99" s="3">
        <v>60123.08732622486</v>
      </c>
      <c r="BN99" s="3">
        <v>60123.08732622486</v>
      </c>
      <c r="BO99" s="3">
        <v>60123.08732622486</v>
      </c>
      <c r="BP99" s="3">
        <v>60123.08732622486</v>
      </c>
      <c r="BQ99" s="3">
        <v>60123.08732622486</v>
      </c>
      <c r="BR99" s="3">
        <v>60123.08732622486</v>
      </c>
      <c r="BS99" s="3">
        <v>60123.08732622486</v>
      </c>
      <c r="BT99" s="3">
        <v>60123.08732622486</v>
      </c>
      <c r="BU99" s="3">
        <v>60123.08732622486</v>
      </c>
      <c r="BV99" s="3">
        <v>60123.08732622486</v>
      </c>
      <c r="BW99" s="3">
        <v>60123.08732622486</v>
      </c>
      <c r="BX99" s="3">
        <v>60123.08732622486</v>
      </c>
      <c r="BY99" s="3">
        <v>60123.08732622486</v>
      </c>
      <c r="BZ99" s="3">
        <v>60123.08732622486</v>
      </c>
      <c r="CA99" s="3">
        <v>60123.08732622486</v>
      </c>
      <c r="CB99" s="3">
        <v>60123.08732622486</v>
      </c>
      <c r="CC99" s="3">
        <v>60123.08732622486</v>
      </c>
      <c r="CD99" s="3">
        <v>60123.08732622486</v>
      </c>
      <c r="CE99" s="3">
        <v>60123.08732622486</v>
      </c>
      <c r="CF99" s="3">
        <v>60123.08732622486</v>
      </c>
      <c r="CG99" s="3">
        <v>60123.08732622486</v>
      </c>
      <c r="CH99" s="3">
        <v>60123.08732622486</v>
      </c>
      <c r="CI99" s="3">
        <v>60123.08732622486</v>
      </c>
      <c r="CJ99" s="3">
        <v>60123.08732622486</v>
      </c>
      <c r="CK99" s="3">
        <v>60123.08732622486</v>
      </c>
      <c r="CL99" s="3">
        <v>60123.08732622486</v>
      </c>
      <c r="CM99" s="3">
        <v>60123.08732622486</v>
      </c>
      <c r="CN99" s="3">
        <v>60123.08732622486</v>
      </c>
      <c r="CO99" s="3">
        <v>60123.08732622486</v>
      </c>
      <c r="CP99" s="3">
        <v>60123.08732622486</v>
      </c>
      <c r="CQ99" s="3">
        <v>60123.08732622486</v>
      </c>
      <c r="CR99" s="3">
        <v>60123.08732622486</v>
      </c>
      <c r="CS99" s="3">
        <v>60123.08732622486</v>
      </c>
      <c r="CT99" s="3">
        <v>60123.08732622486</v>
      </c>
    </row>
    <row r="100" spans="1:98">
      <c r="A100" s="1" t="str">
        <f>'Population Definitions'!$B$24</f>
        <v>50-64F_oth</v>
      </c>
      <c r="C100" t="s">
        <v>47</v>
      </c>
      <c r="D100" s="3"/>
      <c r="E100" s="3"/>
      <c r="F100" s="4" t="s">
        <v>48</v>
      </c>
      <c r="G100" s="3">
        <v>4482.443936731107</v>
      </c>
      <c r="H100" s="3">
        <v>5422.763870076754</v>
      </c>
      <c r="I100" s="3">
        <v>5657.394659839063</v>
      </c>
      <c r="J100" s="3">
        <v>4718.027087405752</v>
      </c>
      <c r="K100" s="3">
        <v>3956.661517151157</v>
      </c>
      <c r="L100" s="3">
        <v>4366.906126549906</v>
      </c>
      <c r="M100" s="3">
        <v>4993.97343554588</v>
      </c>
      <c r="N100" s="3">
        <v>5570.474482699591</v>
      </c>
      <c r="O100" s="3">
        <v>6619.154099856873</v>
      </c>
      <c r="P100" s="3">
        <v>6873.031419471465</v>
      </c>
      <c r="Q100" s="3">
        <v>6380.217646426652</v>
      </c>
      <c r="R100" s="3">
        <v>6507.593525179856</v>
      </c>
      <c r="S100" s="3">
        <v>6479.988966027955</v>
      </c>
      <c r="T100" s="3">
        <v>5637.21707233849</v>
      </c>
      <c r="U100" s="3">
        <v>5755.583720930233</v>
      </c>
      <c r="V100" s="3">
        <v>6414.313998224326</v>
      </c>
      <c r="W100" s="3">
        <v>5991.660684931507</v>
      </c>
      <c r="X100" s="3">
        <v>7321.661659597404</v>
      </c>
      <c r="Y100" s="3">
        <v>7740.351515479395</v>
      </c>
      <c r="Z100" s="3">
        <v>7864.572756857276</v>
      </c>
      <c r="AA100" s="3">
        <v>8824.452002819395</v>
      </c>
      <c r="AB100" s="3">
        <v>10081.57196202817</v>
      </c>
      <c r="AC100" s="3">
        <v>10219.7794274231</v>
      </c>
      <c r="AD100" s="3">
        <v>10810.47434801518</v>
      </c>
      <c r="AE100" s="3">
        <v>10863.65905096661</v>
      </c>
      <c r="AF100" s="3">
        <v>11504.30340211935</v>
      </c>
      <c r="AG100" s="3">
        <v>10797.92355523043</v>
      </c>
      <c r="AH100" s="3">
        <v>10230.735129852</v>
      </c>
      <c r="AI100" s="3">
        <v>12429.74653225341</v>
      </c>
      <c r="AJ100" s="3">
        <v>12849.45493572032</v>
      </c>
      <c r="AK100" s="3">
        <v>12854.54900643846</v>
      </c>
      <c r="AL100" s="3">
        <v>12261.82081184602</v>
      </c>
      <c r="AM100" s="3">
        <v>12688.20282519861</v>
      </c>
      <c r="AN100" s="3">
        <v>14316.86476715159</v>
      </c>
      <c r="AO100" s="3">
        <v>12804.55477700161</v>
      </c>
      <c r="AP100" s="3">
        <v>13446.80395683453</v>
      </c>
      <c r="AQ100" s="3">
        <v>14975.35051374618</v>
      </c>
      <c r="AR100" s="3">
        <v>15217.31657567485</v>
      </c>
      <c r="AS100" s="3">
        <v>14598.79829215116</v>
      </c>
      <c r="AT100" s="3">
        <v>31418.43138995758</v>
      </c>
      <c r="AU100" s="3">
        <v>24179.37767123288</v>
      </c>
      <c r="AV100" s="3">
        <v>6791.864973168046</v>
      </c>
      <c r="AW100" s="3">
        <v>22925.1841432571</v>
      </c>
      <c r="AX100" s="3">
        <v>28615.57172207975</v>
      </c>
      <c r="AY100" s="3">
        <v>25765.27940492794</v>
      </c>
      <c r="AZ100" s="3">
        <v>25411.24110316282</v>
      </c>
      <c r="BA100" s="3">
        <v>25044.8966572187</v>
      </c>
      <c r="BB100" s="3">
        <v>24687.07184955235</v>
      </c>
      <c r="BC100" s="3">
        <v>24330.1936683613</v>
      </c>
      <c r="BD100" s="3">
        <v>23978.0486195468</v>
      </c>
      <c r="BE100" s="3">
        <v>23588.03851171998</v>
      </c>
      <c r="BF100" s="3">
        <v>23232.10695700425</v>
      </c>
      <c r="BG100" s="3">
        <v>22853.45636688112</v>
      </c>
      <c r="BH100" s="3">
        <v>22853.45636688112</v>
      </c>
      <c r="BI100" s="3">
        <v>22853.45636688112</v>
      </c>
      <c r="BJ100" s="3">
        <v>22853.45636688112</v>
      </c>
      <c r="BK100" s="3">
        <v>22853.45636688112</v>
      </c>
      <c r="BL100" s="3">
        <v>22853.45636688112</v>
      </c>
      <c r="BM100" s="3">
        <v>22853.45636688112</v>
      </c>
      <c r="BN100" s="3">
        <v>22853.45636688112</v>
      </c>
      <c r="BO100" s="3">
        <v>22853.45636688112</v>
      </c>
      <c r="BP100" s="3">
        <v>22853.45636688112</v>
      </c>
      <c r="BQ100" s="3">
        <v>22853.45636688112</v>
      </c>
      <c r="BR100" s="3">
        <v>22853.45636688112</v>
      </c>
      <c r="BS100" s="3">
        <v>22853.45636688112</v>
      </c>
      <c r="BT100" s="3">
        <v>22853.45636688112</v>
      </c>
      <c r="BU100" s="3">
        <v>22853.45636688112</v>
      </c>
      <c r="BV100" s="3">
        <v>22853.45636688112</v>
      </c>
      <c r="BW100" s="3">
        <v>22853.45636688112</v>
      </c>
      <c r="BX100" s="3">
        <v>22853.45636688112</v>
      </c>
      <c r="BY100" s="3">
        <v>22853.45636688112</v>
      </c>
      <c r="BZ100" s="3">
        <v>22853.45636688112</v>
      </c>
      <c r="CA100" s="3">
        <v>22853.45636688112</v>
      </c>
      <c r="CB100" s="3">
        <v>22853.45636688112</v>
      </c>
      <c r="CC100" s="3">
        <v>22853.45636688112</v>
      </c>
      <c r="CD100" s="3">
        <v>22853.45636688112</v>
      </c>
      <c r="CE100" s="3">
        <v>22853.45636688112</v>
      </c>
      <c r="CF100" s="3">
        <v>22853.45636688112</v>
      </c>
      <c r="CG100" s="3">
        <v>22853.45636688112</v>
      </c>
      <c r="CH100" s="3">
        <v>22853.45636688112</v>
      </c>
      <c r="CI100" s="3">
        <v>22853.45636688112</v>
      </c>
      <c r="CJ100" s="3">
        <v>22853.45636688112</v>
      </c>
      <c r="CK100" s="3">
        <v>22853.45636688112</v>
      </c>
      <c r="CL100" s="3">
        <v>22853.45636688112</v>
      </c>
      <c r="CM100" s="3">
        <v>22853.45636688112</v>
      </c>
      <c r="CN100" s="3">
        <v>22853.45636688112</v>
      </c>
      <c r="CO100" s="3">
        <v>22853.45636688112</v>
      </c>
      <c r="CP100" s="3">
        <v>22853.45636688112</v>
      </c>
      <c r="CQ100" s="3">
        <v>22853.45636688112</v>
      </c>
      <c r="CR100" s="3">
        <v>22853.45636688112</v>
      </c>
      <c r="CS100" s="3">
        <v>22853.45636688112</v>
      </c>
      <c r="CT100" s="3">
        <v>22853.45636688112</v>
      </c>
    </row>
    <row r="101" spans="1:98">
      <c r="A101" s="1" t="str">
        <f>'Population Definitions'!$B$25</f>
        <v>65+F_oth</v>
      </c>
      <c r="C101" t="s">
        <v>47</v>
      </c>
      <c r="D101" s="3"/>
      <c r="E101" s="3"/>
      <c r="F101" s="4" t="s">
        <v>48</v>
      </c>
      <c r="G101" s="3">
        <v>1820.373637961336</v>
      </c>
      <c r="H101" s="3">
        <v>2202.564417177914</v>
      </c>
      <c r="I101" s="3">
        <v>2297.767190929042</v>
      </c>
      <c r="J101" s="3">
        <v>1915.636992859138</v>
      </c>
      <c r="K101" s="3">
        <v>1607.087342965428</v>
      </c>
      <c r="L101" s="3">
        <v>1773.727308017263</v>
      </c>
      <c r="M101" s="3">
        <v>2028.281045903006</v>
      </c>
      <c r="N101" s="3">
        <v>2262.252883401451</v>
      </c>
      <c r="O101" s="3">
        <v>2687.913252712149</v>
      </c>
      <c r="P101" s="3">
        <v>2791.887664629422</v>
      </c>
      <c r="Q101" s="3">
        <v>2591.344395486298</v>
      </c>
      <c r="R101" s="3">
        <v>2642.865107913669</v>
      </c>
      <c r="S101" s="3">
        <v>2632.21245950199</v>
      </c>
      <c r="T101" s="3">
        <v>2289.298756445253</v>
      </c>
      <c r="U101" s="3">
        <v>2337.297492732558</v>
      </c>
      <c r="V101" s="3">
        <v>2605.512479037191</v>
      </c>
      <c r="W101" s="3">
        <v>2433.389041095891</v>
      </c>
      <c r="X101" s="3">
        <v>2974.023340285426</v>
      </c>
      <c r="Y101" s="3">
        <v>3143.861638962901</v>
      </c>
      <c r="Z101" s="3">
        <v>3193.917727688547</v>
      </c>
      <c r="AA101" s="3">
        <v>3583.927835515364</v>
      </c>
      <c r="AB101" s="3">
        <v>4094.159505706273</v>
      </c>
      <c r="AC101" s="3">
        <v>4150.957094224742</v>
      </c>
      <c r="AD101" s="3">
        <v>4390.453592477617</v>
      </c>
      <c r="AE101" s="3">
        <v>4806.372231985941</v>
      </c>
      <c r="AF101" s="3">
        <v>4679.040820120575</v>
      </c>
      <c r="AG101" s="3">
        <v>4208.764081931236</v>
      </c>
      <c r="AH101" s="3">
        <v>3964.465731838673</v>
      </c>
      <c r="AI101" s="3">
        <v>5102.034360030012</v>
      </c>
      <c r="AJ101" s="3">
        <v>5398.224373758363</v>
      </c>
      <c r="AK101" s="3">
        <v>5166.723701885219</v>
      </c>
      <c r="AL101" s="3">
        <v>4201.708942289175</v>
      </c>
      <c r="AM101" s="3">
        <v>4814.987367503993</v>
      </c>
      <c r="AN101" s="3">
        <v>6873.031419471465</v>
      </c>
      <c r="AO101" s="3">
        <v>4842.338484685652</v>
      </c>
      <c r="AP101" s="3">
        <v>5368.629496402878</v>
      </c>
      <c r="AQ101" s="3">
        <v>6233.615329075256</v>
      </c>
      <c r="AR101" s="3">
        <v>6205.013876251137</v>
      </c>
      <c r="AS101" s="3">
        <v>6151.643459302325</v>
      </c>
      <c r="AT101" s="3">
        <v>16418.24958074381</v>
      </c>
      <c r="AU101" s="3">
        <v>14099.47410958904</v>
      </c>
      <c r="AV101" s="3">
        <v>3324.772619689265</v>
      </c>
      <c r="AW101" s="3">
        <v>14134.96990681256</v>
      </c>
      <c r="AX101" s="3">
        <v>15873.97936443665</v>
      </c>
      <c r="AY101" s="3">
        <v>14166.26520298136</v>
      </c>
      <c r="AZ101" s="3">
        <v>13956.11412546303</v>
      </c>
      <c r="BA101" s="3">
        <v>13745.01642146939</v>
      </c>
      <c r="BB101" s="3">
        <v>13531.07883804982</v>
      </c>
      <c r="BC101" s="3">
        <v>13321.87438700679</v>
      </c>
      <c r="BD101" s="3">
        <v>13110.77668301315</v>
      </c>
      <c r="BE101" s="3">
        <v>12878.85319656274</v>
      </c>
      <c r="BF101" s="3">
        <v>12673.43525142095</v>
      </c>
      <c r="BG101" s="3">
        <v>12440.56513849522</v>
      </c>
      <c r="BH101" s="3">
        <v>12440.56513849522</v>
      </c>
      <c r="BI101" s="3">
        <v>12440.56513849522</v>
      </c>
      <c r="BJ101" s="3">
        <v>12440.56513849522</v>
      </c>
      <c r="BK101" s="3">
        <v>12440.56513849522</v>
      </c>
      <c r="BL101" s="3">
        <v>12440.56513849522</v>
      </c>
      <c r="BM101" s="3">
        <v>12440.56513849522</v>
      </c>
      <c r="BN101" s="3">
        <v>12440.56513849522</v>
      </c>
      <c r="BO101" s="3">
        <v>12440.56513849522</v>
      </c>
      <c r="BP101" s="3">
        <v>12440.56513849522</v>
      </c>
      <c r="BQ101" s="3">
        <v>12440.56513849522</v>
      </c>
      <c r="BR101" s="3">
        <v>12440.56513849522</v>
      </c>
      <c r="BS101" s="3">
        <v>12440.56513849522</v>
      </c>
      <c r="BT101" s="3">
        <v>12440.56513849522</v>
      </c>
      <c r="BU101" s="3">
        <v>12440.56513849522</v>
      </c>
      <c r="BV101" s="3">
        <v>12440.56513849522</v>
      </c>
      <c r="BW101" s="3">
        <v>12440.56513849522</v>
      </c>
      <c r="BX101" s="3">
        <v>12440.56513849522</v>
      </c>
      <c r="BY101" s="3">
        <v>12440.56513849522</v>
      </c>
      <c r="BZ101" s="3">
        <v>12440.56513849522</v>
      </c>
      <c r="CA101" s="3">
        <v>12440.56513849522</v>
      </c>
      <c r="CB101" s="3">
        <v>12440.56513849522</v>
      </c>
      <c r="CC101" s="3">
        <v>12440.56513849522</v>
      </c>
      <c r="CD101" s="3">
        <v>12440.56513849522</v>
      </c>
      <c r="CE101" s="3">
        <v>12440.56513849522</v>
      </c>
      <c r="CF101" s="3">
        <v>12440.56513849522</v>
      </c>
      <c r="CG101" s="3">
        <v>12440.56513849522</v>
      </c>
      <c r="CH101" s="3">
        <v>12440.56513849522</v>
      </c>
      <c r="CI101" s="3">
        <v>12440.56513849522</v>
      </c>
      <c r="CJ101" s="3">
        <v>12440.56513849522</v>
      </c>
      <c r="CK101" s="3">
        <v>12440.56513849522</v>
      </c>
      <c r="CL101" s="3">
        <v>12440.56513849522</v>
      </c>
      <c r="CM101" s="3">
        <v>12440.56513849522</v>
      </c>
      <c r="CN101" s="3">
        <v>12440.56513849522</v>
      </c>
      <c r="CO101" s="3">
        <v>12440.56513849522</v>
      </c>
      <c r="CP101" s="3">
        <v>12440.56513849522</v>
      </c>
      <c r="CQ101" s="3">
        <v>12440.56513849522</v>
      </c>
      <c r="CR101" s="3">
        <v>12440.56513849522</v>
      </c>
      <c r="CS101" s="3">
        <v>12440.56513849522</v>
      </c>
      <c r="CT101" s="3">
        <v>12440.56513849522</v>
      </c>
    </row>
    <row r="102" spans="1:98">
      <c r="A102" s="1" t="str">
        <f>'Population Definitions'!$B$26</f>
        <v>0-4M_fns</v>
      </c>
      <c r="C102" t="s">
        <v>47</v>
      </c>
      <c r="D102" s="3"/>
      <c r="E102" s="3">
        <v>0</v>
      </c>
      <c r="F102" s="4" t="s">
        <v>48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Definitions'!$B$27</f>
        <v>5-14M_fns</v>
      </c>
      <c r="C103" t="s">
        <v>47</v>
      </c>
      <c r="D103" s="3"/>
      <c r="E103" s="3">
        <v>0</v>
      </c>
      <c r="F103" s="4" t="s">
        <v>48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4" spans="1:98">
      <c r="A104" s="1" t="str">
        <f>'Population Definitions'!$B$28</f>
        <v>15-29M_fns</v>
      </c>
      <c r="C104" t="s">
        <v>47</v>
      </c>
      <c r="D104" s="3"/>
      <c r="E104" s="3">
        <v>0</v>
      </c>
      <c r="F104" s="4" t="s">
        <v>48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</row>
    <row r="105" spans="1:98">
      <c r="A105" s="1" t="str">
        <f>'Population Definitions'!$B$29</f>
        <v>30-49M_fns</v>
      </c>
      <c r="C105" t="s">
        <v>47</v>
      </c>
      <c r="D105" s="3"/>
      <c r="E105" s="3">
        <v>0</v>
      </c>
      <c r="F105" s="4" t="s">
        <v>48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</row>
    <row r="106" spans="1:98">
      <c r="A106" s="1" t="str">
        <f>'Population Definitions'!$B$30</f>
        <v>50-64M_fns</v>
      </c>
      <c r="C106" t="s">
        <v>47</v>
      </c>
      <c r="D106" s="3"/>
      <c r="E106" s="3">
        <v>0</v>
      </c>
      <c r="F106" s="4" t="s">
        <v>48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Definitions'!$B$31</f>
        <v>65+M_fns</v>
      </c>
      <c r="C107" t="s">
        <v>47</v>
      </c>
      <c r="D107" s="3"/>
      <c r="E107" s="3">
        <v>0</v>
      </c>
      <c r="F107" s="4" t="s">
        <v>48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Definitions'!$B$32</f>
        <v>0-4F_fns</v>
      </c>
      <c r="C108" t="s">
        <v>47</v>
      </c>
      <c r="D108" s="3"/>
      <c r="E108" s="3">
        <v>0</v>
      </c>
      <c r="F108" s="4" t="s">
        <v>48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Definitions'!$B$33</f>
        <v>5-14F_fns</v>
      </c>
      <c r="C109" t="s">
        <v>47</v>
      </c>
      <c r="D109" s="3"/>
      <c r="E109" s="3">
        <v>0</v>
      </c>
      <c r="F109" s="4" t="s">
        <v>48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Definitions'!$B$34</f>
        <v>15-29F_fns</v>
      </c>
      <c r="C110" t="s">
        <v>47</v>
      </c>
      <c r="D110" s="3"/>
      <c r="E110" s="3">
        <v>0</v>
      </c>
      <c r="F110" s="4" t="s">
        <v>48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Definitions'!$B$35</f>
        <v>30-49F_fns</v>
      </c>
      <c r="C111" t="s">
        <v>47</v>
      </c>
      <c r="D111" s="3"/>
      <c r="E111" s="3">
        <v>0</v>
      </c>
      <c r="F111" s="4" t="s">
        <v>48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Definitions'!$B$36</f>
        <v>50-64F_fns</v>
      </c>
      <c r="C112" t="s">
        <v>47</v>
      </c>
      <c r="D112" s="3"/>
      <c r="E112" s="3">
        <v>0</v>
      </c>
      <c r="F112" s="4" t="s">
        <v>48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Definitions'!$B$37</f>
        <v>65+F_fns</v>
      </c>
      <c r="C113" t="s">
        <v>47</v>
      </c>
      <c r="D113" s="3"/>
      <c r="E113" s="3">
        <v>0</v>
      </c>
      <c r="F113" s="4" t="s">
        <v>48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5" spans="1:98">
      <c r="A115" s="1" t="s">
        <v>50</v>
      </c>
      <c r="B115" s="1" t="s">
        <v>41</v>
      </c>
      <c r="C115" s="1" t="s">
        <v>42</v>
      </c>
      <c r="D115" s="1" t="s">
        <v>43</v>
      </c>
      <c r="E115" s="1" t="s">
        <v>46</v>
      </c>
      <c r="F115" s="1"/>
      <c r="G115" s="1">
        <v>1980</v>
      </c>
      <c r="H115" s="1">
        <v>1981</v>
      </c>
      <c r="I115" s="1">
        <v>1982</v>
      </c>
      <c r="J115" s="1">
        <v>1983</v>
      </c>
      <c r="K115" s="1">
        <v>1984</v>
      </c>
      <c r="L115" s="1">
        <v>1985</v>
      </c>
      <c r="M115" s="1">
        <v>1986</v>
      </c>
      <c r="N115" s="1">
        <v>1987</v>
      </c>
      <c r="O115" s="1">
        <v>1988</v>
      </c>
      <c r="P115" s="1">
        <v>1989</v>
      </c>
      <c r="Q115" s="1">
        <v>1990</v>
      </c>
      <c r="R115" s="1">
        <v>1991</v>
      </c>
      <c r="S115" s="1">
        <v>1992</v>
      </c>
      <c r="T115" s="1">
        <v>1993</v>
      </c>
      <c r="U115" s="1">
        <v>1994</v>
      </c>
      <c r="V115" s="1">
        <v>1995</v>
      </c>
      <c r="W115" s="1">
        <v>1996</v>
      </c>
      <c r="X115" s="1">
        <v>1997</v>
      </c>
      <c r="Y115" s="1">
        <v>1998</v>
      </c>
      <c r="Z115" s="1">
        <v>1999</v>
      </c>
      <c r="AA115" s="1">
        <v>2000</v>
      </c>
      <c r="AB115" s="1">
        <v>2001</v>
      </c>
      <c r="AC115" s="1">
        <v>2002</v>
      </c>
      <c r="AD115" s="1">
        <v>2003</v>
      </c>
      <c r="AE115" s="1">
        <v>2004</v>
      </c>
      <c r="AF115" s="1">
        <v>2005</v>
      </c>
      <c r="AG115" s="1">
        <v>2006</v>
      </c>
      <c r="AH115" s="1">
        <v>2007</v>
      </c>
      <c r="AI115" s="1">
        <v>2008</v>
      </c>
      <c r="AJ115" s="1">
        <v>2009</v>
      </c>
      <c r="AK115" s="1">
        <v>2010</v>
      </c>
      <c r="AL115" s="1">
        <v>2011</v>
      </c>
      <c r="AM115" s="1">
        <v>2012</v>
      </c>
      <c r="AN115" s="1">
        <v>2013</v>
      </c>
      <c r="AO115" s="1">
        <v>2014</v>
      </c>
      <c r="AP115" s="1">
        <v>2015</v>
      </c>
      <c r="AQ115" s="1">
        <v>2016</v>
      </c>
      <c r="AR115" s="1">
        <v>2017</v>
      </c>
      <c r="AS115" s="1">
        <v>2018</v>
      </c>
      <c r="AT115" s="1">
        <v>2019</v>
      </c>
      <c r="AU115" s="1">
        <v>2020</v>
      </c>
      <c r="AV115" s="1">
        <v>2021</v>
      </c>
      <c r="AW115" s="1">
        <v>2022</v>
      </c>
      <c r="AX115" s="1">
        <v>2023</v>
      </c>
      <c r="AY115" s="1">
        <v>2024</v>
      </c>
      <c r="AZ115" s="1">
        <v>2025</v>
      </c>
      <c r="BA115" s="1">
        <v>2026</v>
      </c>
      <c r="BB115" s="1">
        <v>2027</v>
      </c>
      <c r="BC115" s="1">
        <v>2028</v>
      </c>
      <c r="BD115" s="1">
        <v>2029</v>
      </c>
      <c r="BE115" s="1">
        <v>2030</v>
      </c>
      <c r="BF115" s="1">
        <v>2031</v>
      </c>
      <c r="BG115" s="1">
        <v>2032</v>
      </c>
      <c r="BH115" s="1">
        <v>2033</v>
      </c>
      <c r="BI115" s="1">
        <v>2034</v>
      </c>
      <c r="BJ115" s="1">
        <v>2035</v>
      </c>
      <c r="BK115" s="1">
        <v>2036</v>
      </c>
      <c r="BL115" s="1">
        <v>2037</v>
      </c>
      <c r="BM115" s="1">
        <v>2038</v>
      </c>
      <c r="BN115" s="1">
        <v>2039</v>
      </c>
      <c r="BO115" s="1">
        <v>2040</v>
      </c>
      <c r="BP115" s="1">
        <v>2041</v>
      </c>
      <c r="BQ115" s="1">
        <v>2042</v>
      </c>
      <c r="BR115" s="1">
        <v>2043</v>
      </c>
      <c r="BS115" s="1">
        <v>2044</v>
      </c>
      <c r="BT115" s="1">
        <v>2045</v>
      </c>
      <c r="BU115" s="1">
        <v>2046</v>
      </c>
      <c r="BV115" s="1">
        <v>2047</v>
      </c>
      <c r="BW115" s="1">
        <v>2048</v>
      </c>
      <c r="BX115" s="1">
        <v>2049</v>
      </c>
      <c r="BY115" s="1">
        <v>2050</v>
      </c>
      <c r="BZ115" s="1">
        <v>2051</v>
      </c>
      <c r="CA115" s="1">
        <v>2052</v>
      </c>
      <c r="CB115" s="1">
        <v>2053</v>
      </c>
      <c r="CC115" s="1">
        <v>2054</v>
      </c>
      <c r="CD115" s="1">
        <v>2055</v>
      </c>
      <c r="CE115" s="1">
        <v>2056</v>
      </c>
      <c r="CF115" s="1">
        <v>2057</v>
      </c>
      <c r="CG115" s="1">
        <v>2058</v>
      </c>
      <c r="CH115" s="1">
        <v>2059</v>
      </c>
      <c r="CI115" s="1">
        <v>2060</v>
      </c>
      <c r="CJ115" s="1">
        <v>2061</v>
      </c>
      <c r="CK115" s="1">
        <v>2062</v>
      </c>
      <c r="CL115" s="1">
        <v>2063</v>
      </c>
      <c r="CM115" s="1">
        <v>2064</v>
      </c>
      <c r="CN115" s="1">
        <v>2065</v>
      </c>
      <c r="CO115" s="1">
        <v>2066</v>
      </c>
      <c r="CP115" s="1">
        <v>2067</v>
      </c>
      <c r="CQ115" s="1">
        <v>2068</v>
      </c>
      <c r="CR115" s="1">
        <v>2069</v>
      </c>
      <c r="CS115" s="1">
        <v>2070</v>
      </c>
      <c r="CT115" s="1">
        <v>2071</v>
      </c>
    </row>
    <row r="116" spans="1:98">
      <c r="A116" s="1" t="str">
        <f>'Population Definitions'!$B$2</f>
        <v>0-4M_aus</v>
      </c>
      <c r="C116" t="s">
        <v>47</v>
      </c>
      <c r="D116" s="3"/>
      <c r="E116" s="3"/>
      <c r="F116" s="4" t="s">
        <v>48</v>
      </c>
      <c r="G116" s="3">
        <v>940.2003822553064</v>
      </c>
      <c r="H116" s="3">
        <v>867.2137611910272</v>
      </c>
      <c r="I116" s="3">
        <v>883.138114877779</v>
      </c>
      <c r="J116" s="3">
        <v>979.679509103712</v>
      </c>
      <c r="K116" s="3">
        <v>994.2768333165678</v>
      </c>
      <c r="L116" s="3">
        <v>959.1105522583242</v>
      </c>
      <c r="M116" s="3">
        <v>931.2429333065085</v>
      </c>
      <c r="N116" s="3">
        <v>960.1058243637463</v>
      </c>
      <c r="O116" s="3">
        <v>997.2626496328338</v>
      </c>
      <c r="P116" s="3">
        <v>1134.278442812594</v>
      </c>
      <c r="Q116" s="3">
        <v>1289.540891258425</v>
      </c>
      <c r="R116" s="3">
        <v>1426.556684438185</v>
      </c>
      <c r="S116" s="3">
        <v>1453.097273916105</v>
      </c>
      <c r="T116" s="3">
        <v>1420.916809174128</v>
      </c>
      <c r="U116" s="3">
        <v>1409.637058646012</v>
      </c>
      <c r="V116" s="3">
        <v>1465.040539181169</v>
      </c>
      <c r="W116" s="3">
        <v>1541.344733930188</v>
      </c>
      <c r="X116" s="3">
        <v>1677.697012373001</v>
      </c>
      <c r="Y116" s="3">
        <v>1876.087918720451</v>
      </c>
      <c r="Z116" s="3">
        <v>1766.939744492506</v>
      </c>
      <c r="AA116" s="3">
        <v>1992.534755054824</v>
      </c>
      <c r="AB116" s="3">
        <v>2144.14787244744</v>
      </c>
      <c r="AC116" s="3">
        <v>2212.489890353083</v>
      </c>
      <c r="AD116" s="3">
        <v>2211.162860879188</v>
      </c>
      <c r="AE116" s="3">
        <v>2153.768836133186</v>
      </c>
      <c r="AF116" s="3">
        <v>2170.925399384435</v>
      </c>
      <c r="AG116" s="3">
        <v>2332.439894448788</v>
      </c>
      <c r="AH116" s="3">
        <v>1861.423883928571</v>
      </c>
      <c r="AI116" s="3">
        <v>1863.319616224082</v>
      </c>
      <c r="AJ116" s="3">
        <v>1588.892380204242</v>
      </c>
      <c r="AK116" s="3">
        <v>1859.104808877928</v>
      </c>
      <c r="AL116" s="3">
        <v>2002.441498852919</v>
      </c>
      <c r="AM116" s="3">
        <v>1935.649706069272</v>
      </c>
      <c r="AN116" s="3">
        <v>1922.65229324666</v>
      </c>
      <c r="AO116" s="3">
        <v>2205.626911314985</v>
      </c>
      <c r="AP116" s="3">
        <v>2167.74088468061</v>
      </c>
      <c r="AQ116" s="3">
        <v>2071.774963872833</v>
      </c>
      <c r="AR116" s="3">
        <v>1815.947597649499</v>
      </c>
      <c r="AS116" s="3">
        <v>1671.916909337993</v>
      </c>
      <c r="AT116" s="3">
        <v>1030.43952126305</v>
      </c>
      <c r="AU116" s="3">
        <v>954.9718529424504</v>
      </c>
      <c r="AV116" s="3">
        <v>1313.259388724568</v>
      </c>
      <c r="AW116" s="3">
        <v>2026.941378464558</v>
      </c>
      <c r="AX116" s="3">
        <v>1310.655242573586</v>
      </c>
      <c r="AY116" s="3">
        <v>1525.825880544377</v>
      </c>
      <c r="AZ116" s="3">
        <v>1553.723154134828</v>
      </c>
      <c r="BA116" s="3">
        <v>1581.362119636478</v>
      </c>
      <c r="BB116" s="3">
        <v>1609.259393226929</v>
      </c>
      <c r="BC116" s="3">
        <v>1637.931591083781</v>
      </c>
      <c r="BD116" s="3">
        <v>1666.087172763033</v>
      </c>
      <c r="BE116" s="3">
        <v>1696.567527241488</v>
      </c>
      <c r="BF116" s="3">
        <v>1725.23972509834</v>
      </c>
      <c r="BG116" s="3">
        <v>1755.978387665596</v>
      </c>
      <c r="BH116" s="3">
        <v>1755.978387665596</v>
      </c>
      <c r="BI116" s="3">
        <v>1755.978387665596</v>
      </c>
      <c r="BJ116" s="3">
        <v>1755.978387665596</v>
      </c>
      <c r="BK116" s="3">
        <v>1755.978387665596</v>
      </c>
      <c r="BL116" s="3">
        <v>1755.978387665596</v>
      </c>
      <c r="BM116" s="3">
        <v>1755.978387665596</v>
      </c>
      <c r="BN116" s="3">
        <v>1755.978387665596</v>
      </c>
      <c r="BO116" s="3">
        <v>1755.978387665596</v>
      </c>
      <c r="BP116" s="3">
        <v>1755.978387665596</v>
      </c>
      <c r="BQ116" s="3">
        <v>1755.978387665596</v>
      </c>
      <c r="BR116" s="3">
        <v>1755.978387665596</v>
      </c>
      <c r="BS116" s="3">
        <v>1755.978387665596</v>
      </c>
      <c r="BT116" s="3">
        <v>1755.978387665596</v>
      </c>
      <c r="BU116" s="3">
        <v>1755.978387665596</v>
      </c>
      <c r="BV116" s="3">
        <v>1755.978387665596</v>
      </c>
      <c r="BW116" s="3">
        <v>1755.978387665596</v>
      </c>
      <c r="BX116" s="3">
        <v>1755.978387665596</v>
      </c>
      <c r="BY116" s="3">
        <v>1755.978387665596</v>
      </c>
      <c r="BZ116" s="3">
        <v>1755.978387665596</v>
      </c>
      <c r="CA116" s="3">
        <v>1755.978387665596</v>
      </c>
      <c r="CB116" s="3">
        <v>1755.978387665596</v>
      </c>
      <c r="CC116" s="3">
        <v>1755.978387665596</v>
      </c>
      <c r="CD116" s="3">
        <v>1755.978387665596</v>
      </c>
      <c r="CE116" s="3">
        <v>1755.978387665596</v>
      </c>
      <c r="CF116" s="3">
        <v>1755.978387665596</v>
      </c>
      <c r="CG116" s="3">
        <v>1755.978387665596</v>
      </c>
      <c r="CH116" s="3">
        <v>1755.978387665596</v>
      </c>
      <c r="CI116" s="3">
        <v>1755.978387665596</v>
      </c>
      <c r="CJ116" s="3">
        <v>1755.978387665596</v>
      </c>
      <c r="CK116" s="3">
        <v>1755.978387665596</v>
      </c>
      <c r="CL116" s="3">
        <v>1755.978387665596</v>
      </c>
      <c r="CM116" s="3">
        <v>1755.978387665596</v>
      </c>
      <c r="CN116" s="3">
        <v>1755.978387665596</v>
      </c>
      <c r="CO116" s="3">
        <v>1755.978387665596</v>
      </c>
      <c r="CP116" s="3">
        <v>1755.978387665596</v>
      </c>
      <c r="CQ116" s="3">
        <v>1755.978387665596</v>
      </c>
      <c r="CR116" s="3">
        <v>1755.978387665596</v>
      </c>
      <c r="CS116" s="3">
        <v>1755.978387665596</v>
      </c>
      <c r="CT116" s="3">
        <v>1755.978387665596</v>
      </c>
    </row>
    <row r="117" spans="1:98">
      <c r="A117" s="1" t="str">
        <f>'Population Definitions'!$B$3</f>
        <v>5-14M_aus</v>
      </c>
      <c r="C117" t="s">
        <v>47</v>
      </c>
      <c r="D117" s="3"/>
      <c r="E117" s="3"/>
      <c r="F117" s="4" t="s">
        <v>48</v>
      </c>
      <c r="G117" s="3">
        <v>984.324112262348</v>
      </c>
      <c r="H117" s="3">
        <v>908.0199175133288</v>
      </c>
      <c r="I117" s="3">
        <v>924.2760285685546</v>
      </c>
      <c r="J117" s="3">
        <v>1025.462025953123</v>
      </c>
      <c r="K117" s="3">
        <v>1041.054622271401</v>
      </c>
      <c r="L117" s="3">
        <v>1003.897797002314</v>
      </c>
      <c r="M117" s="3">
        <v>974.7031485766021</v>
      </c>
      <c r="N117" s="3">
        <v>1004.893069107736</v>
      </c>
      <c r="O117" s="3">
        <v>1044.040438587667</v>
      </c>
      <c r="P117" s="3">
        <v>1187.359621768434</v>
      </c>
      <c r="Q117" s="3">
        <v>1349.920732320692</v>
      </c>
      <c r="R117" s="3">
        <v>1493.239915501459</v>
      </c>
      <c r="S117" s="3">
        <v>1521.107534453274</v>
      </c>
      <c r="T117" s="3">
        <v>1487.268282868927</v>
      </c>
      <c r="U117" s="3">
        <v>1475.656774972337</v>
      </c>
      <c r="V117" s="3">
        <v>1533.714314455286</v>
      </c>
      <c r="W117" s="3">
        <v>1613.336082889046</v>
      </c>
      <c r="X117" s="3">
        <v>1756.323508701338</v>
      </c>
      <c r="Y117" s="3">
        <v>1963.671863997586</v>
      </c>
      <c r="Z117" s="3">
        <v>1849.547329242531</v>
      </c>
      <c r="AA117" s="3">
        <v>2085.758575596017</v>
      </c>
      <c r="AB117" s="3">
        <v>2244.338597726587</v>
      </c>
      <c r="AC117" s="3">
        <v>2315.99818931697</v>
      </c>
      <c r="AD117" s="3">
        <v>2314.671159843074</v>
      </c>
      <c r="AE117" s="3">
        <v>2590.361533044966</v>
      </c>
      <c r="AF117" s="3">
        <v>2644.547266598271</v>
      </c>
      <c r="AG117" s="3">
        <v>2786.085809225958</v>
      </c>
      <c r="AH117" s="3">
        <v>2023.286830357142</v>
      </c>
      <c r="AI117" s="3">
        <v>2001.966624226992</v>
      </c>
      <c r="AJ117" s="3">
        <v>1675.428122545169</v>
      </c>
      <c r="AK117" s="3">
        <v>1826.437611869059</v>
      </c>
      <c r="AL117" s="3">
        <v>1883.977398249639</v>
      </c>
      <c r="AM117" s="3">
        <v>1792.652287893232</v>
      </c>
      <c r="AN117" s="3">
        <v>1781.21798483207</v>
      </c>
      <c r="AO117" s="3">
        <v>2136.577768295285</v>
      </c>
      <c r="AP117" s="3">
        <v>2261.904748445449</v>
      </c>
      <c r="AQ117" s="3">
        <v>2175.616690751445</v>
      </c>
      <c r="AR117" s="3">
        <v>1919.567680608365</v>
      </c>
      <c r="AS117" s="3">
        <v>1761.483886623957</v>
      </c>
      <c r="AT117" s="3">
        <v>1122.326712503183</v>
      </c>
      <c r="AU117" s="3">
        <v>926.5645433681204</v>
      </c>
      <c r="AV117" s="3">
        <v>1547.944115801739</v>
      </c>
      <c r="AW117" s="3">
        <v>2414.575423105225</v>
      </c>
      <c r="AX117" s="3">
        <v>1043.8229868427</v>
      </c>
      <c r="AY117" s="3">
        <v>1345.268526472849</v>
      </c>
      <c r="AZ117" s="3">
        <v>1388.147669213727</v>
      </c>
      <c r="BA117" s="3">
        <v>1432.318352398607</v>
      </c>
      <c r="BB117" s="3">
        <v>1475.455803228286</v>
      </c>
      <c r="BC117" s="3">
        <v>1520.143102590767</v>
      </c>
      <c r="BD117" s="3">
        <v>1566.380250486051</v>
      </c>
      <c r="BE117" s="3">
        <v>1618.816792512547</v>
      </c>
      <c r="BF117" s="3">
        <v>1665.828864674232</v>
      </c>
      <c r="BG117" s="3">
        <v>1719.298639055929</v>
      </c>
      <c r="BH117" s="3">
        <v>1719.298639055929</v>
      </c>
      <c r="BI117" s="3">
        <v>1719.298639055929</v>
      </c>
      <c r="BJ117" s="3">
        <v>1719.298639055929</v>
      </c>
      <c r="BK117" s="3">
        <v>1719.298639055929</v>
      </c>
      <c r="BL117" s="3">
        <v>1719.298639055929</v>
      </c>
      <c r="BM117" s="3">
        <v>1719.298639055929</v>
      </c>
      <c r="BN117" s="3">
        <v>1719.298639055929</v>
      </c>
      <c r="BO117" s="3">
        <v>1719.298639055929</v>
      </c>
      <c r="BP117" s="3">
        <v>1719.298639055929</v>
      </c>
      <c r="BQ117" s="3">
        <v>1719.298639055929</v>
      </c>
      <c r="BR117" s="3">
        <v>1719.298639055929</v>
      </c>
      <c r="BS117" s="3">
        <v>1719.298639055929</v>
      </c>
      <c r="BT117" s="3">
        <v>1719.298639055929</v>
      </c>
      <c r="BU117" s="3">
        <v>1719.298639055929</v>
      </c>
      <c r="BV117" s="3">
        <v>1719.298639055929</v>
      </c>
      <c r="BW117" s="3">
        <v>1719.298639055929</v>
      </c>
      <c r="BX117" s="3">
        <v>1719.298639055929</v>
      </c>
      <c r="BY117" s="3">
        <v>1719.298639055929</v>
      </c>
      <c r="BZ117" s="3">
        <v>1719.298639055929</v>
      </c>
      <c r="CA117" s="3">
        <v>1719.298639055929</v>
      </c>
      <c r="CB117" s="3">
        <v>1719.298639055929</v>
      </c>
      <c r="CC117" s="3">
        <v>1719.298639055929</v>
      </c>
      <c r="CD117" s="3">
        <v>1719.298639055929</v>
      </c>
      <c r="CE117" s="3">
        <v>1719.298639055929</v>
      </c>
      <c r="CF117" s="3">
        <v>1719.298639055929</v>
      </c>
      <c r="CG117" s="3">
        <v>1719.298639055929</v>
      </c>
      <c r="CH117" s="3">
        <v>1719.298639055929</v>
      </c>
      <c r="CI117" s="3">
        <v>1719.298639055929</v>
      </c>
      <c r="CJ117" s="3">
        <v>1719.298639055929</v>
      </c>
      <c r="CK117" s="3">
        <v>1719.298639055929</v>
      </c>
      <c r="CL117" s="3">
        <v>1719.298639055929</v>
      </c>
      <c r="CM117" s="3">
        <v>1719.298639055929</v>
      </c>
      <c r="CN117" s="3">
        <v>1719.298639055929</v>
      </c>
      <c r="CO117" s="3">
        <v>1719.298639055929</v>
      </c>
      <c r="CP117" s="3">
        <v>1719.298639055929</v>
      </c>
      <c r="CQ117" s="3">
        <v>1719.298639055929</v>
      </c>
      <c r="CR117" s="3">
        <v>1719.298639055929</v>
      </c>
      <c r="CS117" s="3">
        <v>1719.298639055929</v>
      </c>
      <c r="CT117" s="3">
        <v>1719.298639055929</v>
      </c>
    </row>
    <row r="118" spans="1:98">
      <c r="A118" s="1" t="str">
        <f>'Population Definitions'!$B$4</f>
        <v>15-29M_aus</v>
      </c>
      <c r="C118" t="s">
        <v>47</v>
      </c>
      <c r="D118" s="3"/>
      <c r="E118" s="3"/>
      <c r="F118" s="4" t="s">
        <v>48</v>
      </c>
      <c r="G118" s="3">
        <v>7274.112061160849</v>
      </c>
      <c r="H118" s="3">
        <v>6710.456292123529</v>
      </c>
      <c r="I118" s="3">
        <v>6832.874761090435</v>
      </c>
      <c r="J118" s="3">
        <v>7580.324112262349</v>
      </c>
      <c r="K118" s="3">
        <v>7693.785132280455</v>
      </c>
      <c r="L118" s="3">
        <v>7421.080575394831</v>
      </c>
      <c r="M118" s="3">
        <v>7204.443013781311</v>
      </c>
      <c r="N118" s="3">
        <v>7427.052208027362</v>
      </c>
      <c r="O118" s="3">
        <v>7715.681118599739</v>
      </c>
      <c r="P118" s="3">
        <v>8776.309425611107</v>
      </c>
      <c r="Q118" s="3">
        <v>9977.602856855448</v>
      </c>
      <c r="R118" s="3">
        <v>11036.24061965597</v>
      </c>
      <c r="S118" s="3">
        <v>11242.26194547832</v>
      </c>
      <c r="T118" s="3">
        <v>10993.7756764913</v>
      </c>
      <c r="U118" s="3">
        <v>10907.51876068806</v>
      </c>
      <c r="V118" s="3">
        <v>11335.48576601952</v>
      </c>
      <c r="W118" s="3">
        <v>11925.68212453476</v>
      </c>
      <c r="X118" s="3">
        <v>12981.33407101901</v>
      </c>
      <c r="Y118" s="3">
        <v>14514.38487073735</v>
      </c>
      <c r="Z118" s="3">
        <v>13671.38939744493</v>
      </c>
      <c r="AA118" s="3">
        <v>15415.43788351273</v>
      </c>
      <c r="AB118" s="3">
        <v>16588.2001810683</v>
      </c>
      <c r="AC118" s="3">
        <v>17117.35318378433</v>
      </c>
      <c r="AD118" s="3">
        <v>17108.06397746706</v>
      </c>
      <c r="AE118" s="3">
        <v>17280.90956644201</v>
      </c>
      <c r="AF118" s="3">
        <v>18272.16678880258</v>
      </c>
      <c r="AG118" s="3">
        <v>19226.81733776388</v>
      </c>
      <c r="AH118" s="3">
        <v>14418.93450892857</v>
      </c>
      <c r="AI118" s="3">
        <v>13116.96867042561</v>
      </c>
      <c r="AJ118" s="3">
        <v>12443.59937156323</v>
      </c>
      <c r="AK118" s="3">
        <v>14605.40626864484</v>
      </c>
      <c r="AL118" s="3">
        <v>15519.29492735152</v>
      </c>
      <c r="AM118" s="3">
        <v>13978.05791229743</v>
      </c>
      <c r="AN118" s="3">
        <v>14378.60097508126</v>
      </c>
      <c r="AO118" s="3">
        <v>16472.65948367826</v>
      </c>
      <c r="AP118" s="3">
        <v>16083.28653193895</v>
      </c>
      <c r="AQ118" s="3">
        <v>15545.41972543353</v>
      </c>
      <c r="AR118" s="3">
        <v>14502.07082613205</v>
      </c>
      <c r="AS118" s="3">
        <v>13989.10263379279</v>
      </c>
      <c r="AT118" s="3">
        <v>10347.01349630761</v>
      </c>
      <c r="AU118" s="3">
        <v>10649.15818646343</v>
      </c>
      <c r="AV118" s="3">
        <v>9891.994487765529</v>
      </c>
      <c r="AW118" s="3">
        <v>10004.50919793966</v>
      </c>
      <c r="AX118" s="3">
        <v>13321.46475561785</v>
      </c>
      <c r="AY118" s="3">
        <v>15294.16362978704</v>
      </c>
      <c r="AZ118" s="3">
        <v>15547.8221729891</v>
      </c>
      <c r="BA118" s="3">
        <v>15796.83117059275</v>
      </c>
      <c r="BB118" s="3">
        <v>16046.87340055161</v>
      </c>
      <c r="BC118" s="3">
        <v>16296.39901433286</v>
      </c>
      <c r="BD118" s="3">
        <v>16541.01677442691</v>
      </c>
      <c r="BE118" s="3">
        <v>16809.9154948682</v>
      </c>
      <c r="BF118" s="3">
        <v>17054.53325496224</v>
      </c>
      <c r="BG118" s="3">
        <v>17320.59058642673</v>
      </c>
      <c r="BH118" s="3">
        <v>17320.59058642673</v>
      </c>
      <c r="BI118" s="3">
        <v>17320.59058642673</v>
      </c>
      <c r="BJ118" s="3">
        <v>17320.59058642673</v>
      </c>
      <c r="BK118" s="3">
        <v>17320.59058642673</v>
      </c>
      <c r="BL118" s="3">
        <v>17320.59058642673</v>
      </c>
      <c r="BM118" s="3">
        <v>17320.59058642673</v>
      </c>
      <c r="BN118" s="3">
        <v>17320.59058642673</v>
      </c>
      <c r="BO118" s="3">
        <v>17320.59058642673</v>
      </c>
      <c r="BP118" s="3">
        <v>17320.59058642673</v>
      </c>
      <c r="BQ118" s="3">
        <v>17320.59058642673</v>
      </c>
      <c r="BR118" s="3">
        <v>17320.59058642673</v>
      </c>
      <c r="BS118" s="3">
        <v>17320.59058642673</v>
      </c>
      <c r="BT118" s="3">
        <v>17320.59058642673</v>
      </c>
      <c r="BU118" s="3">
        <v>17320.59058642673</v>
      </c>
      <c r="BV118" s="3">
        <v>17320.59058642673</v>
      </c>
      <c r="BW118" s="3">
        <v>17320.59058642673</v>
      </c>
      <c r="BX118" s="3">
        <v>17320.59058642673</v>
      </c>
      <c r="BY118" s="3">
        <v>17320.59058642673</v>
      </c>
      <c r="BZ118" s="3">
        <v>17320.59058642673</v>
      </c>
      <c r="CA118" s="3">
        <v>17320.59058642673</v>
      </c>
      <c r="CB118" s="3">
        <v>17320.59058642673</v>
      </c>
      <c r="CC118" s="3">
        <v>17320.59058642673</v>
      </c>
      <c r="CD118" s="3">
        <v>17320.59058642673</v>
      </c>
      <c r="CE118" s="3">
        <v>17320.59058642673</v>
      </c>
      <c r="CF118" s="3">
        <v>17320.59058642673</v>
      </c>
      <c r="CG118" s="3">
        <v>17320.59058642673</v>
      </c>
      <c r="CH118" s="3">
        <v>17320.59058642673</v>
      </c>
      <c r="CI118" s="3">
        <v>17320.59058642673</v>
      </c>
      <c r="CJ118" s="3">
        <v>17320.59058642673</v>
      </c>
      <c r="CK118" s="3">
        <v>17320.59058642673</v>
      </c>
      <c r="CL118" s="3">
        <v>17320.59058642673</v>
      </c>
      <c r="CM118" s="3">
        <v>17320.59058642673</v>
      </c>
      <c r="CN118" s="3">
        <v>17320.59058642673</v>
      </c>
      <c r="CO118" s="3">
        <v>17320.59058642673</v>
      </c>
      <c r="CP118" s="3">
        <v>17320.59058642673</v>
      </c>
      <c r="CQ118" s="3">
        <v>17320.59058642673</v>
      </c>
      <c r="CR118" s="3">
        <v>17320.59058642673</v>
      </c>
      <c r="CS118" s="3">
        <v>17320.59058642673</v>
      </c>
      <c r="CT118" s="3">
        <v>17320.59058642673</v>
      </c>
    </row>
    <row r="119" spans="1:98">
      <c r="A119" s="1" t="str">
        <f>'Population Definitions'!$B$5</f>
        <v>30-49M_aus</v>
      </c>
      <c r="C119" t="s">
        <v>47</v>
      </c>
      <c r="D119" s="3"/>
      <c r="E119" s="3"/>
      <c r="F119" s="4" t="s">
        <v>48</v>
      </c>
      <c r="G119" s="3">
        <v>5302.478020319888</v>
      </c>
      <c r="H119" s="3">
        <v>4891.430640780606</v>
      </c>
      <c r="I119" s="3">
        <v>4980.673372900112</v>
      </c>
      <c r="J119" s="3">
        <v>5525.750729302888</v>
      </c>
      <c r="K119" s="3">
        <v>5608.358314052913</v>
      </c>
      <c r="L119" s="3">
        <v>5409.635650336989</v>
      </c>
      <c r="M119" s="3">
        <v>5251.387385574893</v>
      </c>
      <c r="N119" s="3">
        <v>5413.948496127151</v>
      </c>
      <c r="O119" s="3">
        <v>5624.282667739664</v>
      </c>
      <c r="P119" s="3">
        <v>6397.277336284077</v>
      </c>
      <c r="Q119" s="3">
        <v>7273.116789055428</v>
      </c>
      <c r="R119" s="3">
        <v>8044.784428125944</v>
      </c>
      <c r="S119" s="3">
        <v>8194.738758676191</v>
      </c>
      <c r="T119" s="3">
        <v>8013.599235489388</v>
      </c>
      <c r="U119" s="3">
        <v>7950.565335479328</v>
      </c>
      <c r="V119" s="3">
        <v>8262.749019213359</v>
      </c>
      <c r="W119" s="3">
        <v>8693.038326124133</v>
      </c>
      <c r="X119" s="3">
        <v>9462.383663615332</v>
      </c>
      <c r="Y119" s="3">
        <v>10579.74248063575</v>
      </c>
      <c r="Z119" s="3">
        <v>9965.327834221911</v>
      </c>
      <c r="AA119" s="3">
        <v>11236.95382758274</v>
      </c>
      <c r="AB119" s="3">
        <v>12091.56080877176</v>
      </c>
      <c r="AC119" s="3">
        <v>12477.39462830701</v>
      </c>
      <c r="AD119" s="3">
        <v>12470.42772356906</v>
      </c>
      <c r="AE119" s="3">
        <v>14076.1333869832</v>
      </c>
      <c r="AF119" s="3">
        <v>14996.44071522791</v>
      </c>
      <c r="AG119" s="3">
        <v>15663.46559812354</v>
      </c>
      <c r="AH119" s="3">
        <v>11460.50741071428</v>
      </c>
      <c r="AI119" s="3">
        <v>10172.5229628956</v>
      </c>
      <c r="AJ119" s="3">
        <v>8787.464257659072</v>
      </c>
      <c r="AK119" s="3">
        <v>9484.457459926018</v>
      </c>
      <c r="AL119" s="3">
        <v>9921.866173846547</v>
      </c>
      <c r="AM119" s="3">
        <v>9060.441809659993</v>
      </c>
      <c r="AN119" s="3">
        <v>9960.677284218131</v>
      </c>
      <c r="AO119" s="3">
        <v>11552.41483536022</v>
      </c>
      <c r="AP119" s="3">
        <v>11859.22378462408</v>
      </c>
      <c r="AQ119" s="3">
        <v>11515.83067196532</v>
      </c>
      <c r="AR119" s="3">
        <v>10466.75713791912</v>
      </c>
      <c r="AS119" s="3">
        <v>9852.164401734293</v>
      </c>
      <c r="AT119" s="3">
        <v>6283.618029029793</v>
      </c>
      <c r="AU119" s="3">
        <v>5914.094747326031</v>
      </c>
      <c r="AV119" s="3">
        <v>8414.96549251591</v>
      </c>
      <c r="AW119" s="3">
        <v>11702.9973019377</v>
      </c>
      <c r="AX119" s="3">
        <v>8157.369444318849</v>
      </c>
      <c r="AY119" s="3">
        <v>9338.870642492198</v>
      </c>
      <c r="AZ119" s="3">
        <v>9484.298096486864</v>
      </c>
      <c r="BA119" s="3">
        <v>9630.242166659129</v>
      </c>
      <c r="BB119" s="3">
        <v>9776.702853008996</v>
      </c>
      <c r="BC119" s="3">
        <v>9919.030609938054</v>
      </c>
      <c r="BD119" s="3">
        <v>10064.45806393272</v>
      </c>
      <c r="BE119" s="3">
        <v>10218.151376769</v>
      </c>
      <c r="BF119" s="3">
        <v>10359.96251752046</v>
      </c>
      <c r="BG119" s="3">
        <v>10512.10598182393</v>
      </c>
      <c r="BH119" s="3">
        <v>10512.10598182393</v>
      </c>
      <c r="BI119" s="3">
        <v>10512.10598182393</v>
      </c>
      <c r="BJ119" s="3">
        <v>10512.10598182393</v>
      </c>
      <c r="BK119" s="3">
        <v>10512.10598182393</v>
      </c>
      <c r="BL119" s="3">
        <v>10512.10598182393</v>
      </c>
      <c r="BM119" s="3">
        <v>10512.10598182393</v>
      </c>
      <c r="BN119" s="3">
        <v>10512.10598182393</v>
      </c>
      <c r="BO119" s="3">
        <v>10512.10598182393</v>
      </c>
      <c r="BP119" s="3">
        <v>10512.10598182393</v>
      </c>
      <c r="BQ119" s="3">
        <v>10512.10598182393</v>
      </c>
      <c r="BR119" s="3">
        <v>10512.10598182393</v>
      </c>
      <c r="BS119" s="3">
        <v>10512.10598182393</v>
      </c>
      <c r="BT119" s="3">
        <v>10512.10598182393</v>
      </c>
      <c r="BU119" s="3">
        <v>10512.10598182393</v>
      </c>
      <c r="BV119" s="3">
        <v>10512.10598182393</v>
      </c>
      <c r="BW119" s="3">
        <v>10512.10598182393</v>
      </c>
      <c r="BX119" s="3">
        <v>10512.10598182393</v>
      </c>
      <c r="BY119" s="3">
        <v>10512.10598182393</v>
      </c>
      <c r="BZ119" s="3">
        <v>10512.10598182393</v>
      </c>
      <c r="CA119" s="3">
        <v>10512.10598182393</v>
      </c>
      <c r="CB119" s="3">
        <v>10512.10598182393</v>
      </c>
      <c r="CC119" s="3">
        <v>10512.10598182393</v>
      </c>
      <c r="CD119" s="3">
        <v>10512.10598182393</v>
      </c>
      <c r="CE119" s="3">
        <v>10512.10598182393</v>
      </c>
      <c r="CF119" s="3">
        <v>10512.10598182393</v>
      </c>
      <c r="CG119" s="3">
        <v>10512.10598182393</v>
      </c>
      <c r="CH119" s="3">
        <v>10512.10598182393</v>
      </c>
      <c r="CI119" s="3">
        <v>10512.10598182393</v>
      </c>
      <c r="CJ119" s="3">
        <v>10512.10598182393</v>
      </c>
      <c r="CK119" s="3">
        <v>10512.10598182393</v>
      </c>
      <c r="CL119" s="3">
        <v>10512.10598182393</v>
      </c>
      <c r="CM119" s="3">
        <v>10512.10598182393</v>
      </c>
      <c r="CN119" s="3">
        <v>10512.10598182393</v>
      </c>
      <c r="CO119" s="3">
        <v>10512.10598182393</v>
      </c>
      <c r="CP119" s="3">
        <v>10512.10598182393</v>
      </c>
      <c r="CQ119" s="3">
        <v>10512.10598182393</v>
      </c>
      <c r="CR119" s="3">
        <v>10512.10598182393</v>
      </c>
      <c r="CS119" s="3">
        <v>10512.10598182393</v>
      </c>
      <c r="CT119" s="3">
        <v>10512.10598182393</v>
      </c>
    </row>
    <row r="120" spans="1:98">
      <c r="A120" s="1" t="str">
        <f>'Population Definitions'!$B$6</f>
        <v>50-64M_aus</v>
      </c>
      <c r="C120" t="s">
        <v>47</v>
      </c>
      <c r="D120" s="3"/>
      <c r="E120" s="3"/>
      <c r="F120" s="4" t="s">
        <v>48</v>
      </c>
      <c r="G120" s="3">
        <v>1497.552761291621</v>
      </c>
      <c r="H120" s="3">
        <v>1381.437682325722</v>
      </c>
      <c r="I120" s="3">
        <v>1406.651242329746</v>
      </c>
      <c r="J120" s="3">
        <v>1560.58666130168</v>
      </c>
      <c r="K120" s="3">
        <v>1583.80967709486</v>
      </c>
      <c r="L120" s="3">
        <v>1527.742681822754</v>
      </c>
      <c r="M120" s="3">
        <v>1482.955437078765</v>
      </c>
      <c r="N120" s="3">
        <v>1529.06971129665</v>
      </c>
      <c r="O120" s="3">
        <v>1588.454280253496</v>
      </c>
      <c r="P120" s="3">
        <v>1806.750628709386</v>
      </c>
      <c r="Q120" s="3">
        <v>2053.909868222513</v>
      </c>
      <c r="R120" s="3">
        <v>2271.874459309929</v>
      </c>
      <c r="S120" s="3">
        <v>2314.3394024746</v>
      </c>
      <c r="T120" s="3">
        <v>2263.248767729605</v>
      </c>
      <c r="U120" s="3">
        <v>2245.333869832009</v>
      </c>
      <c r="V120" s="3">
        <v>2333.581329846092</v>
      </c>
      <c r="W120" s="3">
        <v>2455.004526707575</v>
      </c>
      <c r="X120" s="3">
        <v>2672.305603058043</v>
      </c>
      <c r="Y120" s="3">
        <v>2987.806860476814</v>
      </c>
      <c r="Z120" s="3">
        <v>2814.297756764913</v>
      </c>
      <c r="AA120" s="3">
        <v>3173.259229453778</v>
      </c>
      <c r="AB120" s="3">
        <v>3414.778593702847</v>
      </c>
      <c r="AC120" s="3">
        <v>3523.595010562318</v>
      </c>
      <c r="AD120" s="3">
        <v>3521.936223719948</v>
      </c>
      <c r="AE120" s="3">
        <v>4214.645609093653</v>
      </c>
      <c r="AF120" s="3">
        <v>4003.277737065807</v>
      </c>
      <c r="AG120" s="3">
        <v>4239.807466770915</v>
      </c>
      <c r="AH120" s="3">
        <v>3255.583035714285</v>
      </c>
      <c r="AI120" s="3">
        <v>3205.176882502729</v>
      </c>
      <c r="AJ120" s="3">
        <v>2714.818538884525</v>
      </c>
      <c r="AK120" s="3">
        <v>2728.198520345253</v>
      </c>
      <c r="AL120" s="3">
        <v>2899.135100688249</v>
      </c>
      <c r="AM120" s="3">
        <v>2491.00055608516</v>
      </c>
      <c r="AN120" s="3">
        <v>2861.908992416035</v>
      </c>
      <c r="AO120" s="3">
        <v>3080.084986843041</v>
      </c>
      <c r="AP120" s="3">
        <v>3244.216259185981</v>
      </c>
      <c r="AQ120" s="3">
        <v>3231.140137283237</v>
      </c>
      <c r="AR120" s="3">
        <v>2941.771897684065</v>
      </c>
      <c r="AS120" s="3">
        <v>2460.95932828577</v>
      </c>
      <c r="AT120" s="3">
        <v>1834.893557422969</v>
      </c>
      <c r="AU120" s="3">
        <v>1545.383233014334</v>
      </c>
      <c r="AV120" s="3">
        <v>2836.826431836515</v>
      </c>
      <c r="AW120" s="3">
        <v>4320.19622271278</v>
      </c>
      <c r="AX120" s="3">
        <v>2213.95862910883</v>
      </c>
      <c r="AY120" s="3">
        <v>2585.922276981507</v>
      </c>
      <c r="AZ120" s="3">
        <v>2633.450965320793</v>
      </c>
      <c r="BA120" s="3">
        <v>2682.529502192883</v>
      </c>
      <c r="BB120" s="3">
        <v>2731.091422887371</v>
      </c>
      <c r="BC120" s="3">
        <v>2778.361803137857</v>
      </c>
      <c r="BD120" s="3">
        <v>2827.698648098747</v>
      </c>
      <c r="BE120" s="3">
        <v>2879.101957770041</v>
      </c>
      <c r="BF120" s="3">
        <v>2927.405570375729</v>
      </c>
      <c r="BG120" s="3">
        <v>2980.875344757426</v>
      </c>
      <c r="BH120" s="3">
        <v>2980.875344757426</v>
      </c>
      <c r="BI120" s="3">
        <v>2980.875344757426</v>
      </c>
      <c r="BJ120" s="3">
        <v>2980.875344757426</v>
      </c>
      <c r="BK120" s="3">
        <v>2980.875344757426</v>
      </c>
      <c r="BL120" s="3">
        <v>2980.875344757426</v>
      </c>
      <c r="BM120" s="3">
        <v>2980.875344757426</v>
      </c>
      <c r="BN120" s="3">
        <v>2980.875344757426</v>
      </c>
      <c r="BO120" s="3">
        <v>2980.875344757426</v>
      </c>
      <c r="BP120" s="3">
        <v>2980.875344757426</v>
      </c>
      <c r="BQ120" s="3">
        <v>2980.875344757426</v>
      </c>
      <c r="BR120" s="3">
        <v>2980.875344757426</v>
      </c>
      <c r="BS120" s="3">
        <v>2980.875344757426</v>
      </c>
      <c r="BT120" s="3">
        <v>2980.875344757426</v>
      </c>
      <c r="BU120" s="3">
        <v>2980.875344757426</v>
      </c>
      <c r="BV120" s="3">
        <v>2980.875344757426</v>
      </c>
      <c r="BW120" s="3">
        <v>2980.875344757426</v>
      </c>
      <c r="BX120" s="3">
        <v>2980.875344757426</v>
      </c>
      <c r="BY120" s="3">
        <v>2980.875344757426</v>
      </c>
      <c r="BZ120" s="3">
        <v>2980.875344757426</v>
      </c>
      <c r="CA120" s="3">
        <v>2980.875344757426</v>
      </c>
      <c r="CB120" s="3">
        <v>2980.875344757426</v>
      </c>
      <c r="CC120" s="3">
        <v>2980.875344757426</v>
      </c>
      <c r="CD120" s="3">
        <v>2980.875344757426</v>
      </c>
      <c r="CE120" s="3">
        <v>2980.875344757426</v>
      </c>
      <c r="CF120" s="3">
        <v>2980.875344757426</v>
      </c>
      <c r="CG120" s="3">
        <v>2980.875344757426</v>
      </c>
      <c r="CH120" s="3">
        <v>2980.875344757426</v>
      </c>
      <c r="CI120" s="3">
        <v>2980.875344757426</v>
      </c>
      <c r="CJ120" s="3">
        <v>2980.875344757426</v>
      </c>
      <c r="CK120" s="3">
        <v>2980.875344757426</v>
      </c>
      <c r="CL120" s="3">
        <v>2980.875344757426</v>
      </c>
      <c r="CM120" s="3">
        <v>2980.875344757426</v>
      </c>
      <c r="CN120" s="3">
        <v>2980.875344757426</v>
      </c>
      <c r="CO120" s="3">
        <v>2980.875344757426</v>
      </c>
      <c r="CP120" s="3">
        <v>2980.875344757426</v>
      </c>
      <c r="CQ120" s="3">
        <v>2980.875344757426</v>
      </c>
      <c r="CR120" s="3">
        <v>2980.875344757426</v>
      </c>
      <c r="CS120" s="3">
        <v>2980.875344757426</v>
      </c>
      <c r="CT120" s="3">
        <v>2980.875344757426</v>
      </c>
    </row>
    <row r="121" spans="1:98">
      <c r="A121" s="1" t="str">
        <f>'Population Definitions'!$B$7</f>
        <v>65+M_aus</v>
      </c>
      <c r="C121" t="s">
        <v>47</v>
      </c>
      <c r="D121" s="3"/>
      <c r="E121" s="3"/>
      <c r="F121" s="4" t="s">
        <v>48</v>
      </c>
      <c r="G121" s="3">
        <v>656.5478322100394</v>
      </c>
      <c r="H121" s="3">
        <v>605.7889548335178</v>
      </c>
      <c r="I121" s="3">
        <v>616.7369479931597</v>
      </c>
      <c r="J121" s="3">
        <v>684.083693793381</v>
      </c>
      <c r="K121" s="3">
        <v>694.3681722160749</v>
      </c>
      <c r="L121" s="3">
        <v>669.8181269489992</v>
      </c>
      <c r="M121" s="3">
        <v>650.2444422090334</v>
      </c>
      <c r="N121" s="3">
        <v>670.4816416859471</v>
      </c>
      <c r="O121" s="3">
        <v>696.3587164269189</v>
      </c>
      <c r="P121" s="3">
        <v>792.2365959159039</v>
      </c>
      <c r="Q121" s="3">
        <v>900.3894980384268</v>
      </c>
      <c r="R121" s="3">
        <v>995.9356201589378</v>
      </c>
      <c r="S121" s="3">
        <v>1014.514032793482</v>
      </c>
      <c r="T121" s="3">
        <v>992.2862891057239</v>
      </c>
      <c r="U121" s="3">
        <v>984.324112262348</v>
      </c>
      <c r="V121" s="3">
        <v>1023.139724373806</v>
      </c>
      <c r="W121" s="3">
        <v>1076.220903329645</v>
      </c>
      <c r="X121" s="3">
        <v>1171.767025450156</v>
      </c>
      <c r="Y121" s="3">
        <v>1310.109848103813</v>
      </c>
      <c r="Z121" s="3">
        <v>1233.805653354793</v>
      </c>
      <c r="AA121" s="3">
        <v>1391.390403379942</v>
      </c>
      <c r="AB121" s="3">
        <v>1497.221003923147</v>
      </c>
      <c r="AC121" s="3">
        <v>1544.994064983402</v>
      </c>
      <c r="AD121" s="3">
        <v>1543.99879287798</v>
      </c>
      <c r="AE121" s="3">
        <v>1802.10602555075</v>
      </c>
      <c r="AF121" s="3">
        <v>1324.1757291514</v>
      </c>
      <c r="AG121" s="3">
        <v>1522.747752150118</v>
      </c>
      <c r="AH121" s="3">
        <v>1393.85375</v>
      </c>
      <c r="AI121" s="3">
        <v>1442.302882866497</v>
      </c>
      <c r="AJ121" s="3">
        <v>1278.805970149253</v>
      </c>
      <c r="AK121" s="3">
        <v>1167.242830436339</v>
      </c>
      <c r="AL121" s="3">
        <v>1291.159146911378</v>
      </c>
      <c r="AM121" s="3">
        <v>1127.581665077852</v>
      </c>
      <c r="AN121" s="3">
        <v>1449.701661249549</v>
      </c>
      <c r="AO121" s="3">
        <v>1257.187611122964</v>
      </c>
      <c r="AP121" s="3">
        <v>1470.87899236857</v>
      </c>
      <c r="AQ121" s="3">
        <v>1478.359248554913</v>
      </c>
      <c r="AR121" s="3">
        <v>1455.873453162807</v>
      </c>
      <c r="AS121" s="3">
        <v>1180.415582734744</v>
      </c>
      <c r="AT121" s="3">
        <v>1046.726763432646</v>
      </c>
      <c r="AU121" s="3">
        <v>913.2566145585245</v>
      </c>
      <c r="AV121" s="3">
        <v>2335.545173433719</v>
      </c>
      <c r="AW121" s="3">
        <v>3364.426784400295</v>
      </c>
      <c r="AX121" s="3">
        <v>1079.211195008364</v>
      </c>
      <c r="AY121" s="3">
        <v>1303.164307998372</v>
      </c>
      <c r="AZ121" s="3">
        <v>1332.869738210426</v>
      </c>
      <c r="BA121" s="3">
        <v>1364.125016955283</v>
      </c>
      <c r="BB121" s="3">
        <v>1393.830447167337</v>
      </c>
      <c r="BC121" s="3">
        <v>1426.377266356196</v>
      </c>
      <c r="BD121" s="3">
        <v>1456.08269656825</v>
      </c>
      <c r="BE121" s="3">
        <v>1493.020753266718</v>
      </c>
      <c r="BF121" s="3">
        <v>1525.050956277976</v>
      </c>
      <c r="BG121" s="3">
        <v>1559.147623999638</v>
      </c>
      <c r="BH121" s="3">
        <v>1559.147623999638</v>
      </c>
      <c r="BI121" s="3">
        <v>1559.147623999638</v>
      </c>
      <c r="BJ121" s="3">
        <v>1559.147623999638</v>
      </c>
      <c r="BK121" s="3">
        <v>1559.147623999638</v>
      </c>
      <c r="BL121" s="3">
        <v>1559.147623999638</v>
      </c>
      <c r="BM121" s="3">
        <v>1559.147623999638</v>
      </c>
      <c r="BN121" s="3">
        <v>1559.147623999638</v>
      </c>
      <c r="BO121" s="3">
        <v>1559.147623999638</v>
      </c>
      <c r="BP121" s="3">
        <v>1559.147623999638</v>
      </c>
      <c r="BQ121" s="3">
        <v>1559.147623999638</v>
      </c>
      <c r="BR121" s="3">
        <v>1559.147623999638</v>
      </c>
      <c r="BS121" s="3">
        <v>1559.147623999638</v>
      </c>
      <c r="BT121" s="3">
        <v>1559.147623999638</v>
      </c>
      <c r="BU121" s="3">
        <v>1559.147623999638</v>
      </c>
      <c r="BV121" s="3">
        <v>1559.147623999638</v>
      </c>
      <c r="BW121" s="3">
        <v>1559.147623999638</v>
      </c>
      <c r="BX121" s="3">
        <v>1559.147623999638</v>
      </c>
      <c r="BY121" s="3">
        <v>1559.147623999638</v>
      </c>
      <c r="BZ121" s="3">
        <v>1559.147623999638</v>
      </c>
      <c r="CA121" s="3">
        <v>1559.147623999638</v>
      </c>
      <c r="CB121" s="3">
        <v>1559.147623999638</v>
      </c>
      <c r="CC121" s="3">
        <v>1559.147623999638</v>
      </c>
      <c r="CD121" s="3">
        <v>1559.147623999638</v>
      </c>
      <c r="CE121" s="3">
        <v>1559.147623999638</v>
      </c>
      <c r="CF121" s="3">
        <v>1559.147623999638</v>
      </c>
      <c r="CG121" s="3">
        <v>1559.147623999638</v>
      </c>
      <c r="CH121" s="3">
        <v>1559.147623999638</v>
      </c>
      <c r="CI121" s="3">
        <v>1559.147623999638</v>
      </c>
      <c r="CJ121" s="3">
        <v>1559.147623999638</v>
      </c>
      <c r="CK121" s="3">
        <v>1559.147623999638</v>
      </c>
      <c r="CL121" s="3">
        <v>1559.147623999638</v>
      </c>
      <c r="CM121" s="3">
        <v>1559.147623999638</v>
      </c>
      <c r="CN121" s="3">
        <v>1559.147623999638</v>
      </c>
      <c r="CO121" s="3">
        <v>1559.147623999638</v>
      </c>
      <c r="CP121" s="3">
        <v>1559.147623999638</v>
      </c>
      <c r="CQ121" s="3">
        <v>1559.147623999638</v>
      </c>
      <c r="CR121" s="3">
        <v>1559.147623999638</v>
      </c>
      <c r="CS121" s="3">
        <v>1559.147623999638</v>
      </c>
      <c r="CT121" s="3">
        <v>1559.147623999638</v>
      </c>
    </row>
    <row r="122" spans="1:98">
      <c r="A122" s="1" t="str">
        <f>'Population Definitions'!$B$8</f>
        <v>0-4F_aus</v>
      </c>
      <c r="C122" t="s">
        <v>47</v>
      </c>
      <c r="D122" s="3"/>
      <c r="E122" s="3"/>
      <c r="F122" s="4" t="s">
        <v>48</v>
      </c>
      <c r="G122" s="3">
        <v>885.128659088623</v>
      </c>
      <c r="H122" s="3">
        <v>816.4548838145057</v>
      </c>
      <c r="I122" s="3">
        <v>831.3839653958355</v>
      </c>
      <c r="J122" s="3">
        <v>922.2854843577106</v>
      </c>
      <c r="K122" s="3">
        <v>935.8875364651444</v>
      </c>
      <c r="L122" s="3">
        <v>902.7117996177448</v>
      </c>
      <c r="M122" s="3">
        <v>876.5029675082991</v>
      </c>
      <c r="N122" s="3">
        <v>903.7070717231668</v>
      </c>
      <c r="O122" s="3">
        <v>938.5415954129364</v>
      </c>
      <c r="P122" s="3">
        <v>1067.595211749321</v>
      </c>
      <c r="Q122" s="3">
        <v>1213.900211246354</v>
      </c>
      <c r="R122" s="3">
        <v>1342.622070214264</v>
      </c>
      <c r="S122" s="3">
        <v>1367.835630218288</v>
      </c>
      <c r="T122" s="3">
        <v>1337.31395231868</v>
      </c>
      <c r="U122" s="3">
        <v>1327.029473895986</v>
      </c>
      <c r="V122" s="3">
        <v>1379.115380746404</v>
      </c>
      <c r="W122" s="3">
        <v>1450.774972336787</v>
      </c>
      <c r="X122" s="3">
        <v>1579.165073936224</v>
      </c>
      <c r="Y122" s="3">
        <v>1765.944472387084</v>
      </c>
      <c r="Z122" s="3">
        <v>1663.099688160145</v>
      </c>
      <c r="AA122" s="3">
        <v>1875.424403983503</v>
      </c>
      <c r="AB122" s="3">
        <v>2018.080072427322</v>
      </c>
      <c r="AC122" s="3">
        <v>2082.441001911277</v>
      </c>
      <c r="AD122" s="3">
        <v>2081.445729805855</v>
      </c>
      <c r="AE122" s="3">
        <v>2027.701036113067</v>
      </c>
      <c r="AF122" s="3">
        <v>2016.855635351019</v>
      </c>
      <c r="AG122" s="3">
        <v>2223.282349491791</v>
      </c>
      <c r="AH122" s="3">
        <v>1720.022857142857</v>
      </c>
      <c r="AI122" s="3">
        <v>1727.611176791561</v>
      </c>
      <c r="AJ122" s="3">
        <v>1504.520031421838</v>
      </c>
      <c r="AK122" s="3">
        <v>1775.242750885008</v>
      </c>
      <c r="AL122" s="3">
        <v>1876.013425099839</v>
      </c>
      <c r="AM122" s="3">
        <v>1797.233992691452</v>
      </c>
      <c r="AN122" s="3">
        <v>1812.305055976887</v>
      </c>
      <c r="AO122" s="3">
        <v>2052.485776260579</v>
      </c>
      <c r="AP122" s="3">
        <v>2049.173297060486</v>
      </c>
      <c r="AQ122" s="3">
        <v>1987.689667630058</v>
      </c>
      <c r="AR122" s="3">
        <v>1740.546491531283</v>
      </c>
      <c r="AS122" s="3">
        <v>1576.053840678186</v>
      </c>
      <c r="AT122" s="3">
        <v>967.4621848739495</v>
      </c>
      <c r="AU122" s="3">
        <v>878.0673797254582</v>
      </c>
      <c r="AV122" s="3">
        <v>1247.219682710406</v>
      </c>
      <c r="AW122" s="3">
        <v>1902.661761098848</v>
      </c>
      <c r="AX122" s="3">
        <v>1261.318397612696</v>
      </c>
      <c r="AY122" s="3">
        <v>1472.09779807388</v>
      </c>
      <c r="AZ122" s="3">
        <v>1497.928606953927</v>
      </c>
      <c r="BA122" s="3">
        <v>1525.309264366776</v>
      </c>
      <c r="BB122" s="3">
        <v>1552.948229868427</v>
      </c>
      <c r="BC122" s="3">
        <v>1580.070579192476</v>
      </c>
      <c r="BD122" s="3">
        <v>1606.676312338925</v>
      </c>
      <c r="BE122" s="3">
        <v>1636.89835872858</v>
      </c>
      <c r="BF122" s="3">
        <v>1665.828864674232</v>
      </c>
      <c r="BG122" s="3">
        <v>1695.534294886286</v>
      </c>
      <c r="BH122" s="3">
        <v>1695.534294886286</v>
      </c>
      <c r="BI122" s="3">
        <v>1695.534294886286</v>
      </c>
      <c r="BJ122" s="3">
        <v>1695.534294886286</v>
      </c>
      <c r="BK122" s="3">
        <v>1695.534294886286</v>
      </c>
      <c r="BL122" s="3">
        <v>1695.534294886286</v>
      </c>
      <c r="BM122" s="3">
        <v>1695.534294886286</v>
      </c>
      <c r="BN122" s="3">
        <v>1695.534294886286</v>
      </c>
      <c r="BO122" s="3">
        <v>1695.534294886286</v>
      </c>
      <c r="BP122" s="3">
        <v>1695.534294886286</v>
      </c>
      <c r="BQ122" s="3">
        <v>1695.534294886286</v>
      </c>
      <c r="BR122" s="3">
        <v>1695.534294886286</v>
      </c>
      <c r="BS122" s="3">
        <v>1695.534294886286</v>
      </c>
      <c r="BT122" s="3">
        <v>1695.534294886286</v>
      </c>
      <c r="BU122" s="3">
        <v>1695.534294886286</v>
      </c>
      <c r="BV122" s="3">
        <v>1695.534294886286</v>
      </c>
      <c r="BW122" s="3">
        <v>1695.534294886286</v>
      </c>
      <c r="BX122" s="3">
        <v>1695.534294886286</v>
      </c>
      <c r="BY122" s="3">
        <v>1695.534294886286</v>
      </c>
      <c r="BZ122" s="3">
        <v>1695.534294886286</v>
      </c>
      <c r="CA122" s="3">
        <v>1695.534294886286</v>
      </c>
      <c r="CB122" s="3">
        <v>1695.534294886286</v>
      </c>
      <c r="CC122" s="3">
        <v>1695.534294886286</v>
      </c>
      <c r="CD122" s="3">
        <v>1695.534294886286</v>
      </c>
      <c r="CE122" s="3">
        <v>1695.534294886286</v>
      </c>
      <c r="CF122" s="3">
        <v>1695.534294886286</v>
      </c>
      <c r="CG122" s="3">
        <v>1695.534294886286</v>
      </c>
      <c r="CH122" s="3">
        <v>1695.534294886286</v>
      </c>
      <c r="CI122" s="3">
        <v>1695.534294886286</v>
      </c>
      <c r="CJ122" s="3">
        <v>1695.534294886286</v>
      </c>
      <c r="CK122" s="3">
        <v>1695.534294886286</v>
      </c>
      <c r="CL122" s="3">
        <v>1695.534294886286</v>
      </c>
      <c r="CM122" s="3">
        <v>1695.534294886286</v>
      </c>
      <c r="CN122" s="3">
        <v>1695.534294886286</v>
      </c>
      <c r="CO122" s="3">
        <v>1695.534294886286</v>
      </c>
      <c r="CP122" s="3">
        <v>1695.534294886286</v>
      </c>
      <c r="CQ122" s="3">
        <v>1695.534294886286</v>
      </c>
      <c r="CR122" s="3">
        <v>1695.534294886286</v>
      </c>
      <c r="CS122" s="3">
        <v>1695.534294886286</v>
      </c>
      <c r="CT122" s="3">
        <v>1695.534294886286</v>
      </c>
    </row>
    <row r="123" spans="1:98">
      <c r="A123" s="1" t="str">
        <f>'Population Definitions'!$B$9</f>
        <v>5-14F_aus</v>
      </c>
      <c r="C123" t="s">
        <v>47</v>
      </c>
      <c r="D123" s="3"/>
      <c r="E123" s="3"/>
      <c r="F123" s="4" t="s">
        <v>48</v>
      </c>
      <c r="G123" s="3">
        <v>944.8449854139424</v>
      </c>
      <c r="H123" s="3">
        <v>871.5266069811892</v>
      </c>
      <c r="I123" s="3">
        <v>887.450960667941</v>
      </c>
      <c r="J123" s="3">
        <v>984.6558696308219</v>
      </c>
      <c r="K123" s="3">
        <v>999.2531938436778</v>
      </c>
      <c r="L123" s="3">
        <v>963.7551554169602</v>
      </c>
      <c r="M123" s="3">
        <v>935.5557790966704</v>
      </c>
      <c r="N123" s="3">
        <v>964.4186701539081</v>
      </c>
      <c r="O123" s="3">
        <v>1001.90725279147</v>
      </c>
      <c r="P123" s="3">
        <v>1139.918318076652</v>
      </c>
      <c r="Q123" s="3">
        <v>1295.844281259431</v>
      </c>
      <c r="R123" s="3">
        <v>1433.191831807665</v>
      </c>
      <c r="S123" s="3">
        <v>1460.064178654059</v>
      </c>
      <c r="T123" s="3">
        <v>1427.883713912081</v>
      </c>
      <c r="U123" s="3">
        <v>1416.603963383965</v>
      </c>
      <c r="V123" s="3">
        <v>1472.007443919123</v>
      </c>
      <c r="W123" s="3">
        <v>1548.97515340509</v>
      </c>
      <c r="X123" s="3">
        <v>1685.990946584851</v>
      </c>
      <c r="Y123" s="3">
        <v>1885.045367669249</v>
      </c>
      <c r="Z123" s="3">
        <v>1775.56543607283</v>
      </c>
      <c r="AA123" s="3">
        <v>2002.15571874057</v>
      </c>
      <c r="AB123" s="3">
        <v>2154.432350870134</v>
      </c>
      <c r="AC123" s="3">
        <v>2223.106126144251</v>
      </c>
      <c r="AD123" s="3">
        <v>2221.779096670356</v>
      </c>
      <c r="AE123" s="3">
        <v>2534.626295141334</v>
      </c>
      <c r="AF123" s="3">
        <v>2555.782793492599</v>
      </c>
      <c r="AG123" s="3">
        <v>2559.42337763878</v>
      </c>
      <c r="AH123" s="3">
        <v>1968.314508928571</v>
      </c>
      <c r="AI123" s="3">
        <v>1939.455256456894</v>
      </c>
      <c r="AJ123" s="3">
        <v>1600.190102120974</v>
      </c>
      <c r="AK123" s="3">
        <v>1735.749572411599</v>
      </c>
      <c r="AL123" s="3">
        <v>1819.518990568443</v>
      </c>
      <c r="AM123" s="3">
        <v>1713.798736892278</v>
      </c>
      <c r="AN123" s="3">
        <v>1776.94647887324</v>
      </c>
      <c r="AO123" s="3">
        <v>2057.417857904843</v>
      </c>
      <c r="AP123" s="3">
        <v>2112.031373657434</v>
      </c>
      <c r="AQ123" s="3">
        <v>2071.774963872833</v>
      </c>
      <c r="AR123" s="3">
        <v>1865.612996889043</v>
      </c>
      <c r="AS123" s="3">
        <v>1675.978903772731</v>
      </c>
      <c r="AT123" s="3">
        <v>1044.419404125286</v>
      </c>
      <c r="AU123" s="3">
        <v>896.4937426925911</v>
      </c>
      <c r="AV123" s="3">
        <v>1491.655238863494</v>
      </c>
      <c r="AW123" s="3">
        <v>2284.3777287221</v>
      </c>
      <c r="AX123" s="3">
        <v>1014.892480897047</v>
      </c>
      <c r="AY123" s="3">
        <v>1308.588777863182</v>
      </c>
      <c r="AZ123" s="3">
        <v>1350.434688248858</v>
      </c>
      <c r="BA123" s="3">
        <v>1391.505674368133</v>
      </c>
      <c r="BB123" s="3">
        <v>1434.901433286612</v>
      </c>
      <c r="BC123" s="3">
        <v>1478.813808382692</v>
      </c>
      <c r="BD123" s="3">
        <v>1524.017723922774</v>
      </c>
      <c r="BE123" s="3">
        <v>1573.871185061265</v>
      </c>
      <c r="BF123" s="3">
        <v>1620.62494913415</v>
      </c>
      <c r="BG123" s="3">
        <v>1673.061491160645</v>
      </c>
      <c r="BH123" s="3">
        <v>1673.061491160645</v>
      </c>
      <c r="BI123" s="3">
        <v>1673.061491160645</v>
      </c>
      <c r="BJ123" s="3">
        <v>1673.061491160645</v>
      </c>
      <c r="BK123" s="3">
        <v>1673.061491160645</v>
      </c>
      <c r="BL123" s="3">
        <v>1673.061491160645</v>
      </c>
      <c r="BM123" s="3">
        <v>1673.061491160645</v>
      </c>
      <c r="BN123" s="3">
        <v>1673.061491160645</v>
      </c>
      <c r="BO123" s="3">
        <v>1673.061491160645</v>
      </c>
      <c r="BP123" s="3">
        <v>1673.061491160645</v>
      </c>
      <c r="BQ123" s="3">
        <v>1673.061491160645</v>
      </c>
      <c r="BR123" s="3">
        <v>1673.061491160645</v>
      </c>
      <c r="BS123" s="3">
        <v>1673.061491160645</v>
      </c>
      <c r="BT123" s="3">
        <v>1673.061491160645</v>
      </c>
      <c r="BU123" s="3">
        <v>1673.061491160645</v>
      </c>
      <c r="BV123" s="3">
        <v>1673.061491160645</v>
      </c>
      <c r="BW123" s="3">
        <v>1673.061491160645</v>
      </c>
      <c r="BX123" s="3">
        <v>1673.061491160645</v>
      </c>
      <c r="BY123" s="3">
        <v>1673.061491160645</v>
      </c>
      <c r="BZ123" s="3">
        <v>1673.061491160645</v>
      </c>
      <c r="CA123" s="3">
        <v>1673.061491160645</v>
      </c>
      <c r="CB123" s="3">
        <v>1673.061491160645</v>
      </c>
      <c r="CC123" s="3">
        <v>1673.061491160645</v>
      </c>
      <c r="CD123" s="3">
        <v>1673.061491160645</v>
      </c>
      <c r="CE123" s="3">
        <v>1673.061491160645</v>
      </c>
      <c r="CF123" s="3">
        <v>1673.061491160645</v>
      </c>
      <c r="CG123" s="3">
        <v>1673.061491160645</v>
      </c>
      <c r="CH123" s="3">
        <v>1673.061491160645</v>
      </c>
      <c r="CI123" s="3">
        <v>1673.061491160645</v>
      </c>
      <c r="CJ123" s="3">
        <v>1673.061491160645</v>
      </c>
      <c r="CK123" s="3">
        <v>1673.061491160645</v>
      </c>
      <c r="CL123" s="3">
        <v>1673.061491160645</v>
      </c>
      <c r="CM123" s="3">
        <v>1673.061491160645</v>
      </c>
      <c r="CN123" s="3">
        <v>1673.061491160645</v>
      </c>
      <c r="CO123" s="3">
        <v>1673.061491160645</v>
      </c>
      <c r="CP123" s="3">
        <v>1673.061491160645</v>
      </c>
      <c r="CQ123" s="3">
        <v>1673.061491160645</v>
      </c>
      <c r="CR123" s="3">
        <v>1673.061491160645</v>
      </c>
      <c r="CS123" s="3">
        <v>1673.061491160645</v>
      </c>
      <c r="CT123" s="3">
        <v>1673.061491160645</v>
      </c>
    </row>
    <row r="124" spans="1:98">
      <c r="A124" s="1" t="str">
        <f>'Population Definitions'!$B$10</f>
        <v>15-29F_aus</v>
      </c>
      <c r="C124" t="s">
        <v>47</v>
      </c>
      <c r="D124" s="3"/>
      <c r="E124" s="3"/>
      <c r="F124" s="4" t="s">
        <v>48</v>
      </c>
      <c r="G124" s="3">
        <v>6562.160748415653</v>
      </c>
      <c r="H124" s="3">
        <v>6053.576702545016</v>
      </c>
      <c r="I124" s="3">
        <v>6164.051906246857</v>
      </c>
      <c r="J124" s="3">
        <v>6838.514636354492</v>
      </c>
      <c r="K124" s="3">
        <v>6940.695905844484</v>
      </c>
      <c r="L124" s="3">
        <v>6694.863695805252</v>
      </c>
      <c r="M124" s="3">
        <v>6499.126848405594</v>
      </c>
      <c r="N124" s="3">
        <v>6700.171813700836</v>
      </c>
      <c r="O124" s="3">
        <v>6960.601347952923</v>
      </c>
      <c r="P124" s="3">
        <v>7917.389598631929</v>
      </c>
      <c r="Q124" s="3">
        <v>9001.240921436476</v>
      </c>
      <c r="R124" s="3">
        <v>9956.038627904638</v>
      </c>
      <c r="S124" s="3">
        <v>10141.82275425008</v>
      </c>
      <c r="T124" s="3">
        <v>9917.88653053013</v>
      </c>
      <c r="U124" s="3">
        <v>9839.923548938739</v>
      </c>
      <c r="V124" s="3">
        <v>10226.08912584247</v>
      </c>
      <c r="W124" s="3">
        <v>10758.55970224324</v>
      </c>
      <c r="X124" s="3">
        <v>11710.70334976361</v>
      </c>
      <c r="Y124" s="3">
        <v>13093.7998189317</v>
      </c>
      <c r="Z124" s="3">
        <v>12333.4119303893</v>
      </c>
      <c r="AA124" s="3">
        <v>13906.93712906146</v>
      </c>
      <c r="AB124" s="3">
        <v>14964.91137712504</v>
      </c>
      <c r="AC124" s="3">
        <v>15441.97847299065</v>
      </c>
      <c r="AD124" s="3">
        <v>15433.6845387788</v>
      </c>
      <c r="AE124" s="3">
        <v>16059.71069308923</v>
      </c>
      <c r="AF124" s="3">
        <v>16397.65132639602</v>
      </c>
      <c r="AG124" s="3">
        <v>16898.55111415168</v>
      </c>
      <c r="AH124" s="3">
        <v>12490.93303571428</v>
      </c>
      <c r="AI124" s="3">
        <v>12367.09939978174</v>
      </c>
      <c r="AJ124" s="3">
        <v>11023.69206598586</v>
      </c>
      <c r="AK124" s="3">
        <v>13004.71361521021</v>
      </c>
      <c r="AL124" s="3">
        <v>13864.7795054805</v>
      </c>
      <c r="AM124" s="3">
        <v>12600.17047982205</v>
      </c>
      <c r="AN124" s="3">
        <v>12436.01498736006</v>
      </c>
      <c r="AO124" s="3">
        <v>14795.50512054619</v>
      </c>
      <c r="AP124" s="3">
        <v>14435.66541831543</v>
      </c>
      <c r="AQ124" s="3">
        <v>14512.06203034682</v>
      </c>
      <c r="AR124" s="3">
        <v>13231.76536467335</v>
      </c>
      <c r="AS124" s="3">
        <v>13227.07247783602</v>
      </c>
      <c r="AT124" s="3">
        <v>9922.05220269926</v>
      </c>
      <c r="AU124" s="3">
        <v>9551.893863941457</v>
      </c>
      <c r="AV124" s="3">
        <v>8390.588419826119</v>
      </c>
      <c r="AW124" s="3">
        <v>8803.139563404466</v>
      </c>
      <c r="AX124" s="3">
        <v>12604.14319301894</v>
      </c>
      <c r="AY124" s="3">
        <v>14590.27408780576</v>
      </c>
      <c r="AZ124" s="3">
        <v>14847.29063616223</v>
      </c>
      <c r="BA124" s="3">
        <v>15102.49902789709</v>
      </c>
      <c r="BB124" s="3">
        <v>15357.70741963196</v>
      </c>
      <c r="BC124" s="3">
        <v>15610.59103856761</v>
      </c>
      <c r="BD124" s="3">
        <v>15863.47465750328</v>
      </c>
      <c r="BE124" s="3">
        <v>16138.57277207578</v>
      </c>
      <c r="BF124" s="3">
        <v>16389.64823438983</v>
      </c>
      <c r="BG124" s="3">
        <v>16665.52127322874</v>
      </c>
      <c r="BH124" s="3">
        <v>16665.52127322874</v>
      </c>
      <c r="BI124" s="3">
        <v>16665.52127322874</v>
      </c>
      <c r="BJ124" s="3">
        <v>16665.52127322874</v>
      </c>
      <c r="BK124" s="3">
        <v>16665.52127322874</v>
      </c>
      <c r="BL124" s="3">
        <v>16665.52127322874</v>
      </c>
      <c r="BM124" s="3">
        <v>16665.52127322874</v>
      </c>
      <c r="BN124" s="3">
        <v>16665.52127322874</v>
      </c>
      <c r="BO124" s="3">
        <v>16665.52127322874</v>
      </c>
      <c r="BP124" s="3">
        <v>16665.52127322874</v>
      </c>
      <c r="BQ124" s="3">
        <v>16665.52127322874</v>
      </c>
      <c r="BR124" s="3">
        <v>16665.52127322874</v>
      </c>
      <c r="BS124" s="3">
        <v>16665.52127322874</v>
      </c>
      <c r="BT124" s="3">
        <v>16665.52127322874</v>
      </c>
      <c r="BU124" s="3">
        <v>16665.52127322874</v>
      </c>
      <c r="BV124" s="3">
        <v>16665.52127322874</v>
      </c>
      <c r="BW124" s="3">
        <v>16665.52127322874</v>
      </c>
      <c r="BX124" s="3">
        <v>16665.52127322874</v>
      </c>
      <c r="BY124" s="3">
        <v>16665.52127322874</v>
      </c>
      <c r="BZ124" s="3">
        <v>16665.52127322874</v>
      </c>
      <c r="CA124" s="3">
        <v>16665.52127322874</v>
      </c>
      <c r="CB124" s="3">
        <v>16665.52127322874</v>
      </c>
      <c r="CC124" s="3">
        <v>16665.52127322874</v>
      </c>
      <c r="CD124" s="3">
        <v>16665.52127322874</v>
      </c>
      <c r="CE124" s="3">
        <v>16665.52127322874</v>
      </c>
      <c r="CF124" s="3">
        <v>16665.52127322874</v>
      </c>
      <c r="CG124" s="3">
        <v>16665.52127322874</v>
      </c>
      <c r="CH124" s="3">
        <v>16665.52127322874</v>
      </c>
      <c r="CI124" s="3">
        <v>16665.52127322874</v>
      </c>
      <c r="CJ124" s="3">
        <v>16665.52127322874</v>
      </c>
      <c r="CK124" s="3">
        <v>16665.52127322874</v>
      </c>
      <c r="CL124" s="3">
        <v>16665.52127322874</v>
      </c>
      <c r="CM124" s="3">
        <v>16665.52127322874</v>
      </c>
      <c r="CN124" s="3">
        <v>16665.52127322874</v>
      </c>
      <c r="CO124" s="3">
        <v>16665.52127322874</v>
      </c>
      <c r="CP124" s="3">
        <v>16665.52127322874</v>
      </c>
      <c r="CQ124" s="3">
        <v>16665.52127322874</v>
      </c>
      <c r="CR124" s="3">
        <v>16665.52127322874</v>
      </c>
      <c r="CS124" s="3">
        <v>16665.52127322874</v>
      </c>
      <c r="CT124" s="3">
        <v>16665.52127322874</v>
      </c>
    </row>
    <row r="125" spans="1:98">
      <c r="A125" s="1" t="str">
        <f>'Population Definitions'!$B$11</f>
        <v>30-49F_aus</v>
      </c>
      <c r="C125" t="s">
        <v>47</v>
      </c>
      <c r="D125" s="3"/>
      <c r="E125" s="3"/>
      <c r="F125" s="4" t="s">
        <v>48</v>
      </c>
      <c r="G125" s="3">
        <v>4061.041947490193</v>
      </c>
      <c r="H125" s="3">
        <v>3746.20420480837</v>
      </c>
      <c r="I125" s="3">
        <v>3814.546222714013</v>
      </c>
      <c r="J125" s="3">
        <v>4232.228749622775</v>
      </c>
      <c r="K125" s="3">
        <v>4295.262649632834</v>
      </c>
      <c r="L125" s="3">
        <v>4143.317774871743</v>
      </c>
      <c r="M125" s="3">
        <v>4022.226335378735</v>
      </c>
      <c r="N125" s="3">
        <v>4146.635348556484</v>
      </c>
      <c r="O125" s="3">
        <v>4307.537672266372</v>
      </c>
      <c r="P125" s="3">
        <v>4899.724574992456</v>
      </c>
      <c r="Q125" s="3">
        <v>5570.537974046877</v>
      </c>
      <c r="R125" s="3">
        <v>6161.397847299065</v>
      </c>
      <c r="S125" s="3">
        <v>6276.517654159542</v>
      </c>
      <c r="T125" s="3">
        <v>6137.511316768938</v>
      </c>
      <c r="U125" s="3">
        <v>6089.406498340208</v>
      </c>
      <c r="V125" s="3">
        <v>6328.60356100996</v>
      </c>
      <c r="W125" s="3">
        <v>6658.038627904638</v>
      </c>
      <c r="X125" s="3">
        <v>7247.239714314456</v>
      </c>
      <c r="Y125" s="3">
        <v>8103.173724977368</v>
      </c>
      <c r="Z125" s="3">
        <v>7632.74177648124</v>
      </c>
      <c r="AA125" s="3">
        <v>8606.44965295242</v>
      </c>
      <c r="AB125" s="3">
        <v>9261.006940951616</v>
      </c>
      <c r="AC125" s="3">
        <v>9556.270998893473</v>
      </c>
      <c r="AD125" s="3">
        <v>9551.294638366362</v>
      </c>
      <c r="AE125" s="3">
        <v>10601.63846695504</v>
      </c>
      <c r="AF125" s="3">
        <v>10246.59035614832</v>
      </c>
      <c r="AG125" s="3">
        <v>10783.80228694293</v>
      </c>
      <c r="AH125" s="3">
        <v>8078.18263392857</v>
      </c>
      <c r="AI125" s="3">
        <v>7866.280920334668</v>
      </c>
      <c r="AJ125" s="3">
        <v>6663.011783189316</v>
      </c>
      <c r="AK125" s="3">
        <v>7427.399188576429</v>
      </c>
      <c r="AL125" s="3">
        <v>7903.994477015891</v>
      </c>
      <c r="AM125" s="3">
        <v>7222.69590085796</v>
      </c>
      <c r="AN125" s="3">
        <v>7746.138750451428</v>
      </c>
      <c r="AO125" s="3">
        <v>9104.622715311854</v>
      </c>
      <c r="AP125" s="3">
        <v>9430.190503109101</v>
      </c>
      <c r="AQ125" s="3">
        <v>9315.397976878614</v>
      </c>
      <c r="AR125" s="3">
        <v>8409.255098513655</v>
      </c>
      <c r="AS125" s="3">
        <v>7953.385103216207</v>
      </c>
      <c r="AT125" s="3">
        <v>5257.928953399541</v>
      </c>
      <c r="AU125" s="3">
        <v>4995.847659463909</v>
      </c>
      <c r="AV125" s="3">
        <v>6918.213229362733</v>
      </c>
      <c r="AW125" s="3">
        <v>9646.46553838607</v>
      </c>
      <c r="AX125" s="3">
        <v>7032.4377175928</v>
      </c>
      <c r="AY125" s="3">
        <v>8202.57335985893</v>
      </c>
      <c r="AZ125" s="3">
        <v>8350.5838947416</v>
      </c>
      <c r="BA125" s="3">
        <v>8502.727359045077</v>
      </c>
      <c r="BB125" s="3">
        <v>8651.771126282949</v>
      </c>
      <c r="BC125" s="3">
        <v>8802.364742053622</v>
      </c>
      <c r="BD125" s="3">
        <v>8952.700049735497</v>
      </c>
      <c r="BE125" s="3">
        <v>9116.209069946193</v>
      </c>
      <c r="BF125" s="3">
        <v>9266.027761450467</v>
      </c>
      <c r="BG125" s="3">
        <v>9427.986933128361</v>
      </c>
      <c r="BH125" s="3">
        <v>9427.986933128361</v>
      </c>
      <c r="BI125" s="3">
        <v>9427.986933128361</v>
      </c>
      <c r="BJ125" s="3">
        <v>9427.986933128361</v>
      </c>
      <c r="BK125" s="3">
        <v>9427.986933128361</v>
      </c>
      <c r="BL125" s="3">
        <v>9427.986933128361</v>
      </c>
      <c r="BM125" s="3">
        <v>9427.986933128361</v>
      </c>
      <c r="BN125" s="3">
        <v>9427.986933128361</v>
      </c>
      <c r="BO125" s="3">
        <v>9427.986933128361</v>
      </c>
      <c r="BP125" s="3">
        <v>9427.986933128361</v>
      </c>
      <c r="BQ125" s="3">
        <v>9427.986933128361</v>
      </c>
      <c r="BR125" s="3">
        <v>9427.986933128361</v>
      </c>
      <c r="BS125" s="3">
        <v>9427.986933128361</v>
      </c>
      <c r="BT125" s="3">
        <v>9427.986933128361</v>
      </c>
      <c r="BU125" s="3">
        <v>9427.986933128361</v>
      </c>
      <c r="BV125" s="3">
        <v>9427.986933128361</v>
      </c>
      <c r="BW125" s="3">
        <v>9427.986933128361</v>
      </c>
      <c r="BX125" s="3">
        <v>9427.986933128361</v>
      </c>
      <c r="BY125" s="3">
        <v>9427.986933128361</v>
      </c>
      <c r="BZ125" s="3">
        <v>9427.986933128361</v>
      </c>
      <c r="CA125" s="3">
        <v>9427.986933128361</v>
      </c>
      <c r="CB125" s="3">
        <v>9427.986933128361</v>
      </c>
      <c r="CC125" s="3">
        <v>9427.986933128361</v>
      </c>
      <c r="CD125" s="3">
        <v>9427.986933128361</v>
      </c>
      <c r="CE125" s="3">
        <v>9427.986933128361</v>
      </c>
      <c r="CF125" s="3">
        <v>9427.986933128361</v>
      </c>
      <c r="CG125" s="3">
        <v>9427.986933128361</v>
      </c>
      <c r="CH125" s="3">
        <v>9427.986933128361</v>
      </c>
      <c r="CI125" s="3">
        <v>9427.986933128361</v>
      </c>
      <c r="CJ125" s="3">
        <v>9427.986933128361</v>
      </c>
      <c r="CK125" s="3">
        <v>9427.986933128361</v>
      </c>
      <c r="CL125" s="3">
        <v>9427.986933128361</v>
      </c>
      <c r="CM125" s="3">
        <v>9427.986933128361</v>
      </c>
      <c r="CN125" s="3">
        <v>9427.986933128361</v>
      </c>
      <c r="CO125" s="3">
        <v>9427.986933128361</v>
      </c>
      <c r="CP125" s="3">
        <v>9427.986933128361</v>
      </c>
      <c r="CQ125" s="3">
        <v>9427.986933128361</v>
      </c>
      <c r="CR125" s="3">
        <v>9427.986933128361</v>
      </c>
      <c r="CS125" s="3">
        <v>9427.986933128361</v>
      </c>
      <c r="CT125" s="3">
        <v>9427.986933128361</v>
      </c>
    </row>
    <row r="126" spans="1:98">
      <c r="A126" s="1" t="str">
        <f>'Population Definitions'!$B$12</f>
        <v>50-64F_aus</v>
      </c>
      <c r="C126" t="s">
        <v>47</v>
      </c>
      <c r="D126" s="3"/>
      <c r="E126" s="3"/>
      <c r="F126" s="4" t="s">
        <v>48</v>
      </c>
      <c r="G126" s="3">
        <v>1256.696911779499</v>
      </c>
      <c r="H126" s="3">
        <v>1159.160245448144</v>
      </c>
      <c r="I126" s="3">
        <v>1180.39271703048</v>
      </c>
      <c r="J126" s="3">
        <v>1309.446333366865</v>
      </c>
      <c r="K126" s="3">
        <v>1329.020018106831</v>
      </c>
      <c r="L126" s="3">
        <v>1281.910471783523</v>
      </c>
      <c r="M126" s="3">
        <v>1244.421889145961</v>
      </c>
      <c r="N126" s="3">
        <v>1282.905743888945</v>
      </c>
      <c r="O126" s="3">
        <v>1333.001106528518</v>
      </c>
      <c r="P126" s="3">
        <v>1516.131173926165</v>
      </c>
      <c r="Q126" s="3">
        <v>1723.811286590886</v>
      </c>
      <c r="R126" s="3">
        <v>1906.609596620058</v>
      </c>
      <c r="S126" s="3">
        <v>1942.107635046776</v>
      </c>
      <c r="T126" s="3">
        <v>1899.310934513631</v>
      </c>
      <c r="U126" s="3">
        <v>1884.381852932301</v>
      </c>
      <c r="V126" s="3">
        <v>1958.031988733528</v>
      </c>
      <c r="W126" s="3">
        <v>2060.213258223519</v>
      </c>
      <c r="X126" s="3">
        <v>2242.679810884217</v>
      </c>
      <c r="Y126" s="3">
        <v>2507.422190926467</v>
      </c>
      <c r="Z126" s="3">
        <v>2361.780706166382</v>
      </c>
      <c r="AA126" s="3">
        <v>2663.016396740771</v>
      </c>
      <c r="AB126" s="3">
        <v>2865.720148878383</v>
      </c>
      <c r="AC126" s="3">
        <v>2956.953425208732</v>
      </c>
      <c r="AD126" s="3">
        <v>2955.294638366362</v>
      </c>
      <c r="AE126" s="3">
        <v>3441.319183180767</v>
      </c>
      <c r="AF126" s="3">
        <v>2948.565586985198</v>
      </c>
      <c r="AG126" s="3">
        <v>3162.6793393276</v>
      </c>
      <c r="AH126" s="3">
        <v>2539.72125</v>
      </c>
      <c r="AI126" s="3">
        <v>2756.911604219717</v>
      </c>
      <c r="AJ126" s="3">
        <v>2359.300864100549</v>
      </c>
      <c r="AK126" s="3">
        <v>2283.290799888628</v>
      </c>
      <c r="AL126" s="3">
        <v>2419.803466734642</v>
      </c>
      <c r="AM126" s="3">
        <v>2076.235700667302</v>
      </c>
      <c r="AN126" s="3">
        <v>2358.108595160708</v>
      </c>
      <c r="AO126" s="3">
        <v>2487.248773202475</v>
      </c>
      <c r="AP126" s="3">
        <v>2859.672731769361</v>
      </c>
      <c r="AQ126" s="3">
        <v>2922.265209537572</v>
      </c>
      <c r="AR126" s="3">
        <v>2790.969685447632</v>
      </c>
      <c r="AS126" s="3">
        <v>2306.806639487479</v>
      </c>
      <c r="AT126" s="3">
        <v>2016.496307613955</v>
      </c>
      <c r="AU126" s="3">
        <v>1985.312648854632</v>
      </c>
      <c r="AV126" s="3">
        <v>4152.523527830062</v>
      </c>
      <c r="AW126" s="3">
        <v>4950.471425067452</v>
      </c>
      <c r="AX126" s="3">
        <v>2168.238097391147</v>
      </c>
      <c r="AY126" s="3">
        <v>2588.763665958312</v>
      </c>
      <c r="AZ126" s="3">
        <v>2647.141294027218</v>
      </c>
      <c r="BA126" s="3">
        <v>2702.160916941718</v>
      </c>
      <c r="BB126" s="3">
        <v>2760.280236921824</v>
      </c>
      <c r="BC126" s="3">
        <v>2817.624632635529</v>
      </c>
      <c r="BD126" s="3">
        <v>2876.518876882036</v>
      </c>
      <c r="BE126" s="3">
        <v>2939.28774246055</v>
      </c>
      <c r="BF126" s="3">
        <v>2996.890446263055</v>
      </c>
      <c r="BG126" s="3">
        <v>3062.759008907175</v>
      </c>
      <c r="BH126" s="3">
        <v>3062.759008907175</v>
      </c>
      <c r="BI126" s="3">
        <v>3062.759008907175</v>
      </c>
      <c r="BJ126" s="3">
        <v>3062.759008907175</v>
      </c>
      <c r="BK126" s="3">
        <v>3062.759008907175</v>
      </c>
      <c r="BL126" s="3">
        <v>3062.759008907175</v>
      </c>
      <c r="BM126" s="3">
        <v>3062.759008907175</v>
      </c>
      <c r="BN126" s="3">
        <v>3062.759008907175</v>
      </c>
      <c r="BO126" s="3">
        <v>3062.759008907175</v>
      </c>
      <c r="BP126" s="3">
        <v>3062.759008907175</v>
      </c>
      <c r="BQ126" s="3">
        <v>3062.759008907175</v>
      </c>
      <c r="BR126" s="3">
        <v>3062.759008907175</v>
      </c>
      <c r="BS126" s="3">
        <v>3062.759008907175</v>
      </c>
      <c r="BT126" s="3">
        <v>3062.759008907175</v>
      </c>
      <c r="BU126" s="3">
        <v>3062.759008907175</v>
      </c>
      <c r="BV126" s="3">
        <v>3062.759008907175</v>
      </c>
      <c r="BW126" s="3">
        <v>3062.759008907175</v>
      </c>
      <c r="BX126" s="3">
        <v>3062.759008907175</v>
      </c>
      <c r="BY126" s="3">
        <v>3062.759008907175</v>
      </c>
      <c r="BZ126" s="3">
        <v>3062.759008907175</v>
      </c>
      <c r="CA126" s="3">
        <v>3062.759008907175</v>
      </c>
      <c r="CB126" s="3">
        <v>3062.759008907175</v>
      </c>
      <c r="CC126" s="3">
        <v>3062.759008907175</v>
      </c>
      <c r="CD126" s="3">
        <v>3062.759008907175</v>
      </c>
      <c r="CE126" s="3">
        <v>3062.759008907175</v>
      </c>
      <c r="CF126" s="3">
        <v>3062.759008907175</v>
      </c>
      <c r="CG126" s="3">
        <v>3062.759008907175</v>
      </c>
      <c r="CH126" s="3">
        <v>3062.759008907175</v>
      </c>
      <c r="CI126" s="3">
        <v>3062.759008907175</v>
      </c>
      <c r="CJ126" s="3">
        <v>3062.759008907175</v>
      </c>
      <c r="CK126" s="3">
        <v>3062.759008907175</v>
      </c>
      <c r="CL126" s="3">
        <v>3062.759008907175</v>
      </c>
      <c r="CM126" s="3">
        <v>3062.759008907175</v>
      </c>
      <c r="CN126" s="3">
        <v>3062.759008907175</v>
      </c>
      <c r="CO126" s="3">
        <v>3062.759008907175</v>
      </c>
      <c r="CP126" s="3">
        <v>3062.759008907175</v>
      </c>
      <c r="CQ126" s="3">
        <v>3062.759008907175</v>
      </c>
      <c r="CR126" s="3">
        <v>3062.759008907175</v>
      </c>
      <c r="CS126" s="3">
        <v>3062.759008907175</v>
      </c>
      <c r="CT126" s="3">
        <v>3062.759008907175</v>
      </c>
    </row>
    <row r="127" spans="1:98">
      <c r="A127" s="1" t="str">
        <f>'Population Definitions'!$B$13</f>
        <v>65+F_aus</v>
      </c>
      <c r="C127" t="s">
        <v>47</v>
      </c>
      <c r="D127" s="3"/>
      <c r="E127" s="3"/>
      <c r="F127" s="4" t="s">
        <v>48</v>
      </c>
      <c r="G127" s="3">
        <v>607.7794990443618</v>
      </c>
      <c r="H127" s="3">
        <v>560.6699527210543</v>
      </c>
      <c r="I127" s="3">
        <v>570.9544311437481</v>
      </c>
      <c r="J127" s="3">
        <v>633.3248164168596</v>
      </c>
      <c r="K127" s="3">
        <v>642.9457801026055</v>
      </c>
      <c r="L127" s="3">
        <v>620.0545216778996</v>
      </c>
      <c r="M127" s="3">
        <v>601.8078664118299</v>
      </c>
      <c r="N127" s="3">
        <v>620.7180364148477</v>
      </c>
      <c r="O127" s="3">
        <v>644.6045669449754</v>
      </c>
      <c r="P127" s="3">
        <v>733.1837843275325</v>
      </c>
      <c r="Q127" s="3">
        <v>833.7062669751535</v>
      </c>
      <c r="R127" s="3">
        <v>922.2854843577106</v>
      </c>
      <c r="S127" s="3">
        <v>939.2051101498844</v>
      </c>
      <c r="T127" s="3">
        <v>918.6361533044966</v>
      </c>
      <c r="U127" s="3">
        <v>911.3374911980687</v>
      </c>
      <c r="V127" s="3">
        <v>947.1672869932603</v>
      </c>
      <c r="W127" s="3">
        <v>996.5991348958859</v>
      </c>
      <c r="X127" s="3">
        <v>1084.514837541495</v>
      </c>
      <c r="Y127" s="3">
        <v>1212.904939140932</v>
      </c>
      <c r="Z127" s="3">
        <v>1142.24061965597</v>
      </c>
      <c r="AA127" s="3">
        <v>1287.882104416055</v>
      </c>
      <c r="AB127" s="3">
        <v>1386.082285484358</v>
      </c>
      <c r="AC127" s="3">
        <v>1430.2060154914</v>
      </c>
      <c r="AD127" s="3">
        <v>1429.542500754451</v>
      </c>
      <c r="AE127" s="3">
        <v>1742.721456593904</v>
      </c>
      <c r="AF127" s="3">
        <v>1343.513703649421</v>
      </c>
      <c r="AG127" s="3">
        <v>1478.121579358874</v>
      </c>
      <c r="AH127" s="3">
        <v>1287.268526785714</v>
      </c>
      <c r="AI127" s="3">
        <v>1379.791515096399</v>
      </c>
      <c r="AJ127" s="3">
        <v>1224</v>
      </c>
      <c r="AK127" s="3">
        <v>1067.047173938984</v>
      </c>
      <c r="AL127" s="3">
        <v>1167.468688928541</v>
      </c>
      <c r="AM127" s="3">
        <v>965.2928582777248</v>
      </c>
      <c r="AN127" s="3">
        <v>1259.619646081618</v>
      </c>
      <c r="AO127" s="3">
        <v>1081.852108669369</v>
      </c>
      <c r="AP127" s="3">
        <v>1347.62786178632</v>
      </c>
      <c r="AQ127" s="3">
        <v>1367.04862716763</v>
      </c>
      <c r="AR127" s="3">
        <v>1347.964085724162</v>
      </c>
      <c r="AS127" s="3">
        <v>1101.409790979098</v>
      </c>
      <c r="AT127" s="3">
        <v>1074.686529157117</v>
      </c>
      <c r="AU127" s="3">
        <v>988.4975966743172</v>
      </c>
      <c r="AV127" s="3">
        <v>2636.269606525052</v>
      </c>
      <c r="AW127" s="3">
        <v>3769.815060093206</v>
      </c>
      <c r="AX127" s="3">
        <v>1084.635664873174</v>
      </c>
      <c r="AY127" s="3">
        <v>1311.171858751187</v>
      </c>
      <c r="AZ127" s="3">
        <v>1342.685445584844</v>
      </c>
      <c r="BA127" s="3">
        <v>1374.457340507302</v>
      </c>
      <c r="BB127" s="3">
        <v>1404.937694985757</v>
      </c>
      <c r="BC127" s="3">
        <v>1437.742822263417</v>
      </c>
      <c r="BD127" s="3">
        <v>1469.773025274675</v>
      </c>
      <c r="BE127" s="3">
        <v>1505.16123344034</v>
      </c>
      <c r="BF127" s="3">
        <v>1538.2246688068</v>
      </c>
      <c r="BG127" s="3">
        <v>1572.837952706063</v>
      </c>
      <c r="BH127" s="3">
        <v>1572.837952706063</v>
      </c>
      <c r="BI127" s="3">
        <v>1572.837952706063</v>
      </c>
      <c r="BJ127" s="3">
        <v>1572.837952706063</v>
      </c>
      <c r="BK127" s="3">
        <v>1572.837952706063</v>
      </c>
      <c r="BL127" s="3">
        <v>1572.837952706063</v>
      </c>
      <c r="BM127" s="3">
        <v>1572.837952706063</v>
      </c>
      <c r="BN127" s="3">
        <v>1572.837952706063</v>
      </c>
      <c r="BO127" s="3">
        <v>1572.837952706063</v>
      </c>
      <c r="BP127" s="3">
        <v>1572.837952706063</v>
      </c>
      <c r="BQ127" s="3">
        <v>1572.837952706063</v>
      </c>
      <c r="BR127" s="3">
        <v>1572.837952706063</v>
      </c>
      <c r="BS127" s="3">
        <v>1572.837952706063</v>
      </c>
      <c r="BT127" s="3">
        <v>1572.837952706063</v>
      </c>
      <c r="BU127" s="3">
        <v>1572.837952706063</v>
      </c>
      <c r="BV127" s="3">
        <v>1572.837952706063</v>
      </c>
      <c r="BW127" s="3">
        <v>1572.837952706063</v>
      </c>
      <c r="BX127" s="3">
        <v>1572.837952706063</v>
      </c>
      <c r="BY127" s="3">
        <v>1572.837952706063</v>
      </c>
      <c r="BZ127" s="3">
        <v>1572.837952706063</v>
      </c>
      <c r="CA127" s="3">
        <v>1572.837952706063</v>
      </c>
      <c r="CB127" s="3">
        <v>1572.837952706063</v>
      </c>
      <c r="CC127" s="3">
        <v>1572.837952706063</v>
      </c>
      <c r="CD127" s="3">
        <v>1572.837952706063</v>
      </c>
      <c r="CE127" s="3">
        <v>1572.837952706063</v>
      </c>
      <c r="CF127" s="3">
        <v>1572.837952706063</v>
      </c>
      <c r="CG127" s="3">
        <v>1572.837952706063</v>
      </c>
      <c r="CH127" s="3">
        <v>1572.837952706063</v>
      </c>
      <c r="CI127" s="3">
        <v>1572.837952706063</v>
      </c>
      <c r="CJ127" s="3">
        <v>1572.837952706063</v>
      </c>
      <c r="CK127" s="3">
        <v>1572.837952706063</v>
      </c>
      <c r="CL127" s="3">
        <v>1572.837952706063</v>
      </c>
      <c r="CM127" s="3">
        <v>1572.837952706063</v>
      </c>
      <c r="CN127" s="3">
        <v>1572.837952706063</v>
      </c>
      <c r="CO127" s="3">
        <v>1572.837952706063</v>
      </c>
      <c r="CP127" s="3">
        <v>1572.837952706063</v>
      </c>
      <c r="CQ127" s="3">
        <v>1572.837952706063</v>
      </c>
      <c r="CR127" s="3">
        <v>1572.837952706063</v>
      </c>
      <c r="CS127" s="3">
        <v>1572.837952706063</v>
      </c>
      <c r="CT127" s="3">
        <v>1572.837952706063</v>
      </c>
    </row>
    <row r="128" spans="1:98">
      <c r="A128" s="1" t="str">
        <f>'Population Definitions'!$B$14</f>
        <v>0-4M_oth</v>
      </c>
      <c r="C128" t="s">
        <v>47</v>
      </c>
      <c r="D128" s="3"/>
      <c r="E128" s="3"/>
      <c r="F128" s="4" t="s">
        <v>48</v>
      </c>
      <c r="G128" s="3">
        <v>1893.799617744693</v>
      </c>
      <c r="H128" s="3">
        <v>1746.786238808973</v>
      </c>
      <c r="I128" s="3">
        <v>1778.861885122221</v>
      </c>
      <c r="J128" s="3">
        <v>1973.320490896288</v>
      </c>
      <c r="K128" s="3">
        <v>2002.723166683432</v>
      </c>
      <c r="L128" s="3">
        <v>1931.889447741676</v>
      </c>
      <c r="M128" s="3">
        <v>1875.757066693491</v>
      </c>
      <c r="N128" s="3">
        <v>1933.894175636254</v>
      </c>
      <c r="O128" s="3">
        <v>2008.737350367166</v>
      </c>
      <c r="P128" s="3">
        <v>2284.721557187406</v>
      </c>
      <c r="Q128" s="3">
        <v>2597.459108741575</v>
      </c>
      <c r="R128" s="3">
        <v>2873.443315561814</v>
      </c>
      <c r="S128" s="3">
        <v>2926.902726083895</v>
      </c>
      <c r="T128" s="3">
        <v>2862.083190825872</v>
      </c>
      <c r="U128" s="3">
        <v>2839.362941353988</v>
      </c>
      <c r="V128" s="3">
        <v>2950.959460818831</v>
      </c>
      <c r="W128" s="3">
        <v>3104.655266069812</v>
      </c>
      <c r="X128" s="3">
        <v>3379.302987626999</v>
      </c>
      <c r="Y128" s="3">
        <v>3778.912081279549</v>
      </c>
      <c r="Z128" s="3">
        <v>3559.060255507494</v>
      </c>
      <c r="AA128" s="3">
        <v>4013.465244945176</v>
      </c>
      <c r="AB128" s="3">
        <v>4318.85212755256</v>
      </c>
      <c r="AC128" s="3">
        <v>4456.510109646916</v>
      </c>
      <c r="AD128" s="3">
        <v>4453.837139120813</v>
      </c>
      <c r="AE128" s="3">
        <v>4338.231163866814</v>
      </c>
      <c r="AF128" s="3">
        <v>4677.074600615565</v>
      </c>
      <c r="AG128" s="3">
        <v>4932.560105551212</v>
      </c>
      <c r="AH128" s="3">
        <v>4233.576116071429</v>
      </c>
      <c r="AI128" s="3">
        <v>5111.680383775918</v>
      </c>
      <c r="AJ128" s="3">
        <v>5021.107619795758</v>
      </c>
      <c r="AK128" s="3">
        <v>5766.895191122071</v>
      </c>
      <c r="AL128" s="3">
        <v>6043.558501147081</v>
      </c>
      <c r="AM128" s="3">
        <v>6091.350293930727</v>
      </c>
      <c r="AN128" s="3">
        <v>6179.34770675334</v>
      </c>
      <c r="AO128" s="3">
        <v>6738.373088685015</v>
      </c>
      <c r="AP128" s="3">
        <v>6626.25911531939</v>
      </c>
      <c r="AQ128" s="3">
        <v>6527.225036127167</v>
      </c>
      <c r="AR128" s="3">
        <v>6228.052402350501</v>
      </c>
      <c r="AS128" s="3">
        <v>6560.083090662007</v>
      </c>
      <c r="AT128" s="3">
        <v>6561.560478736949</v>
      </c>
      <c r="AU128" s="3">
        <v>6508.028147057549</v>
      </c>
      <c r="AV128" s="3">
        <v>4612.740611275432</v>
      </c>
      <c r="AW128" s="3">
        <v>4823.058621535442</v>
      </c>
      <c r="AX128" s="3">
        <v>3763.344757426414</v>
      </c>
      <c r="AY128" s="3">
        <v>4381.174119455623</v>
      </c>
      <c r="AZ128" s="3">
        <v>4461.276845865172</v>
      </c>
      <c r="BA128" s="3">
        <v>4540.637880363522</v>
      </c>
      <c r="BB128" s="3">
        <v>4620.740606773071</v>
      </c>
      <c r="BC128" s="3">
        <v>4703.068408916219</v>
      </c>
      <c r="BD128" s="3">
        <v>4783.912827236967</v>
      </c>
      <c r="BE128" s="3">
        <v>4871.432472758512</v>
      </c>
      <c r="BF128" s="3">
        <v>4953.76027490166</v>
      </c>
      <c r="BG128" s="3">
        <v>5042.021612334403</v>
      </c>
      <c r="BH128" s="3">
        <v>5042.021612334403</v>
      </c>
      <c r="BI128" s="3">
        <v>5042.021612334403</v>
      </c>
      <c r="BJ128" s="3">
        <v>5042.021612334403</v>
      </c>
      <c r="BK128" s="3">
        <v>5042.021612334403</v>
      </c>
      <c r="BL128" s="3">
        <v>5042.021612334403</v>
      </c>
      <c r="BM128" s="3">
        <v>5042.021612334403</v>
      </c>
      <c r="BN128" s="3">
        <v>5042.021612334403</v>
      </c>
      <c r="BO128" s="3">
        <v>5042.021612334403</v>
      </c>
      <c r="BP128" s="3">
        <v>5042.021612334403</v>
      </c>
      <c r="BQ128" s="3">
        <v>5042.021612334403</v>
      </c>
      <c r="BR128" s="3">
        <v>5042.021612334403</v>
      </c>
      <c r="BS128" s="3">
        <v>5042.021612334403</v>
      </c>
      <c r="BT128" s="3">
        <v>5042.021612334403</v>
      </c>
      <c r="BU128" s="3">
        <v>5042.021612334403</v>
      </c>
      <c r="BV128" s="3">
        <v>5042.021612334403</v>
      </c>
      <c r="BW128" s="3">
        <v>5042.021612334403</v>
      </c>
      <c r="BX128" s="3">
        <v>5042.021612334403</v>
      </c>
      <c r="BY128" s="3">
        <v>5042.021612334403</v>
      </c>
      <c r="BZ128" s="3">
        <v>5042.021612334403</v>
      </c>
      <c r="CA128" s="3">
        <v>5042.021612334403</v>
      </c>
      <c r="CB128" s="3">
        <v>5042.021612334403</v>
      </c>
      <c r="CC128" s="3">
        <v>5042.021612334403</v>
      </c>
      <c r="CD128" s="3">
        <v>5042.021612334403</v>
      </c>
      <c r="CE128" s="3">
        <v>5042.021612334403</v>
      </c>
      <c r="CF128" s="3">
        <v>5042.021612334403</v>
      </c>
      <c r="CG128" s="3">
        <v>5042.021612334403</v>
      </c>
      <c r="CH128" s="3">
        <v>5042.021612334403</v>
      </c>
      <c r="CI128" s="3">
        <v>5042.021612334403</v>
      </c>
      <c r="CJ128" s="3">
        <v>5042.021612334403</v>
      </c>
      <c r="CK128" s="3">
        <v>5042.021612334403</v>
      </c>
      <c r="CL128" s="3">
        <v>5042.021612334403</v>
      </c>
      <c r="CM128" s="3">
        <v>5042.021612334403</v>
      </c>
      <c r="CN128" s="3">
        <v>5042.021612334403</v>
      </c>
      <c r="CO128" s="3">
        <v>5042.021612334403</v>
      </c>
      <c r="CP128" s="3">
        <v>5042.021612334403</v>
      </c>
      <c r="CQ128" s="3">
        <v>5042.021612334403</v>
      </c>
      <c r="CR128" s="3">
        <v>5042.021612334403</v>
      </c>
      <c r="CS128" s="3">
        <v>5042.021612334403</v>
      </c>
      <c r="CT128" s="3">
        <v>5042.021612334403</v>
      </c>
    </row>
    <row r="129" spans="1:98">
      <c r="A129" s="1" t="str">
        <f>'Population Definitions'!$B$15</f>
        <v>5-14M_oth</v>
      </c>
      <c r="C129" t="s">
        <v>47</v>
      </c>
      <c r="D129" s="3"/>
      <c r="E129" s="3"/>
      <c r="F129" s="4" t="s">
        <v>48</v>
      </c>
      <c r="G129" s="3">
        <v>1982.675887737652</v>
      </c>
      <c r="H129" s="3">
        <v>1828.980082486671</v>
      </c>
      <c r="I129" s="3">
        <v>1861.723971431446</v>
      </c>
      <c r="J129" s="3">
        <v>2065.537974046877</v>
      </c>
      <c r="K129" s="3">
        <v>2096.945377728598</v>
      </c>
      <c r="L129" s="3">
        <v>2022.102202997686</v>
      </c>
      <c r="M129" s="3">
        <v>1963.296851423398</v>
      </c>
      <c r="N129" s="3">
        <v>2024.106930892264</v>
      </c>
      <c r="O129" s="3">
        <v>2102.959561412333</v>
      </c>
      <c r="P129" s="3">
        <v>2391.640378231566</v>
      </c>
      <c r="Q129" s="3">
        <v>2719.079267679308</v>
      </c>
      <c r="R129" s="3">
        <v>3007.760084498541</v>
      </c>
      <c r="S129" s="3">
        <v>3063.892465546725</v>
      </c>
      <c r="T129" s="3">
        <v>2995.731717131073</v>
      </c>
      <c r="U129" s="3">
        <v>2972.343225027663</v>
      </c>
      <c r="V129" s="3">
        <v>3089.285685544713</v>
      </c>
      <c r="W129" s="3">
        <v>3249.663917110955</v>
      </c>
      <c r="X129" s="3">
        <v>3537.676491298662</v>
      </c>
      <c r="Y129" s="3">
        <v>3955.328136002414</v>
      </c>
      <c r="Z129" s="3">
        <v>3725.452670757469</v>
      </c>
      <c r="AA129" s="3">
        <v>4201.241424403983</v>
      </c>
      <c r="AB129" s="3">
        <v>4520.661402273413</v>
      </c>
      <c r="AC129" s="3">
        <v>4665.001810683029</v>
      </c>
      <c r="AD129" s="3">
        <v>4662.328840156925</v>
      </c>
      <c r="AE129" s="3">
        <v>5217.638466955034</v>
      </c>
      <c r="AF129" s="3">
        <v>5697.452733401729</v>
      </c>
      <c r="AG129" s="3">
        <v>5891.914190774042</v>
      </c>
      <c r="AH129" s="3">
        <v>4601.713169642858</v>
      </c>
      <c r="AI129" s="3">
        <v>5492.033375773008</v>
      </c>
      <c r="AJ129" s="3">
        <v>5294.571877454831</v>
      </c>
      <c r="AK129" s="3">
        <v>5665.562388130941</v>
      </c>
      <c r="AL129" s="3">
        <v>5686.022601750361</v>
      </c>
      <c r="AM129" s="3">
        <v>5641.347712106768</v>
      </c>
      <c r="AN129" s="3">
        <v>5724.782015167931</v>
      </c>
      <c r="AO129" s="3">
        <v>6527.422231704715</v>
      </c>
      <c r="AP129" s="3">
        <v>6914.09525155455</v>
      </c>
      <c r="AQ129" s="3">
        <v>6854.383309248555</v>
      </c>
      <c r="AR129" s="3">
        <v>6583.432319391634</v>
      </c>
      <c r="AS129" s="3">
        <v>6911.516113376043</v>
      </c>
      <c r="AT129" s="3">
        <v>7146.673287496817</v>
      </c>
      <c r="AU129" s="3">
        <v>6314.43545663188</v>
      </c>
      <c r="AV129" s="3">
        <v>5437.055884198261</v>
      </c>
      <c r="AW129" s="3">
        <v>5745.424576894775</v>
      </c>
      <c r="AX129" s="3">
        <v>2997.1770131573</v>
      </c>
      <c r="AY129" s="3">
        <v>3862.731473527151</v>
      </c>
      <c r="AZ129" s="3">
        <v>3985.852330786273</v>
      </c>
      <c r="BA129" s="3">
        <v>4112.681647601393</v>
      </c>
      <c r="BB129" s="3">
        <v>4236.544196771714</v>
      </c>
      <c r="BC129" s="3">
        <v>4364.856897409233</v>
      </c>
      <c r="BD129" s="3">
        <v>4497.619749513949</v>
      </c>
      <c r="BE129" s="3">
        <v>4648.183207487454</v>
      </c>
      <c r="BF129" s="3">
        <v>4783.171135325768</v>
      </c>
      <c r="BG129" s="3">
        <v>4936.70136094407</v>
      </c>
      <c r="BH129" s="3">
        <v>4936.70136094407</v>
      </c>
      <c r="BI129" s="3">
        <v>4936.70136094407</v>
      </c>
      <c r="BJ129" s="3">
        <v>4936.70136094407</v>
      </c>
      <c r="BK129" s="3">
        <v>4936.70136094407</v>
      </c>
      <c r="BL129" s="3">
        <v>4936.70136094407</v>
      </c>
      <c r="BM129" s="3">
        <v>4936.70136094407</v>
      </c>
      <c r="BN129" s="3">
        <v>4936.70136094407</v>
      </c>
      <c r="BO129" s="3">
        <v>4936.70136094407</v>
      </c>
      <c r="BP129" s="3">
        <v>4936.70136094407</v>
      </c>
      <c r="BQ129" s="3">
        <v>4936.70136094407</v>
      </c>
      <c r="BR129" s="3">
        <v>4936.70136094407</v>
      </c>
      <c r="BS129" s="3">
        <v>4936.70136094407</v>
      </c>
      <c r="BT129" s="3">
        <v>4936.70136094407</v>
      </c>
      <c r="BU129" s="3">
        <v>4936.70136094407</v>
      </c>
      <c r="BV129" s="3">
        <v>4936.70136094407</v>
      </c>
      <c r="BW129" s="3">
        <v>4936.70136094407</v>
      </c>
      <c r="BX129" s="3">
        <v>4936.70136094407</v>
      </c>
      <c r="BY129" s="3">
        <v>4936.70136094407</v>
      </c>
      <c r="BZ129" s="3">
        <v>4936.70136094407</v>
      </c>
      <c r="CA129" s="3">
        <v>4936.70136094407</v>
      </c>
      <c r="CB129" s="3">
        <v>4936.70136094407</v>
      </c>
      <c r="CC129" s="3">
        <v>4936.70136094407</v>
      </c>
      <c r="CD129" s="3">
        <v>4936.70136094407</v>
      </c>
      <c r="CE129" s="3">
        <v>4936.70136094407</v>
      </c>
      <c r="CF129" s="3">
        <v>4936.70136094407</v>
      </c>
      <c r="CG129" s="3">
        <v>4936.70136094407</v>
      </c>
      <c r="CH129" s="3">
        <v>4936.70136094407</v>
      </c>
      <c r="CI129" s="3">
        <v>4936.70136094407</v>
      </c>
      <c r="CJ129" s="3">
        <v>4936.70136094407</v>
      </c>
      <c r="CK129" s="3">
        <v>4936.70136094407</v>
      </c>
      <c r="CL129" s="3">
        <v>4936.70136094407</v>
      </c>
      <c r="CM129" s="3">
        <v>4936.70136094407</v>
      </c>
      <c r="CN129" s="3">
        <v>4936.70136094407</v>
      </c>
      <c r="CO129" s="3">
        <v>4936.70136094407</v>
      </c>
      <c r="CP129" s="3">
        <v>4936.70136094407</v>
      </c>
      <c r="CQ129" s="3">
        <v>4936.70136094407</v>
      </c>
      <c r="CR129" s="3">
        <v>4936.70136094407</v>
      </c>
      <c r="CS129" s="3">
        <v>4936.70136094407</v>
      </c>
      <c r="CT129" s="3">
        <v>4936.70136094407</v>
      </c>
    </row>
    <row r="130" spans="1:98">
      <c r="A130" s="1" t="str">
        <f>'Population Definitions'!$B$16</f>
        <v>15-29M_oth</v>
      </c>
      <c r="C130" t="s">
        <v>47</v>
      </c>
      <c r="D130" s="3"/>
      <c r="E130" s="3"/>
      <c r="F130" s="4" t="s">
        <v>48</v>
      </c>
      <c r="G130" s="3">
        <v>14651.88793883915</v>
      </c>
      <c r="H130" s="3">
        <v>13516.54370787647</v>
      </c>
      <c r="I130" s="3">
        <v>13763.12523890957</v>
      </c>
      <c r="J130" s="3">
        <v>15268.67588773765</v>
      </c>
      <c r="K130" s="3">
        <v>15497.21486771954</v>
      </c>
      <c r="L130" s="3">
        <v>14947.91942460517</v>
      </c>
      <c r="M130" s="3">
        <v>14511.55698621869</v>
      </c>
      <c r="N130" s="3">
        <v>14959.94779197264</v>
      </c>
      <c r="O130" s="3">
        <v>15541.31888140026</v>
      </c>
      <c r="P130" s="3">
        <v>17677.69057438889</v>
      </c>
      <c r="Q130" s="3">
        <v>20097.39714314455</v>
      </c>
      <c r="R130" s="3">
        <v>22229.75938034403</v>
      </c>
      <c r="S130" s="3">
        <v>22644.73805452168</v>
      </c>
      <c r="T130" s="3">
        <v>22144.2243235087</v>
      </c>
      <c r="U130" s="3">
        <v>21970.48123931194</v>
      </c>
      <c r="V130" s="3">
        <v>22832.51423398048</v>
      </c>
      <c r="W130" s="3">
        <v>24021.31787546524</v>
      </c>
      <c r="X130" s="3">
        <v>26147.66592898099</v>
      </c>
      <c r="Y130" s="3">
        <v>29235.61512926265</v>
      </c>
      <c r="Z130" s="3">
        <v>27537.61060255507</v>
      </c>
      <c r="AA130" s="3">
        <v>31050.56211648727</v>
      </c>
      <c r="AB130" s="3">
        <v>33412.79981893169</v>
      </c>
      <c r="AC130" s="3">
        <v>34478.64681621567</v>
      </c>
      <c r="AD130" s="3">
        <v>34459.93602253294</v>
      </c>
      <c r="AE130" s="3">
        <v>34808.09043355799</v>
      </c>
      <c r="AF130" s="3">
        <v>39365.83321119742</v>
      </c>
      <c r="AG130" s="3">
        <v>40660.18266223612</v>
      </c>
      <c r="AH130" s="3">
        <v>32794.06549107143</v>
      </c>
      <c r="AI130" s="3">
        <v>35984.03132957439</v>
      </c>
      <c r="AJ130" s="3">
        <v>39323.40062843676</v>
      </c>
      <c r="AK130" s="3">
        <v>45305.59373135515</v>
      </c>
      <c r="AL130" s="3">
        <v>46838.70507264848</v>
      </c>
      <c r="AM130" s="3">
        <v>43987.94208770258</v>
      </c>
      <c r="AN130" s="3">
        <v>46212.39902491874</v>
      </c>
      <c r="AO130" s="3">
        <v>50325.34051632174</v>
      </c>
      <c r="AP130" s="3">
        <v>49162.71346806105</v>
      </c>
      <c r="AQ130" s="3">
        <v>48976.58027456647</v>
      </c>
      <c r="AR130" s="3">
        <v>49736.92917386795</v>
      </c>
      <c r="AS130" s="3">
        <v>54888.8973662072</v>
      </c>
      <c r="AT130" s="3">
        <v>65886.98650369239</v>
      </c>
      <c r="AU130" s="3">
        <v>72572.84181353656</v>
      </c>
      <c r="AV130" s="3">
        <v>34745.00551223447</v>
      </c>
      <c r="AW130" s="3">
        <v>23805.49080206034</v>
      </c>
      <c r="AX130" s="3">
        <v>38250.53524438215</v>
      </c>
      <c r="AY130" s="3">
        <v>43914.83637021296</v>
      </c>
      <c r="AZ130" s="3">
        <v>44643.1778270109</v>
      </c>
      <c r="BA130" s="3">
        <v>45358.16882940724</v>
      </c>
      <c r="BB130" s="3">
        <v>46076.12659944839</v>
      </c>
      <c r="BC130" s="3">
        <v>46792.60098566714</v>
      </c>
      <c r="BD130" s="3">
        <v>47494.98322557309</v>
      </c>
      <c r="BE130" s="3">
        <v>48267.0845051318</v>
      </c>
      <c r="BF130" s="3">
        <v>48969.46674503776</v>
      </c>
      <c r="BG130" s="3">
        <v>49733.40941357327</v>
      </c>
      <c r="BH130" s="3">
        <v>49733.40941357327</v>
      </c>
      <c r="BI130" s="3">
        <v>49733.40941357327</v>
      </c>
      <c r="BJ130" s="3">
        <v>49733.40941357327</v>
      </c>
      <c r="BK130" s="3">
        <v>49733.40941357327</v>
      </c>
      <c r="BL130" s="3">
        <v>49733.40941357327</v>
      </c>
      <c r="BM130" s="3">
        <v>49733.40941357327</v>
      </c>
      <c r="BN130" s="3">
        <v>49733.40941357327</v>
      </c>
      <c r="BO130" s="3">
        <v>49733.40941357327</v>
      </c>
      <c r="BP130" s="3">
        <v>49733.40941357327</v>
      </c>
      <c r="BQ130" s="3">
        <v>49733.40941357327</v>
      </c>
      <c r="BR130" s="3">
        <v>49733.40941357327</v>
      </c>
      <c r="BS130" s="3">
        <v>49733.40941357327</v>
      </c>
      <c r="BT130" s="3">
        <v>49733.40941357327</v>
      </c>
      <c r="BU130" s="3">
        <v>49733.40941357327</v>
      </c>
      <c r="BV130" s="3">
        <v>49733.40941357327</v>
      </c>
      <c r="BW130" s="3">
        <v>49733.40941357327</v>
      </c>
      <c r="BX130" s="3">
        <v>49733.40941357327</v>
      </c>
      <c r="BY130" s="3">
        <v>49733.40941357327</v>
      </c>
      <c r="BZ130" s="3">
        <v>49733.40941357327</v>
      </c>
      <c r="CA130" s="3">
        <v>49733.40941357327</v>
      </c>
      <c r="CB130" s="3">
        <v>49733.40941357327</v>
      </c>
      <c r="CC130" s="3">
        <v>49733.40941357327</v>
      </c>
      <c r="CD130" s="3">
        <v>49733.40941357327</v>
      </c>
      <c r="CE130" s="3">
        <v>49733.40941357327</v>
      </c>
      <c r="CF130" s="3">
        <v>49733.40941357327</v>
      </c>
      <c r="CG130" s="3">
        <v>49733.40941357327</v>
      </c>
      <c r="CH130" s="3">
        <v>49733.40941357327</v>
      </c>
      <c r="CI130" s="3">
        <v>49733.40941357327</v>
      </c>
      <c r="CJ130" s="3">
        <v>49733.40941357327</v>
      </c>
      <c r="CK130" s="3">
        <v>49733.40941357327</v>
      </c>
      <c r="CL130" s="3">
        <v>49733.40941357327</v>
      </c>
      <c r="CM130" s="3">
        <v>49733.40941357327</v>
      </c>
      <c r="CN130" s="3">
        <v>49733.40941357327</v>
      </c>
      <c r="CO130" s="3">
        <v>49733.40941357327</v>
      </c>
      <c r="CP130" s="3">
        <v>49733.40941357327</v>
      </c>
      <c r="CQ130" s="3">
        <v>49733.40941357327</v>
      </c>
      <c r="CR130" s="3">
        <v>49733.40941357327</v>
      </c>
      <c r="CS130" s="3">
        <v>49733.40941357327</v>
      </c>
      <c r="CT130" s="3">
        <v>49733.40941357327</v>
      </c>
    </row>
    <row r="131" spans="1:98">
      <c r="A131" s="1" t="str">
        <f>'Population Definitions'!$B$17</f>
        <v>30-49M_oth</v>
      </c>
      <c r="C131" t="s">
        <v>47</v>
      </c>
      <c r="D131" s="3"/>
      <c r="E131" s="3"/>
      <c r="F131" s="4" t="s">
        <v>48</v>
      </c>
      <c r="G131" s="3">
        <v>10680.52197968011</v>
      </c>
      <c r="H131" s="3">
        <v>9852.569359219395</v>
      </c>
      <c r="I131" s="3">
        <v>10032.32662709989</v>
      </c>
      <c r="J131" s="3">
        <v>11130.24927069711</v>
      </c>
      <c r="K131" s="3">
        <v>11296.64168594709</v>
      </c>
      <c r="L131" s="3">
        <v>10896.36434966301</v>
      </c>
      <c r="M131" s="3">
        <v>10577.61261442511</v>
      </c>
      <c r="N131" s="3">
        <v>10905.05150387285</v>
      </c>
      <c r="O131" s="3">
        <v>11328.71733226034</v>
      </c>
      <c r="P131" s="3">
        <v>12885.72266371592</v>
      </c>
      <c r="Q131" s="3">
        <v>14649.88321094457</v>
      </c>
      <c r="R131" s="3">
        <v>16204.21557187406</v>
      </c>
      <c r="S131" s="3">
        <v>16506.26124132381</v>
      </c>
      <c r="T131" s="3">
        <v>16141.40076451061</v>
      </c>
      <c r="U131" s="3">
        <v>16014.43466452067</v>
      </c>
      <c r="V131" s="3">
        <v>16643.25098078664</v>
      </c>
      <c r="W131" s="3">
        <v>17509.96167387587</v>
      </c>
      <c r="X131" s="3">
        <v>19059.61633638467</v>
      </c>
      <c r="Y131" s="3">
        <v>21310.25751936425</v>
      </c>
      <c r="Z131" s="3">
        <v>20072.67216577809</v>
      </c>
      <c r="AA131" s="3">
        <v>22634.04617241726</v>
      </c>
      <c r="AB131" s="3">
        <v>24355.43919122824</v>
      </c>
      <c r="AC131" s="3">
        <v>25132.60537169299</v>
      </c>
      <c r="AD131" s="3">
        <v>25118.57227643094</v>
      </c>
      <c r="AE131" s="3">
        <v>28352.8666130168</v>
      </c>
      <c r="AF131" s="3">
        <v>32308.55928477209</v>
      </c>
      <c r="AG131" s="3">
        <v>33124.53440187647</v>
      </c>
      <c r="AH131" s="3">
        <v>26065.49258928572</v>
      </c>
      <c r="AI131" s="3">
        <v>27906.4770371044</v>
      </c>
      <c r="AJ131" s="3">
        <v>27769.53574234093</v>
      </c>
      <c r="AK131" s="3">
        <v>29420.54254007398</v>
      </c>
      <c r="AL131" s="3">
        <v>29945.13382615345</v>
      </c>
      <c r="AM131" s="3">
        <v>28512.55819034001</v>
      </c>
      <c r="AN131" s="3">
        <v>32013.32271578187</v>
      </c>
      <c r="AO131" s="3">
        <v>35293.58516463979</v>
      </c>
      <c r="AP131" s="3">
        <v>36250.77621537592</v>
      </c>
      <c r="AQ131" s="3">
        <v>36281.16932803468</v>
      </c>
      <c r="AR131" s="3">
        <v>35897.24286208089</v>
      </c>
      <c r="AS131" s="3">
        <v>38656.83559826571</v>
      </c>
      <c r="AT131" s="3">
        <v>40012.38197097021</v>
      </c>
      <c r="AU131" s="3">
        <v>40303.90525267397</v>
      </c>
      <c r="AV131" s="3">
        <v>29557.03450748409</v>
      </c>
      <c r="AW131" s="3">
        <v>27847.0026980623</v>
      </c>
      <c r="AX131" s="3">
        <v>23422.63055568115</v>
      </c>
      <c r="AY131" s="3">
        <v>26815.1293575078</v>
      </c>
      <c r="AZ131" s="3">
        <v>27232.70190351314</v>
      </c>
      <c r="BA131" s="3">
        <v>27651.75783334087</v>
      </c>
      <c r="BB131" s="3">
        <v>28072.297146991</v>
      </c>
      <c r="BC131" s="3">
        <v>28480.96939006195</v>
      </c>
      <c r="BD131" s="3">
        <v>28898.54193606728</v>
      </c>
      <c r="BE131" s="3">
        <v>29339.848623231</v>
      </c>
      <c r="BF131" s="3">
        <v>29747.03748247954</v>
      </c>
      <c r="BG131" s="3">
        <v>30183.89401817607</v>
      </c>
      <c r="BH131" s="3">
        <v>30183.89401817607</v>
      </c>
      <c r="BI131" s="3">
        <v>30183.89401817607</v>
      </c>
      <c r="BJ131" s="3">
        <v>30183.89401817607</v>
      </c>
      <c r="BK131" s="3">
        <v>30183.89401817607</v>
      </c>
      <c r="BL131" s="3">
        <v>30183.89401817607</v>
      </c>
      <c r="BM131" s="3">
        <v>30183.89401817607</v>
      </c>
      <c r="BN131" s="3">
        <v>30183.89401817607</v>
      </c>
      <c r="BO131" s="3">
        <v>30183.89401817607</v>
      </c>
      <c r="BP131" s="3">
        <v>30183.89401817607</v>
      </c>
      <c r="BQ131" s="3">
        <v>30183.89401817607</v>
      </c>
      <c r="BR131" s="3">
        <v>30183.89401817607</v>
      </c>
      <c r="BS131" s="3">
        <v>30183.89401817607</v>
      </c>
      <c r="BT131" s="3">
        <v>30183.89401817607</v>
      </c>
      <c r="BU131" s="3">
        <v>30183.89401817607</v>
      </c>
      <c r="BV131" s="3">
        <v>30183.89401817607</v>
      </c>
      <c r="BW131" s="3">
        <v>30183.89401817607</v>
      </c>
      <c r="BX131" s="3">
        <v>30183.89401817607</v>
      </c>
      <c r="BY131" s="3">
        <v>30183.89401817607</v>
      </c>
      <c r="BZ131" s="3">
        <v>30183.89401817607</v>
      </c>
      <c r="CA131" s="3">
        <v>30183.89401817607</v>
      </c>
      <c r="CB131" s="3">
        <v>30183.89401817607</v>
      </c>
      <c r="CC131" s="3">
        <v>30183.89401817607</v>
      </c>
      <c r="CD131" s="3">
        <v>30183.89401817607</v>
      </c>
      <c r="CE131" s="3">
        <v>30183.89401817607</v>
      </c>
      <c r="CF131" s="3">
        <v>30183.89401817607</v>
      </c>
      <c r="CG131" s="3">
        <v>30183.89401817607</v>
      </c>
      <c r="CH131" s="3">
        <v>30183.89401817607</v>
      </c>
      <c r="CI131" s="3">
        <v>30183.89401817607</v>
      </c>
      <c r="CJ131" s="3">
        <v>30183.89401817607</v>
      </c>
      <c r="CK131" s="3">
        <v>30183.89401817607</v>
      </c>
      <c r="CL131" s="3">
        <v>30183.89401817607</v>
      </c>
      <c r="CM131" s="3">
        <v>30183.89401817607</v>
      </c>
      <c r="CN131" s="3">
        <v>30183.89401817607</v>
      </c>
      <c r="CO131" s="3">
        <v>30183.89401817607</v>
      </c>
      <c r="CP131" s="3">
        <v>30183.89401817607</v>
      </c>
      <c r="CQ131" s="3">
        <v>30183.89401817607</v>
      </c>
      <c r="CR131" s="3">
        <v>30183.89401817607</v>
      </c>
      <c r="CS131" s="3">
        <v>30183.89401817607</v>
      </c>
      <c r="CT131" s="3">
        <v>30183.89401817607</v>
      </c>
    </row>
    <row r="132" spans="1:98">
      <c r="A132" s="1" t="str">
        <f>'Population Definitions'!$B$18</f>
        <v>50-64M_oth</v>
      </c>
      <c r="C132" t="s">
        <v>47</v>
      </c>
      <c r="D132" s="3"/>
      <c r="E132" s="3"/>
      <c r="F132" s="4" t="s">
        <v>48</v>
      </c>
      <c r="G132" s="3">
        <v>3016.447238708379</v>
      </c>
      <c r="H132" s="3">
        <v>2782.562317674278</v>
      </c>
      <c r="I132" s="3">
        <v>2833.348757670254</v>
      </c>
      <c r="J132" s="3">
        <v>3143.41333869832</v>
      </c>
      <c r="K132" s="3">
        <v>3190.19032290514</v>
      </c>
      <c r="L132" s="3">
        <v>3077.257318177245</v>
      </c>
      <c r="M132" s="3">
        <v>2987.044562921235</v>
      </c>
      <c r="N132" s="3">
        <v>3079.93028870335</v>
      </c>
      <c r="O132" s="3">
        <v>3199.545719746504</v>
      </c>
      <c r="P132" s="3">
        <v>3639.249371290614</v>
      </c>
      <c r="Q132" s="3">
        <v>4137.090131777487</v>
      </c>
      <c r="R132" s="3">
        <v>4576.125540690071</v>
      </c>
      <c r="S132" s="3">
        <v>4661.6605975254</v>
      </c>
      <c r="T132" s="3">
        <v>4558.751232270395</v>
      </c>
      <c r="U132" s="3">
        <v>4522.666130167991</v>
      </c>
      <c r="V132" s="3">
        <v>4700.418670153907</v>
      </c>
      <c r="W132" s="3">
        <v>4944.995473292425</v>
      </c>
      <c r="X132" s="3">
        <v>5382.694396941957</v>
      </c>
      <c r="Y132" s="3">
        <v>6018.193139523187</v>
      </c>
      <c r="Z132" s="3">
        <v>5668.702243235087</v>
      </c>
      <c r="AA132" s="3">
        <v>6391.740770546222</v>
      </c>
      <c r="AB132" s="3">
        <v>6878.221406297152</v>
      </c>
      <c r="AC132" s="3">
        <v>7097.404989437682</v>
      </c>
      <c r="AD132" s="3">
        <v>7094.063776280052</v>
      </c>
      <c r="AE132" s="3">
        <v>8489.354390906346</v>
      </c>
      <c r="AF132" s="3">
        <v>8624.722262934192</v>
      </c>
      <c r="AG132" s="3">
        <v>8966.192533229085</v>
      </c>
      <c r="AH132" s="3">
        <v>7404.416964285715</v>
      </c>
      <c r="AI132" s="3">
        <v>8792.823117497272</v>
      </c>
      <c r="AJ132" s="3">
        <v>8579.181461115475</v>
      </c>
      <c r="AK132" s="3">
        <v>8462.801479654747</v>
      </c>
      <c r="AL132" s="3">
        <v>8749.864899311751</v>
      </c>
      <c r="AM132" s="3">
        <v>7838.99944391484</v>
      </c>
      <c r="AN132" s="3">
        <v>9198.091007583966</v>
      </c>
      <c r="AO132" s="3">
        <v>9409.915013156959</v>
      </c>
      <c r="AP132" s="3">
        <v>9916.78374081402</v>
      </c>
      <c r="AQ132" s="3">
        <v>10179.85986271676</v>
      </c>
      <c r="AR132" s="3">
        <v>10089.22810231593</v>
      </c>
      <c r="AS132" s="3">
        <v>9656.04067171423</v>
      </c>
      <c r="AT132" s="3">
        <v>11684.10644257703</v>
      </c>
      <c r="AU132" s="3">
        <v>10531.61676698567</v>
      </c>
      <c r="AV132" s="3">
        <v>9964.173568163484</v>
      </c>
      <c r="AW132" s="3">
        <v>10279.80377728722</v>
      </c>
      <c r="AX132" s="3">
        <v>6357.04137089117</v>
      </c>
      <c r="AY132" s="3">
        <v>7425.077723018493</v>
      </c>
      <c r="AZ132" s="3">
        <v>7561.549034679207</v>
      </c>
      <c r="BA132" s="3">
        <v>7702.470497807117</v>
      </c>
      <c r="BB132" s="3">
        <v>7841.908577112628</v>
      </c>
      <c r="BC132" s="3">
        <v>7977.638196862143</v>
      </c>
      <c r="BD132" s="3">
        <v>8119.301351901253</v>
      </c>
      <c r="BE132" s="3">
        <v>8266.898042229959</v>
      </c>
      <c r="BF132" s="3">
        <v>8405.594429624271</v>
      </c>
      <c r="BG132" s="3">
        <v>8559.124655242575</v>
      </c>
      <c r="BH132" s="3">
        <v>8559.124655242575</v>
      </c>
      <c r="BI132" s="3">
        <v>8559.124655242575</v>
      </c>
      <c r="BJ132" s="3">
        <v>8559.124655242575</v>
      </c>
      <c r="BK132" s="3">
        <v>8559.124655242575</v>
      </c>
      <c r="BL132" s="3">
        <v>8559.124655242575</v>
      </c>
      <c r="BM132" s="3">
        <v>8559.124655242575</v>
      </c>
      <c r="BN132" s="3">
        <v>8559.124655242575</v>
      </c>
      <c r="BO132" s="3">
        <v>8559.124655242575</v>
      </c>
      <c r="BP132" s="3">
        <v>8559.124655242575</v>
      </c>
      <c r="BQ132" s="3">
        <v>8559.124655242575</v>
      </c>
      <c r="BR132" s="3">
        <v>8559.124655242575</v>
      </c>
      <c r="BS132" s="3">
        <v>8559.124655242575</v>
      </c>
      <c r="BT132" s="3">
        <v>8559.124655242575</v>
      </c>
      <c r="BU132" s="3">
        <v>8559.124655242575</v>
      </c>
      <c r="BV132" s="3">
        <v>8559.124655242575</v>
      </c>
      <c r="BW132" s="3">
        <v>8559.124655242575</v>
      </c>
      <c r="BX132" s="3">
        <v>8559.124655242575</v>
      </c>
      <c r="BY132" s="3">
        <v>8559.124655242575</v>
      </c>
      <c r="BZ132" s="3">
        <v>8559.124655242575</v>
      </c>
      <c r="CA132" s="3">
        <v>8559.124655242575</v>
      </c>
      <c r="CB132" s="3">
        <v>8559.124655242575</v>
      </c>
      <c r="CC132" s="3">
        <v>8559.124655242575</v>
      </c>
      <c r="CD132" s="3">
        <v>8559.124655242575</v>
      </c>
      <c r="CE132" s="3">
        <v>8559.124655242575</v>
      </c>
      <c r="CF132" s="3">
        <v>8559.124655242575</v>
      </c>
      <c r="CG132" s="3">
        <v>8559.124655242575</v>
      </c>
      <c r="CH132" s="3">
        <v>8559.124655242575</v>
      </c>
      <c r="CI132" s="3">
        <v>8559.124655242575</v>
      </c>
      <c r="CJ132" s="3">
        <v>8559.124655242575</v>
      </c>
      <c r="CK132" s="3">
        <v>8559.124655242575</v>
      </c>
      <c r="CL132" s="3">
        <v>8559.124655242575</v>
      </c>
      <c r="CM132" s="3">
        <v>8559.124655242575</v>
      </c>
      <c r="CN132" s="3">
        <v>8559.124655242575</v>
      </c>
      <c r="CO132" s="3">
        <v>8559.124655242575</v>
      </c>
      <c r="CP132" s="3">
        <v>8559.124655242575</v>
      </c>
      <c r="CQ132" s="3">
        <v>8559.124655242575</v>
      </c>
      <c r="CR132" s="3">
        <v>8559.124655242575</v>
      </c>
      <c r="CS132" s="3">
        <v>8559.124655242575</v>
      </c>
      <c r="CT132" s="3">
        <v>8559.124655242575</v>
      </c>
    </row>
    <row r="133" spans="1:98">
      <c r="A133" s="1" t="str">
        <f>'Population Definitions'!$B$19</f>
        <v>65+M_oth</v>
      </c>
      <c r="C133" t="s">
        <v>47</v>
      </c>
      <c r="D133" s="3"/>
      <c r="E133" s="3"/>
      <c r="F133" s="4" t="s">
        <v>48</v>
      </c>
      <c r="G133" s="3">
        <v>1322.452167789961</v>
      </c>
      <c r="H133" s="3">
        <v>1220.211045166482</v>
      </c>
      <c r="I133" s="3">
        <v>1242.26305200684</v>
      </c>
      <c r="J133" s="3">
        <v>1377.916306206619</v>
      </c>
      <c r="K133" s="3">
        <v>1398.631827783925</v>
      </c>
      <c r="L133" s="3">
        <v>1349.181873051001</v>
      </c>
      <c r="M133" s="3">
        <v>1309.755557790967</v>
      </c>
      <c r="N133" s="3">
        <v>1350.518358314053</v>
      </c>
      <c r="O133" s="3">
        <v>1402.641283573081</v>
      </c>
      <c r="P133" s="3">
        <v>1595.763404084096</v>
      </c>
      <c r="Q133" s="3">
        <v>1813.610501961573</v>
      </c>
      <c r="R133" s="3">
        <v>2006.064379841062</v>
      </c>
      <c r="S133" s="3">
        <v>2043.485967206518</v>
      </c>
      <c r="T133" s="3">
        <v>1998.713710894276</v>
      </c>
      <c r="U133" s="3">
        <v>1982.675887737652</v>
      </c>
      <c r="V133" s="3">
        <v>2060.860275626194</v>
      </c>
      <c r="W133" s="3">
        <v>2167.779096670355</v>
      </c>
      <c r="X133" s="3">
        <v>2360.232974549844</v>
      </c>
      <c r="Y133" s="3">
        <v>2638.890151896187</v>
      </c>
      <c r="Z133" s="3">
        <v>2485.194346645207</v>
      </c>
      <c r="AA133" s="3">
        <v>2802.609596620058</v>
      </c>
      <c r="AB133" s="3">
        <v>3015.778996076853</v>
      </c>
      <c r="AC133" s="3">
        <v>3112.005935016598</v>
      </c>
      <c r="AD133" s="3">
        <v>3110.00120712202</v>
      </c>
      <c r="AE133" s="3">
        <v>3629.89397444925</v>
      </c>
      <c r="AF133" s="3">
        <v>2852.8242708486</v>
      </c>
      <c r="AG133" s="3">
        <v>3220.252247849883</v>
      </c>
      <c r="AH133" s="3">
        <v>3170.14625</v>
      </c>
      <c r="AI133" s="3">
        <v>3956.697117133503</v>
      </c>
      <c r="AJ133" s="3">
        <v>4041.194029850747</v>
      </c>
      <c r="AK133" s="3">
        <v>3620.757169563661</v>
      </c>
      <c r="AL133" s="3">
        <v>3896.840853088622</v>
      </c>
      <c r="AM133" s="3">
        <v>3548.418334922148</v>
      </c>
      <c r="AN133" s="3">
        <v>4659.298338750451</v>
      </c>
      <c r="AO133" s="3">
        <v>3840.812388877036</v>
      </c>
      <c r="AP133" s="3">
        <v>4496.12100763143</v>
      </c>
      <c r="AQ133" s="3">
        <v>4657.640751445087</v>
      </c>
      <c r="AR133" s="3">
        <v>4993.126546837193</v>
      </c>
      <c r="AS133" s="3">
        <v>4631.584417265256</v>
      </c>
      <c r="AT133" s="3">
        <v>6665.273236567355</v>
      </c>
      <c r="AU133" s="3">
        <v>6223.743385441476</v>
      </c>
      <c r="AV133" s="3">
        <v>8203.454826566282</v>
      </c>
      <c r="AW133" s="3">
        <v>8005.573215599705</v>
      </c>
      <c r="AX133" s="3">
        <v>3098.788804991636</v>
      </c>
      <c r="AY133" s="3">
        <v>3741.835692001628</v>
      </c>
      <c r="AZ133" s="3">
        <v>3827.130261789574</v>
      </c>
      <c r="BA133" s="3">
        <v>3916.874983044717</v>
      </c>
      <c r="BB133" s="3">
        <v>4002.169552832663</v>
      </c>
      <c r="BC133" s="3">
        <v>4095.622733643804</v>
      </c>
      <c r="BD133" s="3">
        <v>4180.91730343175</v>
      </c>
      <c r="BE133" s="3">
        <v>4286.979246733283</v>
      </c>
      <c r="BF133" s="3">
        <v>4378.949043722024</v>
      </c>
      <c r="BG133" s="3">
        <v>4476.852376000362</v>
      </c>
      <c r="BH133" s="3">
        <v>4476.852376000362</v>
      </c>
      <c r="BI133" s="3">
        <v>4476.852376000362</v>
      </c>
      <c r="BJ133" s="3">
        <v>4476.852376000362</v>
      </c>
      <c r="BK133" s="3">
        <v>4476.852376000362</v>
      </c>
      <c r="BL133" s="3">
        <v>4476.852376000362</v>
      </c>
      <c r="BM133" s="3">
        <v>4476.852376000362</v>
      </c>
      <c r="BN133" s="3">
        <v>4476.852376000362</v>
      </c>
      <c r="BO133" s="3">
        <v>4476.852376000362</v>
      </c>
      <c r="BP133" s="3">
        <v>4476.852376000362</v>
      </c>
      <c r="BQ133" s="3">
        <v>4476.852376000362</v>
      </c>
      <c r="BR133" s="3">
        <v>4476.852376000362</v>
      </c>
      <c r="BS133" s="3">
        <v>4476.852376000362</v>
      </c>
      <c r="BT133" s="3">
        <v>4476.852376000362</v>
      </c>
      <c r="BU133" s="3">
        <v>4476.852376000362</v>
      </c>
      <c r="BV133" s="3">
        <v>4476.852376000362</v>
      </c>
      <c r="BW133" s="3">
        <v>4476.852376000362</v>
      </c>
      <c r="BX133" s="3">
        <v>4476.852376000362</v>
      </c>
      <c r="BY133" s="3">
        <v>4476.852376000362</v>
      </c>
      <c r="BZ133" s="3">
        <v>4476.852376000362</v>
      </c>
      <c r="CA133" s="3">
        <v>4476.852376000362</v>
      </c>
      <c r="CB133" s="3">
        <v>4476.852376000362</v>
      </c>
      <c r="CC133" s="3">
        <v>4476.852376000362</v>
      </c>
      <c r="CD133" s="3">
        <v>4476.852376000362</v>
      </c>
      <c r="CE133" s="3">
        <v>4476.852376000362</v>
      </c>
      <c r="CF133" s="3">
        <v>4476.852376000362</v>
      </c>
      <c r="CG133" s="3">
        <v>4476.852376000362</v>
      </c>
      <c r="CH133" s="3">
        <v>4476.852376000362</v>
      </c>
      <c r="CI133" s="3">
        <v>4476.852376000362</v>
      </c>
      <c r="CJ133" s="3">
        <v>4476.852376000362</v>
      </c>
      <c r="CK133" s="3">
        <v>4476.852376000362</v>
      </c>
      <c r="CL133" s="3">
        <v>4476.852376000362</v>
      </c>
      <c r="CM133" s="3">
        <v>4476.852376000362</v>
      </c>
      <c r="CN133" s="3">
        <v>4476.852376000362</v>
      </c>
      <c r="CO133" s="3">
        <v>4476.852376000362</v>
      </c>
      <c r="CP133" s="3">
        <v>4476.852376000362</v>
      </c>
      <c r="CQ133" s="3">
        <v>4476.852376000362</v>
      </c>
      <c r="CR133" s="3">
        <v>4476.852376000362</v>
      </c>
      <c r="CS133" s="3">
        <v>4476.852376000362</v>
      </c>
      <c r="CT133" s="3">
        <v>4476.852376000362</v>
      </c>
    </row>
    <row r="134" spans="1:98">
      <c r="A134" s="1" t="str">
        <f>'Population Definitions'!$B$20</f>
        <v>0-4F_oth</v>
      </c>
      <c r="C134" t="s">
        <v>47</v>
      </c>
      <c r="D134" s="3"/>
      <c r="E134" s="3"/>
      <c r="F134" s="4" t="s">
        <v>48</v>
      </c>
      <c r="G134" s="3">
        <v>1782.871340911377</v>
      </c>
      <c r="H134" s="3">
        <v>1644.545116185494</v>
      </c>
      <c r="I134" s="3">
        <v>1674.616034604164</v>
      </c>
      <c r="J134" s="3">
        <v>1857.714515642289</v>
      </c>
      <c r="K134" s="3">
        <v>1885.112463534856</v>
      </c>
      <c r="L134" s="3">
        <v>1818.288200382255</v>
      </c>
      <c r="M134" s="3">
        <v>1765.497032491701</v>
      </c>
      <c r="N134" s="3">
        <v>1820.292928276833</v>
      </c>
      <c r="O134" s="3">
        <v>1890.458404587064</v>
      </c>
      <c r="P134" s="3">
        <v>2150.404788250679</v>
      </c>
      <c r="Q134" s="3">
        <v>2445.099788753646</v>
      </c>
      <c r="R134" s="3">
        <v>2704.377929785736</v>
      </c>
      <c r="S134" s="3">
        <v>2755.164369781712</v>
      </c>
      <c r="T134" s="3">
        <v>2693.686047681319</v>
      </c>
      <c r="U134" s="3">
        <v>2672.970526104014</v>
      </c>
      <c r="V134" s="3">
        <v>2777.884619253596</v>
      </c>
      <c r="W134" s="3">
        <v>2922.225027663213</v>
      </c>
      <c r="X134" s="3">
        <v>3180.834926063776</v>
      </c>
      <c r="Y134" s="3">
        <v>3557.055527612916</v>
      </c>
      <c r="Z134" s="3">
        <v>3349.900311839855</v>
      </c>
      <c r="AA134" s="3">
        <v>3777.575596016497</v>
      </c>
      <c r="AB134" s="3">
        <v>4064.919927572679</v>
      </c>
      <c r="AC134" s="3">
        <v>4194.558998088723</v>
      </c>
      <c r="AD134" s="3">
        <v>4192.554270194145</v>
      </c>
      <c r="AE134" s="3">
        <v>4084.298963886933</v>
      </c>
      <c r="AF134" s="3">
        <v>4345.144364648982</v>
      </c>
      <c r="AG134" s="3">
        <v>4701.717650508209</v>
      </c>
      <c r="AH134" s="3">
        <v>3911.977142857143</v>
      </c>
      <c r="AI134" s="3">
        <v>4739.388823208439</v>
      </c>
      <c r="AJ134" s="3">
        <v>4754.479968578162</v>
      </c>
      <c r="AK134" s="3">
        <v>5506.757249114991</v>
      </c>
      <c r="AL134" s="3">
        <v>5661.986574900161</v>
      </c>
      <c r="AM134" s="3">
        <v>5655.766007308548</v>
      </c>
      <c r="AN134" s="3">
        <v>5824.694944023113</v>
      </c>
      <c r="AO134" s="3">
        <v>6270.514223739421</v>
      </c>
      <c r="AP134" s="3">
        <v>6263.826702939514</v>
      </c>
      <c r="AQ134" s="3">
        <v>6262.310332369942</v>
      </c>
      <c r="AR134" s="3">
        <v>5969.453508468718</v>
      </c>
      <c r="AS134" s="3">
        <v>6183.946159321814</v>
      </c>
      <c r="AT134" s="3">
        <v>6160.53781512605</v>
      </c>
      <c r="AU134" s="3">
        <v>5983.932620274541</v>
      </c>
      <c r="AV134" s="3">
        <v>4380.780317289594</v>
      </c>
      <c r="AW134" s="3">
        <v>4527.338238901152</v>
      </c>
      <c r="AX134" s="3">
        <v>3621.681602387304</v>
      </c>
      <c r="AY134" s="3">
        <v>4226.90220192612</v>
      </c>
      <c r="AZ134" s="3">
        <v>4301.071393046073</v>
      </c>
      <c r="BA134" s="3">
        <v>4379.690735633224</v>
      </c>
      <c r="BB134" s="3">
        <v>4459.051770131573</v>
      </c>
      <c r="BC134" s="3">
        <v>4536.929420807523</v>
      </c>
      <c r="BD134" s="3">
        <v>4613.323687661075</v>
      </c>
      <c r="BE134" s="3">
        <v>4700.101641271421</v>
      </c>
      <c r="BF134" s="3">
        <v>4783.171135325768</v>
      </c>
      <c r="BG134" s="3">
        <v>4868.465705113714</v>
      </c>
      <c r="BH134" s="3">
        <v>4868.465705113714</v>
      </c>
      <c r="BI134" s="3">
        <v>4868.465705113714</v>
      </c>
      <c r="BJ134" s="3">
        <v>4868.465705113714</v>
      </c>
      <c r="BK134" s="3">
        <v>4868.465705113714</v>
      </c>
      <c r="BL134" s="3">
        <v>4868.465705113714</v>
      </c>
      <c r="BM134" s="3">
        <v>4868.465705113714</v>
      </c>
      <c r="BN134" s="3">
        <v>4868.465705113714</v>
      </c>
      <c r="BO134" s="3">
        <v>4868.465705113714</v>
      </c>
      <c r="BP134" s="3">
        <v>4868.465705113714</v>
      </c>
      <c r="BQ134" s="3">
        <v>4868.465705113714</v>
      </c>
      <c r="BR134" s="3">
        <v>4868.465705113714</v>
      </c>
      <c r="BS134" s="3">
        <v>4868.465705113714</v>
      </c>
      <c r="BT134" s="3">
        <v>4868.465705113714</v>
      </c>
      <c r="BU134" s="3">
        <v>4868.465705113714</v>
      </c>
      <c r="BV134" s="3">
        <v>4868.465705113714</v>
      </c>
      <c r="BW134" s="3">
        <v>4868.465705113714</v>
      </c>
      <c r="BX134" s="3">
        <v>4868.465705113714</v>
      </c>
      <c r="BY134" s="3">
        <v>4868.465705113714</v>
      </c>
      <c r="BZ134" s="3">
        <v>4868.465705113714</v>
      </c>
      <c r="CA134" s="3">
        <v>4868.465705113714</v>
      </c>
      <c r="CB134" s="3">
        <v>4868.465705113714</v>
      </c>
      <c r="CC134" s="3">
        <v>4868.465705113714</v>
      </c>
      <c r="CD134" s="3">
        <v>4868.465705113714</v>
      </c>
      <c r="CE134" s="3">
        <v>4868.465705113714</v>
      </c>
      <c r="CF134" s="3">
        <v>4868.465705113714</v>
      </c>
      <c r="CG134" s="3">
        <v>4868.465705113714</v>
      </c>
      <c r="CH134" s="3">
        <v>4868.465705113714</v>
      </c>
      <c r="CI134" s="3">
        <v>4868.465705113714</v>
      </c>
      <c r="CJ134" s="3">
        <v>4868.465705113714</v>
      </c>
      <c r="CK134" s="3">
        <v>4868.465705113714</v>
      </c>
      <c r="CL134" s="3">
        <v>4868.465705113714</v>
      </c>
      <c r="CM134" s="3">
        <v>4868.465705113714</v>
      </c>
      <c r="CN134" s="3">
        <v>4868.465705113714</v>
      </c>
      <c r="CO134" s="3">
        <v>4868.465705113714</v>
      </c>
      <c r="CP134" s="3">
        <v>4868.465705113714</v>
      </c>
      <c r="CQ134" s="3">
        <v>4868.465705113714</v>
      </c>
      <c r="CR134" s="3">
        <v>4868.465705113714</v>
      </c>
      <c r="CS134" s="3">
        <v>4868.465705113714</v>
      </c>
      <c r="CT134" s="3">
        <v>4868.465705113714</v>
      </c>
    </row>
    <row r="135" spans="1:98">
      <c r="A135" s="1" t="str">
        <f>'Population Definitions'!$B$21</f>
        <v>5-14F_oth</v>
      </c>
      <c r="C135" t="s">
        <v>47</v>
      </c>
      <c r="D135" s="3"/>
      <c r="E135" s="3"/>
      <c r="F135" s="4" t="s">
        <v>48</v>
      </c>
      <c r="G135" s="3">
        <v>1903.155014586058</v>
      </c>
      <c r="H135" s="3">
        <v>1755.473393018811</v>
      </c>
      <c r="I135" s="3">
        <v>1787.549039332059</v>
      </c>
      <c r="J135" s="3">
        <v>1983.344130369178</v>
      </c>
      <c r="K135" s="3">
        <v>2012.746806156322</v>
      </c>
      <c r="L135" s="3">
        <v>1941.24484458304</v>
      </c>
      <c r="M135" s="3">
        <v>1884.44422090333</v>
      </c>
      <c r="N135" s="3">
        <v>1942.581329846092</v>
      </c>
      <c r="O135" s="3">
        <v>2018.09274720853</v>
      </c>
      <c r="P135" s="3">
        <v>2296.081681923348</v>
      </c>
      <c r="Q135" s="3">
        <v>2610.155718740569</v>
      </c>
      <c r="R135" s="3">
        <v>2886.808168192335</v>
      </c>
      <c r="S135" s="3">
        <v>2940.935821345941</v>
      </c>
      <c r="T135" s="3">
        <v>2876.116286087919</v>
      </c>
      <c r="U135" s="3">
        <v>2853.396036616035</v>
      </c>
      <c r="V135" s="3">
        <v>2964.992556080877</v>
      </c>
      <c r="W135" s="3">
        <v>3120.02484659491</v>
      </c>
      <c r="X135" s="3">
        <v>3396.009053415149</v>
      </c>
      <c r="Y135" s="3">
        <v>3796.954632330751</v>
      </c>
      <c r="Z135" s="3">
        <v>3576.43456392717</v>
      </c>
      <c r="AA135" s="3">
        <v>4032.84428125943</v>
      </c>
      <c r="AB135" s="3">
        <v>4339.567649129866</v>
      </c>
      <c r="AC135" s="3">
        <v>4477.893873855749</v>
      </c>
      <c r="AD135" s="3">
        <v>4475.220903329645</v>
      </c>
      <c r="AE135" s="3">
        <v>5105.373704858665</v>
      </c>
      <c r="AF135" s="3">
        <v>5506.217206507401</v>
      </c>
      <c r="AG135" s="3">
        <v>5412.576622361219</v>
      </c>
      <c r="AH135" s="3">
        <v>4476.685491071429</v>
      </c>
      <c r="AI135" s="3">
        <v>5320.544743543106</v>
      </c>
      <c r="AJ135" s="3">
        <v>5056.809897879026</v>
      </c>
      <c r="AK135" s="3">
        <v>5384.250427588401</v>
      </c>
      <c r="AL135" s="3">
        <v>5491.481009431557</v>
      </c>
      <c r="AM135" s="3">
        <v>5393.201263107721</v>
      </c>
      <c r="AN135" s="3">
        <v>5711.053521126761</v>
      </c>
      <c r="AO135" s="3">
        <v>6285.582142095157</v>
      </c>
      <c r="AP135" s="3">
        <v>6455.968626342566</v>
      </c>
      <c r="AQ135" s="3">
        <v>6527.225036127167</v>
      </c>
      <c r="AR135" s="3">
        <v>6398.387003110957</v>
      </c>
      <c r="AS135" s="3">
        <v>6576.021096227269</v>
      </c>
      <c r="AT135" s="3">
        <v>6650.580595874713</v>
      </c>
      <c r="AU135" s="3">
        <v>6109.506257307409</v>
      </c>
      <c r="AV135" s="3">
        <v>5239.344761136506</v>
      </c>
      <c r="AW135" s="3">
        <v>5435.6222712779</v>
      </c>
      <c r="AX135" s="3">
        <v>2914.107519102953</v>
      </c>
      <c r="AY135" s="3">
        <v>3757.411222136818</v>
      </c>
      <c r="AZ135" s="3">
        <v>3877.565311751142</v>
      </c>
      <c r="BA135" s="3">
        <v>3995.494325631867</v>
      </c>
      <c r="BB135" s="3">
        <v>4120.098566713388</v>
      </c>
      <c r="BC135" s="3">
        <v>4246.186191617308</v>
      </c>
      <c r="BD135" s="3">
        <v>4375.982276077226</v>
      </c>
      <c r="BE135" s="3">
        <v>4519.128814938736</v>
      </c>
      <c r="BF135" s="3">
        <v>4653.37505086585</v>
      </c>
      <c r="BG135" s="3">
        <v>4803.938508839355</v>
      </c>
      <c r="BH135" s="3">
        <v>4803.938508839355</v>
      </c>
      <c r="BI135" s="3">
        <v>4803.938508839355</v>
      </c>
      <c r="BJ135" s="3">
        <v>4803.938508839355</v>
      </c>
      <c r="BK135" s="3">
        <v>4803.938508839355</v>
      </c>
      <c r="BL135" s="3">
        <v>4803.938508839355</v>
      </c>
      <c r="BM135" s="3">
        <v>4803.938508839355</v>
      </c>
      <c r="BN135" s="3">
        <v>4803.938508839355</v>
      </c>
      <c r="BO135" s="3">
        <v>4803.938508839355</v>
      </c>
      <c r="BP135" s="3">
        <v>4803.938508839355</v>
      </c>
      <c r="BQ135" s="3">
        <v>4803.938508839355</v>
      </c>
      <c r="BR135" s="3">
        <v>4803.938508839355</v>
      </c>
      <c r="BS135" s="3">
        <v>4803.938508839355</v>
      </c>
      <c r="BT135" s="3">
        <v>4803.938508839355</v>
      </c>
      <c r="BU135" s="3">
        <v>4803.938508839355</v>
      </c>
      <c r="BV135" s="3">
        <v>4803.938508839355</v>
      </c>
      <c r="BW135" s="3">
        <v>4803.938508839355</v>
      </c>
      <c r="BX135" s="3">
        <v>4803.938508839355</v>
      </c>
      <c r="BY135" s="3">
        <v>4803.938508839355</v>
      </c>
      <c r="BZ135" s="3">
        <v>4803.938508839355</v>
      </c>
      <c r="CA135" s="3">
        <v>4803.938508839355</v>
      </c>
      <c r="CB135" s="3">
        <v>4803.938508839355</v>
      </c>
      <c r="CC135" s="3">
        <v>4803.938508839355</v>
      </c>
      <c r="CD135" s="3">
        <v>4803.938508839355</v>
      </c>
      <c r="CE135" s="3">
        <v>4803.938508839355</v>
      </c>
      <c r="CF135" s="3">
        <v>4803.938508839355</v>
      </c>
      <c r="CG135" s="3">
        <v>4803.938508839355</v>
      </c>
      <c r="CH135" s="3">
        <v>4803.938508839355</v>
      </c>
      <c r="CI135" s="3">
        <v>4803.938508839355</v>
      </c>
      <c r="CJ135" s="3">
        <v>4803.938508839355</v>
      </c>
      <c r="CK135" s="3">
        <v>4803.938508839355</v>
      </c>
      <c r="CL135" s="3">
        <v>4803.938508839355</v>
      </c>
      <c r="CM135" s="3">
        <v>4803.938508839355</v>
      </c>
      <c r="CN135" s="3">
        <v>4803.938508839355</v>
      </c>
      <c r="CO135" s="3">
        <v>4803.938508839355</v>
      </c>
      <c r="CP135" s="3">
        <v>4803.938508839355</v>
      </c>
      <c r="CQ135" s="3">
        <v>4803.938508839355</v>
      </c>
      <c r="CR135" s="3">
        <v>4803.938508839355</v>
      </c>
      <c r="CS135" s="3">
        <v>4803.938508839355</v>
      </c>
      <c r="CT135" s="3">
        <v>4803.938508839355</v>
      </c>
    </row>
    <row r="136" spans="1:98">
      <c r="A136" s="1" t="str">
        <f>'Population Definitions'!$B$22</f>
        <v>15-29F_oth</v>
      </c>
      <c r="C136" t="s">
        <v>47</v>
      </c>
      <c r="D136" s="3"/>
      <c r="E136" s="3"/>
      <c r="F136" s="4" t="s">
        <v>48</v>
      </c>
      <c r="G136" s="3">
        <v>13217.83925158435</v>
      </c>
      <c r="H136" s="3">
        <v>12193.42329745498</v>
      </c>
      <c r="I136" s="3">
        <v>12415.94809375314</v>
      </c>
      <c r="J136" s="3">
        <v>13774.48536364551</v>
      </c>
      <c r="K136" s="3">
        <v>13980.30409415552</v>
      </c>
      <c r="L136" s="3">
        <v>13485.13630419475</v>
      </c>
      <c r="M136" s="3">
        <v>13090.87315159441</v>
      </c>
      <c r="N136" s="3">
        <v>13495.82818629916</v>
      </c>
      <c r="O136" s="3">
        <v>14020.39865204708</v>
      </c>
      <c r="P136" s="3">
        <v>15947.61040136807</v>
      </c>
      <c r="Q136" s="3">
        <v>18130.75907856352</v>
      </c>
      <c r="R136" s="3">
        <v>20053.96137209536</v>
      </c>
      <c r="S136" s="3">
        <v>20428.17724574992</v>
      </c>
      <c r="T136" s="3">
        <v>19977.11346946987</v>
      </c>
      <c r="U136" s="3">
        <v>19820.07645106126</v>
      </c>
      <c r="V136" s="3">
        <v>20597.91087415753</v>
      </c>
      <c r="W136" s="3">
        <v>21670.44029775676</v>
      </c>
      <c r="X136" s="3">
        <v>23588.29665023639</v>
      </c>
      <c r="Y136" s="3">
        <v>26374.2001810683</v>
      </c>
      <c r="Z136" s="3">
        <v>24842.5880696107</v>
      </c>
      <c r="AA136" s="3">
        <v>28012.06287093853</v>
      </c>
      <c r="AB136" s="3">
        <v>30143.08862287496</v>
      </c>
      <c r="AC136" s="3">
        <v>31104.02152700935</v>
      </c>
      <c r="AD136" s="3">
        <v>31087.3154612212</v>
      </c>
      <c r="AE136" s="3">
        <v>32348.28930691077</v>
      </c>
      <c r="AF136" s="3">
        <v>35327.34867360398</v>
      </c>
      <c r="AG136" s="3">
        <v>35736.44888584832</v>
      </c>
      <c r="AH136" s="3">
        <v>28409.06696428572</v>
      </c>
      <c r="AI136" s="3">
        <v>33926.90060021826</v>
      </c>
      <c r="AJ136" s="3">
        <v>34836.30793401414</v>
      </c>
      <c r="AK136" s="3">
        <v>40340.28638478978</v>
      </c>
      <c r="AL136" s="3">
        <v>41845.2204945195</v>
      </c>
      <c r="AM136" s="3">
        <v>39651.82952017795</v>
      </c>
      <c r="AN136" s="3">
        <v>39968.98501263994</v>
      </c>
      <c r="AO136" s="3">
        <v>45201.49487945381</v>
      </c>
      <c r="AP136" s="3">
        <v>44126.33458168457</v>
      </c>
      <c r="AQ136" s="3">
        <v>45720.93796965318</v>
      </c>
      <c r="AR136" s="3">
        <v>45380.23463532665</v>
      </c>
      <c r="AS136" s="3">
        <v>51898.92752216398</v>
      </c>
      <c r="AT136" s="3">
        <v>63180.94779730074</v>
      </c>
      <c r="AU136" s="3">
        <v>65095.10613605854</v>
      </c>
      <c r="AV136" s="3">
        <v>29471.41158017388</v>
      </c>
      <c r="AW136" s="3">
        <v>20946.86043659554</v>
      </c>
      <c r="AX136" s="3">
        <v>36190.85680698106</v>
      </c>
      <c r="AY136" s="3">
        <v>41893.72591219424</v>
      </c>
      <c r="AZ136" s="3">
        <v>42631.70936383778</v>
      </c>
      <c r="BA136" s="3">
        <v>43364.50097210291</v>
      </c>
      <c r="BB136" s="3">
        <v>44097.29258036805</v>
      </c>
      <c r="BC136" s="3">
        <v>44823.40896143238</v>
      </c>
      <c r="BD136" s="3">
        <v>45549.52534249672</v>
      </c>
      <c r="BE136" s="3">
        <v>46339.42722792422</v>
      </c>
      <c r="BF136" s="3">
        <v>47060.35176561017</v>
      </c>
      <c r="BG136" s="3">
        <v>47852.47872677127</v>
      </c>
      <c r="BH136" s="3">
        <v>47852.47872677127</v>
      </c>
      <c r="BI136" s="3">
        <v>47852.47872677127</v>
      </c>
      <c r="BJ136" s="3">
        <v>47852.47872677127</v>
      </c>
      <c r="BK136" s="3">
        <v>47852.47872677127</v>
      </c>
      <c r="BL136" s="3">
        <v>47852.47872677127</v>
      </c>
      <c r="BM136" s="3">
        <v>47852.47872677127</v>
      </c>
      <c r="BN136" s="3">
        <v>47852.47872677127</v>
      </c>
      <c r="BO136" s="3">
        <v>47852.47872677127</v>
      </c>
      <c r="BP136" s="3">
        <v>47852.47872677127</v>
      </c>
      <c r="BQ136" s="3">
        <v>47852.47872677127</v>
      </c>
      <c r="BR136" s="3">
        <v>47852.47872677127</v>
      </c>
      <c r="BS136" s="3">
        <v>47852.47872677127</v>
      </c>
      <c r="BT136" s="3">
        <v>47852.47872677127</v>
      </c>
      <c r="BU136" s="3">
        <v>47852.47872677127</v>
      </c>
      <c r="BV136" s="3">
        <v>47852.47872677127</v>
      </c>
      <c r="BW136" s="3">
        <v>47852.47872677127</v>
      </c>
      <c r="BX136" s="3">
        <v>47852.47872677127</v>
      </c>
      <c r="BY136" s="3">
        <v>47852.47872677127</v>
      </c>
      <c r="BZ136" s="3">
        <v>47852.47872677127</v>
      </c>
      <c r="CA136" s="3">
        <v>47852.47872677127</v>
      </c>
      <c r="CB136" s="3">
        <v>47852.47872677127</v>
      </c>
      <c r="CC136" s="3">
        <v>47852.47872677127</v>
      </c>
      <c r="CD136" s="3">
        <v>47852.47872677127</v>
      </c>
      <c r="CE136" s="3">
        <v>47852.47872677127</v>
      </c>
      <c r="CF136" s="3">
        <v>47852.47872677127</v>
      </c>
      <c r="CG136" s="3">
        <v>47852.47872677127</v>
      </c>
      <c r="CH136" s="3">
        <v>47852.47872677127</v>
      </c>
      <c r="CI136" s="3">
        <v>47852.47872677127</v>
      </c>
      <c r="CJ136" s="3">
        <v>47852.47872677127</v>
      </c>
      <c r="CK136" s="3">
        <v>47852.47872677127</v>
      </c>
      <c r="CL136" s="3">
        <v>47852.47872677127</v>
      </c>
      <c r="CM136" s="3">
        <v>47852.47872677127</v>
      </c>
      <c r="CN136" s="3">
        <v>47852.47872677127</v>
      </c>
      <c r="CO136" s="3">
        <v>47852.47872677127</v>
      </c>
      <c r="CP136" s="3">
        <v>47852.47872677127</v>
      </c>
      <c r="CQ136" s="3">
        <v>47852.47872677127</v>
      </c>
      <c r="CR136" s="3">
        <v>47852.47872677127</v>
      </c>
      <c r="CS136" s="3">
        <v>47852.47872677127</v>
      </c>
      <c r="CT136" s="3">
        <v>47852.47872677127</v>
      </c>
    </row>
    <row r="137" spans="1:98">
      <c r="A137" s="1" t="str">
        <f>'Population Definitions'!$B$23</f>
        <v>30-49F_oth</v>
      </c>
      <c r="C137" t="s">
        <v>47</v>
      </c>
      <c r="D137" s="3"/>
      <c r="E137" s="3"/>
      <c r="F137" s="4" t="s">
        <v>48</v>
      </c>
      <c r="G137" s="3">
        <v>8179.958052509807</v>
      </c>
      <c r="H137" s="3">
        <v>7545.795795191631</v>
      </c>
      <c r="I137" s="3">
        <v>7683.453777285987</v>
      </c>
      <c r="J137" s="3">
        <v>8524.771250377225</v>
      </c>
      <c r="K137" s="3">
        <v>8651.737350367166</v>
      </c>
      <c r="L137" s="3">
        <v>8345.682225128256</v>
      </c>
      <c r="M137" s="3">
        <v>8101.773664621265</v>
      </c>
      <c r="N137" s="3">
        <v>8352.364651443517</v>
      </c>
      <c r="O137" s="3">
        <v>8676.462327733629</v>
      </c>
      <c r="P137" s="3">
        <v>9869.275425007543</v>
      </c>
      <c r="Q137" s="3">
        <v>11220.46202595312</v>
      </c>
      <c r="R137" s="3">
        <v>12410.60215270093</v>
      </c>
      <c r="S137" s="3">
        <v>12642.48234584046</v>
      </c>
      <c r="T137" s="3">
        <v>12362.48868323106</v>
      </c>
      <c r="U137" s="3">
        <v>12265.59350165979</v>
      </c>
      <c r="V137" s="3">
        <v>12747.39643899004</v>
      </c>
      <c r="W137" s="3">
        <v>13410.96137209536</v>
      </c>
      <c r="X137" s="3">
        <v>14597.76028568554</v>
      </c>
      <c r="Y137" s="3">
        <v>16321.82627502263</v>
      </c>
      <c r="Z137" s="3">
        <v>15374.25822351876</v>
      </c>
      <c r="AA137" s="3">
        <v>17335.55034704758</v>
      </c>
      <c r="AB137" s="3">
        <v>18653.99305904839</v>
      </c>
      <c r="AC137" s="3">
        <v>19248.72900110653</v>
      </c>
      <c r="AD137" s="3">
        <v>19238.70536163364</v>
      </c>
      <c r="AE137" s="3">
        <v>21354.36153304496</v>
      </c>
      <c r="AF137" s="3">
        <v>22075.40964385168</v>
      </c>
      <c r="AG137" s="3">
        <v>22805.19771305707</v>
      </c>
      <c r="AH137" s="3">
        <v>18372.81736607143</v>
      </c>
      <c r="AI137" s="3">
        <v>21579.71907966533</v>
      </c>
      <c r="AJ137" s="3">
        <v>21055.98821681069</v>
      </c>
      <c r="AK137" s="3">
        <v>23039.60081142357</v>
      </c>
      <c r="AL137" s="3">
        <v>23855.00552298411</v>
      </c>
      <c r="AM137" s="3">
        <v>22729.30409914204</v>
      </c>
      <c r="AN137" s="3">
        <v>24895.86124954857</v>
      </c>
      <c r="AO137" s="3">
        <v>27815.37728468814</v>
      </c>
      <c r="AP137" s="3">
        <v>28825.8094968909</v>
      </c>
      <c r="AQ137" s="3">
        <v>29348.60202312139</v>
      </c>
      <c r="AR137" s="3">
        <v>28840.74490148635</v>
      </c>
      <c r="AS137" s="3">
        <v>31206.61489678379</v>
      </c>
      <c r="AT137" s="3">
        <v>33481.07104660046</v>
      </c>
      <c r="AU137" s="3">
        <v>34046.15234053609</v>
      </c>
      <c r="AV137" s="3">
        <v>24299.78677063727</v>
      </c>
      <c r="AW137" s="3">
        <v>22953.53446161393</v>
      </c>
      <c r="AX137" s="3">
        <v>20192.5622824072</v>
      </c>
      <c r="AY137" s="3">
        <v>23552.42664014107</v>
      </c>
      <c r="AZ137" s="3">
        <v>23977.4161052584</v>
      </c>
      <c r="BA137" s="3">
        <v>24414.27264095492</v>
      </c>
      <c r="BB137" s="3">
        <v>24842.22887371705</v>
      </c>
      <c r="BC137" s="3">
        <v>25274.63525794638</v>
      </c>
      <c r="BD137" s="3">
        <v>25706.2999502645</v>
      </c>
      <c r="BE137" s="3">
        <v>26175.7909300538</v>
      </c>
      <c r="BF137" s="3">
        <v>26605.97223854953</v>
      </c>
      <c r="BG137" s="3">
        <v>27071.01306687164</v>
      </c>
      <c r="BH137" s="3">
        <v>27071.01306687164</v>
      </c>
      <c r="BI137" s="3">
        <v>27071.01306687164</v>
      </c>
      <c r="BJ137" s="3">
        <v>27071.01306687164</v>
      </c>
      <c r="BK137" s="3">
        <v>27071.01306687164</v>
      </c>
      <c r="BL137" s="3">
        <v>27071.01306687164</v>
      </c>
      <c r="BM137" s="3">
        <v>27071.01306687164</v>
      </c>
      <c r="BN137" s="3">
        <v>27071.01306687164</v>
      </c>
      <c r="BO137" s="3">
        <v>27071.01306687164</v>
      </c>
      <c r="BP137" s="3">
        <v>27071.01306687164</v>
      </c>
      <c r="BQ137" s="3">
        <v>27071.01306687164</v>
      </c>
      <c r="BR137" s="3">
        <v>27071.01306687164</v>
      </c>
      <c r="BS137" s="3">
        <v>27071.01306687164</v>
      </c>
      <c r="BT137" s="3">
        <v>27071.01306687164</v>
      </c>
      <c r="BU137" s="3">
        <v>27071.01306687164</v>
      </c>
      <c r="BV137" s="3">
        <v>27071.01306687164</v>
      </c>
      <c r="BW137" s="3">
        <v>27071.01306687164</v>
      </c>
      <c r="BX137" s="3">
        <v>27071.01306687164</v>
      </c>
      <c r="BY137" s="3">
        <v>27071.01306687164</v>
      </c>
      <c r="BZ137" s="3">
        <v>27071.01306687164</v>
      </c>
      <c r="CA137" s="3">
        <v>27071.01306687164</v>
      </c>
      <c r="CB137" s="3">
        <v>27071.01306687164</v>
      </c>
      <c r="CC137" s="3">
        <v>27071.01306687164</v>
      </c>
      <c r="CD137" s="3">
        <v>27071.01306687164</v>
      </c>
      <c r="CE137" s="3">
        <v>27071.01306687164</v>
      </c>
      <c r="CF137" s="3">
        <v>27071.01306687164</v>
      </c>
      <c r="CG137" s="3">
        <v>27071.01306687164</v>
      </c>
      <c r="CH137" s="3">
        <v>27071.01306687164</v>
      </c>
      <c r="CI137" s="3">
        <v>27071.01306687164</v>
      </c>
      <c r="CJ137" s="3">
        <v>27071.01306687164</v>
      </c>
      <c r="CK137" s="3">
        <v>27071.01306687164</v>
      </c>
      <c r="CL137" s="3">
        <v>27071.01306687164</v>
      </c>
      <c r="CM137" s="3">
        <v>27071.01306687164</v>
      </c>
      <c r="CN137" s="3">
        <v>27071.01306687164</v>
      </c>
      <c r="CO137" s="3">
        <v>27071.01306687164</v>
      </c>
      <c r="CP137" s="3">
        <v>27071.01306687164</v>
      </c>
      <c r="CQ137" s="3">
        <v>27071.01306687164</v>
      </c>
      <c r="CR137" s="3">
        <v>27071.01306687164</v>
      </c>
      <c r="CS137" s="3">
        <v>27071.01306687164</v>
      </c>
      <c r="CT137" s="3">
        <v>27071.01306687164</v>
      </c>
    </row>
    <row r="138" spans="1:98">
      <c r="A138" s="1" t="str">
        <f>'Population Definitions'!$B$24</f>
        <v>50-64F_oth</v>
      </c>
      <c r="C138" t="s">
        <v>47</v>
      </c>
      <c r="D138" s="3"/>
      <c r="E138" s="3"/>
      <c r="F138" s="4" t="s">
        <v>48</v>
      </c>
      <c r="G138" s="3">
        <v>2531.303088220501</v>
      </c>
      <c r="H138" s="3">
        <v>2334.839754551856</v>
      </c>
      <c r="I138" s="3">
        <v>2377.60728296952</v>
      </c>
      <c r="J138" s="3">
        <v>2637.553666633135</v>
      </c>
      <c r="K138" s="3">
        <v>2676.97998189317</v>
      </c>
      <c r="L138" s="3">
        <v>2582.089528216477</v>
      </c>
      <c r="M138" s="3">
        <v>2506.578110854039</v>
      </c>
      <c r="N138" s="3">
        <v>2584.094256111055</v>
      </c>
      <c r="O138" s="3">
        <v>2684.998893471482</v>
      </c>
      <c r="P138" s="3">
        <v>3053.868826073835</v>
      </c>
      <c r="Q138" s="3">
        <v>3472.188713409113</v>
      </c>
      <c r="R138" s="3">
        <v>3840.390403379941</v>
      </c>
      <c r="S138" s="3">
        <v>3911.892364953224</v>
      </c>
      <c r="T138" s="3">
        <v>3825.689065486369</v>
      </c>
      <c r="U138" s="3">
        <v>3795.618147067699</v>
      </c>
      <c r="V138" s="3">
        <v>3943.968011266472</v>
      </c>
      <c r="W138" s="3">
        <v>4149.786741776481</v>
      </c>
      <c r="X138" s="3">
        <v>4517.320189115783</v>
      </c>
      <c r="Y138" s="3">
        <v>5050.577809073534</v>
      </c>
      <c r="Z138" s="3">
        <v>4757.219293833618</v>
      </c>
      <c r="AA138" s="3">
        <v>5363.983603259229</v>
      </c>
      <c r="AB138" s="3">
        <v>5772.279851121617</v>
      </c>
      <c r="AC138" s="3">
        <v>5956.046574791269</v>
      </c>
      <c r="AD138" s="3">
        <v>5952.705361633638</v>
      </c>
      <c r="AE138" s="3">
        <v>6931.680816819233</v>
      </c>
      <c r="AF138" s="3">
        <v>6352.434413014803</v>
      </c>
      <c r="AG138" s="3">
        <v>6688.3206606724</v>
      </c>
      <c r="AH138" s="3">
        <v>5776.27875</v>
      </c>
      <c r="AI138" s="3">
        <v>7563.088395780283</v>
      </c>
      <c r="AJ138" s="3">
        <v>7455.69913589945</v>
      </c>
      <c r="AK138" s="3">
        <v>7082.709200111372</v>
      </c>
      <c r="AL138" s="3">
        <v>7303.196533265358</v>
      </c>
      <c r="AM138" s="3">
        <v>6533.764299332698</v>
      </c>
      <c r="AN138" s="3">
        <v>7578.891404839292</v>
      </c>
      <c r="AO138" s="3">
        <v>7598.751226797525</v>
      </c>
      <c r="AP138" s="3">
        <v>8741.32726823064</v>
      </c>
      <c r="AQ138" s="3">
        <v>9206.734790462428</v>
      </c>
      <c r="AR138" s="3">
        <v>9572.030314552367</v>
      </c>
      <c r="AS138" s="3">
        <v>9051.193360512521</v>
      </c>
      <c r="AT138" s="3">
        <v>12840.50369238605</v>
      </c>
      <c r="AU138" s="3">
        <v>13529.68735114537</v>
      </c>
      <c r="AV138" s="3">
        <v>14585.47647216994</v>
      </c>
      <c r="AW138" s="3">
        <v>11779.52857493255</v>
      </c>
      <c r="AX138" s="3">
        <v>6225.761902608853</v>
      </c>
      <c r="AY138" s="3">
        <v>7433.236334041688</v>
      </c>
      <c r="AZ138" s="3">
        <v>7600.858705972782</v>
      </c>
      <c r="BA138" s="3">
        <v>7758.839083058281</v>
      </c>
      <c r="BB138" s="3">
        <v>7925.719763078176</v>
      </c>
      <c r="BC138" s="3">
        <v>8090.375367364471</v>
      </c>
      <c r="BD138" s="3">
        <v>8259.481123117965</v>
      </c>
      <c r="BE138" s="3">
        <v>8439.71225753945</v>
      </c>
      <c r="BF138" s="3">
        <v>8605.109553736946</v>
      </c>
      <c r="BG138" s="3">
        <v>8794.240991092825</v>
      </c>
      <c r="BH138" s="3">
        <v>8794.240991092825</v>
      </c>
      <c r="BI138" s="3">
        <v>8794.240991092825</v>
      </c>
      <c r="BJ138" s="3">
        <v>8794.240991092825</v>
      </c>
      <c r="BK138" s="3">
        <v>8794.240991092825</v>
      </c>
      <c r="BL138" s="3">
        <v>8794.240991092825</v>
      </c>
      <c r="BM138" s="3">
        <v>8794.240991092825</v>
      </c>
      <c r="BN138" s="3">
        <v>8794.240991092825</v>
      </c>
      <c r="BO138" s="3">
        <v>8794.240991092825</v>
      </c>
      <c r="BP138" s="3">
        <v>8794.240991092825</v>
      </c>
      <c r="BQ138" s="3">
        <v>8794.240991092825</v>
      </c>
      <c r="BR138" s="3">
        <v>8794.240991092825</v>
      </c>
      <c r="BS138" s="3">
        <v>8794.240991092825</v>
      </c>
      <c r="BT138" s="3">
        <v>8794.240991092825</v>
      </c>
      <c r="BU138" s="3">
        <v>8794.240991092825</v>
      </c>
      <c r="BV138" s="3">
        <v>8794.240991092825</v>
      </c>
      <c r="BW138" s="3">
        <v>8794.240991092825</v>
      </c>
      <c r="BX138" s="3">
        <v>8794.240991092825</v>
      </c>
      <c r="BY138" s="3">
        <v>8794.240991092825</v>
      </c>
      <c r="BZ138" s="3">
        <v>8794.240991092825</v>
      </c>
      <c r="CA138" s="3">
        <v>8794.240991092825</v>
      </c>
      <c r="CB138" s="3">
        <v>8794.240991092825</v>
      </c>
      <c r="CC138" s="3">
        <v>8794.240991092825</v>
      </c>
      <c r="CD138" s="3">
        <v>8794.240991092825</v>
      </c>
      <c r="CE138" s="3">
        <v>8794.240991092825</v>
      </c>
      <c r="CF138" s="3">
        <v>8794.240991092825</v>
      </c>
      <c r="CG138" s="3">
        <v>8794.240991092825</v>
      </c>
      <c r="CH138" s="3">
        <v>8794.240991092825</v>
      </c>
      <c r="CI138" s="3">
        <v>8794.240991092825</v>
      </c>
      <c r="CJ138" s="3">
        <v>8794.240991092825</v>
      </c>
      <c r="CK138" s="3">
        <v>8794.240991092825</v>
      </c>
      <c r="CL138" s="3">
        <v>8794.240991092825</v>
      </c>
      <c r="CM138" s="3">
        <v>8794.240991092825</v>
      </c>
      <c r="CN138" s="3">
        <v>8794.240991092825</v>
      </c>
      <c r="CO138" s="3">
        <v>8794.240991092825</v>
      </c>
      <c r="CP138" s="3">
        <v>8794.240991092825</v>
      </c>
      <c r="CQ138" s="3">
        <v>8794.240991092825</v>
      </c>
      <c r="CR138" s="3">
        <v>8794.240991092825</v>
      </c>
      <c r="CS138" s="3">
        <v>8794.240991092825</v>
      </c>
      <c r="CT138" s="3">
        <v>8794.240991092825</v>
      </c>
    </row>
    <row r="139" spans="1:98">
      <c r="A139" s="1" t="str">
        <f>'Population Definitions'!$B$25</f>
        <v>65+F_oth</v>
      </c>
      <c r="C139" t="s">
        <v>47</v>
      </c>
      <c r="D139" s="3"/>
      <c r="E139" s="3"/>
      <c r="F139" s="4" t="s">
        <v>48</v>
      </c>
      <c r="G139" s="3">
        <v>1224.220500955638</v>
      </c>
      <c r="H139" s="3">
        <v>1129.330047278946</v>
      </c>
      <c r="I139" s="3">
        <v>1150.045568856252</v>
      </c>
      <c r="J139" s="3">
        <v>1275.675183583141</v>
      </c>
      <c r="K139" s="3">
        <v>1295.054219897395</v>
      </c>
      <c r="L139" s="3">
        <v>1248.9454783221</v>
      </c>
      <c r="M139" s="3">
        <v>1212.19213358817</v>
      </c>
      <c r="N139" s="3">
        <v>1250.281963585152</v>
      </c>
      <c r="O139" s="3">
        <v>1298.395433055025</v>
      </c>
      <c r="P139" s="3">
        <v>1476.816215672467</v>
      </c>
      <c r="Q139" s="3">
        <v>1679.293733024846</v>
      </c>
      <c r="R139" s="3">
        <v>1857.714515642289</v>
      </c>
      <c r="S139" s="3">
        <v>1891.794889850116</v>
      </c>
      <c r="T139" s="3">
        <v>1850.363846695503</v>
      </c>
      <c r="U139" s="3">
        <v>1835.662508801931</v>
      </c>
      <c r="V139" s="3">
        <v>1907.83271300674</v>
      </c>
      <c r="W139" s="3">
        <v>2007.400865104114</v>
      </c>
      <c r="X139" s="3">
        <v>2184.485162458505</v>
      </c>
      <c r="Y139" s="3">
        <v>2443.095060859068</v>
      </c>
      <c r="Z139" s="3">
        <v>2300.75938034403</v>
      </c>
      <c r="AA139" s="3">
        <v>2594.117895583945</v>
      </c>
      <c r="AB139" s="3">
        <v>2791.917714515642</v>
      </c>
      <c r="AC139" s="3">
        <v>2880.793984508601</v>
      </c>
      <c r="AD139" s="3">
        <v>2879.457499245549</v>
      </c>
      <c r="AE139" s="3">
        <v>3510.278543406096</v>
      </c>
      <c r="AF139" s="3">
        <v>2894.486296350579</v>
      </c>
      <c r="AG139" s="3">
        <v>3125.878420641126</v>
      </c>
      <c r="AH139" s="3">
        <v>2927.731473214286</v>
      </c>
      <c r="AI139" s="3">
        <v>3785.208484903601</v>
      </c>
      <c r="AJ139" s="3">
        <v>3868</v>
      </c>
      <c r="AK139" s="3">
        <v>3309.952826061016</v>
      </c>
      <c r="AL139" s="3">
        <v>3523.531311071459</v>
      </c>
      <c r="AM139" s="3">
        <v>3037.707141722275</v>
      </c>
      <c r="AN139" s="3">
        <v>4048.380353918382</v>
      </c>
      <c r="AO139" s="3">
        <v>3305.147891330631</v>
      </c>
      <c r="AP139" s="3">
        <v>4119.37213821368</v>
      </c>
      <c r="AQ139" s="3">
        <v>4306.95137283237</v>
      </c>
      <c r="AR139" s="3">
        <v>4623.035914275838</v>
      </c>
      <c r="AS139" s="3">
        <v>4321.590209020902</v>
      </c>
      <c r="AT139" s="3">
        <v>6843.313470842882</v>
      </c>
      <c r="AU139" s="3">
        <v>6736.502403325683</v>
      </c>
      <c r="AV139" s="3">
        <v>9259.730393474949</v>
      </c>
      <c r="AW139" s="3">
        <v>8970.184939906794</v>
      </c>
      <c r="AX139" s="3">
        <v>3114.364335126826</v>
      </c>
      <c r="AY139" s="3">
        <v>3764.828141248813</v>
      </c>
      <c r="AZ139" s="3">
        <v>3855.314554415156</v>
      </c>
      <c r="BA139" s="3">
        <v>3946.542659492698</v>
      </c>
      <c r="BB139" s="3">
        <v>4034.062305014243</v>
      </c>
      <c r="BC139" s="3">
        <v>4128.257177736583</v>
      </c>
      <c r="BD139" s="3">
        <v>4220.226974725325</v>
      </c>
      <c r="BE139" s="3">
        <v>4321.83876655966</v>
      </c>
      <c r="BF139" s="3">
        <v>4416.7753311932</v>
      </c>
      <c r="BG139" s="3">
        <v>4516.162047293937</v>
      </c>
      <c r="BH139" s="3">
        <v>4516.162047293937</v>
      </c>
      <c r="BI139" s="3">
        <v>4516.162047293937</v>
      </c>
      <c r="BJ139" s="3">
        <v>4516.162047293937</v>
      </c>
      <c r="BK139" s="3">
        <v>4516.162047293937</v>
      </c>
      <c r="BL139" s="3">
        <v>4516.162047293937</v>
      </c>
      <c r="BM139" s="3">
        <v>4516.162047293937</v>
      </c>
      <c r="BN139" s="3">
        <v>4516.162047293937</v>
      </c>
      <c r="BO139" s="3">
        <v>4516.162047293937</v>
      </c>
      <c r="BP139" s="3">
        <v>4516.162047293937</v>
      </c>
      <c r="BQ139" s="3">
        <v>4516.162047293937</v>
      </c>
      <c r="BR139" s="3">
        <v>4516.162047293937</v>
      </c>
      <c r="BS139" s="3">
        <v>4516.162047293937</v>
      </c>
      <c r="BT139" s="3">
        <v>4516.162047293937</v>
      </c>
      <c r="BU139" s="3">
        <v>4516.162047293937</v>
      </c>
      <c r="BV139" s="3">
        <v>4516.162047293937</v>
      </c>
      <c r="BW139" s="3">
        <v>4516.162047293937</v>
      </c>
      <c r="BX139" s="3">
        <v>4516.162047293937</v>
      </c>
      <c r="BY139" s="3">
        <v>4516.162047293937</v>
      </c>
      <c r="BZ139" s="3">
        <v>4516.162047293937</v>
      </c>
      <c r="CA139" s="3">
        <v>4516.162047293937</v>
      </c>
      <c r="CB139" s="3">
        <v>4516.162047293937</v>
      </c>
      <c r="CC139" s="3">
        <v>4516.162047293937</v>
      </c>
      <c r="CD139" s="3">
        <v>4516.162047293937</v>
      </c>
      <c r="CE139" s="3">
        <v>4516.162047293937</v>
      </c>
      <c r="CF139" s="3">
        <v>4516.162047293937</v>
      </c>
      <c r="CG139" s="3">
        <v>4516.162047293937</v>
      </c>
      <c r="CH139" s="3">
        <v>4516.162047293937</v>
      </c>
      <c r="CI139" s="3">
        <v>4516.162047293937</v>
      </c>
      <c r="CJ139" s="3">
        <v>4516.162047293937</v>
      </c>
      <c r="CK139" s="3">
        <v>4516.162047293937</v>
      </c>
      <c r="CL139" s="3">
        <v>4516.162047293937</v>
      </c>
      <c r="CM139" s="3">
        <v>4516.162047293937</v>
      </c>
      <c r="CN139" s="3">
        <v>4516.162047293937</v>
      </c>
      <c r="CO139" s="3">
        <v>4516.162047293937</v>
      </c>
      <c r="CP139" s="3">
        <v>4516.162047293937</v>
      </c>
      <c r="CQ139" s="3">
        <v>4516.162047293937</v>
      </c>
      <c r="CR139" s="3">
        <v>4516.162047293937</v>
      </c>
      <c r="CS139" s="3">
        <v>4516.162047293937</v>
      </c>
      <c r="CT139" s="3">
        <v>4516.162047293937</v>
      </c>
    </row>
    <row r="140" spans="1:98">
      <c r="A140" s="1" t="str">
        <f>'Population Definitions'!$B$26</f>
        <v>0-4M_fns</v>
      </c>
      <c r="C140" t="s">
        <v>47</v>
      </c>
      <c r="D140" s="3"/>
      <c r="E140" s="3">
        <v>0</v>
      </c>
      <c r="F140" s="4" t="s">
        <v>48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Definitions'!$B$27</f>
        <v>5-14M_fns</v>
      </c>
      <c r="C141" t="s">
        <v>47</v>
      </c>
      <c r="D141" s="3"/>
      <c r="E141" s="3">
        <v>0</v>
      </c>
      <c r="F141" s="4" t="s">
        <v>48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Definitions'!$B$28</f>
        <v>15-29M_fns</v>
      </c>
      <c r="C142" t="s">
        <v>47</v>
      </c>
      <c r="D142" s="3"/>
      <c r="E142" s="3">
        <v>0</v>
      </c>
      <c r="F142" s="4" t="s">
        <v>48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Definitions'!$B$29</f>
        <v>30-49M_fns</v>
      </c>
      <c r="C143" t="s">
        <v>47</v>
      </c>
      <c r="D143" s="3"/>
      <c r="E143" s="3">
        <v>0</v>
      </c>
      <c r="F143" s="4" t="s">
        <v>48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Definitions'!$B$30</f>
        <v>50-64M_fns</v>
      </c>
      <c r="C144" t="s">
        <v>47</v>
      </c>
      <c r="D144" s="3"/>
      <c r="E144" s="3">
        <v>0</v>
      </c>
      <c r="F144" s="4" t="s">
        <v>48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Definitions'!$B$31</f>
        <v>65+M_fns</v>
      </c>
      <c r="C145" t="s">
        <v>47</v>
      </c>
      <c r="D145" s="3"/>
      <c r="E145" s="3">
        <v>0</v>
      </c>
      <c r="F145" s="4" t="s">
        <v>48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Definitions'!$B$32</f>
        <v>0-4F_fns</v>
      </c>
      <c r="C146" t="s">
        <v>47</v>
      </c>
      <c r="D146" s="3"/>
      <c r="E146" s="3">
        <v>0</v>
      </c>
      <c r="F146" s="4" t="s">
        <v>48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Definitions'!$B$33</f>
        <v>5-14F_fns</v>
      </c>
      <c r="C147" t="s">
        <v>47</v>
      </c>
      <c r="D147" s="3"/>
      <c r="E147" s="3">
        <v>0</v>
      </c>
      <c r="F147" s="4" t="s">
        <v>48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Definitions'!$B$34</f>
        <v>15-29F_fns</v>
      </c>
      <c r="C148" t="s">
        <v>47</v>
      </c>
      <c r="D148" s="3"/>
      <c r="E148" s="3">
        <v>0</v>
      </c>
      <c r="F148" s="4" t="s">
        <v>48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Definitions'!$B$35</f>
        <v>30-49F_fns</v>
      </c>
      <c r="C149" t="s">
        <v>47</v>
      </c>
      <c r="D149" s="3"/>
      <c r="E149" s="3">
        <v>0</v>
      </c>
      <c r="F149" s="4" t="s">
        <v>48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Definitions'!$B$36</f>
        <v>50-64F_fns</v>
      </c>
      <c r="C150" t="s">
        <v>47</v>
      </c>
      <c r="D150" s="3"/>
      <c r="E150" s="3">
        <v>0</v>
      </c>
      <c r="F150" s="4" t="s">
        <v>48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Definitions'!$B$37</f>
        <v>65+F_fns</v>
      </c>
      <c r="C151" t="s">
        <v>47</v>
      </c>
      <c r="D151" s="3"/>
      <c r="E151" s="3">
        <v>0</v>
      </c>
      <c r="F151" s="4" t="s">
        <v>48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3" spans="1:98">
      <c r="A153" s="1" t="s">
        <v>51</v>
      </c>
      <c r="B153" s="1" t="s">
        <v>41</v>
      </c>
      <c r="C153" s="1" t="s">
        <v>42</v>
      </c>
      <c r="D153" s="1" t="s">
        <v>43</v>
      </c>
      <c r="E153" s="1" t="s">
        <v>46</v>
      </c>
      <c r="F153" s="1"/>
      <c r="G153" s="1">
        <v>1980</v>
      </c>
      <c r="H153" s="1">
        <v>1981</v>
      </c>
      <c r="I153" s="1">
        <v>1982</v>
      </c>
      <c r="J153" s="1">
        <v>1983</v>
      </c>
      <c r="K153" s="1">
        <v>1984</v>
      </c>
      <c r="L153" s="1">
        <v>1985</v>
      </c>
      <c r="M153" s="1">
        <v>1986</v>
      </c>
      <c r="N153" s="1">
        <v>1987</v>
      </c>
      <c r="O153" s="1">
        <v>1988</v>
      </c>
      <c r="P153" s="1">
        <v>1989</v>
      </c>
      <c r="Q153" s="1">
        <v>1990</v>
      </c>
      <c r="R153" s="1">
        <v>1991</v>
      </c>
      <c r="S153" s="1">
        <v>1992</v>
      </c>
      <c r="T153" s="1">
        <v>1993</v>
      </c>
      <c r="U153" s="1">
        <v>1994</v>
      </c>
      <c r="V153" s="1">
        <v>1995</v>
      </c>
      <c r="W153" s="1">
        <v>1996</v>
      </c>
      <c r="X153" s="1">
        <v>1997</v>
      </c>
      <c r="Y153" s="1">
        <v>1998</v>
      </c>
      <c r="Z153" s="1">
        <v>1999</v>
      </c>
      <c r="AA153" s="1">
        <v>2000</v>
      </c>
      <c r="AB153" s="1">
        <v>2001</v>
      </c>
      <c r="AC153" s="1">
        <v>2002</v>
      </c>
      <c r="AD153" s="1">
        <v>2003</v>
      </c>
      <c r="AE153" s="1">
        <v>2004</v>
      </c>
      <c r="AF153" s="1">
        <v>2005</v>
      </c>
      <c r="AG153" s="1">
        <v>2006</v>
      </c>
      <c r="AH153" s="1">
        <v>2007</v>
      </c>
      <c r="AI153" s="1">
        <v>2008</v>
      </c>
      <c r="AJ153" s="1">
        <v>2009</v>
      </c>
      <c r="AK153" s="1">
        <v>2010</v>
      </c>
      <c r="AL153" s="1">
        <v>2011</v>
      </c>
      <c r="AM153" s="1">
        <v>2012</v>
      </c>
      <c r="AN153" s="1">
        <v>2013</v>
      </c>
      <c r="AO153" s="1">
        <v>2014</v>
      </c>
      <c r="AP153" s="1">
        <v>2015</v>
      </c>
      <c r="AQ153" s="1">
        <v>2016</v>
      </c>
      <c r="AR153" s="1">
        <v>2017</v>
      </c>
      <c r="AS153" s="1">
        <v>2018</v>
      </c>
      <c r="AT153" s="1">
        <v>2019</v>
      </c>
      <c r="AU153" s="1">
        <v>2020</v>
      </c>
      <c r="AV153" s="1">
        <v>2021</v>
      </c>
      <c r="AW153" s="1">
        <v>2022</v>
      </c>
      <c r="AX153" s="1">
        <v>2023</v>
      </c>
      <c r="AY153" s="1">
        <v>2024</v>
      </c>
      <c r="AZ153" s="1">
        <v>2025</v>
      </c>
      <c r="BA153" s="1">
        <v>2026</v>
      </c>
      <c r="BB153" s="1">
        <v>2027</v>
      </c>
      <c r="BC153" s="1">
        <v>2028</v>
      </c>
      <c r="BD153" s="1">
        <v>2029</v>
      </c>
      <c r="BE153" s="1">
        <v>2030</v>
      </c>
      <c r="BF153" s="1">
        <v>2031</v>
      </c>
      <c r="BG153" s="1">
        <v>2032</v>
      </c>
      <c r="BH153" s="1">
        <v>2033</v>
      </c>
      <c r="BI153" s="1">
        <v>2034</v>
      </c>
      <c r="BJ153" s="1">
        <v>2035</v>
      </c>
      <c r="BK153" s="1">
        <v>2036</v>
      </c>
      <c r="BL153" s="1">
        <v>2037</v>
      </c>
      <c r="BM153" s="1">
        <v>2038</v>
      </c>
      <c r="BN153" s="1">
        <v>2039</v>
      </c>
      <c r="BO153" s="1">
        <v>2040</v>
      </c>
      <c r="BP153" s="1">
        <v>2041</v>
      </c>
      <c r="BQ153" s="1">
        <v>2042</v>
      </c>
      <c r="BR153" s="1">
        <v>2043</v>
      </c>
      <c r="BS153" s="1">
        <v>2044</v>
      </c>
      <c r="BT153" s="1">
        <v>2045</v>
      </c>
      <c r="BU153" s="1">
        <v>2046</v>
      </c>
      <c r="BV153" s="1">
        <v>2047</v>
      </c>
      <c r="BW153" s="1">
        <v>2048</v>
      </c>
      <c r="BX153" s="1">
        <v>2049</v>
      </c>
      <c r="BY153" s="1">
        <v>2050</v>
      </c>
      <c r="BZ153" s="1">
        <v>2051</v>
      </c>
      <c r="CA153" s="1">
        <v>2052</v>
      </c>
      <c r="CB153" s="1">
        <v>2053</v>
      </c>
      <c r="CC153" s="1">
        <v>2054</v>
      </c>
      <c r="CD153" s="1">
        <v>2055</v>
      </c>
      <c r="CE153" s="1">
        <v>2056</v>
      </c>
      <c r="CF153" s="1">
        <v>2057</v>
      </c>
      <c r="CG153" s="1">
        <v>2058</v>
      </c>
      <c r="CH153" s="1">
        <v>2059</v>
      </c>
      <c r="CI153" s="1">
        <v>2060</v>
      </c>
      <c r="CJ153" s="1">
        <v>2061</v>
      </c>
      <c r="CK153" s="1">
        <v>2062</v>
      </c>
      <c r="CL153" s="1">
        <v>2063</v>
      </c>
      <c r="CM153" s="1">
        <v>2064</v>
      </c>
      <c r="CN153" s="1">
        <v>2065</v>
      </c>
      <c r="CO153" s="1">
        <v>2066</v>
      </c>
      <c r="CP153" s="1">
        <v>2067</v>
      </c>
      <c r="CQ153" s="1">
        <v>2068</v>
      </c>
      <c r="CR153" s="1">
        <v>2069</v>
      </c>
      <c r="CS153" s="1">
        <v>2070</v>
      </c>
      <c r="CT153" s="1">
        <v>2071</v>
      </c>
    </row>
    <row r="154" spans="1:98">
      <c r="A154" s="1" t="str">
        <f>'Population Definitions'!$B$2</f>
        <v>0-4M_aus</v>
      </c>
      <c r="C154" t="s">
        <v>52</v>
      </c>
      <c r="D154" s="3"/>
      <c r="E154" s="3"/>
      <c r="F154" s="4" t="s">
        <v>48</v>
      </c>
      <c r="G154" s="3">
        <v>0.00291776456468056</v>
      </c>
      <c r="H154" s="3">
        <v>0.00280855529150335</v>
      </c>
      <c r="I154" s="3">
        <v>0.00293724966622163</v>
      </c>
      <c r="J154" s="3">
        <v>0.00264592580744058</v>
      </c>
      <c r="K154" s="3">
        <v>0.00252590161341348</v>
      </c>
      <c r="L154" s="3">
        <v>0.00272887280945271</v>
      </c>
      <c r="M154" s="3">
        <v>0.0024409550579949</v>
      </c>
      <c r="N154" s="3">
        <v>0.00238722370689379</v>
      </c>
      <c r="O154" s="3">
        <v>0.0023132848645076</v>
      </c>
      <c r="P154" s="3">
        <v>0.00213804016124779</v>
      </c>
      <c r="Q154" s="3">
        <v>0.0022937521600791</v>
      </c>
      <c r="R154" s="3">
        <v>0.00190709211377552</v>
      </c>
      <c r="S154" s="3">
        <v>0.00196380702140747</v>
      </c>
      <c r="T154" s="3">
        <v>0.00175313291344718</v>
      </c>
      <c r="U154" s="3">
        <v>0.00160504709842985</v>
      </c>
      <c r="V154" s="3">
        <v>0.0015233815762563</v>
      </c>
      <c r="W154" s="3">
        <v>0.00158125429073654</v>
      </c>
      <c r="X154" s="3">
        <v>0.00143311429312769</v>
      </c>
      <c r="Y154" s="3">
        <v>0.00137153214537938</v>
      </c>
      <c r="Z154" s="3">
        <v>0.00148650645092016</v>
      </c>
      <c r="AA154" s="3">
        <v>0.00134870128180202</v>
      </c>
      <c r="AB154" s="3">
        <v>0.00137507981741145</v>
      </c>
      <c r="AC154" s="3">
        <v>0.00132654331709612</v>
      </c>
      <c r="AD154" s="3">
        <v>0.00127110307769867</v>
      </c>
      <c r="AE154" s="3">
        <v>0.00126476971674684</v>
      </c>
      <c r="AF154" s="3">
        <v>0.00130021965023634</v>
      </c>
      <c r="AG154" s="3">
        <v>0.00126720204197118</v>
      </c>
      <c r="AH154" s="3">
        <v>0.00116138264279396</v>
      </c>
      <c r="AI154" s="3">
        <v>0.00117986292189251</v>
      </c>
      <c r="AJ154" s="3">
        <v>0.00117354696715298</v>
      </c>
      <c r="AK154" s="3">
        <v>0.00116035705767752</v>
      </c>
      <c r="AL154" s="3">
        <v>0.0009979599934270909</v>
      </c>
      <c r="AM154" s="3">
        <v>0.000887617925450521</v>
      </c>
      <c r="AN154" s="3">
        <v>0.000905676766644525</v>
      </c>
      <c r="AO154" s="3">
        <v>0.000803834137167471</v>
      </c>
      <c r="AP154" s="3">
        <v>0.0008305752046953849</v>
      </c>
      <c r="AQ154" s="3">
        <v>0.000809513140972876</v>
      </c>
      <c r="AR154" s="3">
        <v>0.00082199231159071</v>
      </c>
      <c r="AS154" s="3">
        <v>0.000821124293335457</v>
      </c>
      <c r="AT154" s="3">
        <v>0.000852870998884515</v>
      </c>
      <c r="AU154" s="3">
        <v>0.000756106797235461</v>
      </c>
      <c r="AV154" s="3">
        <v>0.0008390267289943661</v>
      </c>
      <c r="AW154" s="3">
        <v>0.000770323786315956</v>
      </c>
      <c r="AX154" s="3">
        <v>0.000743263384642085</v>
      </c>
      <c r="AY154" s="3">
        <v>0.0007379258918799499</v>
      </c>
      <c r="AZ154" s="3">
        <v>0.000724436230880594</v>
      </c>
      <c r="BA154" s="3">
        <v>0.0007080798862095429</v>
      </c>
      <c r="BB154" s="3">
        <v>0.000699975893028128</v>
      </c>
      <c r="BC154" s="3">
        <v>0.000695521212196702</v>
      </c>
      <c r="BD154" s="3">
        <v>0.000688164739454094</v>
      </c>
      <c r="BE154" s="3">
        <v>0.000682856616610875</v>
      </c>
      <c r="BF154" s="3">
        <v>0.000675550500802343</v>
      </c>
      <c r="BG154" s="3">
        <v>0.0006722114589746921</v>
      </c>
      <c r="BH154" s="3">
        <v>0.000670877912725053</v>
      </c>
      <c r="BI154" s="3">
        <v>0.000667784154093441</v>
      </c>
      <c r="BJ154" s="3">
        <v>0.000664833150747075</v>
      </c>
      <c r="BK154" s="3">
        <v>0.000659854722942058</v>
      </c>
      <c r="BL154" s="3">
        <v>0.000658714603942154</v>
      </c>
      <c r="BM154" s="3">
        <v>0.000655323378804396</v>
      </c>
      <c r="BN154" s="3">
        <v>0.000653631114697697</v>
      </c>
      <c r="BO154" s="3">
        <v>0.000651589122531766</v>
      </c>
      <c r="BP154" s="3">
        <v>0.000649200066951516</v>
      </c>
      <c r="BQ154" s="3">
        <v>0.000646487632701578</v>
      </c>
      <c r="BR154" s="3">
        <v>0.000641532868848116</v>
      </c>
      <c r="BS154" s="3">
        <v>0.000638460939309803</v>
      </c>
      <c r="BT154" s="3">
        <v>0.00063537695841874</v>
      </c>
      <c r="BU154" s="3">
        <v>0.000632330529150701</v>
      </c>
      <c r="BV154" s="3">
        <v>0.000629388908294922</v>
      </c>
      <c r="BW154" s="3">
        <v>0.0006265921630007959</v>
      </c>
      <c r="BX154" s="3">
        <v>0.000623956387726501</v>
      </c>
      <c r="BY154" s="3">
        <v>0.000621492472012732</v>
      </c>
      <c r="BZ154" s="3">
        <v>0.000619169251036934</v>
      </c>
      <c r="CA154" s="3">
        <v>0.000615043259429988</v>
      </c>
      <c r="CB154" s="3">
        <v>0.000613050977569869</v>
      </c>
      <c r="CC154" s="3">
        <v>0.000611183207396068</v>
      </c>
      <c r="CD154" s="3">
        <v>0.000609383404312762</v>
      </c>
      <c r="CE154" s="3">
        <v>0.000607627509600128</v>
      </c>
      <c r="CF154" s="3">
        <v>0.000605888336506785</v>
      </c>
      <c r="CG154" s="3">
        <v>0.000604146750164856</v>
      </c>
      <c r="CH154" s="3">
        <v>0.000602421486404258</v>
      </c>
      <c r="CI154" s="3">
        <v>0.000602699062592863</v>
      </c>
      <c r="CJ154" s="3">
        <v>0.000598991266940518</v>
      </c>
      <c r="CK154" s="3">
        <v>0.000597317995672504</v>
      </c>
      <c r="CL154" s="3">
        <v>0.000595643637829862</v>
      </c>
      <c r="CM154" s="3">
        <v>0.000593964128455961</v>
      </c>
      <c r="CN154" s="3">
        <v>0.000592261229925161</v>
      </c>
      <c r="CO154" s="3">
        <v>0.000590549799984929</v>
      </c>
      <c r="CP154" s="3">
        <v>0.000590802877962507</v>
      </c>
      <c r="CQ154" s="3">
        <v>0.000587033073110755</v>
      </c>
      <c r="CR154" s="3">
        <v>0.000583204194243134</v>
      </c>
      <c r="CS154" s="3">
        <v>0.000581317445231639</v>
      </c>
      <c r="CT154" s="3">
        <v>0.000579366028111916</v>
      </c>
    </row>
    <row r="155" spans="1:98">
      <c r="A155" s="1" t="str">
        <f>'Population Definitions'!$B$3</f>
        <v>5-14M_aus</v>
      </c>
      <c r="C155" t="s">
        <v>52</v>
      </c>
      <c r="D155" s="3"/>
      <c r="E155" s="3"/>
      <c r="F155" s="4" t="s">
        <v>48</v>
      </c>
      <c r="G155" s="3">
        <v>0.000330119412159778</v>
      </c>
      <c r="H155" s="3">
        <v>0.000314831913057956</v>
      </c>
      <c r="I155" s="3">
        <v>0.000367090835343143</v>
      </c>
      <c r="J155" s="3">
        <v>0.000293175599305469</v>
      </c>
      <c r="K155" s="3">
        <v>0.000272586594099419</v>
      </c>
      <c r="L155" s="3">
        <v>0.000290633410784045</v>
      </c>
      <c r="M155" s="3">
        <v>0.00027171359664234</v>
      </c>
      <c r="N155" s="3">
        <v>0.000257435218717278</v>
      </c>
      <c r="O155" s="3">
        <v>0.000265073281717675</v>
      </c>
      <c r="P155" s="3">
        <v>0.000243456708292528</v>
      </c>
      <c r="Q155" s="3">
        <v>0.000222428087438432</v>
      </c>
      <c r="R155" s="3">
        <v>0.000206859844320535</v>
      </c>
      <c r="S155" s="3">
        <v>0.000196462291952211</v>
      </c>
      <c r="T155" s="3">
        <v>0.000194180420473524</v>
      </c>
      <c r="U155" s="3">
        <v>0.00019542491942539</v>
      </c>
      <c r="V155" s="3">
        <v>0.000183061514720566</v>
      </c>
      <c r="W155" s="3">
        <v>0.000196438907499768</v>
      </c>
      <c r="X155" s="3">
        <v>0.000173076463988159</v>
      </c>
      <c r="Y155" s="3">
        <v>0.000169180505953596</v>
      </c>
      <c r="Z155" s="3">
        <v>0.000152453956327465</v>
      </c>
      <c r="AA155" s="3">
        <v>0.000161511218817738</v>
      </c>
      <c r="AB155" s="3">
        <v>0.000153902666726679</v>
      </c>
      <c r="AC155" s="3">
        <v>0.00015261113309065</v>
      </c>
      <c r="AD155" s="3">
        <v>0.000124831963909853</v>
      </c>
      <c r="AE155" s="3">
        <v>0.000139782544474627</v>
      </c>
      <c r="AF155" s="3">
        <v>0.000120280693364179</v>
      </c>
      <c r="AG155" s="3">
        <v>0.000119485836609597</v>
      </c>
      <c r="AH155" s="3">
        <v>0.000109338044460302</v>
      </c>
      <c r="AI155" s="3">
        <v>0.00011262739629133</v>
      </c>
      <c r="AJ155" s="3">
        <v>0.000115582933965757</v>
      </c>
      <c r="AK155" s="3">
        <v>0.000120744725053607</v>
      </c>
      <c r="AL155" s="3">
        <v>0.000109569951985885</v>
      </c>
      <c r="AM155" s="3">
        <v>0.000101965506525792</v>
      </c>
      <c r="AN155" s="3">
        <v>0.000107890481601259</v>
      </c>
      <c r="AO155" s="3">
        <v>9.07296478278314E-05</v>
      </c>
      <c r="AP155" s="3">
        <v>0.000102427126403665</v>
      </c>
      <c r="AQ155" s="3">
        <v>9.677417259706159E-05</v>
      </c>
      <c r="AR155" s="3">
        <v>9.72839961467907E-05</v>
      </c>
      <c r="AS155" s="3">
        <v>8.160249865605039E-05</v>
      </c>
      <c r="AT155" s="3">
        <v>9.12209898885512E-05</v>
      </c>
      <c r="AU155" s="3">
        <v>8.026888265111819E-05</v>
      </c>
      <c r="AV155" s="3">
        <v>9.47980471602285E-05</v>
      </c>
      <c r="AW155" s="3">
        <v>0.000121053045313577</v>
      </c>
      <c r="AX155" s="3">
        <v>0.000121115721309083</v>
      </c>
      <c r="AY155" s="3">
        <v>0.000117255685867448</v>
      </c>
      <c r="AZ155" s="3">
        <v>0.000111272214758929</v>
      </c>
      <c r="BA155" s="3">
        <v>0.000111417409645175</v>
      </c>
      <c r="BB155" s="3">
        <v>0.000111507773904764</v>
      </c>
      <c r="BC155" s="3">
        <v>0.000111480099356827</v>
      </c>
      <c r="BD155" s="3">
        <v>0.000110503701536211</v>
      </c>
      <c r="BE155" s="3">
        <v>0.00011047817328715</v>
      </c>
      <c r="BF155" s="3">
        <v>0.000109292483234443</v>
      </c>
      <c r="BG155" s="3">
        <v>0.000109249691942767</v>
      </c>
      <c r="BH155" s="3">
        <v>0.000107251293030949</v>
      </c>
      <c r="BI155" s="3">
        <v>0.000107220527936858</v>
      </c>
      <c r="BJ155" s="3">
        <v>0.000107286425359605</v>
      </c>
      <c r="BK155" s="3">
        <v>0.000106307589547695</v>
      </c>
      <c r="BL155" s="3">
        <v>0.000106204339260539</v>
      </c>
      <c r="BM155" s="3">
        <v>0.000106203856094796</v>
      </c>
      <c r="BN155" s="3">
        <v>0.000105179518911953</v>
      </c>
      <c r="BO155" s="3">
        <v>0.000104158499905884</v>
      </c>
      <c r="BP155" s="3">
        <v>0.000104122702984306</v>
      </c>
      <c r="BQ155" s="3">
        <v>0.00010309041868976</v>
      </c>
      <c r="BR155" s="3">
        <v>0.000102061806311942</v>
      </c>
      <c r="BS155" s="3">
        <v>0.000102026699924232</v>
      </c>
      <c r="BT155" s="3">
        <v>0.000101992001309078</v>
      </c>
      <c r="BU155" s="3">
        <v>0.000100960568260072</v>
      </c>
      <c r="BV155" s="3">
        <v>9.99332412849919E-05</v>
      </c>
      <c r="BW155" s="3">
        <v>9.99218517573194E-05</v>
      </c>
      <c r="BX155" s="3">
        <v>9.99242380242516E-05</v>
      </c>
      <c r="BY155" s="3">
        <v>9.99399915646506E-05</v>
      </c>
      <c r="BZ155" s="3">
        <v>9.89715510575947E-05</v>
      </c>
      <c r="CA155" s="3">
        <v>9.90060955103857E-05</v>
      </c>
      <c r="CB155" s="3">
        <v>9.90462857661189E-05</v>
      </c>
      <c r="CC155" s="3">
        <v>9.90886902764156E-05</v>
      </c>
      <c r="CD155" s="3">
        <v>9.9130178619437E-05</v>
      </c>
      <c r="CE155" s="3">
        <v>9.815501081994111E-05</v>
      </c>
      <c r="CF155" s="3">
        <v>9.81856027026999E-05</v>
      </c>
      <c r="CG155" s="3">
        <v>9.82106649362744E-05</v>
      </c>
      <c r="CH155" s="3">
        <v>9.82296475366741E-05</v>
      </c>
      <c r="CI155" s="3">
        <v>9.82423033718856E-05</v>
      </c>
      <c r="CJ155" s="3">
        <v>9.72698666718777E-05</v>
      </c>
      <c r="CK155" s="3">
        <v>9.72710689323211E-05</v>
      </c>
      <c r="CL155" s="3">
        <v>9.62531988798853E-05</v>
      </c>
      <c r="CM155" s="3">
        <v>9.62468484546857E-05</v>
      </c>
      <c r="CN155" s="3">
        <v>9.62380793215547E-05</v>
      </c>
      <c r="CO155" s="3">
        <v>9.62278309576985E-05</v>
      </c>
      <c r="CP155" s="3">
        <v>9.62167203100552E-05</v>
      </c>
      <c r="CQ155" s="3">
        <v>9.51982213334094E-05</v>
      </c>
      <c r="CR155" s="3">
        <v>9.51863927927782E-05</v>
      </c>
      <c r="CS155" s="3">
        <v>9.517422183581689E-05</v>
      </c>
      <c r="CT155" s="3">
        <v>9.414445132665569E-05</v>
      </c>
    </row>
    <row r="156" spans="1:98">
      <c r="A156" s="1" t="str">
        <f>'Population Definitions'!$B$4</f>
        <v>15-29M_aus</v>
      </c>
      <c r="C156" t="s">
        <v>52</v>
      </c>
      <c r="D156" s="3"/>
      <c r="E156" s="3"/>
      <c r="F156" s="4" t="s">
        <v>48</v>
      </c>
      <c r="G156" s="3">
        <v>0.00141531875643504</v>
      </c>
      <c r="H156" s="3">
        <v>0.00136745327396208</v>
      </c>
      <c r="I156" s="3">
        <v>0.00142533776794342</v>
      </c>
      <c r="J156" s="3">
        <v>0.00133180203876317</v>
      </c>
      <c r="K156" s="3">
        <v>0.00118614752008511</v>
      </c>
      <c r="L156" s="3">
        <v>0.0013496091478458</v>
      </c>
      <c r="M156" s="3">
        <v>0.00129953723795917</v>
      </c>
      <c r="N156" s="3">
        <v>0.00127128940600181</v>
      </c>
      <c r="O156" s="3">
        <v>0.0013937989043893</v>
      </c>
      <c r="P156" s="3">
        <v>0.00129516914191029</v>
      </c>
      <c r="Q156" s="3">
        <v>0.0012366980727022</v>
      </c>
      <c r="R156" s="3">
        <v>0.00114529610528188</v>
      </c>
      <c r="S156" s="3">
        <v>0.00109898035065163</v>
      </c>
      <c r="T156" s="3">
        <v>0.00106914031092798</v>
      </c>
      <c r="U156" s="3">
        <v>0.00107060769362178</v>
      </c>
      <c r="V156" s="3">
        <v>0.00109672299945237</v>
      </c>
      <c r="W156" s="3">
        <v>0.00110682376485885</v>
      </c>
      <c r="X156" s="3">
        <v>0.00115110390718805</v>
      </c>
      <c r="Y156" s="3">
        <v>0.00115632283478793</v>
      </c>
      <c r="Z156" s="3">
        <v>0.00118328814952842</v>
      </c>
      <c r="AA156" s="3">
        <v>0.00104081404318716</v>
      </c>
      <c r="AB156" s="3">
        <v>0.0009252354652935861</v>
      </c>
      <c r="AC156" s="3">
        <v>0.0008716887830950199</v>
      </c>
      <c r="AD156" s="3">
        <v>0.000857204259668224</v>
      </c>
      <c r="AE156" s="3">
        <v>0.000762844465934227</v>
      </c>
      <c r="AF156" s="3">
        <v>0.0007609876794053379</v>
      </c>
      <c r="AG156" s="3">
        <v>0.000706952397141453</v>
      </c>
      <c r="AH156" s="3">
        <v>0.000705511907945856</v>
      </c>
      <c r="AI156" s="3">
        <v>0.000684499818705959</v>
      </c>
      <c r="AJ156" s="3">
        <v>0.000655432056924126</v>
      </c>
      <c r="AK156" s="3">
        <v>0.000621729357710236</v>
      </c>
      <c r="AL156" s="3">
        <v>0.000603445737371291</v>
      </c>
      <c r="AM156" s="3">
        <v>0.000595295892376402</v>
      </c>
      <c r="AN156" s="3">
        <v>0.000552585638611425</v>
      </c>
      <c r="AO156" s="3">
        <v>0.0005335603848716719</v>
      </c>
      <c r="AP156" s="3">
        <v>0.000570564539473763</v>
      </c>
      <c r="AQ156" s="3">
        <v>0.000557690512616462</v>
      </c>
      <c r="AR156" s="3">
        <v>0.000546353694843875</v>
      </c>
      <c r="AS156" s="3">
        <v>0.000538912664447615</v>
      </c>
      <c r="AT156" s="3">
        <v>0.0006304687810834879</v>
      </c>
      <c r="AU156" s="3">
        <v>0.00059350684983312</v>
      </c>
      <c r="AV156" s="3">
        <v>0.000574781130336686</v>
      </c>
      <c r="AW156" s="3">
        <v>0.000520824474139301</v>
      </c>
      <c r="AX156" s="3">
        <v>0.000513016582052202</v>
      </c>
      <c r="AY156" s="3">
        <v>0.000509580284987296</v>
      </c>
      <c r="AZ156" s="3">
        <v>0.00050144314281204</v>
      </c>
      <c r="BA156" s="3">
        <v>0.000494586865198499</v>
      </c>
      <c r="BB156" s="3">
        <v>0.00049198086523732</v>
      </c>
      <c r="BC156" s="3">
        <v>0.000488965625939308</v>
      </c>
      <c r="BD156" s="3">
        <v>0.000485469474705424</v>
      </c>
      <c r="BE156" s="3">
        <v>0.000483880751165734</v>
      </c>
      <c r="BF156" s="3">
        <v>0.000480194012841631</v>
      </c>
      <c r="BG156" s="3">
        <v>0.00047918012067678</v>
      </c>
      <c r="BH156" s="3">
        <v>0.00047920427039312</v>
      </c>
      <c r="BI156" s="3">
        <v>0.00047801928657383</v>
      </c>
      <c r="BJ156" s="3">
        <v>0.000477412555924866</v>
      </c>
      <c r="BK156" s="3">
        <v>0.000475112506779873</v>
      </c>
      <c r="BL156" s="3">
        <v>0.000473439969614014</v>
      </c>
      <c r="BM156" s="3">
        <v>0.000472941433236376</v>
      </c>
      <c r="BN156" s="3">
        <v>0.000471657305784199</v>
      </c>
      <c r="BO156" s="3">
        <v>0.000470246492132215</v>
      </c>
      <c r="BP156" s="3">
        <v>0.000468087556726749</v>
      </c>
      <c r="BQ156" s="3">
        <v>0.000466753157372624</v>
      </c>
      <c r="BR156" s="3">
        <v>0.000463939820017008</v>
      </c>
      <c r="BS156" s="3">
        <v>0.000463153266282628</v>
      </c>
      <c r="BT156" s="3">
        <v>0.0004622683695997</v>
      </c>
      <c r="BU156" s="3">
        <v>0.000459170345131069</v>
      </c>
      <c r="BV156" s="3">
        <v>0.0004569408970209</v>
      </c>
      <c r="BW156" s="3">
        <v>0.000456823130000615</v>
      </c>
      <c r="BX156" s="3">
        <v>0.000454570104117441</v>
      </c>
      <c r="BY156" s="3">
        <v>0.000453793681295782</v>
      </c>
      <c r="BZ156" s="3">
        <v>0.000452315552462176</v>
      </c>
      <c r="CA156" s="3">
        <v>0.000447959629499895</v>
      </c>
      <c r="CB156" s="3">
        <v>0.00044579565560975</v>
      </c>
      <c r="CC156" s="3">
        <v>0.000445548197397485</v>
      </c>
      <c r="CD156" s="3">
        <v>0.000443216305474897</v>
      </c>
      <c r="CE156" s="3">
        <v>0.000441637869874495</v>
      </c>
      <c r="CF156" s="3">
        <v>0.000440073552780364</v>
      </c>
      <c r="CG156" s="3">
        <v>0.000438606497787032</v>
      </c>
      <c r="CH156" s="3">
        <v>0.000436625758085473</v>
      </c>
      <c r="CI156" s="3">
        <v>0.000435267985589434</v>
      </c>
      <c r="CJ156" s="3">
        <v>0.000433923334745127</v>
      </c>
      <c r="CK156" s="3">
        <v>0.000432673900330455</v>
      </c>
      <c r="CL156" s="3">
        <v>0.000431421527887004</v>
      </c>
      <c r="CM156" s="3">
        <v>0.000430288746001572</v>
      </c>
      <c r="CN156" s="3">
        <v>0.00042981906199321</v>
      </c>
      <c r="CO156" s="3">
        <v>0.000427940412389863</v>
      </c>
      <c r="CP156" s="3">
        <v>0.00042557336995387</v>
      </c>
      <c r="CQ156" s="3">
        <v>0.000423755362534547</v>
      </c>
      <c r="CR156" s="3">
        <v>0.000422553899474957</v>
      </c>
      <c r="CS156" s="3">
        <v>0.000421978905066916</v>
      </c>
      <c r="CT156" s="3">
        <v>0.000421360271723648</v>
      </c>
    </row>
    <row r="157" spans="1:98">
      <c r="A157" s="1" t="str">
        <f>'Population Definitions'!$B$5</f>
        <v>30-49M_aus</v>
      </c>
      <c r="C157" t="s">
        <v>52</v>
      </c>
      <c r="D157" s="3"/>
      <c r="E157" s="3"/>
      <c r="F157" s="4" t="s">
        <v>48</v>
      </c>
      <c r="G157" s="3">
        <v>0.00244158027160586</v>
      </c>
      <c r="H157" s="3">
        <v>0.00229421583133215</v>
      </c>
      <c r="I157" s="3">
        <v>0.00224788756656281</v>
      </c>
      <c r="J157" s="3">
        <v>0.00202067436178869</v>
      </c>
      <c r="K157" s="3">
        <v>0.00201012976541222</v>
      </c>
      <c r="L157" s="3">
        <v>0.00202465653477497</v>
      </c>
      <c r="M157" s="3">
        <v>0.00199933743929702</v>
      </c>
      <c r="N157" s="3">
        <v>0.0019655036019696</v>
      </c>
      <c r="O157" s="3">
        <v>0.00202979832001799</v>
      </c>
      <c r="P157" s="3">
        <v>0.00198083710718845</v>
      </c>
      <c r="Q157" s="3">
        <v>0.00195008049983516</v>
      </c>
      <c r="R157" s="3">
        <v>0.00193542237057595</v>
      </c>
      <c r="S157" s="3">
        <v>0.00189486646067244</v>
      </c>
      <c r="T157" s="3">
        <v>0.00187315666917047</v>
      </c>
      <c r="U157" s="3">
        <v>0.00189506771115834</v>
      </c>
      <c r="V157" s="3">
        <v>0.00190352288928653</v>
      </c>
      <c r="W157" s="3">
        <v>0.00188853487645006</v>
      </c>
      <c r="X157" s="3">
        <v>0.00182764318431928</v>
      </c>
      <c r="Y157" s="3">
        <v>0.00184700957191253</v>
      </c>
      <c r="Z157" s="3">
        <v>0.0017851725874772</v>
      </c>
      <c r="AA157" s="3">
        <v>0.00177203996816695</v>
      </c>
      <c r="AB157" s="3">
        <v>0.00169710963419141</v>
      </c>
      <c r="AC157" s="3">
        <v>0.00167447454504924</v>
      </c>
      <c r="AD157" s="3">
        <v>0.00168003033654779</v>
      </c>
      <c r="AE157" s="3">
        <v>0.00160877670635755</v>
      </c>
      <c r="AF157" s="3">
        <v>0.00161921957071207</v>
      </c>
      <c r="AG157" s="3">
        <v>0.00156648622317477</v>
      </c>
      <c r="AH157" s="3">
        <v>0.00155416041928923</v>
      </c>
      <c r="AI157" s="3">
        <v>0.00157306708059455</v>
      </c>
      <c r="AJ157" s="3">
        <v>0.0015657191294942</v>
      </c>
      <c r="AK157" s="3">
        <v>0.00154323394763728</v>
      </c>
      <c r="AL157" s="3">
        <v>0.00144182883077449</v>
      </c>
      <c r="AM157" s="3">
        <v>0.00138824529867961</v>
      </c>
      <c r="AN157" s="3">
        <v>0.00138849010810746</v>
      </c>
      <c r="AO157" s="3">
        <v>0.00145920635612481</v>
      </c>
      <c r="AP157" s="3">
        <v>0.00149640573136638</v>
      </c>
      <c r="AQ157" s="3">
        <v>0.00142216700529959</v>
      </c>
      <c r="AR157" s="3">
        <v>0.0014255957968091</v>
      </c>
      <c r="AS157" s="3">
        <v>0.0013474808025193</v>
      </c>
      <c r="AT157" s="3">
        <v>0.0015032129398799</v>
      </c>
      <c r="AU157" s="3">
        <v>0.00133444546663514</v>
      </c>
      <c r="AV157" s="3">
        <v>0.00128785905853219</v>
      </c>
      <c r="AW157" s="3">
        <v>0.00132195280297281</v>
      </c>
      <c r="AX157" s="3">
        <v>0.0013064570840551</v>
      </c>
      <c r="AY157" s="3">
        <v>0.00129216851552144</v>
      </c>
      <c r="AZ157" s="3">
        <v>0.00127977590174238</v>
      </c>
      <c r="BA157" s="3">
        <v>0.00126428829053333</v>
      </c>
      <c r="BB157" s="3">
        <v>0.0012611506007247</v>
      </c>
      <c r="BC157" s="3">
        <v>0.00125999796068964</v>
      </c>
      <c r="BD157" s="3">
        <v>0.00125633324857922</v>
      </c>
      <c r="BE157" s="3">
        <v>0.00125314666194802</v>
      </c>
      <c r="BF157" s="3">
        <v>0.00124935059318631</v>
      </c>
      <c r="BG157" s="3">
        <v>0.00124573753625495</v>
      </c>
      <c r="BH157" s="3">
        <v>0.00124179682492114</v>
      </c>
      <c r="BI157" s="3">
        <v>0.00123808435274803</v>
      </c>
      <c r="BJ157" s="3">
        <v>0.0012337419006781</v>
      </c>
      <c r="BK157" s="3">
        <v>0.00122788905573721</v>
      </c>
      <c r="BL157" s="3">
        <v>0.00122118169379042</v>
      </c>
      <c r="BM157" s="3">
        <v>0.00121780660677417</v>
      </c>
      <c r="BN157" s="3">
        <v>0.00121150252441957</v>
      </c>
      <c r="BO157" s="3">
        <v>0.00120518627309938</v>
      </c>
      <c r="BP157" s="3">
        <v>0.00119861438028009</v>
      </c>
      <c r="BQ157" s="3">
        <v>0.00119289065866992</v>
      </c>
      <c r="BR157" s="3">
        <v>0.00118663072712779</v>
      </c>
      <c r="BS157" s="3">
        <v>0.00118290918943592</v>
      </c>
      <c r="BT157" s="3">
        <v>0.00117652326583066</v>
      </c>
      <c r="BU157" s="3">
        <v>0.00117107400283638</v>
      </c>
      <c r="BV157" s="3">
        <v>0.00117052299263525</v>
      </c>
      <c r="BW157" s="3">
        <v>0.00116914630317578</v>
      </c>
      <c r="BX157" s="3">
        <v>0.00116740282256073</v>
      </c>
      <c r="BY157" s="3">
        <v>0.00116555214993066</v>
      </c>
      <c r="BZ157" s="3">
        <v>0.00116536945957544</v>
      </c>
      <c r="CA157" s="3">
        <v>0.00116436956477755</v>
      </c>
      <c r="CB157" s="3">
        <v>0.00116561950293205</v>
      </c>
      <c r="CC157" s="3">
        <v>0.00116471267111998</v>
      </c>
      <c r="CD157" s="3">
        <v>0.00116214958301514</v>
      </c>
      <c r="CE157" s="3">
        <v>0.00115913872353141</v>
      </c>
      <c r="CF157" s="3">
        <v>0.00115796704564137</v>
      </c>
      <c r="CG157" s="3">
        <v>0.00115310580158278</v>
      </c>
      <c r="CH157" s="3">
        <v>0.00114704335324233</v>
      </c>
      <c r="CI157" s="3">
        <v>0.00114377397780445</v>
      </c>
      <c r="CJ157" s="3">
        <v>0.00114108871280691</v>
      </c>
      <c r="CK157" s="3">
        <v>0.00113547473725575</v>
      </c>
      <c r="CL157" s="3">
        <v>0.00112999607106095</v>
      </c>
      <c r="CM157" s="3">
        <v>0.00112620668424636</v>
      </c>
      <c r="CN157" s="3">
        <v>0.00112080204603602</v>
      </c>
      <c r="CO157" s="3">
        <v>0.00111545309081831</v>
      </c>
      <c r="CP157" s="3">
        <v>0.00111105688317986</v>
      </c>
      <c r="CQ157" s="3">
        <v>0.00110576758176</v>
      </c>
      <c r="CR157" s="3">
        <v>0.00110244484109031</v>
      </c>
      <c r="CS157" s="3">
        <v>0.00109864225308355</v>
      </c>
      <c r="CT157" s="3">
        <v>0.00109232129946459</v>
      </c>
    </row>
    <row r="158" spans="1:98">
      <c r="A158" s="1" t="str">
        <f>'Population Definitions'!$B$6</f>
        <v>50-64M_aus</v>
      </c>
      <c r="C158" t="s">
        <v>52</v>
      </c>
      <c r="D158" s="3"/>
      <c r="E158" s="3"/>
      <c r="F158" s="4" t="s">
        <v>48</v>
      </c>
      <c r="G158" s="3">
        <v>0.0133393193548881</v>
      </c>
      <c r="H158" s="3">
        <v>0.0129603520646637</v>
      </c>
      <c r="I158" s="3">
        <v>0.0128542146228948</v>
      </c>
      <c r="J158" s="3">
        <v>0.0124357415977585</v>
      </c>
      <c r="K158" s="3">
        <v>0.0118943850742272</v>
      </c>
      <c r="L158" s="3">
        <v>0.0121735305139332</v>
      </c>
      <c r="M158" s="3">
        <v>0.0114798209499996</v>
      </c>
      <c r="N158" s="3">
        <v>0.0112378704900358</v>
      </c>
      <c r="O158" s="3">
        <v>0.0109251763873222</v>
      </c>
      <c r="P158" s="3">
        <v>0.0105840263089905</v>
      </c>
      <c r="Q158" s="3">
        <v>0.0100908566708744</v>
      </c>
      <c r="R158" s="3">
        <v>0.00955179763033216</v>
      </c>
      <c r="S158" s="3">
        <v>0.00931986557056361</v>
      </c>
      <c r="T158" s="3">
        <v>0.00879276632024947</v>
      </c>
      <c r="U158" s="3">
        <v>0.008449222312633521</v>
      </c>
      <c r="V158" s="3">
        <v>0.007995570356544751</v>
      </c>
      <c r="W158" s="3">
        <v>0.00775798933587782</v>
      </c>
      <c r="X158" s="3">
        <v>0.00745365129442331</v>
      </c>
      <c r="Y158" s="3">
        <v>0.00694420725459389</v>
      </c>
      <c r="Z158" s="3">
        <v>0.00661403210689876</v>
      </c>
      <c r="AA158" s="3">
        <v>0.00630290907555574</v>
      </c>
      <c r="AB158" s="3">
        <v>0.00629297656133963</v>
      </c>
      <c r="AC158" s="3">
        <v>0.00608666981505101</v>
      </c>
      <c r="AD158" s="3">
        <v>0.0059582285148787</v>
      </c>
      <c r="AE158" s="3">
        <v>0.00582230588246363</v>
      </c>
      <c r="AF158" s="3">
        <v>0.00567878186000748</v>
      </c>
      <c r="AG158" s="3">
        <v>0.00558894234126627</v>
      </c>
      <c r="AH158" s="3">
        <v>0.00567881683691863</v>
      </c>
      <c r="AI158" s="3">
        <v>0.00558852495203165</v>
      </c>
      <c r="AJ158" s="3">
        <v>0.00552840687165724</v>
      </c>
      <c r="AK158" s="3">
        <v>0.00538341129455226</v>
      </c>
      <c r="AL158" s="3">
        <v>0.00543694799626806</v>
      </c>
      <c r="AM158" s="3">
        <v>0.0051560688987868</v>
      </c>
      <c r="AN158" s="3">
        <v>0.00513088229383127</v>
      </c>
      <c r="AO158" s="3">
        <v>0.00535921315941519</v>
      </c>
      <c r="AP158" s="3">
        <v>0.00537278179476903</v>
      </c>
      <c r="AQ158" s="3">
        <v>0.00522241765029339</v>
      </c>
      <c r="AR158" s="3">
        <v>0.00504982242894828</v>
      </c>
      <c r="AS158" s="3">
        <v>0.00509082990907552</v>
      </c>
      <c r="AT158" s="3">
        <v>0.0054303905294426</v>
      </c>
      <c r="AU158" s="3">
        <v>0.00498532203911024</v>
      </c>
      <c r="AV158" s="3">
        <v>0.0050381698235318</v>
      </c>
      <c r="AW158" s="3">
        <v>0.00508757755248127</v>
      </c>
      <c r="AX158" s="3">
        <v>0.00504552409193077</v>
      </c>
      <c r="AY158" s="3">
        <v>0.00500616217750871</v>
      </c>
      <c r="AZ158" s="3">
        <v>0.00496635711057875</v>
      </c>
      <c r="BA158" s="3">
        <v>0.004892968391492</v>
      </c>
      <c r="BB158" s="3">
        <v>0.00486379185087151</v>
      </c>
      <c r="BC158" s="3">
        <v>0.00483061631207013</v>
      </c>
      <c r="BD158" s="3">
        <v>0.00479608521366075</v>
      </c>
      <c r="BE158" s="3">
        <v>0.00476263499294377</v>
      </c>
      <c r="BF158" s="3">
        <v>0.00472707916495139</v>
      </c>
      <c r="BG158" s="3">
        <v>0.00470333841545298</v>
      </c>
      <c r="BH158" s="3">
        <v>0.00467363421798883</v>
      </c>
      <c r="BI158" s="3">
        <v>0.00464241173427708</v>
      </c>
      <c r="BJ158" s="3">
        <v>0.0046104785136037</v>
      </c>
      <c r="BK158" s="3">
        <v>0.00456604323502899</v>
      </c>
      <c r="BL158" s="3">
        <v>0.00452951034595818</v>
      </c>
      <c r="BM158" s="3">
        <v>0.00450213022899154</v>
      </c>
      <c r="BN158" s="3">
        <v>0.00448064278277919</v>
      </c>
      <c r="BO158" s="3">
        <v>0.00446546968683686</v>
      </c>
      <c r="BP158" s="3">
        <v>0.00445754433956229</v>
      </c>
      <c r="BQ158" s="3">
        <v>0.00445498651171065</v>
      </c>
      <c r="BR158" s="3">
        <v>0.00445687795173285</v>
      </c>
      <c r="BS158" s="3">
        <v>0.00446065338340953</v>
      </c>
      <c r="BT158" s="3">
        <v>0.00446115283624307</v>
      </c>
      <c r="BU158" s="3">
        <v>0.00445881746972775</v>
      </c>
      <c r="BV158" s="3">
        <v>0.00445614531217366</v>
      </c>
      <c r="BW158" s="3">
        <v>0.00445036260345184</v>
      </c>
      <c r="BX158" s="3">
        <v>0.00444256035405546</v>
      </c>
      <c r="BY158" s="3">
        <v>0.00442999331876313</v>
      </c>
      <c r="BZ158" s="3">
        <v>0.00441316190654772</v>
      </c>
      <c r="CA158" s="3">
        <v>0.00440336450979884</v>
      </c>
      <c r="CB158" s="3">
        <v>0.00439234042092706</v>
      </c>
      <c r="CC158" s="3">
        <v>0.00437429517728984</v>
      </c>
      <c r="CD158" s="3">
        <v>0.00435018062462426</v>
      </c>
      <c r="CE158" s="3">
        <v>0.00432252868681996</v>
      </c>
      <c r="CF158" s="3">
        <v>0.00429644969575421</v>
      </c>
      <c r="CG158" s="3">
        <v>0.00427225816097134</v>
      </c>
      <c r="CH158" s="3">
        <v>0.0042480948219801</v>
      </c>
      <c r="CI158" s="3">
        <v>0.00422180368457316</v>
      </c>
      <c r="CJ158" s="3">
        <v>0.00420417160638074</v>
      </c>
      <c r="CK158" s="3">
        <v>0.00419032809504633</v>
      </c>
      <c r="CL158" s="3">
        <v>0.00418195458678216</v>
      </c>
      <c r="CM158" s="3">
        <v>0.00417484147425741</v>
      </c>
      <c r="CN158" s="3">
        <v>0.00416307578323939</v>
      </c>
      <c r="CO158" s="3">
        <v>0.0041551454684038</v>
      </c>
      <c r="CP158" s="3">
        <v>0.00415300862248344</v>
      </c>
      <c r="CQ158" s="3">
        <v>0.00415439632527949</v>
      </c>
      <c r="CR158" s="3">
        <v>0.00415291076835241</v>
      </c>
      <c r="CS158" s="3">
        <v>0.0041483385784674</v>
      </c>
      <c r="CT158" s="3">
        <v>0.00414277475266508</v>
      </c>
    </row>
    <row r="159" spans="1:98">
      <c r="A159" s="1" t="str">
        <f>'Population Definitions'!$B$7</f>
        <v>65+M_aus</v>
      </c>
      <c r="C159" t="s">
        <v>52</v>
      </c>
      <c r="D159" s="3"/>
      <c r="E159" s="3"/>
      <c r="F159" s="4" t="s">
        <v>48</v>
      </c>
      <c r="G159" s="3">
        <v>0.0624513451847916</v>
      </c>
      <c r="H159" s="3">
        <v>0.0618207953218285</v>
      </c>
      <c r="I159" s="3">
        <v>0.0634716361968749</v>
      </c>
      <c r="J159" s="3">
        <v>0.0592384711091254</v>
      </c>
      <c r="K159" s="3">
        <v>0.058184588725704</v>
      </c>
      <c r="L159" s="3">
        <v>0.0609731929342441</v>
      </c>
      <c r="M159" s="3">
        <v>0.0570090216106917</v>
      </c>
      <c r="N159" s="3">
        <v>0.0571201893228746</v>
      </c>
      <c r="O159" s="3">
        <v>0.0568694056811497</v>
      </c>
      <c r="P159" s="3">
        <v>0.0580207426858623</v>
      </c>
      <c r="Q159" s="3">
        <v>0.0540865444075611</v>
      </c>
      <c r="R159" s="3">
        <v>0.0526449844665906</v>
      </c>
      <c r="S159" s="3">
        <v>0.0537444893002151</v>
      </c>
      <c r="T159" s="3">
        <v>0.0518824417949607</v>
      </c>
      <c r="U159" s="3">
        <v>0.0533598838232706</v>
      </c>
      <c r="V159" s="3">
        <v>0.0510674466384135</v>
      </c>
      <c r="W159" s="3">
        <v>0.0517563598117722</v>
      </c>
      <c r="X159" s="3">
        <v>0.050243500013306</v>
      </c>
      <c r="Y159" s="3">
        <v>0.0487650164143388</v>
      </c>
      <c r="Z159" s="3">
        <v>0.0480041103237566</v>
      </c>
      <c r="AA159" s="3">
        <v>0.0470926926357691</v>
      </c>
      <c r="AB159" s="3">
        <v>0.0459185724986044</v>
      </c>
      <c r="AC159" s="3">
        <v>0.0469253090954276</v>
      </c>
      <c r="AD159" s="3">
        <v>0.0453853030573932</v>
      </c>
      <c r="AE159" s="3">
        <v>0.0447291579241852</v>
      </c>
      <c r="AF159" s="3">
        <v>0.0425936749416598</v>
      </c>
      <c r="AG159" s="3">
        <v>0.0428074900399734</v>
      </c>
      <c r="AH159" s="3">
        <v>0.0427916865928214</v>
      </c>
      <c r="AI159" s="3">
        <v>0.0437288870252673</v>
      </c>
      <c r="AJ159" s="3">
        <v>0.041210352985466</v>
      </c>
      <c r="AK159" s="3">
        <v>0.040672329399268</v>
      </c>
      <c r="AL159" s="3">
        <v>0.0405409403480694</v>
      </c>
      <c r="AM159" s="3">
        <v>0.0388403808979657</v>
      </c>
      <c r="AN159" s="3">
        <v>0.0379047039241465</v>
      </c>
      <c r="AO159" s="3">
        <v>0.0376913884042163</v>
      </c>
      <c r="AP159" s="3">
        <v>0.037951181660147</v>
      </c>
      <c r="AQ159" s="3">
        <v>0.0372311967391013</v>
      </c>
      <c r="AR159" s="3">
        <v>0.0366991838356115</v>
      </c>
      <c r="AS159" s="3">
        <v>0.0352701359726852</v>
      </c>
      <c r="AT159" s="3">
        <v>0.0364287886671407</v>
      </c>
      <c r="AU159" s="3">
        <v>0.0339309094879799</v>
      </c>
      <c r="AV159" s="3">
        <v>0.0352645472510165</v>
      </c>
      <c r="AW159" s="3">
        <v>0.0346888739259976</v>
      </c>
      <c r="AX159" s="3">
        <v>0.0344797417235668</v>
      </c>
      <c r="AY159" s="3">
        <v>0.0343097593310742</v>
      </c>
      <c r="AZ159" s="3">
        <v>0.0341694759913871</v>
      </c>
      <c r="BA159" s="3">
        <v>0.0338069713700923</v>
      </c>
      <c r="BB159" s="3">
        <v>0.0338547104396874</v>
      </c>
      <c r="BC159" s="3">
        <v>0.0339438009671823</v>
      </c>
      <c r="BD159" s="3">
        <v>0.0340933013652406</v>
      </c>
      <c r="BE159" s="3">
        <v>0.0343213073165671</v>
      </c>
      <c r="BF159" s="3">
        <v>0.0345991324642336</v>
      </c>
      <c r="BG159" s="3">
        <v>0.0350249152407427</v>
      </c>
      <c r="BH159" s="3">
        <v>0.0354333755923246</v>
      </c>
      <c r="BI159" s="3">
        <v>0.0358166515944689</v>
      </c>
      <c r="BJ159" s="3">
        <v>0.0361757874421942</v>
      </c>
      <c r="BK159" s="3">
        <v>0.0364299615216473</v>
      </c>
      <c r="BL159" s="3">
        <v>0.0367698828727309</v>
      </c>
      <c r="BM159" s="3">
        <v>0.03713997896648</v>
      </c>
      <c r="BN159" s="3">
        <v>0.0375141692395655</v>
      </c>
      <c r="BO159" s="3">
        <v>0.0378953528898328</v>
      </c>
      <c r="BP159" s="3">
        <v>0.0382676068667383</v>
      </c>
      <c r="BQ159" s="3">
        <v>0.0386336064220088</v>
      </c>
      <c r="BR159" s="3">
        <v>0.0389740852267777</v>
      </c>
      <c r="BS159" s="3">
        <v>0.0392571281698501</v>
      </c>
      <c r="BT159" s="3">
        <v>0.0394945608246873</v>
      </c>
      <c r="BU159" s="3">
        <v>0.0396447610678368</v>
      </c>
      <c r="BV159" s="3">
        <v>0.0397348762900173</v>
      </c>
      <c r="BW159" s="3">
        <v>0.0397650752166224</v>
      </c>
      <c r="BX159" s="3">
        <v>0.0397825814401667</v>
      </c>
      <c r="BY159" s="3">
        <v>0.0397758746045804</v>
      </c>
      <c r="BZ159" s="3">
        <v>0.0397439250628546</v>
      </c>
      <c r="CA159" s="3">
        <v>0.0397037711021938</v>
      </c>
      <c r="CB159" s="3">
        <v>0.0396480949471493</v>
      </c>
      <c r="CC159" s="3">
        <v>0.0395604438926825</v>
      </c>
      <c r="CD159" s="3">
        <v>0.0394388400546937</v>
      </c>
      <c r="CE159" s="3">
        <v>0.0393120931447365</v>
      </c>
      <c r="CF159" s="3">
        <v>0.0392096962932155</v>
      </c>
      <c r="CG159" s="3">
        <v>0.0391075068542035</v>
      </c>
      <c r="CH159" s="3">
        <v>0.0390035047041919</v>
      </c>
      <c r="CI159" s="3">
        <v>0.0388892222109516</v>
      </c>
      <c r="CJ159" s="3">
        <v>0.0388259102520885</v>
      </c>
      <c r="CK159" s="3">
        <v>0.038800915802115</v>
      </c>
      <c r="CL159" s="3">
        <v>0.038803224298933</v>
      </c>
      <c r="CM159" s="3">
        <v>0.0387955711250289</v>
      </c>
      <c r="CN159" s="3">
        <v>0.0387617826755149</v>
      </c>
      <c r="CO159" s="3">
        <v>0.0387453263738035</v>
      </c>
      <c r="CP159" s="3">
        <v>0.0387859335444548</v>
      </c>
      <c r="CQ159" s="3">
        <v>0.0388327554206066</v>
      </c>
      <c r="CR159" s="3">
        <v>0.0388657797200738</v>
      </c>
      <c r="CS159" s="3">
        <v>0.0388870714898495</v>
      </c>
      <c r="CT159" s="3">
        <v>0.0389029623364967</v>
      </c>
    </row>
    <row r="160" spans="1:98">
      <c r="A160" s="1" t="str">
        <f>'Population Definitions'!$B$8</f>
        <v>0-4F_aus</v>
      </c>
      <c r="C160" t="s">
        <v>52</v>
      </c>
      <c r="D160" s="3"/>
      <c r="E160" s="3"/>
      <c r="F160" s="4" t="s">
        <v>48</v>
      </c>
      <c r="G160" s="3">
        <v>0.00226148077198154</v>
      </c>
      <c r="H160" s="3">
        <v>0.00216211358734723</v>
      </c>
      <c r="I160" s="3">
        <v>0.00227658260641205</v>
      </c>
      <c r="J160" s="3">
        <v>0.00215939529914905</v>
      </c>
      <c r="K160" s="3">
        <v>0.00188067343709104</v>
      </c>
      <c r="L160" s="3">
        <v>0.00215927008471377</v>
      </c>
      <c r="M160" s="3">
        <v>0.0018864563629732</v>
      </c>
      <c r="N160" s="3">
        <v>0.00174424080951612</v>
      </c>
      <c r="O160" s="3">
        <v>0.00183956157115887</v>
      </c>
      <c r="P160" s="3">
        <v>0.00174516906222294</v>
      </c>
      <c r="Q160" s="3">
        <v>0.00177673794828371</v>
      </c>
      <c r="R160" s="3">
        <v>0.00150952291003728</v>
      </c>
      <c r="S160" s="3">
        <v>0.00151550757513992</v>
      </c>
      <c r="T160" s="3">
        <v>0.00132612498012403</v>
      </c>
      <c r="U160" s="3">
        <v>0.00127712099533043</v>
      </c>
      <c r="V160" s="3">
        <v>0.00125627145602337</v>
      </c>
      <c r="W160" s="3">
        <v>0.00121354397784765</v>
      </c>
      <c r="X160" s="3">
        <v>0.0011424825286098</v>
      </c>
      <c r="Y160" s="3">
        <v>0.00110997377007229</v>
      </c>
      <c r="Z160" s="3">
        <v>0.00116351847988317</v>
      </c>
      <c r="AA160" s="3">
        <v>0.00109104329201766</v>
      </c>
      <c r="AB160" s="3">
        <v>0.00107954472215419</v>
      </c>
      <c r="AC160" s="3">
        <v>0.00107036778936714</v>
      </c>
      <c r="AD160" s="3">
        <v>0.00103796158572075</v>
      </c>
      <c r="AE160" s="3">
        <v>0.0009989105732582911</v>
      </c>
      <c r="AF160" s="3">
        <v>0.00111344240349093</v>
      </c>
      <c r="AG160" s="3">
        <v>0.00101574080833923</v>
      </c>
      <c r="AH160" s="3">
        <v>0.000970428834193544</v>
      </c>
      <c r="AI160" s="3">
        <v>0.000922952079317402</v>
      </c>
      <c r="AJ160" s="3">
        <v>0.000911036953215658</v>
      </c>
      <c r="AK160" s="3">
        <v>0.00083228532266953</v>
      </c>
      <c r="AL160" s="3">
        <v>0.000838515925460867</v>
      </c>
      <c r="AM160" s="3">
        <v>0.00076017089411493</v>
      </c>
      <c r="AN160" s="3">
        <v>0.000810480961788722</v>
      </c>
      <c r="AO160" s="3">
        <v>0.000739780038735149</v>
      </c>
      <c r="AP160" s="3">
        <v>0.000713407427113982</v>
      </c>
      <c r="AQ160" s="3">
        <v>0.000662110683488892</v>
      </c>
      <c r="AR160" s="3">
        <v>0.000710719054325588</v>
      </c>
      <c r="AS160" s="3">
        <v>0.000639777578560342</v>
      </c>
      <c r="AT160" s="3">
        <v>0.000672077754226335</v>
      </c>
      <c r="AU160" s="3">
        <v>0.000680139784152877</v>
      </c>
      <c r="AV160" s="3">
        <v>0.000695673998979678</v>
      </c>
      <c r="AW160" s="3">
        <v>0.0006988460712577189</v>
      </c>
      <c r="AX160" s="3">
        <v>0.000668057425995866</v>
      </c>
      <c r="AY160" s="3">
        <v>0.0006634412528378169</v>
      </c>
      <c r="AZ160" s="3">
        <v>0.000655931872066964</v>
      </c>
      <c r="BA160" s="3">
        <v>0.000639584942021325</v>
      </c>
      <c r="BB160" s="3">
        <v>0.0006377514328593619</v>
      </c>
      <c r="BC160" s="3">
        <v>0.000631342440079483</v>
      </c>
      <c r="BD160" s="3">
        <v>0.000629949430108174</v>
      </c>
      <c r="BE160" s="3">
        <v>0.000626612549192276</v>
      </c>
      <c r="BF160" s="3">
        <v>0.00062327832980314</v>
      </c>
      <c r="BG160" s="3">
        <v>0.000619933132199954</v>
      </c>
      <c r="BH160" s="3">
        <v>0.00061857719754384</v>
      </c>
      <c r="BI160" s="3">
        <v>0.000619442190293031</v>
      </c>
      <c r="BJ160" s="3">
        <v>0.0006144451382115469</v>
      </c>
      <c r="BK160" s="3">
        <v>0.000613431838414961</v>
      </c>
      <c r="BL160" s="3">
        <v>0.000612256557392454</v>
      </c>
      <c r="BM160" s="3">
        <v>0.000610839965665492</v>
      </c>
      <c r="BN160" s="3">
        <v>0.000611151254483816</v>
      </c>
      <c r="BO160" s="3">
        <v>0.000609108958949986</v>
      </c>
      <c r="BP160" s="3">
        <v>0.000608749800610012</v>
      </c>
      <c r="BQ160" s="3">
        <v>0.000606069262171369</v>
      </c>
      <c r="BR160" s="3">
        <v>0.000603149120920512</v>
      </c>
      <c r="BS160" s="3">
        <v>0.000600118342636851</v>
      </c>
      <c r="BT160" s="3">
        <v>0.000597084287827879</v>
      </c>
      <c r="BU160" s="3">
        <v>0.000594085646771217</v>
      </c>
      <c r="BV160" s="3">
        <v>0.000591189915056677</v>
      </c>
      <c r="BW160" s="3">
        <v>0.000588429498015496</v>
      </c>
      <c r="BX160" s="3">
        <v>0.000585827157813034</v>
      </c>
      <c r="BY160" s="3">
        <v>0.000583387531000704</v>
      </c>
      <c r="BZ160" s="3">
        <v>0.000581104477233838</v>
      </c>
      <c r="CA160" s="3">
        <v>0.000576944371267749</v>
      </c>
      <c r="CB160" s="3">
        <v>0.000574947142523802</v>
      </c>
      <c r="CC160" s="3">
        <v>0.000573079281143867</v>
      </c>
      <c r="CD160" s="3">
        <v>0.0005692908291370789</v>
      </c>
      <c r="CE160" s="3">
        <v>0.000567524959733121</v>
      </c>
      <c r="CF160" s="3">
        <v>0.000565779164720215</v>
      </c>
      <c r="CG160" s="3">
        <v>0.000564029762013646</v>
      </c>
      <c r="CH160" s="3">
        <v>0.0005622902326367051</v>
      </c>
      <c r="CI160" s="3">
        <v>0.000560578432567459</v>
      </c>
      <c r="CJ160" s="3">
        <v>0.000558872467569663</v>
      </c>
      <c r="CK160" s="3">
        <v>0.000557183507496695</v>
      </c>
      <c r="CL160" s="3">
        <v>0.000555493636315337</v>
      </c>
      <c r="CM160" s="3">
        <v>0.000555788599471499</v>
      </c>
      <c r="CN160" s="3">
        <v>0.0005540810021673949</v>
      </c>
      <c r="CO160" s="3">
        <v>0.0005523562443569019</v>
      </c>
      <c r="CP160" s="3">
        <v>0.000550608961357933</v>
      </c>
      <c r="CQ160" s="3">
        <v>0.000548820069177274</v>
      </c>
      <c r="CR160" s="3">
        <v>0.000546986781269506</v>
      </c>
      <c r="CS160" s="3">
        <v>0.000545094957555309</v>
      </c>
      <c r="CT160" s="3">
        <v>0.00054114354770383</v>
      </c>
    </row>
    <row r="161" spans="1:98">
      <c r="A161" s="1" t="str">
        <f>'Population Definitions'!$B$9</f>
        <v>5-14F_aus</v>
      </c>
      <c r="C161" t="s">
        <v>52</v>
      </c>
      <c r="D161" s="3"/>
      <c r="E161" s="3"/>
      <c r="F161" s="4" t="s">
        <v>48</v>
      </c>
      <c r="G161" s="3">
        <v>0.000222028387915312</v>
      </c>
      <c r="H161" s="3">
        <v>0.000190576807197952</v>
      </c>
      <c r="I161" s="3">
        <v>0.000180914828616776</v>
      </c>
      <c r="J161" s="3">
        <v>0.000180050556927306</v>
      </c>
      <c r="K161" s="3">
        <v>0.000178175149382206</v>
      </c>
      <c r="L161" s="3">
        <v>0.000177722378168875</v>
      </c>
      <c r="M161" s="3">
        <v>0.00016969355485756</v>
      </c>
      <c r="N161" s="3">
        <v>0.000158859273971532</v>
      </c>
      <c r="O161" s="3">
        <v>0.000164738340602343</v>
      </c>
      <c r="P161" s="3">
        <v>0.000160630466300308</v>
      </c>
      <c r="Q161" s="3">
        <v>0.000149729048011195</v>
      </c>
      <c r="R161" s="3">
        <v>0.0001463496792571</v>
      </c>
      <c r="S161" s="3">
        <v>0.000144577686951945</v>
      </c>
      <c r="T161" s="3">
        <v>0.000148722922728742</v>
      </c>
      <c r="U161" s="3">
        <v>0.000151013719757093</v>
      </c>
      <c r="V161" s="3">
        <v>0.000163828562157829</v>
      </c>
      <c r="W161" s="3">
        <v>0.000141018611305438</v>
      </c>
      <c r="X161" s="3">
        <v>0.000130816742976433</v>
      </c>
      <c r="Y161" s="3">
        <v>0.000115286166750535</v>
      </c>
      <c r="Z161" s="3">
        <v>0.000124556894649624</v>
      </c>
      <c r="AA161" s="3">
        <v>0.000116807347796952</v>
      </c>
      <c r="AB161" s="3">
        <v>0.000100072265926387</v>
      </c>
      <c r="AC161" s="3">
        <v>0.000111960334053078</v>
      </c>
      <c r="AD161" s="3">
        <v>0.000101166072094138</v>
      </c>
      <c r="AE161" s="3">
        <v>8.88937514530709E-05</v>
      </c>
      <c r="AF161" s="3">
        <v>9.03271741333335E-05</v>
      </c>
      <c r="AG161" s="3">
        <v>8.49409546604903E-05</v>
      </c>
      <c r="AH161" s="3">
        <v>9.77126158348975E-05</v>
      </c>
      <c r="AI161" s="3">
        <v>8.38478772890093E-05</v>
      </c>
      <c r="AJ161" s="3">
        <v>9.24280395111083E-05</v>
      </c>
      <c r="AK161" s="3">
        <v>8.303678230224339E-05</v>
      </c>
      <c r="AL161" s="3">
        <v>9.0993089703651E-05</v>
      </c>
      <c r="AM161" s="3">
        <v>8.9204761486941E-05</v>
      </c>
      <c r="AN161" s="3">
        <v>8.20673484975556E-05</v>
      </c>
      <c r="AO161" s="3">
        <v>9.0048314111209E-05</v>
      </c>
      <c r="AP161" s="3">
        <v>8.64907695516221E-05</v>
      </c>
      <c r="AQ161" s="3">
        <v>6.44142687198829E-05</v>
      </c>
      <c r="AR161" s="3">
        <v>7.389126161940089E-05</v>
      </c>
      <c r="AS161" s="3">
        <v>6.98730946398108E-05</v>
      </c>
      <c r="AT161" s="3">
        <v>7.449108017896E-05</v>
      </c>
      <c r="AU161" s="3">
        <v>5.8133035215204E-05</v>
      </c>
      <c r="AV161" s="3">
        <v>7.3100344525102E-05</v>
      </c>
      <c r="AW161" s="3">
        <v>9.500277966676931E-05</v>
      </c>
      <c r="AX161" s="3">
        <v>9.5047254684518E-05</v>
      </c>
      <c r="AY161" s="3">
        <v>9.11099593871608E-05</v>
      </c>
      <c r="AZ161" s="3">
        <v>8.71780453067979E-05</v>
      </c>
      <c r="BA161" s="3">
        <v>8.52645135564207E-05</v>
      </c>
      <c r="BB161" s="3">
        <v>8.532686644982569E-05</v>
      </c>
      <c r="BC161" s="3">
        <v>8.53069420362037E-05</v>
      </c>
      <c r="BD161" s="3">
        <v>8.52922525018162E-05</v>
      </c>
      <c r="BE161" s="3">
        <v>8.52872881016434E-05</v>
      </c>
      <c r="BF161" s="3">
        <v>8.516850059657961E-05</v>
      </c>
      <c r="BG161" s="3">
        <v>8.40856673477396E-05</v>
      </c>
      <c r="BH161" s="3">
        <v>8.21098614593084E-05</v>
      </c>
      <c r="BI161" s="3">
        <v>8.212681930397929E-05</v>
      </c>
      <c r="BJ161" s="3">
        <v>8.21846690576474E-05</v>
      </c>
      <c r="BK161" s="3">
        <v>8.22052122700702E-05</v>
      </c>
      <c r="BL161" s="3">
        <v>8.2133351680032E-05</v>
      </c>
      <c r="BM161" s="3">
        <v>8.21348464578992E-05</v>
      </c>
      <c r="BN161" s="3">
        <v>8.21221093483169E-05</v>
      </c>
      <c r="BO161" s="3">
        <v>8.10965427148989E-05</v>
      </c>
      <c r="BP161" s="3">
        <v>8.107726217207821E-05</v>
      </c>
      <c r="BQ161" s="3">
        <v>8.00647957943502E-05</v>
      </c>
      <c r="BR161" s="3">
        <v>8.004556353496299E-05</v>
      </c>
      <c r="BS161" s="3">
        <v>8.00246439823641E-05</v>
      </c>
      <c r="BT161" s="3">
        <v>8.00036835143178E-05</v>
      </c>
      <c r="BU161" s="3">
        <v>7.99846014896813E-05</v>
      </c>
      <c r="BV161" s="3">
        <v>7.99699714890095E-05</v>
      </c>
      <c r="BW161" s="3">
        <v>7.99619698131114E-05</v>
      </c>
      <c r="BX161" s="3">
        <v>7.89613481317047E-05</v>
      </c>
      <c r="BY161" s="3">
        <v>7.89666356488786E-05</v>
      </c>
      <c r="BZ161" s="3">
        <v>7.89784548920233E-05</v>
      </c>
      <c r="CA161" s="3">
        <v>7.8995923842939E-05</v>
      </c>
      <c r="CB161" s="3">
        <v>7.901755971893849E-05</v>
      </c>
      <c r="CC161" s="3">
        <v>7.90413391320782E-05</v>
      </c>
      <c r="CD161" s="3">
        <v>7.906537001996201E-05</v>
      </c>
      <c r="CE161" s="3">
        <v>7.908790522159799E-05</v>
      </c>
      <c r="CF161" s="3">
        <v>7.91078365830608E-05</v>
      </c>
      <c r="CG161" s="3">
        <v>7.91245669945961E-05</v>
      </c>
      <c r="CH161" s="3">
        <v>7.91376942713519E-05</v>
      </c>
      <c r="CI161" s="3">
        <v>7.914683617013209E-05</v>
      </c>
      <c r="CJ161" s="3">
        <v>7.915228612691109E-05</v>
      </c>
      <c r="CK161" s="3">
        <v>7.816914035801111E-05</v>
      </c>
      <c r="CL161" s="3">
        <v>7.716490710657021E-05</v>
      </c>
      <c r="CM161" s="3">
        <v>7.716152457924081E-05</v>
      </c>
      <c r="CN161" s="3">
        <v>7.715634861666589E-05</v>
      </c>
      <c r="CO161" s="3">
        <v>7.516054706559871E-05</v>
      </c>
      <c r="CP161" s="3">
        <v>7.51532556968116E-05</v>
      </c>
      <c r="CQ161" s="3">
        <v>7.51456500069668E-05</v>
      </c>
      <c r="CR161" s="3">
        <v>7.51376485748047E-05</v>
      </c>
      <c r="CS161" s="3">
        <v>7.41099183814526E-05</v>
      </c>
      <c r="CT161" s="3">
        <v>7.41023418325697E-05</v>
      </c>
    </row>
    <row r="162" spans="1:98">
      <c r="A162" s="1" t="str">
        <f>'Population Definitions'!$B$10</f>
        <v>15-29F_aus</v>
      </c>
      <c r="C162" t="s">
        <v>52</v>
      </c>
      <c r="D162" s="3"/>
      <c r="E162" s="3"/>
      <c r="F162" s="4" t="s">
        <v>48</v>
      </c>
      <c r="G162" s="3">
        <v>0.000473869627958737</v>
      </c>
      <c r="H162" s="3">
        <v>0.000476704324010467</v>
      </c>
      <c r="I162" s="3">
        <v>0.000470982204835871</v>
      </c>
      <c r="J162" s="3">
        <v>0.000449027792319958</v>
      </c>
      <c r="K162" s="3">
        <v>0.000450933800125662</v>
      </c>
      <c r="L162" s="3">
        <v>0.000495115660964047</v>
      </c>
      <c r="M162" s="3">
        <v>0.000480908002753236</v>
      </c>
      <c r="N162" s="3">
        <v>0.000466313215485373</v>
      </c>
      <c r="O162" s="3">
        <v>0.000474465465832353</v>
      </c>
      <c r="P162" s="3">
        <v>0.000434806926756433</v>
      </c>
      <c r="Q162" s="3">
        <v>0.000430735291335672</v>
      </c>
      <c r="R162" s="3">
        <v>0.000451781686612641</v>
      </c>
      <c r="S162" s="3">
        <v>0.000398476172155447</v>
      </c>
      <c r="T162" s="3">
        <v>0.000372603717118465</v>
      </c>
      <c r="U162" s="3">
        <v>0.00035828396948698</v>
      </c>
      <c r="V162" s="3">
        <v>0.000397826945278804</v>
      </c>
      <c r="W162" s="3">
        <v>0.000352664986692874</v>
      </c>
      <c r="X162" s="3">
        <v>0.000411227661614963</v>
      </c>
      <c r="Y162" s="3">
        <v>0.000401486550200568</v>
      </c>
      <c r="Z162" s="3">
        <v>0.000400501855391261</v>
      </c>
      <c r="AA162" s="3">
        <v>0.000394440543475918</v>
      </c>
      <c r="AB162" s="3">
        <v>0.000322965131318225</v>
      </c>
      <c r="AC162" s="3">
        <v>0.000322024463811684</v>
      </c>
      <c r="AD162" s="3">
        <v>0.000324013331975373</v>
      </c>
      <c r="AE162" s="3">
        <v>0.000324421819798065</v>
      </c>
      <c r="AF162" s="3">
        <v>0.000279376157940655</v>
      </c>
      <c r="AG162" s="3">
        <v>0.000304992628140268</v>
      </c>
      <c r="AH162" s="3">
        <v>0.000289863665260169</v>
      </c>
      <c r="AI162" s="3">
        <v>0.000273810922358833</v>
      </c>
      <c r="AJ162" s="3">
        <v>0.000277193208101138</v>
      </c>
      <c r="AK162" s="3">
        <v>0.000266073453720666</v>
      </c>
      <c r="AL162" s="3">
        <v>0.000274204967780916</v>
      </c>
      <c r="AM162" s="3">
        <v>0.000256066452866091</v>
      </c>
      <c r="AN162" s="3">
        <v>0.000242695782309034</v>
      </c>
      <c r="AO162" s="3">
        <v>0.000252565705571633</v>
      </c>
      <c r="AP162" s="3">
        <v>0.00023809288423578</v>
      </c>
      <c r="AQ162" s="3">
        <v>0.000241931542333947</v>
      </c>
      <c r="AR162" s="3">
        <v>0.000228089504578312</v>
      </c>
      <c r="AS162" s="3">
        <v>0.000214697975522032</v>
      </c>
      <c r="AT162" s="3">
        <v>0.000259821491096837</v>
      </c>
      <c r="AU162" s="3">
        <v>0.000236276158930534</v>
      </c>
      <c r="AV162" s="3">
        <v>0.000238556657413938</v>
      </c>
      <c r="AW162" s="3">
        <v>0.000235102177055471</v>
      </c>
      <c r="AX162" s="3">
        <v>0.00022661147385164</v>
      </c>
      <c r="AY162" s="3">
        <v>0.000223358335162719</v>
      </c>
      <c r="AZ162" s="3">
        <v>0.000222752028407795</v>
      </c>
      <c r="BA162" s="3">
        <v>0.000217794655838162</v>
      </c>
      <c r="BB162" s="3">
        <v>0.000216394582026071</v>
      </c>
      <c r="BC162" s="3">
        <v>0.000215886681367055</v>
      </c>
      <c r="BD162" s="3">
        <v>0.000215526521029601</v>
      </c>
      <c r="BE162" s="3">
        <v>0.000215871889873968</v>
      </c>
      <c r="BF162" s="3">
        <v>0.000214931405481442</v>
      </c>
      <c r="BG162" s="3">
        <v>0.000214215318393254</v>
      </c>
      <c r="BH162" s="3">
        <v>0.000212628825030279</v>
      </c>
      <c r="BI162" s="3">
        <v>0.000213049001827466</v>
      </c>
      <c r="BJ162" s="3">
        <v>0.000211334750610424</v>
      </c>
      <c r="BK162" s="3">
        <v>0.000210054608323306</v>
      </c>
      <c r="BL162" s="3">
        <v>0.000209268262309524</v>
      </c>
      <c r="BM162" s="3">
        <v>0.000209296194973816</v>
      </c>
      <c r="BN162" s="3">
        <v>0.000209273027179161</v>
      </c>
      <c r="BO162" s="3">
        <v>0.000209205786785474</v>
      </c>
      <c r="BP162" s="3">
        <v>0.000209165112654073</v>
      </c>
      <c r="BQ162" s="3">
        <v>0.00020844680429387</v>
      </c>
      <c r="BR162" s="3">
        <v>0.00020840880702021</v>
      </c>
      <c r="BS162" s="3">
        <v>0.000208358719565253</v>
      </c>
      <c r="BT162" s="3">
        <v>0.000208314238689708</v>
      </c>
      <c r="BU162" s="3">
        <v>0.000208226700458374</v>
      </c>
      <c r="BV162" s="3">
        <v>0.000208162087178559</v>
      </c>
      <c r="BW162" s="3">
        <v>0.000208112911098752</v>
      </c>
      <c r="BX162" s="3">
        <v>0.000207418497561558</v>
      </c>
      <c r="BY162" s="3">
        <v>0.000207364696420032</v>
      </c>
      <c r="BZ162" s="3">
        <v>0.000205887572230583</v>
      </c>
      <c r="CA162" s="3">
        <v>0.000205051663892868</v>
      </c>
      <c r="CB162" s="3">
        <v>0.000204939529661014</v>
      </c>
      <c r="CC162" s="3">
        <v>0.000203389494357583</v>
      </c>
      <c r="CD162" s="3">
        <v>0.000203271369117985</v>
      </c>
      <c r="CE162" s="3">
        <v>0.000201750885114088</v>
      </c>
      <c r="CF162" s="3">
        <v>0.000199677328677416</v>
      </c>
      <c r="CG162" s="3">
        <v>0.000199619536502031</v>
      </c>
      <c r="CH162" s="3">
        <v>0.000199588327486981</v>
      </c>
      <c r="CI162" s="3">
        <v>0.000199585975585573</v>
      </c>
      <c r="CJ162" s="3">
        <v>0.000198993622004022</v>
      </c>
      <c r="CK162" s="3">
        <v>0.000199047800813098</v>
      </c>
      <c r="CL162" s="3">
        <v>0.000199124567460876</v>
      </c>
      <c r="CM162" s="3">
        <v>0.000198609264498883</v>
      </c>
      <c r="CN162" s="3">
        <v>0.00019871361061512</v>
      </c>
      <c r="CO162" s="3">
        <v>0.000198820240701417</v>
      </c>
      <c r="CP162" s="3">
        <v>0.000198324827224703</v>
      </c>
      <c r="CQ162" s="3">
        <v>0.000198419136422794</v>
      </c>
      <c r="CR162" s="3">
        <v>0.000197846313653538</v>
      </c>
      <c r="CS162" s="3">
        <v>0.000197910209494274</v>
      </c>
      <c r="CT162" s="3">
        <v>0.000197256939750454</v>
      </c>
    </row>
    <row r="163" spans="1:98">
      <c r="A163" s="1" t="str">
        <f>'Population Definitions'!$B$11</f>
        <v>30-49F_aus</v>
      </c>
      <c r="C163" t="s">
        <v>52</v>
      </c>
      <c r="D163" s="3"/>
      <c r="E163" s="3"/>
      <c r="F163" s="4" t="s">
        <v>48</v>
      </c>
      <c r="G163" s="3">
        <v>0.00130766456767178</v>
      </c>
      <c r="H163" s="3">
        <v>0.00123750363971659</v>
      </c>
      <c r="I163" s="3">
        <v>0.00120117397168043</v>
      </c>
      <c r="J163" s="3">
        <v>0.00115479388418735</v>
      </c>
      <c r="K163" s="3">
        <v>0.00113102910891099</v>
      </c>
      <c r="L163" s="3">
        <v>0.00114377068945887</v>
      </c>
      <c r="M163" s="3">
        <v>0.00110557859229777</v>
      </c>
      <c r="N163" s="3">
        <v>0.00108018500019297</v>
      </c>
      <c r="O163" s="3">
        <v>0.00110713185040549</v>
      </c>
      <c r="P163" s="3">
        <v>0.00108255822276867</v>
      </c>
      <c r="Q163" s="3">
        <v>0.00100926225828863</v>
      </c>
      <c r="R163" s="3">
        <v>0.00100957547788029</v>
      </c>
      <c r="S163" s="3">
        <v>0.00101024270625692</v>
      </c>
      <c r="T163" s="3">
        <v>0.00100394823043212</v>
      </c>
      <c r="U163" s="3">
        <v>0.00100120054472477</v>
      </c>
      <c r="V163" s="3">
        <v>0.0009809344881412489</v>
      </c>
      <c r="W163" s="3">
        <v>0.000975103704379853</v>
      </c>
      <c r="X163" s="3">
        <v>0.00100776214223904</v>
      </c>
      <c r="Y163" s="3">
        <v>0.0009868591166772771</v>
      </c>
      <c r="Z163" s="3">
        <v>0.000991398934837314</v>
      </c>
      <c r="AA163" s="3">
        <v>0.000958389067514001</v>
      </c>
      <c r="AB163" s="3">
        <v>0.000925924010802217</v>
      </c>
      <c r="AC163" s="3">
        <v>0.00091664712970182</v>
      </c>
      <c r="AD163" s="3">
        <v>0.000928465279654148</v>
      </c>
      <c r="AE163" s="3">
        <v>0.000884110084796025</v>
      </c>
      <c r="AF163" s="3">
        <v>0.000866778831497995</v>
      </c>
      <c r="AG163" s="3">
        <v>0.000860166163628997</v>
      </c>
      <c r="AH163" s="3">
        <v>0.000877836362467633</v>
      </c>
      <c r="AI163" s="3">
        <v>0.000856703517220296</v>
      </c>
      <c r="AJ163" s="3">
        <v>0.000874603978089618</v>
      </c>
      <c r="AK163" s="3">
        <v>0.000839932612672222</v>
      </c>
      <c r="AL163" s="3">
        <v>0.000852130901078218</v>
      </c>
      <c r="AM163" s="3">
        <v>0.000805587169353901</v>
      </c>
      <c r="AN163" s="3">
        <v>0.000811102455063337</v>
      </c>
      <c r="AO163" s="3">
        <v>0.000821895138853216</v>
      </c>
      <c r="AP163" s="3">
        <v>0.000831822285614573</v>
      </c>
      <c r="AQ163" s="3">
        <v>0.000824861566710978</v>
      </c>
      <c r="AR163" s="3">
        <v>0.00077921719364913</v>
      </c>
      <c r="AS163" s="3">
        <v>0.000754573408717433</v>
      </c>
      <c r="AT163" s="3">
        <v>0.0007975549626212</v>
      </c>
      <c r="AU163" s="3">
        <v>0.000737953478311556</v>
      </c>
      <c r="AV163" s="3">
        <v>0.000743397548161121</v>
      </c>
      <c r="AW163" s="3">
        <v>0.000744193616135251</v>
      </c>
      <c r="AX163" s="3">
        <v>0.000733535908125412</v>
      </c>
      <c r="AY163" s="3">
        <v>0.000727182226140881</v>
      </c>
      <c r="AZ163" s="3">
        <v>0.00072222745733676</v>
      </c>
      <c r="BA163" s="3">
        <v>0.000714183313791216</v>
      </c>
      <c r="BB163" s="3">
        <v>0.000715474908161276</v>
      </c>
      <c r="BC163" s="3">
        <v>0.000715740534576039</v>
      </c>
      <c r="BD163" s="3">
        <v>0.000717601243964064</v>
      </c>
      <c r="BE163" s="3">
        <v>0.000718603381476271</v>
      </c>
      <c r="BF163" s="3">
        <v>0.000718046773213316</v>
      </c>
      <c r="BG163" s="3">
        <v>0.000718801777758683</v>
      </c>
      <c r="BH163" s="3">
        <v>0.000718789411049663</v>
      </c>
      <c r="BI163" s="3">
        <v>0.00071809687497129</v>
      </c>
      <c r="BJ163" s="3">
        <v>0.000715536580263034</v>
      </c>
      <c r="BK163" s="3">
        <v>0.000714188034126756</v>
      </c>
      <c r="BL163" s="3">
        <v>0.000711825116148414</v>
      </c>
      <c r="BM163" s="3">
        <v>0.000709392972149198</v>
      </c>
      <c r="BN163" s="3">
        <v>0.0007057338873863969</v>
      </c>
      <c r="BO163" s="3">
        <v>0.00070083414347927</v>
      </c>
      <c r="BP163" s="3">
        <v>0.000697545520064215</v>
      </c>
      <c r="BQ163" s="3">
        <v>0.000694558498509922</v>
      </c>
      <c r="BR163" s="3">
        <v>0.00069217201965201</v>
      </c>
      <c r="BS163" s="3">
        <v>0.000689533272527078</v>
      </c>
      <c r="BT163" s="3">
        <v>0.0006854667329846211</v>
      </c>
      <c r="BU163" s="3">
        <v>0.000683130065843592</v>
      </c>
      <c r="BV163" s="3">
        <v>0.000681454742689661</v>
      </c>
      <c r="BW163" s="3">
        <v>0.00068193460993166</v>
      </c>
      <c r="BX163" s="3">
        <v>0.000682280109745239</v>
      </c>
      <c r="BY163" s="3">
        <v>0.000681932789741818</v>
      </c>
      <c r="BZ163" s="3">
        <v>0.000683304708061278</v>
      </c>
      <c r="CA163" s="3">
        <v>0.0006847336431411169</v>
      </c>
      <c r="CB163" s="3">
        <v>0.00068560504210369</v>
      </c>
      <c r="CC163" s="3">
        <v>0.000685937914404072</v>
      </c>
      <c r="CD163" s="3">
        <v>0.00068635698583217</v>
      </c>
      <c r="CE163" s="3">
        <v>0.000686646712163304</v>
      </c>
      <c r="CF163" s="3">
        <v>0.000686611084138141</v>
      </c>
      <c r="CG163" s="3">
        <v>0.000684732748068466</v>
      </c>
      <c r="CH163" s="3">
        <v>0.0006843408917712891</v>
      </c>
      <c r="CI163" s="3">
        <v>0.000680962849681449</v>
      </c>
      <c r="CJ163" s="3">
        <v>0.000680839962603068</v>
      </c>
      <c r="CK163" s="3">
        <v>0.000678893157925202</v>
      </c>
      <c r="CL163" s="3">
        <v>0.000676331136155609</v>
      </c>
      <c r="CM163" s="3">
        <v>0.000675253597700315</v>
      </c>
      <c r="CN163" s="3">
        <v>0.0006742322902999331</v>
      </c>
      <c r="CO163" s="3">
        <v>0.00066962370665972</v>
      </c>
      <c r="CP163" s="3">
        <v>0.000666899123620128</v>
      </c>
      <c r="CQ163" s="3">
        <v>0.000666445963994879</v>
      </c>
      <c r="CR163" s="3">
        <v>0.0006655219624588119</v>
      </c>
      <c r="CS163" s="3">
        <v>0.00066324026535934</v>
      </c>
      <c r="CT163" s="3">
        <v>0.0006622005805940611</v>
      </c>
    </row>
    <row r="164" spans="1:98">
      <c r="A164" s="1" t="str">
        <f>'Population Definitions'!$B$12</f>
        <v>50-64F_aus</v>
      </c>
      <c r="C164" t="s">
        <v>52</v>
      </c>
      <c r="D164" s="3"/>
      <c r="E164" s="3"/>
      <c r="F164" s="4" t="s">
        <v>48</v>
      </c>
      <c r="G164" s="3">
        <v>0.00654224609550469</v>
      </c>
      <c r="H164" s="3">
        <v>0.00638674202380997</v>
      </c>
      <c r="I164" s="3">
        <v>0.0067210063229238</v>
      </c>
      <c r="J164" s="3">
        <v>0.00651061708004723</v>
      </c>
      <c r="K164" s="3">
        <v>0.00616853024839725</v>
      </c>
      <c r="L164" s="3">
        <v>0.00637320479851949</v>
      </c>
      <c r="M164" s="3">
        <v>0.00604704348554427</v>
      </c>
      <c r="N164" s="3">
        <v>0.00585906528608023</v>
      </c>
      <c r="O164" s="3">
        <v>0.00584261046143211</v>
      </c>
      <c r="P164" s="3">
        <v>0.00572374349777385</v>
      </c>
      <c r="Q164" s="3">
        <v>0.00541183546039074</v>
      </c>
      <c r="R164" s="3">
        <v>0.00521495145410011</v>
      </c>
      <c r="S164" s="3">
        <v>0.00516724484617769</v>
      </c>
      <c r="T164" s="3">
        <v>0.00489270746664862</v>
      </c>
      <c r="U164" s="3">
        <v>0.00475120751469234</v>
      </c>
      <c r="V164" s="3">
        <v>0.00457883990734429</v>
      </c>
      <c r="W164" s="3">
        <v>0.00455705519126728</v>
      </c>
      <c r="X164" s="3">
        <v>0.00437503991824743</v>
      </c>
      <c r="Y164" s="3">
        <v>0.00411545147057</v>
      </c>
      <c r="Z164" s="3">
        <v>0.00385181383694362</v>
      </c>
      <c r="AA164" s="3">
        <v>0.00380854321200621</v>
      </c>
      <c r="AB164" s="3">
        <v>0.00372770560271493</v>
      </c>
      <c r="AC164" s="3">
        <v>0.00382987490876016</v>
      </c>
      <c r="AD164" s="3">
        <v>0.00358764259145111</v>
      </c>
      <c r="AE164" s="3">
        <v>0.00345915834634261</v>
      </c>
      <c r="AF164" s="3">
        <v>0.00339442767723508</v>
      </c>
      <c r="AG164" s="3">
        <v>0.00333760703048255</v>
      </c>
      <c r="AH164" s="3">
        <v>0.00344289272323281</v>
      </c>
      <c r="AI164" s="3">
        <v>0.00338624516899375</v>
      </c>
      <c r="AJ164" s="3">
        <v>0.00335351399882789</v>
      </c>
      <c r="AK164" s="3">
        <v>0.00326762801302638</v>
      </c>
      <c r="AL164" s="3">
        <v>0.00321805123627006</v>
      </c>
      <c r="AM164" s="3">
        <v>0.00316550519458873</v>
      </c>
      <c r="AN164" s="3">
        <v>0.00316938624471237</v>
      </c>
      <c r="AO164" s="3">
        <v>0.00319923177534821</v>
      </c>
      <c r="AP164" s="3">
        <v>0.003190905048779</v>
      </c>
      <c r="AQ164" s="3">
        <v>0.00311449910891224</v>
      </c>
      <c r="AR164" s="3">
        <v>0.00306540867263415</v>
      </c>
      <c r="AS164" s="3">
        <v>0.0031185477844357</v>
      </c>
      <c r="AT164" s="3">
        <v>0.00316258433558228</v>
      </c>
      <c r="AU164" s="3">
        <v>0.00295391212614082</v>
      </c>
      <c r="AV164" s="3">
        <v>0.00300755512085312</v>
      </c>
      <c r="AW164" s="3">
        <v>0.00302239136163768</v>
      </c>
      <c r="AX164" s="3">
        <v>0.00300057826434057</v>
      </c>
      <c r="AY164" s="3">
        <v>0.0029796671811042</v>
      </c>
      <c r="AZ164" s="3">
        <v>0.00295676532006748</v>
      </c>
      <c r="BA164" s="3">
        <v>0.00291953846781181</v>
      </c>
      <c r="BB164" s="3">
        <v>0.00290450411441707</v>
      </c>
      <c r="BC164" s="3">
        <v>0.00289172547915063</v>
      </c>
      <c r="BD164" s="3">
        <v>0.00287507037693911</v>
      </c>
      <c r="BE164" s="3">
        <v>0.00286145434879716</v>
      </c>
      <c r="BF164" s="3">
        <v>0.00284743670856487</v>
      </c>
      <c r="BG164" s="3">
        <v>0.00283955723951577</v>
      </c>
      <c r="BH164" s="3">
        <v>0.0028286839440853</v>
      </c>
      <c r="BI164" s="3">
        <v>0.00281197343451385</v>
      </c>
      <c r="BJ164" s="3">
        <v>0.0027944061393674</v>
      </c>
      <c r="BK164" s="3">
        <v>0.0027704202743103</v>
      </c>
      <c r="BL164" s="3">
        <v>0.00275012500702732</v>
      </c>
      <c r="BM164" s="3">
        <v>0.00273702893472184</v>
      </c>
      <c r="BN164" s="3">
        <v>0.00272533863922336</v>
      </c>
      <c r="BO164" s="3">
        <v>0.00271899988885901</v>
      </c>
      <c r="BP164" s="3">
        <v>0.00271686128650468</v>
      </c>
      <c r="BQ164" s="3">
        <v>0.00271791056974273</v>
      </c>
      <c r="BR164" s="3">
        <v>0.00272219308769425</v>
      </c>
      <c r="BS164" s="3">
        <v>0.00272537159387233</v>
      </c>
      <c r="BT164" s="3">
        <v>0.00273220135178958</v>
      </c>
      <c r="BU164" s="3">
        <v>0.0027336681959949</v>
      </c>
      <c r="BV164" s="3">
        <v>0.0027409903442108</v>
      </c>
      <c r="BW164" s="3">
        <v>0.00274119100045823</v>
      </c>
      <c r="BX164" s="3">
        <v>0.00274433035474405</v>
      </c>
      <c r="BY164" s="3">
        <v>0.00274370498799926</v>
      </c>
      <c r="BZ164" s="3">
        <v>0.00274146741003355</v>
      </c>
      <c r="CA164" s="3">
        <v>0.00274166468209708</v>
      </c>
      <c r="CB164" s="3">
        <v>0.00274132173998177</v>
      </c>
      <c r="CC164" s="3">
        <v>0.00273425185539715</v>
      </c>
      <c r="CD164" s="3">
        <v>0.00272439050317844</v>
      </c>
      <c r="CE164" s="3">
        <v>0.00270951285571877</v>
      </c>
      <c r="CF164" s="3">
        <v>0.00269612416208581</v>
      </c>
      <c r="CG164" s="3">
        <v>0.00268171394632618</v>
      </c>
      <c r="CH164" s="3">
        <v>0.00266824722360374</v>
      </c>
      <c r="CI164" s="3">
        <v>0.00265498325239569</v>
      </c>
      <c r="CJ164" s="3">
        <v>0.00264418932587368</v>
      </c>
      <c r="CK164" s="3">
        <v>0.00263544124309853</v>
      </c>
      <c r="CL164" s="3">
        <v>0.00263189126761602</v>
      </c>
      <c r="CM164" s="3">
        <v>0.00262916088018304</v>
      </c>
      <c r="CN164" s="3">
        <v>0.00262691738327036</v>
      </c>
      <c r="CO164" s="3">
        <v>0.00262429147397764</v>
      </c>
      <c r="CP164" s="3">
        <v>0.00262519541593904</v>
      </c>
      <c r="CQ164" s="3">
        <v>0.00263134651931737</v>
      </c>
      <c r="CR164" s="3">
        <v>0.00263173472222222</v>
      </c>
      <c r="CS164" s="3">
        <v>0.00263403614399932</v>
      </c>
      <c r="CT164" s="3">
        <v>0.00263230850267148</v>
      </c>
    </row>
    <row r="165" spans="1:98">
      <c r="A165" s="1" t="str">
        <f>'Population Definitions'!$B$13</f>
        <v>65+F_aus</v>
      </c>
      <c r="C165" t="s">
        <v>52</v>
      </c>
      <c r="D165" s="3"/>
      <c r="E165" s="3"/>
      <c r="F165" s="4" t="s">
        <v>48</v>
      </c>
      <c r="G165" s="3">
        <v>0.0445728052621419</v>
      </c>
      <c r="H165" s="3">
        <v>0.0436915782504384</v>
      </c>
      <c r="I165" s="3">
        <v>0.0454960446981916</v>
      </c>
      <c r="J165" s="3">
        <v>0.0425949490664997</v>
      </c>
      <c r="K165" s="3">
        <v>0.0423547002278912</v>
      </c>
      <c r="L165" s="3">
        <v>0.0455540801082751</v>
      </c>
      <c r="M165" s="3">
        <v>0.0426199347328931</v>
      </c>
      <c r="N165" s="3">
        <v>0.0425283346125859</v>
      </c>
      <c r="O165" s="3">
        <v>0.0421444164828049</v>
      </c>
      <c r="P165" s="3">
        <v>0.0435386517275619</v>
      </c>
      <c r="Q165" s="3">
        <v>0.0411605558500219</v>
      </c>
      <c r="R165" s="3">
        <v>0.0399657948787432</v>
      </c>
      <c r="S165" s="3">
        <v>0.0412346819876746</v>
      </c>
      <c r="T165" s="3">
        <v>0.039752086159658</v>
      </c>
      <c r="U165" s="3">
        <v>0.0412867957325138</v>
      </c>
      <c r="V165" s="3">
        <v>0.0402573873518015</v>
      </c>
      <c r="W165" s="3">
        <v>0.0407602789477809</v>
      </c>
      <c r="X165" s="3">
        <v>0.0407360229838534</v>
      </c>
      <c r="Y165" s="3">
        <v>0.0391021055820883</v>
      </c>
      <c r="Z165" s="3">
        <v>0.0390895368176039</v>
      </c>
      <c r="AA165" s="3">
        <v>0.0388912568355567</v>
      </c>
      <c r="AB165" s="3">
        <v>0.0384010396561548</v>
      </c>
      <c r="AC165" s="3">
        <v>0.0398027983094914</v>
      </c>
      <c r="AD165" s="3">
        <v>0.0386953078385068</v>
      </c>
      <c r="AE165" s="3">
        <v>0.0383295748390302</v>
      </c>
      <c r="AF165" s="3">
        <v>0.0372053388004784</v>
      </c>
      <c r="AG165" s="3">
        <v>0.0377174581989144</v>
      </c>
      <c r="AH165" s="3">
        <v>0.0379580785023881</v>
      </c>
      <c r="AI165" s="3">
        <v>0.0391790350475725</v>
      </c>
      <c r="AJ165" s="3">
        <v>0.0367608308280882</v>
      </c>
      <c r="AK165" s="3">
        <v>0.0367605385108346</v>
      </c>
      <c r="AL165" s="3">
        <v>0.036564569273438</v>
      </c>
      <c r="AM165" s="3">
        <v>0.0357870491352138</v>
      </c>
      <c r="AN165" s="3">
        <v>0.0343096641863735</v>
      </c>
      <c r="AO165" s="3">
        <v>0.0349617765941444</v>
      </c>
      <c r="AP165" s="3">
        <v>0.0352052722774756</v>
      </c>
      <c r="AQ165" s="3">
        <v>0.0336382293032373</v>
      </c>
      <c r="AR165" s="3">
        <v>0.0333981624636855</v>
      </c>
      <c r="AS165" s="3">
        <v>0.0314570149677339</v>
      </c>
      <c r="AT165" s="3">
        <v>0.0324503653829216</v>
      </c>
      <c r="AU165" s="3">
        <v>0.0296199048920666</v>
      </c>
      <c r="AV165" s="3">
        <v>0.0309858921733129</v>
      </c>
      <c r="AW165" s="3">
        <v>0.0299891062445551</v>
      </c>
      <c r="AX165" s="3">
        <v>0.0296364581311392</v>
      </c>
      <c r="AY165" s="3">
        <v>0.0293267511497513</v>
      </c>
      <c r="AZ165" s="3">
        <v>0.0290622208141421</v>
      </c>
      <c r="BA165" s="3">
        <v>0.0286847421511497</v>
      </c>
      <c r="BB165" s="3">
        <v>0.0286428532208872</v>
      </c>
      <c r="BC165" s="3">
        <v>0.0286549844113937</v>
      </c>
      <c r="BD165" s="3">
        <v>0.0287529924610887</v>
      </c>
      <c r="BE165" s="3">
        <v>0.0289534136478998</v>
      </c>
      <c r="BF165" s="3">
        <v>0.0292127093137888</v>
      </c>
      <c r="BG165" s="3">
        <v>0.0295888274862551</v>
      </c>
      <c r="BH165" s="3">
        <v>0.029973414924608</v>
      </c>
      <c r="BI165" s="3">
        <v>0.0303421356444203</v>
      </c>
      <c r="BJ165" s="3">
        <v>0.0307409606148555</v>
      </c>
      <c r="BK165" s="3">
        <v>0.0310561157690184</v>
      </c>
      <c r="BL165" s="3">
        <v>0.0314353322749171</v>
      </c>
      <c r="BM165" s="3">
        <v>0.0318692008327027</v>
      </c>
      <c r="BN165" s="3">
        <v>0.0323287199521957</v>
      </c>
      <c r="BO165" s="3">
        <v>0.0328134475207157</v>
      </c>
      <c r="BP165" s="3">
        <v>0.0332928521834823</v>
      </c>
      <c r="BQ165" s="3">
        <v>0.0337563951610793</v>
      </c>
      <c r="BR165" s="3">
        <v>0.0341768423043526</v>
      </c>
      <c r="BS165" s="3">
        <v>0.0345381703113701</v>
      </c>
      <c r="BT165" s="3">
        <v>0.0348601230730565</v>
      </c>
      <c r="BU165" s="3">
        <v>0.0351037702893661</v>
      </c>
      <c r="BV165" s="3">
        <v>0.0352971441937117</v>
      </c>
      <c r="BW165" s="3">
        <v>0.0354352124825821</v>
      </c>
      <c r="BX165" s="3">
        <v>0.0355515666737333</v>
      </c>
      <c r="BY165" s="3">
        <v>0.0356335039454807</v>
      </c>
      <c r="BZ165" s="3">
        <v>0.0356966357948239</v>
      </c>
      <c r="CA165" s="3">
        <v>0.0357388798348754</v>
      </c>
      <c r="CB165" s="3">
        <v>0.0357519385466607</v>
      </c>
      <c r="CC165" s="3">
        <v>0.0357415245533185</v>
      </c>
      <c r="CD165" s="3">
        <v>0.035689652111282</v>
      </c>
      <c r="CE165" s="3">
        <v>0.0356216828723088</v>
      </c>
      <c r="CF165" s="3">
        <v>0.0355597200535651</v>
      </c>
      <c r="CG165" s="3">
        <v>0.0354928495075063</v>
      </c>
      <c r="CH165" s="3">
        <v>0.035435186329302</v>
      </c>
      <c r="CI165" s="3">
        <v>0.0353768214540043</v>
      </c>
      <c r="CJ165" s="3">
        <v>0.0353562349729522</v>
      </c>
      <c r="CK165" s="3">
        <v>0.0353714523070365</v>
      </c>
      <c r="CL165" s="3">
        <v>0.0354147449741961</v>
      </c>
      <c r="CM165" s="3">
        <v>0.0354729154622767</v>
      </c>
      <c r="CN165" s="3">
        <v>0.0355148869344956</v>
      </c>
      <c r="CO165" s="3">
        <v>0.0355737464950933</v>
      </c>
      <c r="CP165" s="3">
        <v>0.0356625736391637</v>
      </c>
      <c r="CQ165" s="3">
        <v>0.0357514823881976</v>
      </c>
      <c r="CR165" s="3">
        <v>0.0358387536308546</v>
      </c>
      <c r="CS165" s="3">
        <v>0.0359267699193844</v>
      </c>
      <c r="CT165" s="3">
        <v>0.036013271039966</v>
      </c>
    </row>
    <row r="166" spans="1:98">
      <c r="A166" s="1" t="str">
        <f>'Population Definitions'!$B$14</f>
        <v>0-4M_oth</v>
      </c>
      <c r="C166" t="s">
        <v>52</v>
      </c>
      <c r="D166" s="3"/>
      <c r="E166" s="3"/>
      <c r="F166" s="4" t="s">
        <v>48</v>
      </c>
      <c r="G166" s="3">
        <v>0.00291776456468056</v>
      </c>
      <c r="H166" s="3">
        <v>0.00280855529150335</v>
      </c>
      <c r="I166" s="3">
        <v>0.00293724966622163</v>
      </c>
      <c r="J166" s="3">
        <v>0.00264592580744058</v>
      </c>
      <c r="K166" s="3">
        <v>0.00252590161341348</v>
      </c>
      <c r="L166" s="3">
        <v>0.00272887280945271</v>
      </c>
      <c r="M166" s="3">
        <v>0.0024409550579949</v>
      </c>
      <c r="N166" s="3">
        <v>0.00238722370689379</v>
      </c>
      <c r="O166" s="3">
        <v>0.0023132848645076</v>
      </c>
      <c r="P166" s="3">
        <v>0.00213804016124779</v>
      </c>
      <c r="Q166" s="3">
        <v>0.0022937521600791</v>
      </c>
      <c r="R166" s="3">
        <v>0.00190709211377552</v>
      </c>
      <c r="S166" s="3">
        <v>0.00196380702140747</v>
      </c>
      <c r="T166" s="3">
        <v>0.00175313291344718</v>
      </c>
      <c r="U166" s="3">
        <v>0.00160504709842985</v>
      </c>
      <c r="V166" s="3">
        <v>0.0015233815762563</v>
      </c>
      <c r="W166" s="3">
        <v>0.00158125429073654</v>
      </c>
      <c r="X166" s="3">
        <v>0.00143311429312769</v>
      </c>
      <c r="Y166" s="3">
        <v>0.00137153214537938</v>
      </c>
      <c r="Z166" s="3">
        <v>0.00148650645092016</v>
      </c>
      <c r="AA166" s="3">
        <v>0.00134870128180202</v>
      </c>
      <c r="AB166" s="3">
        <v>0.00137507981741145</v>
      </c>
      <c r="AC166" s="3">
        <v>0.00132654331709612</v>
      </c>
      <c r="AD166" s="3">
        <v>0.00127110307769867</v>
      </c>
      <c r="AE166" s="3">
        <v>0.00126476971674684</v>
      </c>
      <c r="AF166" s="3">
        <v>0.00130021965023634</v>
      </c>
      <c r="AG166" s="3">
        <v>0.00126720204197118</v>
      </c>
      <c r="AH166" s="3">
        <v>0.00116138264279396</v>
      </c>
      <c r="AI166" s="3">
        <v>0.00117986292189251</v>
      </c>
      <c r="AJ166" s="3">
        <v>0.00117354696715298</v>
      </c>
      <c r="AK166" s="3">
        <v>0.00116035705767752</v>
      </c>
      <c r="AL166" s="3">
        <v>0.0009979599934270909</v>
      </c>
      <c r="AM166" s="3">
        <v>0.000887617925450521</v>
      </c>
      <c r="AN166" s="3">
        <v>0.000905676766644525</v>
      </c>
      <c r="AO166" s="3">
        <v>0.000803834137167471</v>
      </c>
      <c r="AP166" s="3">
        <v>0.0008305752046953849</v>
      </c>
      <c r="AQ166" s="3">
        <v>0.000809513140972876</v>
      </c>
      <c r="AR166" s="3">
        <v>0.00082199231159071</v>
      </c>
      <c r="AS166" s="3">
        <v>0.000821124293335457</v>
      </c>
      <c r="AT166" s="3">
        <v>0.000852870998884515</v>
      </c>
      <c r="AU166" s="3">
        <v>0.000756106797235461</v>
      </c>
      <c r="AV166" s="3">
        <v>0.0008390267289943661</v>
      </c>
      <c r="AW166" s="3">
        <v>0.000770323786315956</v>
      </c>
      <c r="AX166" s="3">
        <v>0.000743263384642085</v>
      </c>
      <c r="AY166" s="3">
        <v>0.0007379258918799499</v>
      </c>
      <c r="AZ166" s="3">
        <v>0.000724436230880594</v>
      </c>
      <c r="BA166" s="3">
        <v>0.0007080798862095429</v>
      </c>
      <c r="BB166" s="3">
        <v>0.000699975893028128</v>
      </c>
      <c r="BC166" s="3">
        <v>0.000695521212196702</v>
      </c>
      <c r="BD166" s="3">
        <v>0.000688164739454094</v>
      </c>
      <c r="BE166" s="3">
        <v>0.000682856616610875</v>
      </c>
      <c r="BF166" s="3">
        <v>0.000675550500802343</v>
      </c>
      <c r="BG166" s="3">
        <v>0.0006722114589746921</v>
      </c>
      <c r="BH166" s="3">
        <v>0.000670877912725053</v>
      </c>
      <c r="BI166" s="3">
        <v>0.000667784154093441</v>
      </c>
      <c r="BJ166" s="3">
        <v>0.000664833150747075</v>
      </c>
      <c r="BK166" s="3">
        <v>0.000659854722942058</v>
      </c>
      <c r="BL166" s="3">
        <v>0.000658714603942154</v>
      </c>
      <c r="BM166" s="3">
        <v>0.000655323378804396</v>
      </c>
      <c r="BN166" s="3">
        <v>0.000653631114697697</v>
      </c>
      <c r="BO166" s="3">
        <v>0.000651589122531766</v>
      </c>
      <c r="BP166" s="3">
        <v>0.000649200066951516</v>
      </c>
      <c r="BQ166" s="3">
        <v>0.000646487632701578</v>
      </c>
      <c r="BR166" s="3">
        <v>0.000641532868848116</v>
      </c>
      <c r="BS166" s="3">
        <v>0.000638460939309803</v>
      </c>
      <c r="BT166" s="3">
        <v>0.00063537695841874</v>
      </c>
      <c r="BU166" s="3">
        <v>0.000632330529150701</v>
      </c>
      <c r="BV166" s="3">
        <v>0.000629388908294922</v>
      </c>
      <c r="BW166" s="3">
        <v>0.0006265921630007959</v>
      </c>
      <c r="BX166" s="3">
        <v>0.000623956387726501</v>
      </c>
      <c r="BY166" s="3">
        <v>0.000621492472012732</v>
      </c>
      <c r="BZ166" s="3">
        <v>0.000619169251036934</v>
      </c>
      <c r="CA166" s="3">
        <v>0.000615043259429988</v>
      </c>
      <c r="CB166" s="3">
        <v>0.000613050977569869</v>
      </c>
      <c r="CC166" s="3">
        <v>0.000611183207396068</v>
      </c>
      <c r="CD166" s="3">
        <v>0.000609383404312762</v>
      </c>
      <c r="CE166" s="3">
        <v>0.000607627509600128</v>
      </c>
      <c r="CF166" s="3">
        <v>0.000605888336506785</v>
      </c>
      <c r="CG166" s="3">
        <v>0.000604146750164856</v>
      </c>
      <c r="CH166" s="3">
        <v>0.000602421486404258</v>
      </c>
      <c r="CI166" s="3">
        <v>0.000602699062592863</v>
      </c>
      <c r="CJ166" s="3">
        <v>0.000598991266940518</v>
      </c>
      <c r="CK166" s="3">
        <v>0.000597317995672504</v>
      </c>
      <c r="CL166" s="3">
        <v>0.000595643637829862</v>
      </c>
      <c r="CM166" s="3">
        <v>0.000593964128455961</v>
      </c>
      <c r="CN166" s="3">
        <v>0.000592261229925161</v>
      </c>
      <c r="CO166" s="3">
        <v>0.000590549799984929</v>
      </c>
      <c r="CP166" s="3">
        <v>0.000590802877962507</v>
      </c>
      <c r="CQ166" s="3">
        <v>0.000587033073110755</v>
      </c>
      <c r="CR166" s="3">
        <v>0.000583204194243134</v>
      </c>
      <c r="CS166" s="3">
        <v>0.000581317445231639</v>
      </c>
      <c r="CT166" s="3">
        <v>0.000579366028111916</v>
      </c>
    </row>
    <row r="167" spans="1:98">
      <c r="A167" s="1" t="str">
        <f>'Population Definitions'!$B$15</f>
        <v>5-14M_oth</v>
      </c>
      <c r="C167" t="s">
        <v>52</v>
      </c>
      <c r="D167" s="3"/>
      <c r="E167" s="3"/>
      <c r="F167" s="4" t="s">
        <v>48</v>
      </c>
      <c r="G167" s="3">
        <v>0.000330119412159778</v>
      </c>
      <c r="H167" s="3">
        <v>0.000314831913057956</v>
      </c>
      <c r="I167" s="3">
        <v>0.000367090835343143</v>
      </c>
      <c r="J167" s="3">
        <v>0.000293175599305469</v>
      </c>
      <c r="K167" s="3">
        <v>0.000272586594099419</v>
      </c>
      <c r="L167" s="3">
        <v>0.000290633410784045</v>
      </c>
      <c r="M167" s="3">
        <v>0.00027171359664234</v>
      </c>
      <c r="N167" s="3">
        <v>0.000257435218717278</v>
      </c>
      <c r="O167" s="3">
        <v>0.000265073281717675</v>
      </c>
      <c r="P167" s="3">
        <v>0.000243456708292528</v>
      </c>
      <c r="Q167" s="3">
        <v>0.000222428087438432</v>
      </c>
      <c r="R167" s="3">
        <v>0.000206859844320535</v>
      </c>
      <c r="S167" s="3">
        <v>0.000196462291952211</v>
      </c>
      <c r="T167" s="3">
        <v>0.000194180420473524</v>
      </c>
      <c r="U167" s="3">
        <v>0.00019542491942539</v>
      </c>
      <c r="V167" s="3">
        <v>0.000183061514720566</v>
      </c>
      <c r="W167" s="3">
        <v>0.000196438907499768</v>
      </c>
      <c r="X167" s="3">
        <v>0.000173076463988159</v>
      </c>
      <c r="Y167" s="3">
        <v>0.000169180505953596</v>
      </c>
      <c r="Z167" s="3">
        <v>0.000152453956327465</v>
      </c>
      <c r="AA167" s="3">
        <v>0.000161511218817738</v>
      </c>
      <c r="AB167" s="3">
        <v>0.000153902666726679</v>
      </c>
      <c r="AC167" s="3">
        <v>0.00015261113309065</v>
      </c>
      <c r="AD167" s="3">
        <v>0.000124831963909853</v>
      </c>
      <c r="AE167" s="3">
        <v>0.000139782544474627</v>
      </c>
      <c r="AF167" s="3">
        <v>0.000120280693364179</v>
      </c>
      <c r="AG167" s="3">
        <v>0.000119485836609597</v>
      </c>
      <c r="AH167" s="3">
        <v>0.000109338044460302</v>
      </c>
      <c r="AI167" s="3">
        <v>0.00011262739629133</v>
      </c>
      <c r="AJ167" s="3">
        <v>0.000115582933965757</v>
      </c>
      <c r="AK167" s="3">
        <v>0.000120744725053607</v>
      </c>
      <c r="AL167" s="3">
        <v>0.000109569951985885</v>
      </c>
      <c r="AM167" s="3">
        <v>0.000101965506525792</v>
      </c>
      <c r="AN167" s="3">
        <v>0.000107890481601259</v>
      </c>
      <c r="AO167" s="3">
        <v>9.07296478278314E-05</v>
      </c>
      <c r="AP167" s="3">
        <v>0.000102427126403665</v>
      </c>
      <c r="AQ167" s="3">
        <v>9.677417259706159E-05</v>
      </c>
      <c r="AR167" s="3">
        <v>9.72839961467907E-05</v>
      </c>
      <c r="AS167" s="3">
        <v>8.160249865605039E-05</v>
      </c>
      <c r="AT167" s="3">
        <v>9.12209898885512E-05</v>
      </c>
      <c r="AU167" s="3">
        <v>8.026888265111819E-05</v>
      </c>
      <c r="AV167" s="3">
        <v>9.47980471602285E-05</v>
      </c>
      <c r="AW167" s="3">
        <v>0.000121053045313577</v>
      </c>
      <c r="AX167" s="3">
        <v>0.000121115721309083</v>
      </c>
      <c r="AY167" s="3">
        <v>0.000117255685867448</v>
      </c>
      <c r="AZ167" s="3">
        <v>0.000111272214758929</v>
      </c>
      <c r="BA167" s="3">
        <v>0.000111417409645175</v>
      </c>
      <c r="BB167" s="3">
        <v>0.000111507773904764</v>
      </c>
      <c r="BC167" s="3">
        <v>0.000111480099356827</v>
      </c>
      <c r="BD167" s="3">
        <v>0.000110503701536211</v>
      </c>
      <c r="BE167" s="3">
        <v>0.00011047817328715</v>
      </c>
      <c r="BF167" s="3">
        <v>0.000109292483234443</v>
      </c>
      <c r="BG167" s="3">
        <v>0.000109249691942767</v>
      </c>
      <c r="BH167" s="3">
        <v>0.000107251293030949</v>
      </c>
      <c r="BI167" s="3">
        <v>0.000107220527936858</v>
      </c>
      <c r="BJ167" s="3">
        <v>0.000107286425359605</v>
      </c>
      <c r="BK167" s="3">
        <v>0.000106307589547695</v>
      </c>
      <c r="BL167" s="3">
        <v>0.000106204339260539</v>
      </c>
      <c r="BM167" s="3">
        <v>0.000106203856094796</v>
      </c>
      <c r="BN167" s="3">
        <v>0.000105179518911953</v>
      </c>
      <c r="BO167" s="3">
        <v>0.000104158499905884</v>
      </c>
      <c r="BP167" s="3">
        <v>0.000104122702984306</v>
      </c>
      <c r="BQ167" s="3">
        <v>0.00010309041868976</v>
      </c>
      <c r="BR167" s="3">
        <v>0.000102061806311942</v>
      </c>
      <c r="BS167" s="3">
        <v>0.000102026699924232</v>
      </c>
      <c r="BT167" s="3">
        <v>0.000101992001309078</v>
      </c>
      <c r="BU167" s="3">
        <v>0.000100960568260072</v>
      </c>
      <c r="BV167" s="3">
        <v>9.99332412849919E-05</v>
      </c>
      <c r="BW167" s="3">
        <v>9.99218517573194E-05</v>
      </c>
      <c r="BX167" s="3">
        <v>9.99242380242516E-05</v>
      </c>
      <c r="BY167" s="3">
        <v>9.99399915646506E-05</v>
      </c>
      <c r="BZ167" s="3">
        <v>9.89715510575947E-05</v>
      </c>
      <c r="CA167" s="3">
        <v>9.90060955103857E-05</v>
      </c>
      <c r="CB167" s="3">
        <v>9.90462857661189E-05</v>
      </c>
      <c r="CC167" s="3">
        <v>9.90886902764156E-05</v>
      </c>
      <c r="CD167" s="3">
        <v>9.9130178619437E-05</v>
      </c>
      <c r="CE167" s="3">
        <v>9.815501081994111E-05</v>
      </c>
      <c r="CF167" s="3">
        <v>9.81856027026999E-05</v>
      </c>
      <c r="CG167" s="3">
        <v>9.82106649362744E-05</v>
      </c>
      <c r="CH167" s="3">
        <v>9.82296475366741E-05</v>
      </c>
      <c r="CI167" s="3">
        <v>9.82423033718856E-05</v>
      </c>
      <c r="CJ167" s="3">
        <v>9.72698666718777E-05</v>
      </c>
      <c r="CK167" s="3">
        <v>9.72710689323211E-05</v>
      </c>
      <c r="CL167" s="3">
        <v>9.62531988798853E-05</v>
      </c>
      <c r="CM167" s="3">
        <v>9.62468484546857E-05</v>
      </c>
      <c r="CN167" s="3">
        <v>9.62380793215547E-05</v>
      </c>
      <c r="CO167" s="3">
        <v>9.62278309576985E-05</v>
      </c>
      <c r="CP167" s="3">
        <v>9.62167203100552E-05</v>
      </c>
      <c r="CQ167" s="3">
        <v>9.51982213334094E-05</v>
      </c>
      <c r="CR167" s="3">
        <v>9.51863927927782E-05</v>
      </c>
      <c r="CS167" s="3">
        <v>9.517422183581689E-05</v>
      </c>
      <c r="CT167" s="3">
        <v>9.414445132665569E-05</v>
      </c>
    </row>
    <row r="168" spans="1:98">
      <c r="A168" s="1" t="str">
        <f>'Population Definitions'!$B$16</f>
        <v>15-29M_oth</v>
      </c>
      <c r="C168" t="s">
        <v>52</v>
      </c>
      <c r="D168" s="3"/>
      <c r="E168" s="3"/>
      <c r="F168" s="4" t="s">
        <v>48</v>
      </c>
      <c r="G168" s="3">
        <v>0.00141531875643504</v>
      </c>
      <c r="H168" s="3">
        <v>0.00136745327396208</v>
      </c>
      <c r="I168" s="3">
        <v>0.00142533776794342</v>
      </c>
      <c r="J168" s="3">
        <v>0.00133180203876317</v>
      </c>
      <c r="K168" s="3">
        <v>0.00118614752008511</v>
      </c>
      <c r="L168" s="3">
        <v>0.0013496091478458</v>
      </c>
      <c r="M168" s="3">
        <v>0.00129953723795917</v>
      </c>
      <c r="N168" s="3">
        <v>0.00127128940600181</v>
      </c>
      <c r="O168" s="3">
        <v>0.0013937989043893</v>
      </c>
      <c r="P168" s="3">
        <v>0.00129516914191029</v>
      </c>
      <c r="Q168" s="3">
        <v>0.0012366980727022</v>
      </c>
      <c r="R168" s="3">
        <v>0.00114529610528188</v>
      </c>
      <c r="S168" s="3">
        <v>0.00109898035065163</v>
      </c>
      <c r="T168" s="3">
        <v>0.00106914031092798</v>
      </c>
      <c r="U168" s="3">
        <v>0.00107060769362178</v>
      </c>
      <c r="V168" s="3">
        <v>0.00109672299945237</v>
      </c>
      <c r="W168" s="3">
        <v>0.00110682376485885</v>
      </c>
      <c r="X168" s="3">
        <v>0.00115110390718805</v>
      </c>
      <c r="Y168" s="3">
        <v>0.00115632283478793</v>
      </c>
      <c r="Z168" s="3">
        <v>0.00118328814952842</v>
      </c>
      <c r="AA168" s="3">
        <v>0.00104081404318716</v>
      </c>
      <c r="AB168" s="3">
        <v>0.0009252354652935861</v>
      </c>
      <c r="AC168" s="3">
        <v>0.0008716887830950199</v>
      </c>
      <c r="AD168" s="3">
        <v>0.000857204259668224</v>
      </c>
      <c r="AE168" s="3">
        <v>0.000762844465934227</v>
      </c>
      <c r="AF168" s="3">
        <v>0.0007609876794053379</v>
      </c>
      <c r="AG168" s="3">
        <v>0.000706952397141453</v>
      </c>
      <c r="AH168" s="3">
        <v>0.000705511907945856</v>
      </c>
      <c r="AI168" s="3">
        <v>0.000684499818705959</v>
      </c>
      <c r="AJ168" s="3">
        <v>0.000655432056924126</v>
      </c>
      <c r="AK168" s="3">
        <v>0.000621729357710236</v>
      </c>
      <c r="AL168" s="3">
        <v>0.000603445737371291</v>
      </c>
      <c r="AM168" s="3">
        <v>0.000595295892376402</v>
      </c>
      <c r="AN168" s="3">
        <v>0.000552585638611425</v>
      </c>
      <c r="AO168" s="3">
        <v>0.0005335603848716719</v>
      </c>
      <c r="AP168" s="3">
        <v>0.000570564539473763</v>
      </c>
      <c r="AQ168" s="3">
        <v>0.000557690512616462</v>
      </c>
      <c r="AR168" s="3">
        <v>0.000546353694843875</v>
      </c>
      <c r="AS168" s="3">
        <v>0.000538912664447615</v>
      </c>
      <c r="AT168" s="3">
        <v>0.0006304687810834879</v>
      </c>
      <c r="AU168" s="3">
        <v>0.00059350684983312</v>
      </c>
      <c r="AV168" s="3">
        <v>0.000574781130336686</v>
      </c>
      <c r="AW168" s="3">
        <v>0.000520824474139301</v>
      </c>
      <c r="AX168" s="3">
        <v>0.000513016582052202</v>
      </c>
      <c r="AY168" s="3">
        <v>0.000509580284987296</v>
      </c>
      <c r="AZ168" s="3">
        <v>0.00050144314281204</v>
      </c>
      <c r="BA168" s="3">
        <v>0.000494586865198499</v>
      </c>
      <c r="BB168" s="3">
        <v>0.00049198086523732</v>
      </c>
      <c r="BC168" s="3">
        <v>0.000488965625939308</v>
      </c>
      <c r="BD168" s="3">
        <v>0.000485469474705424</v>
      </c>
      <c r="BE168" s="3">
        <v>0.000483880751165734</v>
      </c>
      <c r="BF168" s="3">
        <v>0.000480194012841631</v>
      </c>
      <c r="BG168" s="3">
        <v>0.00047918012067678</v>
      </c>
      <c r="BH168" s="3">
        <v>0.00047920427039312</v>
      </c>
      <c r="BI168" s="3">
        <v>0.00047801928657383</v>
      </c>
      <c r="BJ168" s="3">
        <v>0.000477412555924866</v>
      </c>
      <c r="BK168" s="3">
        <v>0.000475112506779873</v>
      </c>
      <c r="BL168" s="3">
        <v>0.000473439969614014</v>
      </c>
      <c r="BM168" s="3">
        <v>0.000472941433236376</v>
      </c>
      <c r="BN168" s="3">
        <v>0.000471657305784199</v>
      </c>
      <c r="BO168" s="3">
        <v>0.000470246492132215</v>
      </c>
      <c r="BP168" s="3">
        <v>0.000468087556726749</v>
      </c>
      <c r="BQ168" s="3">
        <v>0.000466753157372624</v>
      </c>
      <c r="BR168" s="3">
        <v>0.000463939820017008</v>
      </c>
      <c r="BS168" s="3">
        <v>0.000463153266282628</v>
      </c>
      <c r="BT168" s="3">
        <v>0.0004622683695997</v>
      </c>
      <c r="BU168" s="3">
        <v>0.000459170345131069</v>
      </c>
      <c r="BV168" s="3">
        <v>0.0004569408970209</v>
      </c>
      <c r="BW168" s="3">
        <v>0.000456823130000615</v>
      </c>
      <c r="BX168" s="3">
        <v>0.000454570104117441</v>
      </c>
      <c r="BY168" s="3">
        <v>0.000453793681295782</v>
      </c>
      <c r="BZ168" s="3">
        <v>0.000452315552462176</v>
      </c>
      <c r="CA168" s="3">
        <v>0.000447959629499895</v>
      </c>
      <c r="CB168" s="3">
        <v>0.00044579565560975</v>
      </c>
      <c r="CC168" s="3">
        <v>0.000445548197397485</v>
      </c>
      <c r="CD168" s="3">
        <v>0.000443216305474897</v>
      </c>
      <c r="CE168" s="3">
        <v>0.000441637869874495</v>
      </c>
      <c r="CF168" s="3">
        <v>0.000440073552780364</v>
      </c>
      <c r="CG168" s="3">
        <v>0.000438606497787032</v>
      </c>
      <c r="CH168" s="3">
        <v>0.000436625758085473</v>
      </c>
      <c r="CI168" s="3">
        <v>0.000435267985589434</v>
      </c>
      <c r="CJ168" s="3">
        <v>0.000433923334745127</v>
      </c>
      <c r="CK168" s="3">
        <v>0.000432673900330455</v>
      </c>
      <c r="CL168" s="3">
        <v>0.000431421527887004</v>
      </c>
      <c r="CM168" s="3">
        <v>0.000430288746001572</v>
      </c>
      <c r="CN168" s="3">
        <v>0.00042981906199321</v>
      </c>
      <c r="CO168" s="3">
        <v>0.000427940412389863</v>
      </c>
      <c r="CP168" s="3">
        <v>0.00042557336995387</v>
      </c>
      <c r="CQ168" s="3">
        <v>0.000423755362534547</v>
      </c>
      <c r="CR168" s="3">
        <v>0.000422553899474957</v>
      </c>
      <c r="CS168" s="3">
        <v>0.000421978905066916</v>
      </c>
      <c r="CT168" s="3">
        <v>0.000421360271723648</v>
      </c>
    </row>
    <row r="169" spans="1:98">
      <c r="A169" s="1" t="str">
        <f>'Population Definitions'!$B$17</f>
        <v>30-49M_oth</v>
      </c>
      <c r="C169" t="s">
        <v>52</v>
      </c>
      <c r="D169" s="3"/>
      <c r="E169" s="3"/>
      <c r="F169" s="4" t="s">
        <v>48</v>
      </c>
      <c r="G169" s="3">
        <v>0.00244158027160586</v>
      </c>
      <c r="H169" s="3">
        <v>0.00229421583133215</v>
      </c>
      <c r="I169" s="3">
        <v>0.00224788756656281</v>
      </c>
      <c r="J169" s="3">
        <v>0.00202067436178869</v>
      </c>
      <c r="K169" s="3">
        <v>0.00201012976541222</v>
      </c>
      <c r="L169" s="3">
        <v>0.00202465653477497</v>
      </c>
      <c r="M169" s="3">
        <v>0.00199933743929702</v>
      </c>
      <c r="N169" s="3">
        <v>0.0019655036019696</v>
      </c>
      <c r="O169" s="3">
        <v>0.00202979832001799</v>
      </c>
      <c r="P169" s="3">
        <v>0.00198083710718845</v>
      </c>
      <c r="Q169" s="3">
        <v>0.00195008049983516</v>
      </c>
      <c r="R169" s="3">
        <v>0.00193542237057595</v>
      </c>
      <c r="S169" s="3">
        <v>0.00189486646067244</v>
      </c>
      <c r="T169" s="3">
        <v>0.00187315666917047</v>
      </c>
      <c r="U169" s="3">
        <v>0.00189506771115834</v>
      </c>
      <c r="V169" s="3">
        <v>0.00190352288928653</v>
      </c>
      <c r="W169" s="3">
        <v>0.00188853487645006</v>
      </c>
      <c r="X169" s="3">
        <v>0.00182764318431928</v>
      </c>
      <c r="Y169" s="3">
        <v>0.00184700957191253</v>
      </c>
      <c r="Z169" s="3">
        <v>0.0017851725874772</v>
      </c>
      <c r="AA169" s="3">
        <v>0.00177203996816695</v>
      </c>
      <c r="AB169" s="3">
        <v>0.00169710963419141</v>
      </c>
      <c r="AC169" s="3">
        <v>0.00167447454504924</v>
      </c>
      <c r="AD169" s="3">
        <v>0.00168003033654779</v>
      </c>
      <c r="AE169" s="3">
        <v>0.00160877670635755</v>
      </c>
      <c r="AF169" s="3">
        <v>0.00161921957071207</v>
      </c>
      <c r="AG169" s="3">
        <v>0.00156648622317477</v>
      </c>
      <c r="AH169" s="3">
        <v>0.00155416041928923</v>
      </c>
      <c r="AI169" s="3">
        <v>0.00157306708059455</v>
      </c>
      <c r="AJ169" s="3">
        <v>0.0015657191294942</v>
      </c>
      <c r="AK169" s="3">
        <v>0.00154323394763728</v>
      </c>
      <c r="AL169" s="3">
        <v>0.00144182883077449</v>
      </c>
      <c r="AM169" s="3">
        <v>0.00138824529867961</v>
      </c>
      <c r="AN169" s="3">
        <v>0.00138849010810746</v>
      </c>
      <c r="AO169" s="3">
        <v>0.00145920635612481</v>
      </c>
      <c r="AP169" s="3">
        <v>0.00149640573136638</v>
      </c>
      <c r="AQ169" s="3">
        <v>0.00142216700529959</v>
      </c>
      <c r="AR169" s="3">
        <v>0.0014255957968091</v>
      </c>
      <c r="AS169" s="3">
        <v>0.0013474808025193</v>
      </c>
      <c r="AT169" s="3">
        <v>0.0015032129398799</v>
      </c>
      <c r="AU169" s="3">
        <v>0.00133444546663514</v>
      </c>
      <c r="AV169" s="3">
        <v>0.00128785905853219</v>
      </c>
      <c r="AW169" s="3">
        <v>0.00132195280297281</v>
      </c>
      <c r="AX169" s="3">
        <v>0.0013064570840551</v>
      </c>
      <c r="AY169" s="3">
        <v>0.00129216851552144</v>
      </c>
      <c r="AZ169" s="3">
        <v>0.00127977590174238</v>
      </c>
      <c r="BA169" s="3">
        <v>0.00126428829053333</v>
      </c>
      <c r="BB169" s="3">
        <v>0.0012611506007247</v>
      </c>
      <c r="BC169" s="3">
        <v>0.00125999796068964</v>
      </c>
      <c r="BD169" s="3">
        <v>0.00125633324857922</v>
      </c>
      <c r="BE169" s="3">
        <v>0.00125314666194802</v>
      </c>
      <c r="BF169" s="3">
        <v>0.00124935059318631</v>
      </c>
      <c r="BG169" s="3">
        <v>0.00124573753625495</v>
      </c>
      <c r="BH169" s="3">
        <v>0.00124179682492114</v>
      </c>
      <c r="BI169" s="3">
        <v>0.00123808435274803</v>
      </c>
      <c r="BJ169" s="3">
        <v>0.0012337419006781</v>
      </c>
      <c r="BK169" s="3">
        <v>0.00122788905573721</v>
      </c>
      <c r="BL169" s="3">
        <v>0.00122118169379042</v>
      </c>
      <c r="BM169" s="3">
        <v>0.00121780660677417</v>
      </c>
      <c r="BN169" s="3">
        <v>0.00121150252441957</v>
      </c>
      <c r="BO169" s="3">
        <v>0.00120518627309938</v>
      </c>
      <c r="BP169" s="3">
        <v>0.00119861438028009</v>
      </c>
      <c r="BQ169" s="3">
        <v>0.00119289065866992</v>
      </c>
      <c r="BR169" s="3">
        <v>0.00118663072712779</v>
      </c>
      <c r="BS169" s="3">
        <v>0.00118290918943592</v>
      </c>
      <c r="BT169" s="3">
        <v>0.00117652326583066</v>
      </c>
      <c r="BU169" s="3">
        <v>0.00117107400283638</v>
      </c>
      <c r="BV169" s="3">
        <v>0.00117052299263525</v>
      </c>
      <c r="BW169" s="3">
        <v>0.00116914630317578</v>
      </c>
      <c r="BX169" s="3">
        <v>0.00116740282256073</v>
      </c>
      <c r="BY169" s="3">
        <v>0.00116555214993066</v>
      </c>
      <c r="BZ169" s="3">
        <v>0.00116536945957544</v>
      </c>
      <c r="CA169" s="3">
        <v>0.00116436956477755</v>
      </c>
      <c r="CB169" s="3">
        <v>0.00116561950293205</v>
      </c>
      <c r="CC169" s="3">
        <v>0.00116471267111998</v>
      </c>
      <c r="CD169" s="3">
        <v>0.00116214958301514</v>
      </c>
      <c r="CE169" s="3">
        <v>0.00115913872353141</v>
      </c>
      <c r="CF169" s="3">
        <v>0.00115796704564137</v>
      </c>
      <c r="CG169" s="3">
        <v>0.00115310580158278</v>
      </c>
      <c r="CH169" s="3">
        <v>0.00114704335324233</v>
      </c>
      <c r="CI169" s="3">
        <v>0.00114377397780445</v>
      </c>
      <c r="CJ169" s="3">
        <v>0.00114108871280691</v>
      </c>
      <c r="CK169" s="3">
        <v>0.00113547473725575</v>
      </c>
      <c r="CL169" s="3">
        <v>0.00112999607106095</v>
      </c>
      <c r="CM169" s="3">
        <v>0.00112620668424636</v>
      </c>
      <c r="CN169" s="3">
        <v>0.00112080204603602</v>
      </c>
      <c r="CO169" s="3">
        <v>0.00111545309081831</v>
      </c>
      <c r="CP169" s="3">
        <v>0.00111105688317986</v>
      </c>
      <c r="CQ169" s="3">
        <v>0.00110576758176</v>
      </c>
      <c r="CR169" s="3">
        <v>0.00110244484109031</v>
      </c>
      <c r="CS169" s="3">
        <v>0.00109864225308355</v>
      </c>
      <c r="CT169" s="3">
        <v>0.00109232129946459</v>
      </c>
    </row>
    <row r="170" spans="1:98">
      <c r="A170" s="1" t="str">
        <f>'Population Definitions'!$B$18</f>
        <v>50-64M_oth</v>
      </c>
      <c r="C170" t="s">
        <v>52</v>
      </c>
      <c r="D170" s="3"/>
      <c r="E170" s="3"/>
      <c r="F170" s="4" t="s">
        <v>48</v>
      </c>
      <c r="G170" s="3">
        <v>0.0133393193548881</v>
      </c>
      <c r="H170" s="3">
        <v>0.0129603520646637</v>
      </c>
      <c r="I170" s="3">
        <v>0.0128542146228948</v>
      </c>
      <c r="J170" s="3">
        <v>0.0124357415977585</v>
      </c>
      <c r="K170" s="3">
        <v>0.0118943850742272</v>
      </c>
      <c r="L170" s="3">
        <v>0.0121735305139332</v>
      </c>
      <c r="M170" s="3">
        <v>0.0114798209499996</v>
      </c>
      <c r="N170" s="3">
        <v>0.0112378704900358</v>
      </c>
      <c r="O170" s="3">
        <v>0.0109251763873222</v>
      </c>
      <c r="P170" s="3">
        <v>0.0105840263089905</v>
      </c>
      <c r="Q170" s="3">
        <v>0.0100908566708744</v>
      </c>
      <c r="R170" s="3">
        <v>0.00955179763033216</v>
      </c>
      <c r="S170" s="3">
        <v>0.00931986557056361</v>
      </c>
      <c r="T170" s="3">
        <v>0.00879276632024947</v>
      </c>
      <c r="U170" s="3">
        <v>0.008449222312633521</v>
      </c>
      <c r="V170" s="3">
        <v>0.007995570356544751</v>
      </c>
      <c r="W170" s="3">
        <v>0.00775798933587782</v>
      </c>
      <c r="X170" s="3">
        <v>0.00745365129442331</v>
      </c>
      <c r="Y170" s="3">
        <v>0.00694420725459389</v>
      </c>
      <c r="Z170" s="3">
        <v>0.00661403210689876</v>
      </c>
      <c r="AA170" s="3">
        <v>0.00630290907555574</v>
      </c>
      <c r="AB170" s="3">
        <v>0.00629297656133963</v>
      </c>
      <c r="AC170" s="3">
        <v>0.00608666981505101</v>
      </c>
      <c r="AD170" s="3">
        <v>0.0059582285148787</v>
      </c>
      <c r="AE170" s="3">
        <v>0.00582230588246363</v>
      </c>
      <c r="AF170" s="3">
        <v>0.00567878186000748</v>
      </c>
      <c r="AG170" s="3">
        <v>0.00558894234126627</v>
      </c>
      <c r="AH170" s="3">
        <v>0.00567881683691863</v>
      </c>
      <c r="AI170" s="3">
        <v>0.00558852495203165</v>
      </c>
      <c r="AJ170" s="3">
        <v>0.00552840687165724</v>
      </c>
      <c r="AK170" s="3">
        <v>0.00538341129455226</v>
      </c>
      <c r="AL170" s="3">
        <v>0.00543694799626806</v>
      </c>
      <c r="AM170" s="3">
        <v>0.0051560688987868</v>
      </c>
      <c r="AN170" s="3">
        <v>0.00513088229383127</v>
      </c>
      <c r="AO170" s="3">
        <v>0.00535921315941519</v>
      </c>
      <c r="AP170" s="3">
        <v>0.00537278179476903</v>
      </c>
      <c r="AQ170" s="3">
        <v>0.00522241765029339</v>
      </c>
      <c r="AR170" s="3">
        <v>0.00504982242894828</v>
      </c>
      <c r="AS170" s="3">
        <v>0.00509082990907552</v>
      </c>
      <c r="AT170" s="3">
        <v>0.0054303905294426</v>
      </c>
      <c r="AU170" s="3">
        <v>0.00498532203911024</v>
      </c>
      <c r="AV170" s="3">
        <v>0.0050381698235318</v>
      </c>
      <c r="AW170" s="3">
        <v>0.00508757755248127</v>
      </c>
      <c r="AX170" s="3">
        <v>0.00504552409193077</v>
      </c>
      <c r="AY170" s="3">
        <v>0.00500616217750871</v>
      </c>
      <c r="AZ170" s="3">
        <v>0.00496635711057875</v>
      </c>
      <c r="BA170" s="3">
        <v>0.004892968391492</v>
      </c>
      <c r="BB170" s="3">
        <v>0.00486379185087151</v>
      </c>
      <c r="BC170" s="3">
        <v>0.00483061631207013</v>
      </c>
      <c r="BD170" s="3">
        <v>0.00479608521366075</v>
      </c>
      <c r="BE170" s="3">
        <v>0.00476263499294377</v>
      </c>
      <c r="BF170" s="3">
        <v>0.00472707916495139</v>
      </c>
      <c r="BG170" s="3">
        <v>0.00470333841545298</v>
      </c>
      <c r="BH170" s="3">
        <v>0.00467363421798883</v>
      </c>
      <c r="BI170" s="3">
        <v>0.00464241173427708</v>
      </c>
      <c r="BJ170" s="3">
        <v>0.0046104785136037</v>
      </c>
      <c r="BK170" s="3">
        <v>0.00456604323502899</v>
      </c>
      <c r="BL170" s="3">
        <v>0.00452951034595818</v>
      </c>
      <c r="BM170" s="3">
        <v>0.00450213022899154</v>
      </c>
      <c r="BN170" s="3">
        <v>0.00448064278277919</v>
      </c>
      <c r="BO170" s="3">
        <v>0.00446546968683686</v>
      </c>
      <c r="BP170" s="3">
        <v>0.00445754433956229</v>
      </c>
      <c r="BQ170" s="3">
        <v>0.00445498651171065</v>
      </c>
      <c r="BR170" s="3">
        <v>0.00445687795173285</v>
      </c>
      <c r="BS170" s="3">
        <v>0.00446065338340953</v>
      </c>
      <c r="BT170" s="3">
        <v>0.00446115283624307</v>
      </c>
      <c r="BU170" s="3">
        <v>0.00445881746972775</v>
      </c>
      <c r="BV170" s="3">
        <v>0.00445614531217366</v>
      </c>
      <c r="BW170" s="3">
        <v>0.00445036260345184</v>
      </c>
      <c r="BX170" s="3">
        <v>0.00444256035405546</v>
      </c>
      <c r="BY170" s="3">
        <v>0.00442999331876313</v>
      </c>
      <c r="BZ170" s="3">
        <v>0.00441316190654772</v>
      </c>
      <c r="CA170" s="3">
        <v>0.00440336450979884</v>
      </c>
      <c r="CB170" s="3">
        <v>0.00439234042092706</v>
      </c>
      <c r="CC170" s="3">
        <v>0.00437429517728984</v>
      </c>
      <c r="CD170" s="3">
        <v>0.00435018062462426</v>
      </c>
      <c r="CE170" s="3">
        <v>0.00432252868681996</v>
      </c>
      <c r="CF170" s="3">
        <v>0.00429644969575421</v>
      </c>
      <c r="CG170" s="3">
        <v>0.00427225816097134</v>
      </c>
      <c r="CH170" s="3">
        <v>0.0042480948219801</v>
      </c>
      <c r="CI170" s="3">
        <v>0.00422180368457316</v>
      </c>
      <c r="CJ170" s="3">
        <v>0.00420417160638074</v>
      </c>
      <c r="CK170" s="3">
        <v>0.00419032809504633</v>
      </c>
      <c r="CL170" s="3">
        <v>0.00418195458678216</v>
      </c>
      <c r="CM170" s="3">
        <v>0.00417484147425741</v>
      </c>
      <c r="CN170" s="3">
        <v>0.00416307578323939</v>
      </c>
      <c r="CO170" s="3">
        <v>0.0041551454684038</v>
      </c>
      <c r="CP170" s="3">
        <v>0.00415300862248344</v>
      </c>
      <c r="CQ170" s="3">
        <v>0.00415439632527949</v>
      </c>
      <c r="CR170" s="3">
        <v>0.00415291076835241</v>
      </c>
      <c r="CS170" s="3">
        <v>0.0041483385784674</v>
      </c>
      <c r="CT170" s="3">
        <v>0.00414277475266508</v>
      </c>
    </row>
    <row r="171" spans="1:98">
      <c r="A171" s="1" t="str">
        <f>'Population Definitions'!$B$19</f>
        <v>65+M_oth</v>
      </c>
      <c r="C171" t="s">
        <v>52</v>
      </c>
      <c r="D171" s="3"/>
      <c r="E171" s="3"/>
      <c r="F171" s="4" t="s">
        <v>48</v>
      </c>
      <c r="G171" s="3">
        <v>0.0624513451847916</v>
      </c>
      <c r="H171" s="3">
        <v>0.0618207953218285</v>
      </c>
      <c r="I171" s="3">
        <v>0.0634716361968749</v>
      </c>
      <c r="J171" s="3">
        <v>0.0592384711091254</v>
      </c>
      <c r="K171" s="3">
        <v>0.058184588725704</v>
      </c>
      <c r="L171" s="3">
        <v>0.0609731929342441</v>
      </c>
      <c r="M171" s="3">
        <v>0.0570090216106917</v>
      </c>
      <c r="N171" s="3">
        <v>0.0571201893228746</v>
      </c>
      <c r="O171" s="3">
        <v>0.0568694056811497</v>
      </c>
      <c r="P171" s="3">
        <v>0.0580207426858623</v>
      </c>
      <c r="Q171" s="3">
        <v>0.0540865444075611</v>
      </c>
      <c r="R171" s="3">
        <v>0.0526449844665906</v>
      </c>
      <c r="S171" s="3">
        <v>0.0537444893002151</v>
      </c>
      <c r="T171" s="3">
        <v>0.0518824417949607</v>
      </c>
      <c r="U171" s="3">
        <v>0.0533598838232706</v>
      </c>
      <c r="V171" s="3">
        <v>0.0510674466384135</v>
      </c>
      <c r="W171" s="3">
        <v>0.0517563598117722</v>
      </c>
      <c r="X171" s="3">
        <v>0.050243500013306</v>
      </c>
      <c r="Y171" s="3">
        <v>0.0487650164143388</v>
      </c>
      <c r="Z171" s="3">
        <v>0.0480041103237566</v>
      </c>
      <c r="AA171" s="3">
        <v>0.0470926926357691</v>
      </c>
      <c r="AB171" s="3">
        <v>0.0459185724986044</v>
      </c>
      <c r="AC171" s="3">
        <v>0.0469253090954276</v>
      </c>
      <c r="AD171" s="3">
        <v>0.0453853030573932</v>
      </c>
      <c r="AE171" s="3">
        <v>0.0447291579241852</v>
      </c>
      <c r="AF171" s="3">
        <v>0.0425936749416598</v>
      </c>
      <c r="AG171" s="3">
        <v>0.0428074900399734</v>
      </c>
      <c r="AH171" s="3">
        <v>0.0427916865928214</v>
      </c>
      <c r="AI171" s="3">
        <v>0.0437288870252673</v>
      </c>
      <c r="AJ171" s="3">
        <v>0.041210352985466</v>
      </c>
      <c r="AK171" s="3">
        <v>0.040672329399268</v>
      </c>
      <c r="AL171" s="3">
        <v>0.0405409403480694</v>
      </c>
      <c r="AM171" s="3">
        <v>0.0388403808979657</v>
      </c>
      <c r="AN171" s="3">
        <v>0.0379047039241465</v>
      </c>
      <c r="AO171" s="3">
        <v>0.0376913884042163</v>
      </c>
      <c r="AP171" s="3">
        <v>0.037951181660147</v>
      </c>
      <c r="AQ171" s="3">
        <v>0.0372311967391013</v>
      </c>
      <c r="AR171" s="3">
        <v>0.0366991838356115</v>
      </c>
      <c r="AS171" s="3">
        <v>0.0352701359726852</v>
      </c>
      <c r="AT171" s="3">
        <v>0.0364287886671407</v>
      </c>
      <c r="AU171" s="3">
        <v>0.0339309094879799</v>
      </c>
      <c r="AV171" s="3">
        <v>0.0352645472510165</v>
      </c>
      <c r="AW171" s="3">
        <v>0.0346888739259976</v>
      </c>
      <c r="AX171" s="3">
        <v>0.0344797417235668</v>
      </c>
      <c r="AY171" s="3">
        <v>0.0343097593310742</v>
      </c>
      <c r="AZ171" s="3">
        <v>0.0341694759913871</v>
      </c>
      <c r="BA171" s="3">
        <v>0.0338069713700923</v>
      </c>
      <c r="BB171" s="3">
        <v>0.0338547104396874</v>
      </c>
      <c r="BC171" s="3">
        <v>0.0339438009671823</v>
      </c>
      <c r="BD171" s="3">
        <v>0.0340933013652406</v>
      </c>
      <c r="BE171" s="3">
        <v>0.0343213073165671</v>
      </c>
      <c r="BF171" s="3">
        <v>0.0345991324642336</v>
      </c>
      <c r="BG171" s="3">
        <v>0.0350249152407427</v>
      </c>
      <c r="BH171" s="3">
        <v>0.0354333755923246</v>
      </c>
      <c r="BI171" s="3">
        <v>0.0358166515944689</v>
      </c>
      <c r="BJ171" s="3">
        <v>0.0361757874421942</v>
      </c>
      <c r="BK171" s="3">
        <v>0.0364299615216473</v>
      </c>
      <c r="BL171" s="3">
        <v>0.0367698828727309</v>
      </c>
      <c r="BM171" s="3">
        <v>0.03713997896648</v>
      </c>
      <c r="BN171" s="3">
        <v>0.0375141692395655</v>
      </c>
      <c r="BO171" s="3">
        <v>0.0378953528898328</v>
      </c>
      <c r="BP171" s="3">
        <v>0.0382676068667383</v>
      </c>
      <c r="BQ171" s="3">
        <v>0.0386336064220088</v>
      </c>
      <c r="BR171" s="3">
        <v>0.0389740852267777</v>
      </c>
      <c r="BS171" s="3">
        <v>0.0392571281698501</v>
      </c>
      <c r="BT171" s="3">
        <v>0.0394945608246873</v>
      </c>
      <c r="BU171" s="3">
        <v>0.0396447610678368</v>
      </c>
      <c r="BV171" s="3">
        <v>0.0397348762900173</v>
      </c>
      <c r="BW171" s="3">
        <v>0.0397650752166224</v>
      </c>
      <c r="BX171" s="3">
        <v>0.0397825814401667</v>
      </c>
      <c r="BY171" s="3">
        <v>0.0397758746045804</v>
      </c>
      <c r="BZ171" s="3">
        <v>0.0397439250628546</v>
      </c>
      <c r="CA171" s="3">
        <v>0.0397037711021938</v>
      </c>
      <c r="CB171" s="3">
        <v>0.0396480949471493</v>
      </c>
      <c r="CC171" s="3">
        <v>0.0395604438926825</v>
      </c>
      <c r="CD171" s="3">
        <v>0.0394388400546937</v>
      </c>
      <c r="CE171" s="3">
        <v>0.0393120931447365</v>
      </c>
      <c r="CF171" s="3">
        <v>0.0392096962932155</v>
      </c>
      <c r="CG171" s="3">
        <v>0.0391075068542035</v>
      </c>
      <c r="CH171" s="3">
        <v>0.0390035047041919</v>
      </c>
      <c r="CI171" s="3">
        <v>0.0388892222109516</v>
      </c>
      <c r="CJ171" s="3">
        <v>0.0388259102520885</v>
      </c>
      <c r="CK171" s="3">
        <v>0.038800915802115</v>
      </c>
      <c r="CL171" s="3">
        <v>0.038803224298933</v>
      </c>
      <c r="CM171" s="3">
        <v>0.0387955711250289</v>
      </c>
      <c r="CN171" s="3">
        <v>0.0387617826755149</v>
      </c>
      <c r="CO171" s="3">
        <v>0.0387453263738035</v>
      </c>
      <c r="CP171" s="3">
        <v>0.0387859335444548</v>
      </c>
      <c r="CQ171" s="3">
        <v>0.0388327554206066</v>
      </c>
      <c r="CR171" s="3">
        <v>0.0388657797200738</v>
      </c>
      <c r="CS171" s="3">
        <v>0.0388870714898495</v>
      </c>
      <c r="CT171" s="3">
        <v>0.0389029623364967</v>
      </c>
    </row>
    <row r="172" spans="1:98">
      <c r="A172" s="1" t="str">
        <f>'Population Definitions'!$B$20</f>
        <v>0-4F_oth</v>
      </c>
      <c r="C172" t="s">
        <v>52</v>
      </c>
      <c r="D172" s="3"/>
      <c r="E172" s="3"/>
      <c r="F172" s="4" t="s">
        <v>48</v>
      </c>
      <c r="G172" s="3">
        <v>0.00226148077198154</v>
      </c>
      <c r="H172" s="3">
        <v>0.00216211358734723</v>
      </c>
      <c r="I172" s="3">
        <v>0.00227658260641205</v>
      </c>
      <c r="J172" s="3">
        <v>0.00215939529914905</v>
      </c>
      <c r="K172" s="3">
        <v>0.00188067343709104</v>
      </c>
      <c r="L172" s="3">
        <v>0.00215927008471377</v>
      </c>
      <c r="M172" s="3">
        <v>0.0018864563629732</v>
      </c>
      <c r="N172" s="3">
        <v>0.00174424080951612</v>
      </c>
      <c r="O172" s="3">
        <v>0.00183956157115887</v>
      </c>
      <c r="P172" s="3">
        <v>0.00174516906222294</v>
      </c>
      <c r="Q172" s="3">
        <v>0.00177673794828371</v>
      </c>
      <c r="R172" s="3">
        <v>0.00150952291003728</v>
      </c>
      <c r="S172" s="3">
        <v>0.00151550757513992</v>
      </c>
      <c r="T172" s="3">
        <v>0.00132612498012403</v>
      </c>
      <c r="U172" s="3">
        <v>0.00127712099533043</v>
      </c>
      <c r="V172" s="3">
        <v>0.00125627145602337</v>
      </c>
      <c r="W172" s="3">
        <v>0.00121354397784765</v>
      </c>
      <c r="X172" s="3">
        <v>0.0011424825286098</v>
      </c>
      <c r="Y172" s="3">
        <v>0.00110997377007229</v>
      </c>
      <c r="Z172" s="3">
        <v>0.00116351847988317</v>
      </c>
      <c r="AA172" s="3">
        <v>0.00109104329201766</v>
      </c>
      <c r="AB172" s="3">
        <v>0.00107954472215419</v>
      </c>
      <c r="AC172" s="3">
        <v>0.00107036778936714</v>
      </c>
      <c r="AD172" s="3">
        <v>0.00103796158572075</v>
      </c>
      <c r="AE172" s="3">
        <v>0.0009989105732582911</v>
      </c>
      <c r="AF172" s="3">
        <v>0.00111344240349093</v>
      </c>
      <c r="AG172" s="3">
        <v>0.00101574080833923</v>
      </c>
      <c r="AH172" s="3">
        <v>0.000970428834193544</v>
      </c>
      <c r="AI172" s="3">
        <v>0.000922952079317402</v>
      </c>
      <c r="AJ172" s="3">
        <v>0.000911036953215658</v>
      </c>
      <c r="AK172" s="3">
        <v>0.00083228532266953</v>
      </c>
      <c r="AL172" s="3">
        <v>0.000838515925460867</v>
      </c>
      <c r="AM172" s="3">
        <v>0.00076017089411493</v>
      </c>
      <c r="AN172" s="3">
        <v>0.000810480961788722</v>
      </c>
      <c r="AO172" s="3">
        <v>0.000739780038735149</v>
      </c>
      <c r="AP172" s="3">
        <v>0.000713407427113982</v>
      </c>
      <c r="AQ172" s="3">
        <v>0.000662110683488892</v>
      </c>
      <c r="AR172" s="3">
        <v>0.000710719054325588</v>
      </c>
      <c r="AS172" s="3">
        <v>0.000639777578560342</v>
      </c>
      <c r="AT172" s="3">
        <v>0.000672077754226335</v>
      </c>
      <c r="AU172" s="3">
        <v>0.000680139784152877</v>
      </c>
      <c r="AV172" s="3">
        <v>0.000695673998979678</v>
      </c>
      <c r="AW172" s="3">
        <v>0.0006988460712577189</v>
      </c>
      <c r="AX172" s="3">
        <v>0.000668057425995866</v>
      </c>
      <c r="AY172" s="3">
        <v>0.0006634412528378169</v>
      </c>
      <c r="AZ172" s="3">
        <v>0.000655931872066964</v>
      </c>
      <c r="BA172" s="3">
        <v>0.000639584942021325</v>
      </c>
      <c r="BB172" s="3">
        <v>0.0006377514328593619</v>
      </c>
      <c r="BC172" s="3">
        <v>0.000631342440079483</v>
      </c>
      <c r="BD172" s="3">
        <v>0.000629949430108174</v>
      </c>
      <c r="BE172" s="3">
        <v>0.000626612549192276</v>
      </c>
      <c r="BF172" s="3">
        <v>0.00062327832980314</v>
      </c>
      <c r="BG172" s="3">
        <v>0.000619933132199954</v>
      </c>
      <c r="BH172" s="3">
        <v>0.00061857719754384</v>
      </c>
      <c r="BI172" s="3">
        <v>0.000619442190293031</v>
      </c>
      <c r="BJ172" s="3">
        <v>0.0006144451382115469</v>
      </c>
      <c r="BK172" s="3">
        <v>0.000613431838414961</v>
      </c>
      <c r="BL172" s="3">
        <v>0.000612256557392454</v>
      </c>
      <c r="BM172" s="3">
        <v>0.000610839965665492</v>
      </c>
      <c r="BN172" s="3">
        <v>0.000611151254483816</v>
      </c>
      <c r="BO172" s="3">
        <v>0.000609108958949986</v>
      </c>
      <c r="BP172" s="3">
        <v>0.000608749800610012</v>
      </c>
      <c r="BQ172" s="3">
        <v>0.000606069262171369</v>
      </c>
      <c r="BR172" s="3">
        <v>0.000603149120920512</v>
      </c>
      <c r="BS172" s="3">
        <v>0.000600118342636851</v>
      </c>
      <c r="BT172" s="3">
        <v>0.000597084287827879</v>
      </c>
      <c r="BU172" s="3">
        <v>0.000594085646771217</v>
      </c>
      <c r="BV172" s="3">
        <v>0.000591189915056677</v>
      </c>
      <c r="BW172" s="3">
        <v>0.000588429498015496</v>
      </c>
      <c r="BX172" s="3">
        <v>0.000585827157813034</v>
      </c>
      <c r="BY172" s="3">
        <v>0.000583387531000704</v>
      </c>
      <c r="BZ172" s="3">
        <v>0.000581104477233838</v>
      </c>
      <c r="CA172" s="3">
        <v>0.000576944371267749</v>
      </c>
      <c r="CB172" s="3">
        <v>0.000574947142523802</v>
      </c>
      <c r="CC172" s="3">
        <v>0.000573079281143867</v>
      </c>
      <c r="CD172" s="3">
        <v>0.0005692908291370789</v>
      </c>
      <c r="CE172" s="3">
        <v>0.000567524959733121</v>
      </c>
      <c r="CF172" s="3">
        <v>0.000565779164720215</v>
      </c>
      <c r="CG172" s="3">
        <v>0.000564029762013646</v>
      </c>
      <c r="CH172" s="3">
        <v>0.0005622902326367051</v>
      </c>
      <c r="CI172" s="3">
        <v>0.000560578432567459</v>
      </c>
      <c r="CJ172" s="3">
        <v>0.000558872467569663</v>
      </c>
      <c r="CK172" s="3">
        <v>0.000557183507496695</v>
      </c>
      <c r="CL172" s="3">
        <v>0.000555493636315337</v>
      </c>
      <c r="CM172" s="3">
        <v>0.000555788599471499</v>
      </c>
      <c r="CN172" s="3">
        <v>0.0005540810021673949</v>
      </c>
      <c r="CO172" s="3">
        <v>0.0005523562443569019</v>
      </c>
      <c r="CP172" s="3">
        <v>0.000550608961357933</v>
      </c>
      <c r="CQ172" s="3">
        <v>0.000548820069177274</v>
      </c>
      <c r="CR172" s="3">
        <v>0.000546986781269506</v>
      </c>
      <c r="CS172" s="3">
        <v>0.000545094957555309</v>
      </c>
      <c r="CT172" s="3">
        <v>0.00054114354770383</v>
      </c>
    </row>
    <row r="173" spans="1:98">
      <c r="A173" s="1" t="str">
        <f>'Population Definitions'!$B$21</f>
        <v>5-14F_oth</v>
      </c>
      <c r="C173" t="s">
        <v>52</v>
      </c>
      <c r="D173" s="3"/>
      <c r="E173" s="3"/>
      <c r="F173" s="4" t="s">
        <v>48</v>
      </c>
      <c r="G173" s="3">
        <v>0.000222028387915312</v>
      </c>
      <c r="H173" s="3">
        <v>0.000190576807197952</v>
      </c>
      <c r="I173" s="3">
        <v>0.000180914828616776</v>
      </c>
      <c r="J173" s="3">
        <v>0.000180050556927306</v>
      </c>
      <c r="K173" s="3">
        <v>0.000178175149382206</v>
      </c>
      <c r="L173" s="3">
        <v>0.000177722378168875</v>
      </c>
      <c r="M173" s="3">
        <v>0.00016969355485756</v>
      </c>
      <c r="N173" s="3">
        <v>0.000158859273971532</v>
      </c>
      <c r="O173" s="3">
        <v>0.000164738340602343</v>
      </c>
      <c r="P173" s="3">
        <v>0.000160630466300308</v>
      </c>
      <c r="Q173" s="3">
        <v>0.000149729048011195</v>
      </c>
      <c r="R173" s="3">
        <v>0.0001463496792571</v>
      </c>
      <c r="S173" s="3">
        <v>0.000144577686951945</v>
      </c>
      <c r="T173" s="3">
        <v>0.000148722922728742</v>
      </c>
      <c r="U173" s="3">
        <v>0.000151013719757093</v>
      </c>
      <c r="V173" s="3">
        <v>0.000163828562157829</v>
      </c>
      <c r="W173" s="3">
        <v>0.000141018611305438</v>
      </c>
      <c r="X173" s="3">
        <v>0.000130816742976433</v>
      </c>
      <c r="Y173" s="3">
        <v>0.000115286166750535</v>
      </c>
      <c r="Z173" s="3">
        <v>0.000124556894649624</v>
      </c>
      <c r="AA173" s="3">
        <v>0.000116807347796952</v>
      </c>
      <c r="AB173" s="3">
        <v>0.000100072265926387</v>
      </c>
      <c r="AC173" s="3">
        <v>0.000111960334053078</v>
      </c>
      <c r="AD173" s="3">
        <v>0.000101166072094138</v>
      </c>
      <c r="AE173" s="3">
        <v>8.88937514530709E-05</v>
      </c>
      <c r="AF173" s="3">
        <v>9.03271741333335E-05</v>
      </c>
      <c r="AG173" s="3">
        <v>8.49409546604903E-05</v>
      </c>
      <c r="AH173" s="3">
        <v>9.77126158348975E-05</v>
      </c>
      <c r="AI173" s="3">
        <v>8.38478772890093E-05</v>
      </c>
      <c r="AJ173" s="3">
        <v>9.24280395111083E-05</v>
      </c>
      <c r="AK173" s="3">
        <v>8.303678230224339E-05</v>
      </c>
      <c r="AL173" s="3">
        <v>9.0993089703651E-05</v>
      </c>
      <c r="AM173" s="3">
        <v>8.9204761486941E-05</v>
      </c>
      <c r="AN173" s="3">
        <v>8.20673484975556E-05</v>
      </c>
      <c r="AO173" s="3">
        <v>9.0048314111209E-05</v>
      </c>
      <c r="AP173" s="3">
        <v>8.64907695516221E-05</v>
      </c>
      <c r="AQ173" s="3">
        <v>6.44142687198829E-05</v>
      </c>
      <c r="AR173" s="3">
        <v>7.389126161940089E-05</v>
      </c>
      <c r="AS173" s="3">
        <v>6.98730946398108E-05</v>
      </c>
      <c r="AT173" s="3">
        <v>7.449108017896E-05</v>
      </c>
      <c r="AU173" s="3">
        <v>5.8133035215204E-05</v>
      </c>
      <c r="AV173" s="3">
        <v>7.3100344525102E-05</v>
      </c>
      <c r="AW173" s="3">
        <v>9.500277966676931E-05</v>
      </c>
      <c r="AX173" s="3">
        <v>9.5047254684518E-05</v>
      </c>
      <c r="AY173" s="3">
        <v>9.11099593871608E-05</v>
      </c>
      <c r="AZ173" s="3">
        <v>8.71780453067979E-05</v>
      </c>
      <c r="BA173" s="3">
        <v>8.52645135564207E-05</v>
      </c>
      <c r="BB173" s="3">
        <v>8.532686644982569E-05</v>
      </c>
      <c r="BC173" s="3">
        <v>8.53069420362037E-05</v>
      </c>
      <c r="BD173" s="3">
        <v>8.52922525018162E-05</v>
      </c>
      <c r="BE173" s="3">
        <v>8.52872881016434E-05</v>
      </c>
      <c r="BF173" s="3">
        <v>8.516850059657961E-05</v>
      </c>
      <c r="BG173" s="3">
        <v>8.40856673477396E-05</v>
      </c>
      <c r="BH173" s="3">
        <v>8.21098614593084E-05</v>
      </c>
      <c r="BI173" s="3">
        <v>8.212681930397929E-05</v>
      </c>
      <c r="BJ173" s="3">
        <v>8.21846690576474E-05</v>
      </c>
      <c r="BK173" s="3">
        <v>8.22052122700702E-05</v>
      </c>
      <c r="BL173" s="3">
        <v>8.2133351680032E-05</v>
      </c>
      <c r="BM173" s="3">
        <v>8.21348464578992E-05</v>
      </c>
      <c r="BN173" s="3">
        <v>8.21221093483169E-05</v>
      </c>
      <c r="BO173" s="3">
        <v>8.10965427148989E-05</v>
      </c>
      <c r="BP173" s="3">
        <v>8.107726217207821E-05</v>
      </c>
      <c r="BQ173" s="3">
        <v>8.00647957943502E-05</v>
      </c>
      <c r="BR173" s="3">
        <v>8.004556353496299E-05</v>
      </c>
      <c r="BS173" s="3">
        <v>8.00246439823641E-05</v>
      </c>
      <c r="BT173" s="3">
        <v>8.00036835143178E-05</v>
      </c>
      <c r="BU173" s="3">
        <v>7.99846014896813E-05</v>
      </c>
      <c r="BV173" s="3">
        <v>7.99699714890095E-05</v>
      </c>
      <c r="BW173" s="3">
        <v>7.99619698131114E-05</v>
      </c>
      <c r="BX173" s="3">
        <v>7.89613481317047E-05</v>
      </c>
      <c r="BY173" s="3">
        <v>7.89666356488786E-05</v>
      </c>
      <c r="BZ173" s="3">
        <v>7.89784548920233E-05</v>
      </c>
      <c r="CA173" s="3">
        <v>7.8995923842939E-05</v>
      </c>
      <c r="CB173" s="3">
        <v>7.901755971893849E-05</v>
      </c>
      <c r="CC173" s="3">
        <v>7.90413391320782E-05</v>
      </c>
      <c r="CD173" s="3">
        <v>7.906537001996201E-05</v>
      </c>
      <c r="CE173" s="3">
        <v>7.908790522159799E-05</v>
      </c>
      <c r="CF173" s="3">
        <v>7.91078365830608E-05</v>
      </c>
      <c r="CG173" s="3">
        <v>7.91245669945961E-05</v>
      </c>
      <c r="CH173" s="3">
        <v>7.91376942713519E-05</v>
      </c>
      <c r="CI173" s="3">
        <v>7.914683617013209E-05</v>
      </c>
      <c r="CJ173" s="3">
        <v>7.915228612691109E-05</v>
      </c>
      <c r="CK173" s="3">
        <v>7.816914035801111E-05</v>
      </c>
      <c r="CL173" s="3">
        <v>7.716490710657021E-05</v>
      </c>
      <c r="CM173" s="3">
        <v>7.716152457924081E-05</v>
      </c>
      <c r="CN173" s="3">
        <v>7.715634861666589E-05</v>
      </c>
      <c r="CO173" s="3">
        <v>7.516054706559871E-05</v>
      </c>
      <c r="CP173" s="3">
        <v>7.51532556968116E-05</v>
      </c>
      <c r="CQ173" s="3">
        <v>7.51456500069668E-05</v>
      </c>
      <c r="CR173" s="3">
        <v>7.51376485748047E-05</v>
      </c>
      <c r="CS173" s="3">
        <v>7.41099183814526E-05</v>
      </c>
      <c r="CT173" s="3">
        <v>7.41023418325697E-05</v>
      </c>
    </row>
    <row r="174" spans="1:98">
      <c r="A174" s="1" t="str">
        <f>'Population Definitions'!$B$22</f>
        <v>15-29F_oth</v>
      </c>
      <c r="C174" t="s">
        <v>52</v>
      </c>
      <c r="D174" s="3"/>
      <c r="E174" s="3"/>
      <c r="F174" s="4" t="s">
        <v>48</v>
      </c>
      <c r="G174" s="3">
        <v>0.000473869627958737</v>
      </c>
      <c r="H174" s="3">
        <v>0.000476704324010467</v>
      </c>
      <c r="I174" s="3">
        <v>0.000470982204835871</v>
      </c>
      <c r="J174" s="3">
        <v>0.000449027792319958</v>
      </c>
      <c r="K174" s="3">
        <v>0.000450933800125662</v>
      </c>
      <c r="L174" s="3">
        <v>0.000495115660964047</v>
      </c>
      <c r="M174" s="3">
        <v>0.000480908002753236</v>
      </c>
      <c r="N174" s="3">
        <v>0.000466313215485373</v>
      </c>
      <c r="O174" s="3">
        <v>0.000474465465832353</v>
      </c>
      <c r="P174" s="3">
        <v>0.000434806926756433</v>
      </c>
      <c r="Q174" s="3">
        <v>0.000430735291335672</v>
      </c>
      <c r="R174" s="3">
        <v>0.000451781686612641</v>
      </c>
      <c r="S174" s="3">
        <v>0.000398476172155447</v>
      </c>
      <c r="T174" s="3">
        <v>0.000372603717118465</v>
      </c>
      <c r="U174" s="3">
        <v>0.00035828396948698</v>
      </c>
      <c r="V174" s="3">
        <v>0.000397826945278804</v>
      </c>
      <c r="W174" s="3">
        <v>0.000352664986692874</v>
      </c>
      <c r="X174" s="3">
        <v>0.000411227661614963</v>
      </c>
      <c r="Y174" s="3">
        <v>0.000401486550200568</v>
      </c>
      <c r="Z174" s="3">
        <v>0.000400501855391261</v>
      </c>
      <c r="AA174" s="3">
        <v>0.000394440543475918</v>
      </c>
      <c r="AB174" s="3">
        <v>0.000322965131318225</v>
      </c>
      <c r="AC174" s="3">
        <v>0.000322024463811684</v>
      </c>
      <c r="AD174" s="3">
        <v>0.000324013331975373</v>
      </c>
      <c r="AE174" s="3">
        <v>0.000324421819798065</v>
      </c>
      <c r="AF174" s="3">
        <v>0.000279376157940655</v>
      </c>
      <c r="AG174" s="3">
        <v>0.000304992628140268</v>
      </c>
      <c r="AH174" s="3">
        <v>0.000289863665260169</v>
      </c>
      <c r="AI174" s="3">
        <v>0.000273810922358833</v>
      </c>
      <c r="AJ174" s="3">
        <v>0.000277193208101138</v>
      </c>
      <c r="AK174" s="3">
        <v>0.000266073453720666</v>
      </c>
      <c r="AL174" s="3">
        <v>0.000274204967780916</v>
      </c>
      <c r="AM174" s="3">
        <v>0.000256066452866091</v>
      </c>
      <c r="AN174" s="3">
        <v>0.000242695782309034</v>
      </c>
      <c r="AO174" s="3">
        <v>0.000252565705571633</v>
      </c>
      <c r="AP174" s="3">
        <v>0.00023809288423578</v>
      </c>
      <c r="AQ174" s="3">
        <v>0.000241931542333947</v>
      </c>
      <c r="AR174" s="3">
        <v>0.000228089504578312</v>
      </c>
      <c r="AS174" s="3">
        <v>0.000214697975522032</v>
      </c>
      <c r="AT174" s="3">
        <v>0.000259821491096837</v>
      </c>
      <c r="AU174" s="3">
        <v>0.000236276158930534</v>
      </c>
      <c r="AV174" s="3">
        <v>0.000238556657413938</v>
      </c>
      <c r="AW174" s="3">
        <v>0.000235102177055471</v>
      </c>
      <c r="AX174" s="3">
        <v>0.00022661147385164</v>
      </c>
      <c r="AY174" s="3">
        <v>0.000223358335162719</v>
      </c>
      <c r="AZ174" s="3">
        <v>0.000222752028407795</v>
      </c>
      <c r="BA174" s="3">
        <v>0.000217794655838162</v>
      </c>
      <c r="BB174" s="3">
        <v>0.000216394582026071</v>
      </c>
      <c r="BC174" s="3">
        <v>0.000215886681367055</v>
      </c>
      <c r="BD174" s="3">
        <v>0.000215526521029601</v>
      </c>
      <c r="BE174" s="3">
        <v>0.000215871889873968</v>
      </c>
      <c r="BF174" s="3">
        <v>0.000214931405481442</v>
      </c>
      <c r="BG174" s="3">
        <v>0.000214215318393254</v>
      </c>
      <c r="BH174" s="3">
        <v>0.000212628825030279</v>
      </c>
      <c r="BI174" s="3">
        <v>0.000213049001827466</v>
      </c>
      <c r="BJ174" s="3">
        <v>0.000211334750610424</v>
      </c>
      <c r="BK174" s="3">
        <v>0.000210054608323306</v>
      </c>
      <c r="BL174" s="3">
        <v>0.000209268262309524</v>
      </c>
      <c r="BM174" s="3">
        <v>0.000209296194973816</v>
      </c>
      <c r="BN174" s="3">
        <v>0.000209273027179161</v>
      </c>
      <c r="BO174" s="3">
        <v>0.000209205786785474</v>
      </c>
      <c r="BP174" s="3">
        <v>0.000209165112654073</v>
      </c>
      <c r="BQ174" s="3">
        <v>0.00020844680429387</v>
      </c>
      <c r="BR174" s="3">
        <v>0.00020840880702021</v>
      </c>
      <c r="BS174" s="3">
        <v>0.000208358719565253</v>
      </c>
      <c r="BT174" s="3">
        <v>0.000208314238689708</v>
      </c>
      <c r="BU174" s="3">
        <v>0.000208226700458374</v>
      </c>
      <c r="BV174" s="3">
        <v>0.000208162087178559</v>
      </c>
      <c r="BW174" s="3">
        <v>0.000208112911098752</v>
      </c>
      <c r="BX174" s="3">
        <v>0.000207418497561558</v>
      </c>
      <c r="BY174" s="3">
        <v>0.000207364696420032</v>
      </c>
      <c r="BZ174" s="3">
        <v>0.000205887572230583</v>
      </c>
      <c r="CA174" s="3">
        <v>0.000205051663892868</v>
      </c>
      <c r="CB174" s="3">
        <v>0.000204939529661014</v>
      </c>
      <c r="CC174" s="3">
        <v>0.000203389494357583</v>
      </c>
      <c r="CD174" s="3">
        <v>0.000203271369117985</v>
      </c>
      <c r="CE174" s="3">
        <v>0.000201750885114088</v>
      </c>
      <c r="CF174" s="3">
        <v>0.000199677328677416</v>
      </c>
      <c r="CG174" s="3">
        <v>0.000199619536502031</v>
      </c>
      <c r="CH174" s="3">
        <v>0.000199588327486981</v>
      </c>
      <c r="CI174" s="3">
        <v>0.000199585975585573</v>
      </c>
      <c r="CJ174" s="3">
        <v>0.000198993622004022</v>
      </c>
      <c r="CK174" s="3">
        <v>0.000199047800813098</v>
      </c>
      <c r="CL174" s="3">
        <v>0.000199124567460876</v>
      </c>
      <c r="CM174" s="3">
        <v>0.000198609264498883</v>
      </c>
      <c r="CN174" s="3">
        <v>0.00019871361061512</v>
      </c>
      <c r="CO174" s="3">
        <v>0.000198820240701417</v>
      </c>
      <c r="CP174" s="3">
        <v>0.000198324827224703</v>
      </c>
      <c r="CQ174" s="3">
        <v>0.000198419136422794</v>
      </c>
      <c r="CR174" s="3">
        <v>0.000197846313653538</v>
      </c>
      <c r="CS174" s="3">
        <v>0.000197910209494274</v>
      </c>
      <c r="CT174" s="3">
        <v>0.000197256939750454</v>
      </c>
    </row>
    <row r="175" spans="1:98">
      <c r="A175" s="1" t="str">
        <f>'Population Definitions'!$B$23</f>
        <v>30-49F_oth</v>
      </c>
      <c r="C175" t="s">
        <v>52</v>
      </c>
      <c r="D175" s="3"/>
      <c r="E175" s="3"/>
      <c r="F175" s="4" t="s">
        <v>48</v>
      </c>
      <c r="G175" s="3">
        <v>0.00130766456767178</v>
      </c>
      <c r="H175" s="3">
        <v>0.00123750363971659</v>
      </c>
      <c r="I175" s="3">
        <v>0.00120117397168043</v>
      </c>
      <c r="J175" s="3">
        <v>0.00115479388418735</v>
      </c>
      <c r="K175" s="3">
        <v>0.00113102910891099</v>
      </c>
      <c r="L175" s="3">
        <v>0.00114377068945887</v>
      </c>
      <c r="M175" s="3">
        <v>0.00110557859229777</v>
      </c>
      <c r="N175" s="3">
        <v>0.00108018500019297</v>
      </c>
      <c r="O175" s="3">
        <v>0.00110713185040549</v>
      </c>
      <c r="P175" s="3">
        <v>0.00108255822276867</v>
      </c>
      <c r="Q175" s="3">
        <v>0.00100926225828863</v>
      </c>
      <c r="R175" s="3">
        <v>0.00100957547788029</v>
      </c>
      <c r="S175" s="3">
        <v>0.00101024270625692</v>
      </c>
      <c r="T175" s="3">
        <v>0.00100394823043212</v>
      </c>
      <c r="U175" s="3">
        <v>0.00100120054472477</v>
      </c>
      <c r="V175" s="3">
        <v>0.0009809344881412489</v>
      </c>
      <c r="W175" s="3">
        <v>0.000975103704379853</v>
      </c>
      <c r="X175" s="3">
        <v>0.00100776214223904</v>
      </c>
      <c r="Y175" s="3">
        <v>0.0009868591166772771</v>
      </c>
      <c r="Z175" s="3">
        <v>0.000991398934837314</v>
      </c>
      <c r="AA175" s="3">
        <v>0.000958389067514001</v>
      </c>
      <c r="AB175" s="3">
        <v>0.000925924010802217</v>
      </c>
      <c r="AC175" s="3">
        <v>0.00091664712970182</v>
      </c>
      <c r="AD175" s="3">
        <v>0.000928465279654148</v>
      </c>
      <c r="AE175" s="3">
        <v>0.000884110084796025</v>
      </c>
      <c r="AF175" s="3">
        <v>0.000866778831497995</v>
      </c>
      <c r="AG175" s="3">
        <v>0.000860166163628997</v>
      </c>
      <c r="AH175" s="3">
        <v>0.000877836362467633</v>
      </c>
      <c r="AI175" s="3">
        <v>0.000856703517220296</v>
      </c>
      <c r="AJ175" s="3">
        <v>0.000874603978089618</v>
      </c>
      <c r="AK175" s="3">
        <v>0.000839932612672222</v>
      </c>
      <c r="AL175" s="3">
        <v>0.000852130901078218</v>
      </c>
      <c r="AM175" s="3">
        <v>0.000805587169353901</v>
      </c>
      <c r="AN175" s="3">
        <v>0.000811102455063337</v>
      </c>
      <c r="AO175" s="3">
        <v>0.000821895138853216</v>
      </c>
      <c r="AP175" s="3">
        <v>0.000831822285614573</v>
      </c>
      <c r="AQ175" s="3">
        <v>0.000824861566710978</v>
      </c>
      <c r="AR175" s="3">
        <v>0.00077921719364913</v>
      </c>
      <c r="AS175" s="3">
        <v>0.000754573408717433</v>
      </c>
      <c r="AT175" s="3">
        <v>0.0007975549626212</v>
      </c>
      <c r="AU175" s="3">
        <v>0.000737953478311556</v>
      </c>
      <c r="AV175" s="3">
        <v>0.000743397548161121</v>
      </c>
      <c r="AW175" s="3">
        <v>0.000744193616135251</v>
      </c>
      <c r="AX175" s="3">
        <v>0.000733535908125412</v>
      </c>
      <c r="AY175" s="3">
        <v>0.000727182226140881</v>
      </c>
      <c r="AZ175" s="3">
        <v>0.00072222745733676</v>
      </c>
      <c r="BA175" s="3">
        <v>0.000714183313791216</v>
      </c>
      <c r="BB175" s="3">
        <v>0.000715474908161276</v>
      </c>
      <c r="BC175" s="3">
        <v>0.000715740534576039</v>
      </c>
      <c r="BD175" s="3">
        <v>0.000717601243964064</v>
      </c>
      <c r="BE175" s="3">
        <v>0.000718603381476271</v>
      </c>
      <c r="BF175" s="3">
        <v>0.000718046773213316</v>
      </c>
      <c r="BG175" s="3">
        <v>0.000718801777758683</v>
      </c>
      <c r="BH175" s="3">
        <v>0.000718789411049663</v>
      </c>
      <c r="BI175" s="3">
        <v>0.00071809687497129</v>
      </c>
      <c r="BJ175" s="3">
        <v>0.000715536580263034</v>
      </c>
      <c r="BK175" s="3">
        <v>0.000714188034126756</v>
      </c>
      <c r="BL175" s="3">
        <v>0.000711825116148414</v>
      </c>
      <c r="BM175" s="3">
        <v>0.000709392972149198</v>
      </c>
      <c r="BN175" s="3">
        <v>0.0007057338873863969</v>
      </c>
      <c r="BO175" s="3">
        <v>0.00070083414347927</v>
      </c>
      <c r="BP175" s="3">
        <v>0.000697545520064215</v>
      </c>
      <c r="BQ175" s="3">
        <v>0.000694558498509922</v>
      </c>
      <c r="BR175" s="3">
        <v>0.00069217201965201</v>
      </c>
      <c r="BS175" s="3">
        <v>0.000689533272527078</v>
      </c>
      <c r="BT175" s="3">
        <v>0.0006854667329846211</v>
      </c>
      <c r="BU175" s="3">
        <v>0.000683130065843592</v>
      </c>
      <c r="BV175" s="3">
        <v>0.000681454742689661</v>
      </c>
      <c r="BW175" s="3">
        <v>0.00068193460993166</v>
      </c>
      <c r="BX175" s="3">
        <v>0.000682280109745239</v>
      </c>
      <c r="BY175" s="3">
        <v>0.000681932789741818</v>
      </c>
      <c r="BZ175" s="3">
        <v>0.000683304708061278</v>
      </c>
      <c r="CA175" s="3">
        <v>0.0006847336431411169</v>
      </c>
      <c r="CB175" s="3">
        <v>0.00068560504210369</v>
      </c>
      <c r="CC175" s="3">
        <v>0.000685937914404072</v>
      </c>
      <c r="CD175" s="3">
        <v>0.00068635698583217</v>
      </c>
      <c r="CE175" s="3">
        <v>0.000686646712163304</v>
      </c>
      <c r="CF175" s="3">
        <v>0.000686611084138141</v>
      </c>
      <c r="CG175" s="3">
        <v>0.000684732748068466</v>
      </c>
      <c r="CH175" s="3">
        <v>0.0006843408917712891</v>
      </c>
      <c r="CI175" s="3">
        <v>0.000680962849681449</v>
      </c>
      <c r="CJ175" s="3">
        <v>0.000680839962603068</v>
      </c>
      <c r="CK175" s="3">
        <v>0.000678893157925202</v>
      </c>
      <c r="CL175" s="3">
        <v>0.000676331136155609</v>
      </c>
      <c r="CM175" s="3">
        <v>0.000675253597700315</v>
      </c>
      <c r="CN175" s="3">
        <v>0.0006742322902999331</v>
      </c>
      <c r="CO175" s="3">
        <v>0.00066962370665972</v>
      </c>
      <c r="CP175" s="3">
        <v>0.000666899123620128</v>
      </c>
      <c r="CQ175" s="3">
        <v>0.000666445963994879</v>
      </c>
      <c r="CR175" s="3">
        <v>0.0006655219624588119</v>
      </c>
      <c r="CS175" s="3">
        <v>0.00066324026535934</v>
      </c>
      <c r="CT175" s="3">
        <v>0.0006622005805940611</v>
      </c>
    </row>
    <row r="176" spans="1:98">
      <c r="A176" s="1" t="str">
        <f>'Population Definitions'!$B$24</f>
        <v>50-64F_oth</v>
      </c>
      <c r="C176" t="s">
        <v>52</v>
      </c>
      <c r="D176" s="3"/>
      <c r="E176" s="3"/>
      <c r="F176" s="4" t="s">
        <v>48</v>
      </c>
      <c r="G176" s="3">
        <v>0.00654224609550469</v>
      </c>
      <c r="H176" s="3">
        <v>0.00638674202380997</v>
      </c>
      <c r="I176" s="3">
        <v>0.0067210063229238</v>
      </c>
      <c r="J176" s="3">
        <v>0.00651061708004723</v>
      </c>
      <c r="K176" s="3">
        <v>0.00616853024839725</v>
      </c>
      <c r="L176" s="3">
        <v>0.00637320479851949</v>
      </c>
      <c r="M176" s="3">
        <v>0.00604704348554427</v>
      </c>
      <c r="N176" s="3">
        <v>0.00585906528608023</v>
      </c>
      <c r="O176" s="3">
        <v>0.00584261046143211</v>
      </c>
      <c r="P176" s="3">
        <v>0.00572374349777385</v>
      </c>
      <c r="Q176" s="3">
        <v>0.00541183546039074</v>
      </c>
      <c r="R176" s="3">
        <v>0.00521495145410011</v>
      </c>
      <c r="S176" s="3">
        <v>0.00516724484617769</v>
      </c>
      <c r="T176" s="3">
        <v>0.00489270746664862</v>
      </c>
      <c r="U176" s="3">
        <v>0.00475120751469234</v>
      </c>
      <c r="V176" s="3">
        <v>0.00457883990734429</v>
      </c>
      <c r="W176" s="3">
        <v>0.00455705519126728</v>
      </c>
      <c r="X176" s="3">
        <v>0.00437503991824743</v>
      </c>
      <c r="Y176" s="3">
        <v>0.00411545147057</v>
      </c>
      <c r="Z176" s="3">
        <v>0.00385181383694362</v>
      </c>
      <c r="AA176" s="3">
        <v>0.00380854321200621</v>
      </c>
      <c r="AB176" s="3">
        <v>0.00372770560271493</v>
      </c>
      <c r="AC176" s="3">
        <v>0.00382987490876016</v>
      </c>
      <c r="AD176" s="3">
        <v>0.00358764259145111</v>
      </c>
      <c r="AE176" s="3">
        <v>0.00345915834634261</v>
      </c>
      <c r="AF176" s="3">
        <v>0.00339442767723508</v>
      </c>
      <c r="AG176" s="3">
        <v>0.00333760703048255</v>
      </c>
      <c r="AH176" s="3">
        <v>0.00344289272323281</v>
      </c>
      <c r="AI176" s="3">
        <v>0.00338624516899375</v>
      </c>
      <c r="AJ176" s="3">
        <v>0.00335351399882789</v>
      </c>
      <c r="AK176" s="3">
        <v>0.00326762801302638</v>
      </c>
      <c r="AL176" s="3">
        <v>0.00321805123627006</v>
      </c>
      <c r="AM176" s="3">
        <v>0.00316550519458873</v>
      </c>
      <c r="AN176" s="3">
        <v>0.00316938624471237</v>
      </c>
      <c r="AO176" s="3">
        <v>0.00319923177534821</v>
      </c>
      <c r="AP176" s="3">
        <v>0.003190905048779</v>
      </c>
      <c r="AQ176" s="3">
        <v>0.00311449910891224</v>
      </c>
      <c r="AR176" s="3">
        <v>0.00306540867263415</v>
      </c>
      <c r="AS176" s="3">
        <v>0.0031185477844357</v>
      </c>
      <c r="AT176" s="3">
        <v>0.00316258433558228</v>
      </c>
      <c r="AU176" s="3">
        <v>0.00295391212614082</v>
      </c>
      <c r="AV176" s="3">
        <v>0.00300755512085312</v>
      </c>
      <c r="AW176" s="3">
        <v>0.00302239136163768</v>
      </c>
      <c r="AX176" s="3">
        <v>0.00300057826434057</v>
      </c>
      <c r="AY176" s="3">
        <v>0.0029796671811042</v>
      </c>
      <c r="AZ176" s="3">
        <v>0.00295676532006748</v>
      </c>
      <c r="BA176" s="3">
        <v>0.00291953846781181</v>
      </c>
      <c r="BB176" s="3">
        <v>0.00290450411441707</v>
      </c>
      <c r="BC176" s="3">
        <v>0.00289172547915063</v>
      </c>
      <c r="BD176" s="3">
        <v>0.00287507037693911</v>
      </c>
      <c r="BE176" s="3">
        <v>0.00286145434879716</v>
      </c>
      <c r="BF176" s="3">
        <v>0.00284743670856487</v>
      </c>
      <c r="BG176" s="3">
        <v>0.00283955723951577</v>
      </c>
      <c r="BH176" s="3">
        <v>0.0028286839440853</v>
      </c>
      <c r="BI176" s="3">
        <v>0.00281197343451385</v>
      </c>
      <c r="BJ176" s="3">
        <v>0.0027944061393674</v>
      </c>
      <c r="BK176" s="3">
        <v>0.0027704202743103</v>
      </c>
      <c r="BL176" s="3">
        <v>0.00275012500702732</v>
      </c>
      <c r="BM176" s="3">
        <v>0.00273702893472184</v>
      </c>
      <c r="BN176" s="3">
        <v>0.00272533863922336</v>
      </c>
      <c r="BO176" s="3">
        <v>0.00271899988885901</v>
      </c>
      <c r="BP176" s="3">
        <v>0.00271686128650468</v>
      </c>
      <c r="BQ176" s="3">
        <v>0.00271791056974273</v>
      </c>
      <c r="BR176" s="3">
        <v>0.00272219308769425</v>
      </c>
      <c r="BS176" s="3">
        <v>0.00272537159387233</v>
      </c>
      <c r="BT176" s="3">
        <v>0.00273220135178958</v>
      </c>
      <c r="BU176" s="3">
        <v>0.0027336681959949</v>
      </c>
      <c r="BV176" s="3">
        <v>0.0027409903442108</v>
      </c>
      <c r="BW176" s="3">
        <v>0.00274119100045823</v>
      </c>
      <c r="BX176" s="3">
        <v>0.00274433035474405</v>
      </c>
      <c r="BY176" s="3">
        <v>0.00274370498799926</v>
      </c>
      <c r="BZ176" s="3">
        <v>0.00274146741003355</v>
      </c>
      <c r="CA176" s="3">
        <v>0.00274166468209708</v>
      </c>
      <c r="CB176" s="3">
        <v>0.00274132173998177</v>
      </c>
      <c r="CC176" s="3">
        <v>0.00273425185539715</v>
      </c>
      <c r="CD176" s="3">
        <v>0.00272439050317844</v>
      </c>
      <c r="CE176" s="3">
        <v>0.00270951285571877</v>
      </c>
      <c r="CF176" s="3">
        <v>0.00269612416208581</v>
      </c>
      <c r="CG176" s="3">
        <v>0.00268171394632618</v>
      </c>
      <c r="CH176" s="3">
        <v>0.00266824722360374</v>
      </c>
      <c r="CI176" s="3">
        <v>0.00265498325239569</v>
      </c>
      <c r="CJ176" s="3">
        <v>0.00264418932587368</v>
      </c>
      <c r="CK176" s="3">
        <v>0.00263544124309853</v>
      </c>
      <c r="CL176" s="3">
        <v>0.00263189126761602</v>
      </c>
      <c r="CM176" s="3">
        <v>0.00262916088018304</v>
      </c>
      <c r="CN176" s="3">
        <v>0.00262691738327036</v>
      </c>
      <c r="CO176" s="3">
        <v>0.00262429147397764</v>
      </c>
      <c r="CP176" s="3">
        <v>0.00262519541593904</v>
      </c>
      <c r="CQ176" s="3">
        <v>0.00263134651931737</v>
      </c>
      <c r="CR176" s="3">
        <v>0.00263173472222222</v>
      </c>
      <c r="CS176" s="3">
        <v>0.00263403614399932</v>
      </c>
      <c r="CT176" s="3">
        <v>0.00263230850267148</v>
      </c>
    </row>
    <row r="177" spans="1:98">
      <c r="A177" s="1" t="str">
        <f>'Population Definitions'!$B$25</f>
        <v>65+F_oth</v>
      </c>
      <c r="C177" t="s">
        <v>52</v>
      </c>
      <c r="D177" s="3"/>
      <c r="E177" s="3"/>
      <c r="F177" s="4" t="s">
        <v>48</v>
      </c>
      <c r="G177" s="3">
        <v>0.0445728052621419</v>
      </c>
      <c r="H177" s="3">
        <v>0.0436915782504384</v>
      </c>
      <c r="I177" s="3">
        <v>0.0454960446981916</v>
      </c>
      <c r="J177" s="3">
        <v>0.0425949490664997</v>
      </c>
      <c r="K177" s="3">
        <v>0.0423547002278912</v>
      </c>
      <c r="L177" s="3">
        <v>0.0455540801082751</v>
      </c>
      <c r="M177" s="3">
        <v>0.0426199347328931</v>
      </c>
      <c r="N177" s="3">
        <v>0.0425283346125859</v>
      </c>
      <c r="O177" s="3">
        <v>0.0421444164828049</v>
      </c>
      <c r="P177" s="3">
        <v>0.0435386517275619</v>
      </c>
      <c r="Q177" s="3">
        <v>0.0411605558500219</v>
      </c>
      <c r="R177" s="3">
        <v>0.0399657948787432</v>
      </c>
      <c r="S177" s="3">
        <v>0.0412346819876746</v>
      </c>
      <c r="T177" s="3">
        <v>0.039752086159658</v>
      </c>
      <c r="U177" s="3">
        <v>0.0412867957325138</v>
      </c>
      <c r="V177" s="3">
        <v>0.0402573873518015</v>
      </c>
      <c r="W177" s="3">
        <v>0.0407602789477809</v>
      </c>
      <c r="X177" s="3">
        <v>0.0407360229838534</v>
      </c>
      <c r="Y177" s="3">
        <v>0.0391021055820883</v>
      </c>
      <c r="Z177" s="3">
        <v>0.0390895368176039</v>
      </c>
      <c r="AA177" s="3">
        <v>0.0388912568355567</v>
      </c>
      <c r="AB177" s="3">
        <v>0.0384010396561548</v>
      </c>
      <c r="AC177" s="3">
        <v>0.0398027983094914</v>
      </c>
      <c r="AD177" s="3">
        <v>0.0386953078385068</v>
      </c>
      <c r="AE177" s="3">
        <v>0.0383295748390302</v>
      </c>
      <c r="AF177" s="3">
        <v>0.0372053388004784</v>
      </c>
      <c r="AG177" s="3">
        <v>0.0377174581989144</v>
      </c>
      <c r="AH177" s="3">
        <v>0.0379580785023881</v>
      </c>
      <c r="AI177" s="3">
        <v>0.0391790350475725</v>
      </c>
      <c r="AJ177" s="3">
        <v>0.0367608308280882</v>
      </c>
      <c r="AK177" s="3">
        <v>0.0367605385108346</v>
      </c>
      <c r="AL177" s="3">
        <v>0.036564569273438</v>
      </c>
      <c r="AM177" s="3">
        <v>0.0357870491352138</v>
      </c>
      <c r="AN177" s="3">
        <v>0.0343096641863735</v>
      </c>
      <c r="AO177" s="3">
        <v>0.0349617765941444</v>
      </c>
      <c r="AP177" s="3">
        <v>0.0352052722774756</v>
      </c>
      <c r="AQ177" s="3">
        <v>0.0336382293032373</v>
      </c>
      <c r="AR177" s="3">
        <v>0.0333981624636855</v>
      </c>
      <c r="AS177" s="3">
        <v>0.0314570149677339</v>
      </c>
      <c r="AT177" s="3">
        <v>0.0324503653829216</v>
      </c>
      <c r="AU177" s="3">
        <v>0.0296199048920666</v>
      </c>
      <c r="AV177" s="3">
        <v>0.0309858921733129</v>
      </c>
      <c r="AW177" s="3">
        <v>0.0299891062445551</v>
      </c>
      <c r="AX177" s="3">
        <v>0.0296364581311392</v>
      </c>
      <c r="AY177" s="3">
        <v>0.0293267511497513</v>
      </c>
      <c r="AZ177" s="3">
        <v>0.0290622208141421</v>
      </c>
      <c r="BA177" s="3">
        <v>0.0286847421511497</v>
      </c>
      <c r="BB177" s="3">
        <v>0.0286428532208872</v>
      </c>
      <c r="BC177" s="3">
        <v>0.0286549844113937</v>
      </c>
      <c r="BD177" s="3">
        <v>0.0287529924610887</v>
      </c>
      <c r="BE177" s="3">
        <v>0.0289534136478998</v>
      </c>
      <c r="BF177" s="3">
        <v>0.0292127093137888</v>
      </c>
      <c r="BG177" s="3">
        <v>0.0295888274862551</v>
      </c>
      <c r="BH177" s="3">
        <v>0.029973414924608</v>
      </c>
      <c r="BI177" s="3">
        <v>0.0303421356444203</v>
      </c>
      <c r="BJ177" s="3">
        <v>0.0307409606148555</v>
      </c>
      <c r="BK177" s="3">
        <v>0.0310561157690184</v>
      </c>
      <c r="BL177" s="3">
        <v>0.0314353322749171</v>
      </c>
      <c r="BM177" s="3">
        <v>0.0318692008327027</v>
      </c>
      <c r="BN177" s="3">
        <v>0.0323287199521957</v>
      </c>
      <c r="BO177" s="3">
        <v>0.0328134475207157</v>
      </c>
      <c r="BP177" s="3">
        <v>0.0332928521834823</v>
      </c>
      <c r="BQ177" s="3">
        <v>0.0337563951610793</v>
      </c>
      <c r="BR177" s="3">
        <v>0.0341768423043526</v>
      </c>
      <c r="BS177" s="3">
        <v>0.0345381703113701</v>
      </c>
      <c r="BT177" s="3">
        <v>0.0348601230730565</v>
      </c>
      <c r="BU177" s="3">
        <v>0.0351037702893661</v>
      </c>
      <c r="BV177" s="3">
        <v>0.0352971441937117</v>
      </c>
      <c r="BW177" s="3">
        <v>0.0354352124825821</v>
      </c>
      <c r="BX177" s="3">
        <v>0.0355515666737333</v>
      </c>
      <c r="BY177" s="3">
        <v>0.0356335039454807</v>
      </c>
      <c r="BZ177" s="3">
        <v>0.0356966357948239</v>
      </c>
      <c r="CA177" s="3">
        <v>0.0357388798348754</v>
      </c>
      <c r="CB177" s="3">
        <v>0.0357519385466607</v>
      </c>
      <c r="CC177" s="3">
        <v>0.0357415245533185</v>
      </c>
      <c r="CD177" s="3">
        <v>0.035689652111282</v>
      </c>
      <c r="CE177" s="3">
        <v>0.0356216828723088</v>
      </c>
      <c r="CF177" s="3">
        <v>0.0355597200535651</v>
      </c>
      <c r="CG177" s="3">
        <v>0.0354928495075063</v>
      </c>
      <c r="CH177" s="3">
        <v>0.035435186329302</v>
      </c>
      <c r="CI177" s="3">
        <v>0.0353768214540043</v>
      </c>
      <c r="CJ177" s="3">
        <v>0.0353562349729522</v>
      </c>
      <c r="CK177" s="3">
        <v>0.0353714523070365</v>
      </c>
      <c r="CL177" s="3">
        <v>0.0354147449741961</v>
      </c>
      <c r="CM177" s="3">
        <v>0.0354729154622767</v>
      </c>
      <c r="CN177" s="3">
        <v>0.0355148869344956</v>
      </c>
      <c r="CO177" s="3">
        <v>0.0355737464950933</v>
      </c>
      <c r="CP177" s="3">
        <v>0.0356625736391637</v>
      </c>
      <c r="CQ177" s="3">
        <v>0.0357514823881976</v>
      </c>
      <c r="CR177" s="3">
        <v>0.0358387536308546</v>
      </c>
      <c r="CS177" s="3">
        <v>0.0359267699193844</v>
      </c>
      <c r="CT177" s="3">
        <v>0.036013271039966</v>
      </c>
    </row>
    <row r="178" spans="1:98">
      <c r="A178" s="1" t="str">
        <f>'Population Definitions'!$B$26</f>
        <v>0-4M_fns</v>
      </c>
      <c r="C178" t="s">
        <v>52</v>
      </c>
      <c r="D178" s="3"/>
      <c r="E178" s="3"/>
      <c r="F178" s="4" t="s">
        <v>48</v>
      </c>
      <c r="G178" s="3">
        <v>0.008928359567922513</v>
      </c>
      <c r="H178" s="3">
        <v>0.008594179192000251</v>
      </c>
      <c r="I178" s="3">
        <v>0.008987983978638188</v>
      </c>
      <c r="J178" s="3">
        <v>0.008096532970768174</v>
      </c>
      <c r="K178" s="3">
        <v>0.007729258937045249</v>
      </c>
      <c r="L178" s="3">
        <v>0.008350350796925293</v>
      </c>
      <c r="M178" s="3">
        <v>0.007469322477464394</v>
      </c>
      <c r="N178" s="3">
        <v>0.007304904543094998</v>
      </c>
      <c r="O178" s="3">
        <v>0.007078651685393257</v>
      </c>
      <c r="P178" s="3">
        <v>0.006542402893418238</v>
      </c>
      <c r="Q178" s="3">
        <v>0.007018881609842047</v>
      </c>
      <c r="R178" s="3">
        <v>0.005835701868153092</v>
      </c>
      <c r="S178" s="3">
        <v>0.006009249485506859</v>
      </c>
      <c r="T178" s="3">
        <v>0.005364586715148371</v>
      </c>
      <c r="U178" s="3">
        <v>0.004911444121195341</v>
      </c>
      <c r="V178" s="3">
        <v>0.004661547623344277</v>
      </c>
      <c r="W178" s="3">
        <v>0.004838638129653812</v>
      </c>
      <c r="X178" s="3">
        <v>0.004385329736970731</v>
      </c>
      <c r="Y178" s="3">
        <v>0.004196888364860903</v>
      </c>
      <c r="Z178" s="3">
        <v>0.004548709739815689</v>
      </c>
      <c r="AA178" s="3">
        <v>0.004127025922314181</v>
      </c>
      <c r="AB178" s="3">
        <v>0.004207744241279037</v>
      </c>
      <c r="AC178" s="3">
        <v>0.004059222550314128</v>
      </c>
      <c r="AD178" s="3">
        <v>0.00388957541775793</v>
      </c>
      <c r="AE178" s="3">
        <v>0.003870195333245331</v>
      </c>
      <c r="AF178" s="3">
        <v>0.003978672129723201</v>
      </c>
      <c r="AG178" s="3">
        <v>0.003877638248431811</v>
      </c>
      <c r="AH178" s="3">
        <v>0.003553830886949518</v>
      </c>
      <c r="AI178" s="3">
        <v>0.003610380540991081</v>
      </c>
      <c r="AJ178" s="3">
        <v>0.003591053719488119</v>
      </c>
      <c r="AK178" s="3">
        <v>0.003550692596493211</v>
      </c>
      <c r="AL178" s="3">
        <v>0.003053757579886898</v>
      </c>
      <c r="AM178" s="3">
        <v>0.002716110851878594</v>
      </c>
      <c r="AN178" s="3">
        <v>0.002771370905932247</v>
      </c>
      <c r="AO178" s="3">
        <v>0.001414748081414749</v>
      </c>
      <c r="AP178" s="3">
        <v>0.001461812360263878</v>
      </c>
      <c r="AQ178" s="3">
        <v>0.001586645756306837</v>
      </c>
      <c r="AR178" s="3">
        <v>0.001611104930717792</v>
      </c>
      <c r="AS178" s="3">
        <v>0.001609403614937496</v>
      </c>
      <c r="AT178" s="3">
        <v>0.001671627157813649</v>
      </c>
      <c r="AU178" s="3">
        <v>0.001481969322581504</v>
      </c>
      <c r="AV178" s="3">
        <v>0.001644492388828958</v>
      </c>
      <c r="AW178" s="3">
        <v>0.001509834621179274</v>
      </c>
      <c r="AX178" s="3">
        <v>0.001456796233898487</v>
      </c>
      <c r="AY178" s="3">
        <v>0.001446334748084702</v>
      </c>
      <c r="AZ178" s="3">
        <v>0.001419895012525964</v>
      </c>
      <c r="BA178" s="3">
        <v>0.001387836576970704</v>
      </c>
      <c r="BB178" s="3">
        <v>0.001371952750335131</v>
      </c>
      <c r="BC178" s="3">
        <v>0.001363221575905536</v>
      </c>
      <c r="BD178" s="3">
        <v>0.001348802889330024</v>
      </c>
      <c r="BE178" s="3">
        <v>0.001338398968557315</v>
      </c>
      <c r="BF178" s="3">
        <v>0.001324078981572592</v>
      </c>
      <c r="BG178" s="3">
        <v>0.001317534459590397</v>
      </c>
      <c r="BH178" s="3">
        <v>0.001314920708941104</v>
      </c>
      <c r="BI178" s="3">
        <v>0.001308856942023144</v>
      </c>
      <c r="BJ178" s="3">
        <v>0.001303072975464267</v>
      </c>
      <c r="BK178" s="3">
        <v>0.001293315256966434</v>
      </c>
      <c r="BL178" s="3">
        <v>0.001291080623726622</v>
      </c>
      <c r="BM178" s="3">
        <v>0.001284433822456616</v>
      </c>
      <c r="BN178" s="3">
        <v>0.001281116984807486</v>
      </c>
      <c r="BO178" s="3">
        <v>0.001277114680162262</v>
      </c>
      <c r="BP178" s="3">
        <v>0.001272432131224971</v>
      </c>
      <c r="BQ178" s="3">
        <v>0.001267115760095093</v>
      </c>
      <c r="BR178" s="3">
        <v>0.001257404422942307</v>
      </c>
      <c r="BS178" s="3">
        <v>0.001251383441047214</v>
      </c>
      <c r="BT178" s="3">
        <v>0.001245338838500731</v>
      </c>
      <c r="BU178" s="3">
        <v>0.001239367837135374</v>
      </c>
      <c r="BV178" s="3">
        <v>0.001233602260258047</v>
      </c>
      <c r="BW178" s="3">
        <v>0.00122812063948156</v>
      </c>
      <c r="BX178" s="3">
        <v>0.001222954519943942</v>
      </c>
      <c r="BY178" s="3">
        <v>0.001218125245144955</v>
      </c>
      <c r="BZ178" s="3">
        <v>0.001213571732032391</v>
      </c>
      <c r="CA178" s="3">
        <v>0.001205484788482777</v>
      </c>
      <c r="CB178" s="3">
        <v>0.001201579916036943</v>
      </c>
      <c r="CC178" s="3">
        <v>0.001197919086496293</v>
      </c>
      <c r="CD178" s="3">
        <v>0.001194391472453014</v>
      </c>
      <c r="CE178" s="3">
        <v>0.001190949918816251</v>
      </c>
      <c r="CF178" s="3">
        <v>0.001187541139553299</v>
      </c>
      <c r="CG178" s="3">
        <v>0.001184127630323118</v>
      </c>
      <c r="CH178" s="3">
        <v>0.001180746113352346</v>
      </c>
      <c r="CI178" s="3">
        <v>0.001181290162682012</v>
      </c>
      <c r="CJ178" s="3">
        <v>0.001174022883203415</v>
      </c>
      <c r="CK178" s="3">
        <v>0.001170743271518108</v>
      </c>
      <c r="CL178" s="3">
        <v>0.00116746153014653</v>
      </c>
      <c r="CM178" s="3">
        <v>0.001164169691773684</v>
      </c>
      <c r="CN178" s="3">
        <v>0.001160832010653316</v>
      </c>
      <c r="CO178" s="3">
        <v>0.001157477607970461</v>
      </c>
      <c r="CP178" s="3">
        <v>0.001157973640806514</v>
      </c>
      <c r="CQ178" s="3">
        <v>0.00115058482329708</v>
      </c>
      <c r="CR178" s="3">
        <v>0.001143080220716543</v>
      </c>
      <c r="CS178" s="3">
        <v>0.001139382192654013</v>
      </c>
      <c r="CT178" s="3"/>
    </row>
    <row r="179" spans="1:98">
      <c r="A179" s="1" t="str">
        <f>'Population Definitions'!$B$27</f>
        <v>5-14M_fns</v>
      </c>
      <c r="C179" t="s">
        <v>52</v>
      </c>
      <c r="D179" s="3"/>
      <c r="E179" s="3"/>
      <c r="F179" s="4" t="s">
        <v>48</v>
      </c>
      <c r="G179" s="3">
        <v>0.0007592746479674893</v>
      </c>
      <c r="H179" s="3">
        <v>0.0007241134000332988</v>
      </c>
      <c r="I179" s="3">
        <v>0.0008443089212892288</v>
      </c>
      <c r="J179" s="3">
        <v>0.0006743038784025786</v>
      </c>
      <c r="K179" s="3">
        <v>0.0006269491664286636</v>
      </c>
      <c r="L179" s="3">
        <v>0.0006684568448033035</v>
      </c>
      <c r="M179" s="3">
        <v>0.000624941272277382</v>
      </c>
      <c r="N179" s="3">
        <v>0.0005921010030497393</v>
      </c>
      <c r="O179" s="3">
        <v>0.0006096685479506525</v>
      </c>
      <c r="P179" s="3">
        <v>0.0005599504290728144</v>
      </c>
      <c r="Q179" s="3">
        <v>0.0005115846011083936</v>
      </c>
      <c r="R179" s="3">
        <v>0.0004757776419372305</v>
      </c>
      <c r="S179" s="3">
        <v>0.0004518632714900853</v>
      </c>
      <c r="T179" s="3">
        <v>0.0004466149670891052</v>
      </c>
      <c r="U179" s="3">
        <v>0.0004494773146783969</v>
      </c>
      <c r="V179" s="3">
        <v>0.0004210414838573018</v>
      </c>
      <c r="W179" s="3">
        <v>0.0004518094872494664</v>
      </c>
      <c r="X179" s="3">
        <v>0.0003980758671727656</v>
      </c>
      <c r="Y179" s="3">
        <v>0.0003891151636932708</v>
      </c>
      <c r="Z179" s="3">
        <v>0.0003506440995531695</v>
      </c>
      <c r="AA179" s="3">
        <v>0.0003714758032807974</v>
      </c>
      <c r="AB179" s="3">
        <v>0.0003539761334713617</v>
      </c>
      <c r="AC179" s="3">
        <v>0.000351005606108495</v>
      </c>
      <c r="AD179" s="3">
        <v>0.0002871135169926619</v>
      </c>
      <c r="AE179" s="3">
        <v>0.0003214998522916421</v>
      </c>
      <c r="AF179" s="3">
        <v>0.0002766455947376117</v>
      </c>
      <c r="AG179" s="3">
        <v>0.0002748174242020731</v>
      </c>
      <c r="AH179" s="3">
        <v>0.0002514775022586946</v>
      </c>
      <c r="AI179" s="3">
        <v>0.000259043011470059</v>
      </c>
      <c r="AJ179" s="3">
        <v>0.0002658407481212411</v>
      </c>
      <c r="AK179" s="3">
        <v>0.0002777128676232961</v>
      </c>
      <c r="AL179" s="3">
        <v>0.0002520108895675355</v>
      </c>
      <c r="AM179" s="3">
        <v>0.0002345206650093216</v>
      </c>
      <c r="AN179" s="3">
        <v>0.0002481481076828957</v>
      </c>
      <c r="AO179" s="3">
        <v>0.000263115978700711</v>
      </c>
      <c r="AP179" s="3">
        <v>0.0002970386665706285</v>
      </c>
      <c r="AQ179" s="3">
        <v>0.0001741935106747109</v>
      </c>
      <c r="AR179" s="3">
        <v>0.0001751111930642233</v>
      </c>
      <c r="AS179" s="3">
        <v>0.0001468844975808907</v>
      </c>
      <c r="AT179" s="3">
        <v>0.0001641977817993922</v>
      </c>
      <c r="AU179" s="3">
        <v>0.0001444839887720127</v>
      </c>
      <c r="AV179" s="3">
        <v>0.0001706364848884113</v>
      </c>
      <c r="AW179" s="3">
        <v>0.0002178954815644386</v>
      </c>
      <c r="AX179" s="3">
        <v>0.0002180082983563494</v>
      </c>
      <c r="AY179" s="3">
        <v>0.0002110602345614064</v>
      </c>
      <c r="AZ179" s="3">
        <v>0.0002002899865660722</v>
      </c>
      <c r="BA179" s="3">
        <v>0.000200551337361315</v>
      </c>
      <c r="BB179" s="3">
        <v>0.0002007139930285752</v>
      </c>
      <c r="BC179" s="3">
        <v>0.0002006641788422886</v>
      </c>
      <c r="BD179" s="3">
        <v>0.0001989066627651798</v>
      </c>
      <c r="BE179" s="3">
        <v>0.00019886071191687</v>
      </c>
      <c r="BF179" s="3">
        <v>0.0001967264698219974</v>
      </c>
      <c r="BG179" s="3">
        <v>0.0001966494454969806</v>
      </c>
      <c r="BH179" s="3">
        <v>0.0001930523274557082</v>
      </c>
      <c r="BI179" s="3">
        <v>0.0001929969502863444</v>
      </c>
      <c r="BJ179" s="3">
        <v>0.000193115565647289</v>
      </c>
      <c r="BK179" s="3">
        <v>0.000191353661185851</v>
      </c>
      <c r="BL179" s="3">
        <v>0.0001911678106689702</v>
      </c>
      <c r="BM179" s="3">
        <v>0.0001911669409706328</v>
      </c>
      <c r="BN179" s="3">
        <v>0.0001893231340415154</v>
      </c>
      <c r="BO179" s="3">
        <v>0.0001874852998305912</v>
      </c>
      <c r="BP179" s="3">
        <v>0.0001874208653717508</v>
      </c>
      <c r="BQ179" s="3">
        <v>0.000185562753641568</v>
      </c>
      <c r="BR179" s="3">
        <v>0.0001837112513614956</v>
      </c>
      <c r="BS179" s="3">
        <v>0.0001836480598636176</v>
      </c>
      <c r="BT179" s="3">
        <v>0.0001835856023563404</v>
      </c>
      <c r="BU179" s="3">
        <v>0.0001817290228681296</v>
      </c>
      <c r="BV179" s="3">
        <v>0.0001798798343129854</v>
      </c>
      <c r="BW179" s="3">
        <v>0.0001798593331631749</v>
      </c>
      <c r="BX179" s="3">
        <v>0.0001798636284436529</v>
      </c>
      <c r="BY179" s="3">
        <v>0.0001798919848163711</v>
      </c>
      <c r="BZ179" s="3">
        <v>0.0001781487919036704</v>
      </c>
      <c r="CA179" s="3">
        <v>0.0001782109719186943</v>
      </c>
      <c r="CB179" s="3">
        <v>0.000178283314379014</v>
      </c>
      <c r="CC179" s="3">
        <v>0.0001783596424975481</v>
      </c>
      <c r="CD179" s="3">
        <v>0.0001784343215149866</v>
      </c>
      <c r="CE179" s="3">
        <v>0.000176679019475894</v>
      </c>
      <c r="CF179" s="3">
        <v>0.0001767340848648598</v>
      </c>
      <c r="CG179" s="3">
        <v>0.0001767791968852939</v>
      </c>
      <c r="CH179" s="3">
        <v>0.0001768133655660134</v>
      </c>
      <c r="CI179" s="3">
        <v>0.0001768361460693941</v>
      </c>
      <c r="CJ179" s="3">
        <v>0.0001750857600093799</v>
      </c>
      <c r="CK179" s="3">
        <v>0.000175087924078178</v>
      </c>
      <c r="CL179" s="3">
        <v>0.0001732557579837935</v>
      </c>
      <c r="CM179" s="3">
        <v>0.0001732443272184343</v>
      </c>
      <c r="CN179" s="3">
        <v>0.0001732285427787985</v>
      </c>
      <c r="CO179" s="3">
        <v>0.0001732100957238573</v>
      </c>
      <c r="CP179" s="3">
        <v>0.0001731900965580994</v>
      </c>
      <c r="CQ179" s="3">
        <v>0.0001713567984001369</v>
      </c>
      <c r="CR179" s="3">
        <v>0.0001713355070270008</v>
      </c>
      <c r="CS179" s="3">
        <v>0.0001713135993044704</v>
      </c>
      <c r="CT179" s="3"/>
    </row>
    <row r="180" spans="1:98">
      <c r="A180" s="1" t="str">
        <f>'Population Definitions'!$B$28</f>
        <v>15-29M_fns</v>
      </c>
      <c r="C180" t="s">
        <v>52</v>
      </c>
      <c r="D180" s="3"/>
      <c r="E180" s="3"/>
      <c r="F180" s="4" t="s">
        <v>48</v>
      </c>
      <c r="G180" s="3">
        <v>0.004293133561186288</v>
      </c>
      <c r="H180" s="3">
        <v>0.004147941597684976</v>
      </c>
      <c r="I180" s="3">
        <v>0.004323524562761707</v>
      </c>
      <c r="J180" s="3">
        <v>0.004039799517581616</v>
      </c>
      <c r="K180" s="3">
        <v>0.003597980810924834</v>
      </c>
      <c r="L180" s="3">
        <v>0.00409381441513226</v>
      </c>
      <c r="M180" s="3">
        <v>0.003941929621809483</v>
      </c>
      <c r="N180" s="3">
        <v>0.003856244531538823</v>
      </c>
      <c r="O180" s="3">
        <v>0.004227856676647543</v>
      </c>
      <c r="P180" s="3">
        <v>0.003928679730461213</v>
      </c>
      <c r="Q180" s="3">
        <v>0.003751317487196673</v>
      </c>
      <c r="R180" s="3">
        <v>0.003474064852688369</v>
      </c>
      <c r="S180" s="3">
        <v>0.003333573730309944</v>
      </c>
      <c r="T180" s="3">
        <v>0.003243058943148206</v>
      </c>
      <c r="U180" s="3">
        <v>0.003247510003986066</v>
      </c>
      <c r="V180" s="3">
        <v>0.003326726431672189</v>
      </c>
      <c r="W180" s="3">
        <v>0.003357365420071845</v>
      </c>
      <c r="X180" s="3">
        <v>0.003491681851803752</v>
      </c>
      <c r="Y180" s="3">
        <v>0.003507512598856721</v>
      </c>
      <c r="Z180" s="3">
        <v>0.003589307386902874</v>
      </c>
      <c r="AA180" s="3">
        <v>0.003157135931001052</v>
      </c>
      <c r="AB180" s="3">
        <v>0.002806547578057211</v>
      </c>
      <c r="AC180" s="3">
        <v>0.002644122642054894</v>
      </c>
      <c r="AD180" s="3">
        <v>0.002600186254326946</v>
      </c>
      <c r="AE180" s="3">
        <v>0.002313961546667155</v>
      </c>
      <c r="AF180" s="3">
        <v>0.002308329294196192</v>
      </c>
      <c r="AG180" s="3">
        <v>0.002144422271329074</v>
      </c>
      <c r="AH180" s="3">
        <v>0.002140052787435763</v>
      </c>
      <c r="AI180" s="3">
        <v>0.002076316116741409</v>
      </c>
      <c r="AJ180" s="3">
        <v>0.001988143906003182</v>
      </c>
      <c r="AK180" s="3">
        <v>0.001885912385054382</v>
      </c>
      <c r="AL180" s="3">
        <v>0.001830452070026249</v>
      </c>
      <c r="AM180" s="3">
        <v>0.001805730873541753</v>
      </c>
      <c r="AN180" s="3">
        <v>0.001676176437121322</v>
      </c>
      <c r="AO180" s="3">
        <v>0.001493969077640681</v>
      </c>
      <c r="AP180" s="3">
        <v>0.001597580710526536</v>
      </c>
      <c r="AQ180" s="3">
        <v>0.001542943751572212</v>
      </c>
      <c r="AR180" s="3">
        <v>0.001511578555734721</v>
      </c>
      <c r="AS180" s="3">
        <v>0.001490991704971735</v>
      </c>
      <c r="AT180" s="3">
        <v>0.00174429696099765</v>
      </c>
      <c r="AU180" s="3">
        <v>0.001642035617871632</v>
      </c>
      <c r="AV180" s="3">
        <v>0.001590227793931498</v>
      </c>
      <c r="AW180" s="3">
        <v>0.001440947711785399</v>
      </c>
      <c r="AX180" s="3">
        <v>0.001419345877011092</v>
      </c>
      <c r="AY180" s="3">
        <v>0.001409838788464852</v>
      </c>
      <c r="AZ180" s="3">
        <v>0.001387326028446644</v>
      </c>
      <c r="BA180" s="3">
        <v>0.001368356993715847</v>
      </c>
      <c r="BB180" s="3">
        <v>0.001361147060489919</v>
      </c>
      <c r="BC180" s="3">
        <v>0.001352804898432086</v>
      </c>
      <c r="BD180" s="3">
        <v>0.001343132213351673</v>
      </c>
      <c r="BE180" s="3">
        <v>0.001338736744891864</v>
      </c>
      <c r="BF180" s="3">
        <v>0.001328536768861846</v>
      </c>
      <c r="BG180" s="3">
        <v>0.001325731667205758</v>
      </c>
      <c r="BH180" s="3">
        <v>0.001325798481420965</v>
      </c>
      <c r="BI180" s="3">
        <v>0.001322520026187596</v>
      </c>
      <c r="BJ180" s="3">
        <v>0.001320841404725463</v>
      </c>
      <c r="BK180" s="3">
        <v>0.001314477935424315</v>
      </c>
      <c r="BL180" s="3">
        <v>0.001309850582598772</v>
      </c>
      <c r="BM180" s="3">
        <v>0.00130847129862064</v>
      </c>
      <c r="BN180" s="3">
        <v>0.00130491854600295</v>
      </c>
      <c r="BO180" s="3">
        <v>0.001301015294899128</v>
      </c>
      <c r="BP180" s="3">
        <v>0.001295042240277339</v>
      </c>
      <c r="BQ180" s="3">
        <v>0.00129135040206426</v>
      </c>
      <c r="BR180" s="3">
        <v>0.001283566835380389</v>
      </c>
      <c r="BS180" s="3">
        <v>0.001281390703381937</v>
      </c>
      <c r="BT180" s="3">
        <v>0.001278942489225837</v>
      </c>
      <c r="BU180" s="3">
        <v>0.001270371288195958</v>
      </c>
      <c r="BV180" s="3">
        <v>0.00126420314842449</v>
      </c>
      <c r="BW180" s="3">
        <v>0.001263877326335035</v>
      </c>
      <c r="BX180" s="3">
        <v>0.00125764395472492</v>
      </c>
      <c r="BY180" s="3">
        <v>0.001255495851584997</v>
      </c>
      <c r="BZ180" s="3">
        <v>0.00125140636181202</v>
      </c>
      <c r="CA180" s="3">
        <v>0.00123935497494971</v>
      </c>
      <c r="CB180" s="3">
        <v>0.001233367980520308</v>
      </c>
      <c r="CC180" s="3">
        <v>0.001232683346133042</v>
      </c>
      <c r="CD180" s="3">
        <v>0.001226231778480548</v>
      </c>
      <c r="CE180" s="3">
        <v>0.001221864773319436</v>
      </c>
      <c r="CF180" s="3">
        <v>0.001217536829359007</v>
      </c>
      <c r="CG180" s="3">
        <v>0.001213477977210789</v>
      </c>
      <c r="CH180" s="3">
        <v>0.001207997930703142</v>
      </c>
      <c r="CI180" s="3">
        <v>0.001204241426797434</v>
      </c>
      <c r="CJ180" s="3">
        <v>0.001200521226128185</v>
      </c>
      <c r="CK180" s="3">
        <v>0.001197064457580925</v>
      </c>
      <c r="CL180" s="3">
        <v>0.001193599560487378</v>
      </c>
      <c r="CM180" s="3">
        <v>0.001190465530604349</v>
      </c>
      <c r="CN180" s="3">
        <v>0.001189166071514548</v>
      </c>
      <c r="CO180" s="3">
        <v>0.001183968474278621</v>
      </c>
      <c r="CP180" s="3">
        <v>0.001177419656872374</v>
      </c>
      <c r="CQ180" s="3">
        <v>0.00117238983634558</v>
      </c>
      <c r="CR180" s="3">
        <v>0.001169065788547381</v>
      </c>
      <c r="CS180" s="3">
        <v>0.001167474970685134</v>
      </c>
      <c r="CT180" s="3"/>
    </row>
    <row r="181" spans="1:98">
      <c r="A181" s="1" t="str">
        <f>'Population Definitions'!$B$29</f>
        <v>30-49M_fns</v>
      </c>
      <c r="C181" t="s">
        <v>52</v>
      </c>
      <c r="D181" s="3"/>
      <c r="E181" s="3"/>
      <c r="F181" s="4" t="s">
        <v>48</v>
      </c>
      <c r="G181" s="3">
        <v>0.008484491443830363</v>
      </c>
      <c r="H181" s="3">
        <v>0.007972400013879222</v>
      </c>
      <c r="I181" s="3">
        <v>0.007811409293805765</v>
      </c>
      <c r="J181" s="3">
        <v>0.007021843407215698</v>
      </c>
      <c r="K181" s="3">
        <v>0.006985200934807465</v>
      </c>
      <c r="L181" s="3">
        <v>0.007035681458343021</v>
      </c>
      <c r="M181" s="3">
        <v>0.006947697601557145</v>
      </c>
      <c r="N181" s="3">
        <v>0.00683012501684436</v>
      </c>
      <c r="O181" s="3">
        <v>0.007053549162062516</v>
      </c>
      <c r="P181" s="3">
        <v>0.006883408947479864</v>
      </c>
      <c r="Q181" s="3">
        <v>0.006776529736927181</v>
      </c>
      <c r="R181" s="3">
        <v>0.006725592737751426</v>
      </c>
      <c r="S181" s="3">
        <v>0.006584660950836729</v>
      </c>
      <c r="T181" s="3">
        <v>0.006509219425367384</v>
      </c>
      <c r="U181" s="3">
        <v>0.006585360296275232</v>
      </c>
      <c r="V181" s="3">
        <v>0.006614742040270692</v>
      </c>
      <c r="W181" s="3">
        <v>0.006562658695663959</v>
      </c>
      <c r="X181" s="3">
        <v>0.006351060065509498</v>
      </c>
      <c r="Y181" s="3">
        <v>0.006418358262396042</v>
      </c>
      <c r="Z181" s="3">
        <v>0.00620347474148327</v>
      </c>
      <c r="AA181" s="3">
        <v>0.006157838889380152</v>
      </c>
      <c r="AB181" s="3">
        <v>0.00589745597881515</v>
      </c>
      <c r="AC181" s="3">
        <v>0.005818799044046109</v>
      </c>
      <c r="AD181" s="3">
        <v>0.00583810541950357</v>
      </c>
      <c r="AE181" s="3">
        <v>0.005590499054592486</v>
      </c>
      <c r="AF181" s="3">
        <v>0.005626788008224443</v>
      </c>
      <c r="AG181" s="3">
        <v>0.005443539625532326</v>
      </c>
      <c r="AH181" s="3">
        <v>0.005400707457030075</v>
      </c>
      <c r="AI181" s="3">
        <v>0.005466408105066062</v>
      </c>
      <c r="AJ181" s="3">
        <v>0.005440873974992345</v>
      </c>
      <c r="AK181" s="3">
        <v>0.005362737968039548</v>
      </c>
      <c r="AL181" s="3">
        <v>0.005010355186941353</v>
      </c>
      <c r="AM181" s="3">
        <v>0.004824152412911645</v>
      </c>
      <c r="AN181" s="3">
        <v>0.004825003125673424</v>
      </c>
      <c r="AO181" s="3">
        <v>0.004997781769727474</v>
      </c>
      <c r="AP181" s="3">
        <v>0.005125189629929851</v>
      </c>
      <c r="AQ181" s="3">
        <v>0.004764259467753626</v>
      </c>
      <c r="AR181" s="3">
        <v>0.004775745919310485</v>
      </c>
      <c r="AS181" s="3">
        <v>0.004514060688439655</v>
      </c>
      <c r="AT181" s="3">
        <v>0.005035763348597665</v>
      </c>
      <c r="AU181" s="3">
        <v>0.004470392313227719</v>
      </c>
      <c r="AV181" s="3">
        <v>0.004314327846082837</v>
      </c>
      <c r="AW181" s="3">
        <v>0.004428541889958913</v>
      </c>
      <c r="AX181" s="3">
        <v>0.004376631231584585</v>
      </c>
      <c r="AY181" s="3">
        <v>0.004328764526996824</v>
      </c>
      <c r="AZ181" s="3">
        <v>0.004287249270836973</v>
      </c>
      <c r="BA181" s="3">
        <v>0.004235365773286656</v>
      </c>
      <c r="BB181" s="3">
        <v>0.004224854512427745</v>
      </c>
      <c r="BC181" s="3">
        <v>0.004220993168310294</v>
      </c>
      <c r="BD181" s="3">
        <v>0.004208716382740387</v>
      </c>
      <c r="BE181" s="3">
        <v>0.004198041317525867</v>
      </c>
      <c r="BF181" s="3">
        <v>0.004185324487174139</v>
      </c>
      <c r="BG181" s="3">
        <v>0.004173220746454083</v>
      </c>
      <c r="BH181" s="3">
        <v>0.004160019363485819</v>
      </c>
      <c r="BI181" s="3">
        <v>0.004147582581705901</v>
      </c>
      <c r="BJ181" s="3">
        <v>0.004133035367271635</v>
      </c>
      <c r="BK181" s="3">
        <v>0.004113428336719654</v>
      </c>
      <c r="BL181" s="3">
        <v>0.004090958674197907</v>
      </c>
      <c r="BM181" s="3">
        <v>0.00407965213269347</v>
      </c>
      <c r="BN181" s="3">
        <v>0.00405853345680556</v>
      </c>
      <c r="BO181" s="3">
        <v>0.004037374014882923</v>
      </c>
      <c r="BP181" s="3">
        <v>0.004015358173938301</v>
      </c>
      <c r="BQ181" s="3">
        <v>0.003996183706544232</v>
      </c>
      <c r="BR181" s="3">
        <v>0.003975212935878097</v>
      </c>
      <c r="BS181" s="3">
        <v>0.003962745784610333</v>
      </c>
      <c r="BT181" s="3">
        <v>0.003941352940532711</v>
      </c>
      <c r="BU181" s="3">
        <v>0.003923097909501874</v>
      </c>
      <c r="BV181" s="3">
        <v>0.003921252025328088</v>
      </c>
      <c r="BW181" s="3">
        <v>0.003916640115638864</v>
      </c>
      <c r="BX181" s="3">
        <v>0.003910799455578445</v>
      </c>
      <c r="BY181" s="3">
        <v>0.003904599702267711</v>
      </c>
      <c r="BZ181" s="3">
        <v>0.003903987689577724</v>
      </c>
      <c r="CA181" s="3">
        <v>0.003900638042004793</v>
      </c>
      <c r="CB181" s="3">
        <v>0.003904825334822368</v>
      </c>
      <c r="CC181" s="3">
        <v>0.003901787448251933</v>
      </c>
      <c r="CD181" s="3">
        <v>0.003893201103100719</v>
      </c>
      <c r="CE181" s="3">
        <v>0.003883114723830224</v>
      </c>
      <c r="CF181" s="3">
        <v>0.003879189602898589</v>
      </c>
      <c r="CG181" s="3">
        <v>0.003862904435302313</v>
      </c>
      <c r="CH181" s="3">
        <v>0.003842595233361806</v>
      </c>
      <c r="CI181" s="3">
        <v>0.003831642825644908</v>
      </c>
      <c r="CJ181" s="3">
        <v>0.003822647187903149</v>
      </c>
      <c r="CK181" s="3">
        <v>0.003803840369806763</v>
      </c>
      <c r="CL181" s="3">
        <v>0.003785486838054182</v>
      </c>
      <c r="CM181" s="3">
        <v>0.003772792392225306</v>
      </c>
      <c r="CN181" s="3">
        <v>0.003754686854220667</v>
      </c>
      <c r="CO181" s="3">
        <v>0.003736767854241339</v>
      </c>
      <c r="CP181" s="3">
        <v>0.003722040558652531</v>
      </c>
      <c r="CQ181" s="3">
        <v>0.003704321398896</v>
      </c>
      <c r="CR181" s="3">
        <v>0.003693190217652539</v>
      </c>
      <c r="CS181" s="3">
        <v>0.003680451547829893</v>
      </c>
      <c r="CT181" s="3"/>
    </row>
    <row r="182" spans="1:98">
      <c r="A182" s="1" t="str">
        <f>'Population Definitions'!$B$30</f>
        <v>50-64M_fns</v>
      </c>
      <c r="C182" t="s">
        <v>52</v>
      </c>
      <c r="D182" s="3"/>
      <c r="E182" s="3"/>
      <c r="F182" s="4" t="s">
        <v>48</v>
      </c>
      <c r="G182" s="3">
        <v>0.03735009419368668</v>
      </c>
      <c r="H182" s="3">
        <v>0.03628898578105835</v>
      </c>
      <c r="I182" s="3">
        <v>0.03599180094410544</v>
      </c>
      <c r="J182" s="3">
        <v>0.0348200764737238</v>
      </c>
      <c r="K182" s="3">
        <v>0.03330427820783616</v>
      </c>
      <c r="L182" s="3">
        <v>0.03408588543901295</v>
      </c>
      <c r="M182" s="3">
        <v>0.03214349865999887</v>
      </c>
      <c r="N182" s="3">
        <v>0.03146603737210024</v>
      </c>
      <c r="O182" s="3">
        <v>0.03059049388450216</v>
      </c>
      <c r="P182" s="3">
        <v>0.0296352736651734</v>
      </c>
      <c r="Q182" s="3">
        <v>0.02825439867844832</v>
      </c>
      <c r="R182" s="3">
        <v>0.02674503336493005</v>
      </c>
      <c r="S182" s="3">
        <v>0.02609562359757811</v>
      </c>
      <c r="T182" s="3">
        <v>0.02461974569669851</v>
      </c>
      <c r="U182" s="3">
        <v>0.02365782247537386</v>
      </c>
      <c r="V182" s="3">
        <v>0.0223875969983253</v>
      </c>
      <c r="W182" s="3">
        <v>0.0217223701404579</v>
      </c>
      <c r="X182" s="3">
        <v>0.02087022362438527</v>
      </c>
      <c r="Y182" s="3">
        <v>0.01944378031286289</v>
      </c>
      <c r="Z182" s="3">
        <v>0.01851928989931653</v>
      </c>
      <c r="AA182" s="3">
        <v>0.01764814541155607</v>
      </c>
      <c r="AB182" s="3">
        <v>0.01762033437175096</v>
      </c>
      <c r="AC182" s="3">
        <v>0.01704267548214283</v>
      </c>
      <c r="AD182" s="3">
        <v>0.01668303984166036</v>
      </c>
      <c r="AE182" s="3">
        <v>0.01630245647089816</v>
      </c>
      <c r="AF182" s="3">
        <v>0.01590058920802094</v>
      </c>
      <c r="AG182" s="3">
        <v>0.01564903855554555</v>
      </c>
      <c r="AH182" s="3">
        <v>0.01590068714337216</v>
      </c>
      <c r="AI182" s="3">
        <v>0.01564786986568862</v>
      </c>
      <c r="AJ182" s="3">
        <v>0.01547953924064027</v>
      </c>
      <c r="AK182" s="3">
        <v>0.01507355162474633</v>
      </c>
      <c r="AL182" s="3">
        <v>0.01522345438955057</v>
      </c>
      <c r="AM182" s="3">
        <v>0.01443699291660304</v>
      </c>
      <c r="AN182" s="3">
        <v>0.01436647042272756</v>
      </c>
      <c r="AO182" s="3">
        <v>0.01554171816230405</v>
      </c>
      <c r="AP182" s="3">
        <v>0.01558106720483019</v>
      </c>
      <c r="AQ182" s="3">
        <v>0.01514501118585083</v>
      </c>
      <c r="AR182" s="3">
        <v>0.01464448504395001</v>
      </c>
      <c r="AS182" s="3">
        <v>0.01476340673631901</v>
      </c>
      <c r="AT182" s="3">
        <v>0.01574813253538354</v>
      </c>
      <c r="AU182" s="3">
        <v>0.01445743391341969</v>
      </c>
      <c r="AV182" s="3">
        <v>0.01461069248824222</v>
      </c>
      <c r="AW182" s="3">
        <v>0.01475397490219568</v>
      </c>
      <c r="AX182" s="3">
        <v>0.01463201986659923</v>
      </c>
      <c r="AY182" s="3">
        <v>0.01451787031477526</v>
      </c>
      <c r="AZ182" s="3">
        <v>0.01440243562067837</v>
      </c>
      <c r="BA182" s="3">
        <v>0.0141896083353268</v>
      </c>
      <c r="BB182" s="3">
        <v>0.01410499636752738</v>
      </c>
      <c r="BC182" s="3">
        <v>0.01400878730500338</v>
      </c>
      <c r="BD182" s="3">
        <v>0.01390864711961617</v>
      </c>
      <c r="BE182" s="3">
        <v>0.01381164147953693</v>
      </c>
      <c r="BF182" s="3">
        <v>0.01370852957835903</v>
      </c>
      <c r="BG182" s="3">
        <v>0.01363968140481364</v>
      </c>
      <c r="BH182" s="3">
        <v>0.01355353923216761</v>
      </c>
      <c r="BI182" s="3">
        <v>0.01346299402940353</v>
      </c>
      <c r="BJ182" s="3">
        <v>0.01337038768945073</v>
      </c>
      <c r="BK182" s="3">
        <v>0.01324152538158407</v>
      </c>
      <c r="BL182" s="3">
        <v>0.01313558000327872</v>
      </c>
      <c r="BM182" s="3">
        <v>0.01305617766407547</v>
      </c>
      <c r="BN182" s="3">
        <v>0.01299386407005965</v>
      </c>
      <c r="BO182" s="3">
        <v>0.01294986209182689</v>
      </c>
      <c r="BP182" s="3">
        <v>0.01292687858473064</v>
      </c>
      <c r="BQ182" s="3">
        <v>0.01291946088396088</v>
      </c>
      <c r="BR182" s="3">
        <v>0.01292494606002527</v>
      </c>
      <c r="BS182" s="3">
        <v>0.01293589481188764</v>
      </c>
      <c r="BT182" s="3">
        <v>0.0129373432251049</v>
      </c>
      <c r="BU182" s="3">
        <v>0.01293057066221047</v>
      </c>
      <c r="BV182" s="3">
        <v>0.01292282140530361</v>
      </c>
      <c r="BW182" s="3">
        <v>0.01290605155001034</v>
      </c>
      <c r="BX182" s="3">
        <v>0.01288342502676083</v>
      </c>
      <c r="BY182" s="3">
        <v>0.01284698062441308</v>
      </c>
      <c r="BZ182" s="3">
        <v>0.01279816952898839</v>
      </c>
      <c r="CA182" s="3">
        <v>0.01276975707841664</v>
      </c>
      <c r="CB182" s="3">
        <v>0.01273778722068847</v>
      </c>
      <c r="CC182" s="3">
        <v>0.01268545601414054</v>
      </c>
      <c r="CD182" s="3">
        <v>0.01261552381141035</v>
      </c>
      <c r="CE182" s="3">
        <v>0.01253533319177788</v>
      </c>
      <c r="CF182" s="3">
        <v>0.01245970411768721</v>
      </c>
      <c r="CG182" s="3">
        <v>0.01238954866681688</v>
      </c>
      <c r="CH182" s="3">
        <v>0.01231947498374229</v>
      </c>
      <c r="CI182" s="3">
        <v>0.01224323068526216</v>
      </c>
      <c r="CJ182" s="3">
        <v>0.01219209765850415</v>
      </c>
      <c r="CK182" s="3">
        <v>0.01215195147563436</v>
      </c>
      <c r="CL182" s="3">
        <v>0.01212766830166826</v>
      </c>
      <c r="CM182" s="3">
        <v>0.01210704027534649</v>
      </c>
      <c r="CN182" s="3">
        <v>0.01207291977139423</v>
      </c>
      <c r="CO182" s="3">
        <v>0.01204992185837102</v>
      </c>
      <c r="CP182" s="3">
        <v>0.01204372500520198</v>
      </c>
      <c r="CQ182" s="3">
        <v>0.01204774934331052</v>
      </c>
      <c r="CR182" s="3">
        <v>0.01204344122822199</v>
      </c>
      <c r="CS182" s="3">
        <v>0.01203018187755546</v>
      </c>
      <c r="CT182" s="3"/>
    </row>
    <row r="183" spans="1:98">
      <c r="A183" s="1" t="str">
        <f>'Population Definitions'!$B$31</f>
        <v>65+M_fns</v>
      </c>
      <c r="C183" t="s">
        <v>52</v>
      </c>
      <c r="D183" s="3"/>
      <c r="E183" s="3"/>
      <c r="F183" s="4" t="s">
        <v>48</v>
      </c>
      <c r="G183" s="3">
        <v>0.09992215229566656</v>
      </c>
      <c r="H183" s="3">
        <v>0.0989132725149256</v>
      </c>
      <c r="I183" s="3">
        <v>0.1015546179149999</v>
      </c>
      <c r="J183" s="3">
        <v>0.09478155377460064</v>
      </c>
      <c r="K183" s="3">
        <v>0.0930953419611264</v>
      </c>
      <c r="L183" s="3">
        <v>0.09755710869479056</v>
      </c>
      <c r="M183" s="3">
        <v>0.09121443457710672</v>
      </c>
      <c r="N183" s="3">
        <v>0.09139230291659936</v>
      </c>
      <c r="O183" s="3">
        <v>0.09099104908983952</v>
      </c>
      <c r="P183" s="3">
        <v>0.09283318829737969</v>
      </c>
      <c r="Q183" s="3">
        <v>0.08653847105209778</v>
      </c>
      <c r="R183" s="3">
        <v>0.08423197514654496</v>
      </c>
      <c r="S183" s="3">
        <v>0.08599118288034417</v>
      </c>
      <c r="T183" s="3">
        <v>0.08301190687193713</v>
      </c>
      <c r="U183" s="3">
        <v>0.08537581411723297</v>
      </c>
      <c r="V183" s="3">
        <v>0.0817079146214616</v>
      </c>
      <c r="W183" s="3">
        <v>0.08281017569883553</v>
      </c>
      <c r="X183" s="3">
        <v>0.0803896000212896</v>
      </c>
      <c r="Y183" s="3">
        <v>0.07802402626294208</v>
      </c>
      <c r="Z183" s="3">
        <v>0.07680657651801057</v>
      </c>
      <c r="AA183" s="3">
        <v>0.07534830821723057</v>
      </c>
      <c r="AB183" s="3">
        <v>0.07346971599776704</v>
      </c>
      <c r="AC183" s="3">
        <v>0.07508049455268417</v>
      </c>
      <c r="AD183" s="3">
        <v>0.07261648489182913</v>
      </c>
      <c r="AE183" s="3">
        <v>0.07156665267869632</v>
      </c>
      <c r="AF183" s="3">
        <v>0.06814987990665568</v>
      </c>
      <c r="AG183" s="3">
        <v>0.06849198406395744</v>
      </c>
      <c r="AH183" s="3">
        <v>0.06846669854851424</v>
      </c>
      <c r="AI183" s="3">
        <v>0.06996621924042769</v>
      </c>
      <c r="AJ183" s="3">
        <v>0.0659365647767456</v>
      </c>
      <c r="AK183" s="3">
        <v>0.0650757270388288</v>
      </c>
      <c r="AL183" s="3">
        <v>0.06486550455691104</v>
      </c>
      <c r="AM183" s="3">
        <v>0.06214460943674513</v>
      </c>
      <c r="AN183" s="3">
        <v>0.0606475262786344</v>
      </c>
      <c r="AO183" s="3">
        <v>0.06030622144674608</v>
      </c>
      <c r="AP183" s="3">
        <v>0.06072189065623521</v>
      </c>
      <c r="AQ183" s="3">
        <v>0.05956991478256209</v>
      </c>
      <c r="AR183" s="3">
        <v>0.0587186941369784</v>
      </c>
      <c r="AS183" s="3">
        <v>0.05643221755629632</v>
      </c>
      <c r="AT183" s="3">
        <v>0.05828606186742512</v>
      </c>
      <c r="AU183" s="3">
        <v>0.05428945518076785</v>
      </c>
      <c r="AV183" s="3">
        <v>0.0564232756016264</v>
      </c>
      <c r="AW183" s="3">
        <v>0.05550219828159617</v>
      </c>
      <c r="AX183" s="3">
        <v>0.05516758675770688</v>
      </c>
      <c r="AY183" s="3">
        <v>0.05489561492971872</v>
      </c>
      <c r="AZ183" s="3">
        <v>0.05467116158621937</v>
      </c>
      <c r="BA183" s="3">
        <v>0.05409115419214769</v>
      </c>
      <c r="BB183" s="3">
        <v>0.05416753670349984</v>
      </c>
      <c r="BC183" s="3">
        <v>0.05431008154749169</v>
      </c>
      <c r="BD183" s="3">
        <v>0.05454928218438496</v>
      </c>
      <c r="BE183" s="3">
        <v>0.05491409170650736</v>
      </c>
      <c r="BF183" s="3">
        <v>0.05535861194277376</v>
      </c>
      <c r="BG183" s="3">
        <v>0.05603986438518832</v>
      </c>
      <c r="BH183" s="3">
        <v>0.05669340094771937</v>
      </c>
      <c r="BI183" s="3">
        <v>0.05730664255115025</v>
      </c>
      <c r="BJ183" s="3">
        <v>0.05788125990751072</v>
      </c>
      <c r="BK183" s="3">
        <v>0.05828793843463568</v>
      </c>
      <c r="BL183" s="3">
        <v>0.05883181259636944</v>
      </c>
      <c r="BM183" s="3">
        <v>0.059423966346368</v>
      </c>
      <c r="BN183" s="3">
        <v>0.0600226707833048</v>
      </c>
      <c r="BO183" s="3">
        <v>0.06063256462373248</v>
      </c>
      <c r="BP183" s="3">
        <v>0.06122817098678129</v>
      </c>
      <c r="BQ183" s="3">
        <v>0.06181377027521408</v>
      </c>
      <c r="BR183" s="3">
        <v>0.06235853636284432</v>
      </c>
      <c r="BS183" s="3">
        <v>0.06281140507176017</v>
      </c>
      <c r="BT183" s="3">
        <v>0.06319129731949968</v>
      </c>
      <c r="BU183" s="3">
        <v>0.06343161770853888</v>
      </c>
      <c r="BV183" s="3">
        <v>0.06357580206402767</v>
      </c>
      <c r="BW183" s="3">
        <v>0.06362412034659584</v>
      </c>
      <c r="BX183" s="3">
        <v>0.06365213030426672</v>
      </c>
      <c r="BY183" s="3">
        <v>0.06364139936732864</v>
      </c>
      <c r="BZ183" s="3">
        <v>0.06359028010056737</v>
      </c>
      <c r="CA183" s="3">
        <v>0.06352603376351008</v>
      </c>
      <c r="CB183" s="3">
        <v>0.06343695191543888</v>
      </c>
      <c r="CC183" s="3">
        <v>0.063296710228292</v>
      </c>
      <c r="CD183" s="3">
        <v>0.06310214408750991</v>
      </c>
      <c r="CE183" s="3">
        <v>0.0628993490315784</v>
      </c>
      <c r="CF183" s="3">
        <v>0.06273551406914481</v>
      </c>
      <c r="CG183" s="3">
        <v>0.0625720109667256</v>
      </c>
      <c r="CH183" s="3">
        <v>0.06240560752670704</v>
      </c>
      <c r="CI183" s="3">
        <v>0.06222275553752256</v>
      </c>
      <c r="CJ183" s="3">
        <v>0.0621214564033416</v>
      </c>
      <c r="CK183" s="3">
        <v>0.062081465283384</v>
      </c>
      <c r="CL183" s="3">
        <v>0.0620851588782928</v>
      </c>
      <c r="CM183" s="3">
        <v>0.06207291380004624</v>
      </c>
      <c r="CN183" s="3">
        <v>0.06201885228082385</v>
      </c>
      <c r="CO183" s="3">
        <v>0.0619925221980856</v>
      </c>
      <c r="CP183" s="3">
        <v>0.06205749367112769</v>
      </c>
      <c r="CQ183" s="3">
        <v>0.06213240867297057</v>
      </c>
      <c r="CR183" s="3">
        <v>0.06218524755211809</v>
      </c>
      <c r="CS183" s="3">
        <v>0.06221931438375921</v>
      </c>
      <c r="CT183" s="3"/>
    </row>
    <row r="184" spans="1:98">
      <c r="A184" s="1" t="str">
        <f>'Population Definitions'!$B$32</f>
        <v>0-4F_fns</v>
      </c>
      <c r="C184" t="s">
        <v>52</v>
      </c>
      <c r="D184" s="3"/>
      <c r="E184" s="3"/>
      <c r="F184" s="4" t="s">
        <v>48</v>
      </c>
      <c r="G184" s="3">
        <v>0.005789390776272742</v>
      </c>
      <c r="H184" s="3">
        <v>0.005535010783608909</v>
      </c>
      <c r="I184" s="3">
        <v>0.005828051472414848</v>
      </c>
      <c r="J184" s="3">
        <v>0.005528051965821568</v>
      </c>
      <c r="K184" s="3">
        <v>0.004814523998953063</v>
      </c>
      <c r="L184" s="3">
        <v>0.005527731416867251</v>
      </c>
      <c r="M184" s="3">
        <v>0.004829328289211392</v>
      </c>
      <c r="N184" s="3">
        <v>0.004465256472361267</v>
      </c>
      <c r="O184" s="3">
        <v>0.004709277622166707</v>
      </c>
      <c r="P184" s="3">
        <v>0.004467632799290727</v>
      </c>
      <c r="Q184" s="3">
        <v>0.004548449147606297</v>
      </c>
      <c r="R184" s="3">
        <v>0.003864378649695437</v>
      </c>
      <c r="S184" s="3">
        <v>0.003879699392358195</v>
      </c>
      <c r="T184" s="3">
        <v>0.003394879949117517</v>
      </c>
      <c r="U184" s="3">
        <v>0.003269429748045901</v>
      </c>
      <c r="V184" s="3">
        <v>0.003216054927419827</v>
      </c>
      <c r="W184" s="3">
        <v>0.003106672583289984</v>
      </c>
      <c r="X184" s="3">
        <v>0.002924755273241088</v>
      </c>
      <c r="Y184" s="3">
        <v>0.002841532851385063</v>
      </c>
      <c r="Z184" s="3">
        <v>0.002978607308500915</v>
      </c>
      <c r="AA184" s="3">
        <v>0.002793070827565209</v>
      </c>
      <c r="AB184" s="3">
        <v>0.002763634488714726</v>
      </c>
      <c r="AC184" s="3">
        <v>0.002740141540779879</v>
      </c>
      <c r="AD184" s="3">
        <v>0.00265718165944512</v>
      </c>
      <c r="AE184" s="3">
        <v>0.002557211067541225</v>
      </c>
      <c r="AF184" s="3">
        <v>0.002850412552936781</v>
      </c>
      <c r="AG184" s="3">
        <v>0.002600296469348429</v>
      </c>
      <c r="AH184" s="3">
        <v>0.002484297815535472</v>
      </c>
      <c r="AI184" s="3">
        <v>0.002362757323052549</v>
      </c>
      <c r="AJ184" s="3">
        <v>0.002332254600232085</v>
      </c>
      <c r="AK184" s="3">
        <v>0.002130650426033997</v>
      </c>
      <c r="AL184" s="3">
        <v>0.002146600769179819</v>
      </c>
      <c r="AM184" s="3">
        <v>0.001946037488934221</v>
      </c>
      <c r="AN184" s="3">
        <v>0.002074831262179128</v>
      </c>
      <c r="AO184" s="3">
        <v>0.001642311685992031</v>
      </c>
      <c r="AP184" s="3">
        <v>0.00158376448819304</v>
      </c>
      <c r="AQ184" s="3">
        <v>0.001456643503675563</v>
      </c>
      <c r="AR184" s="3">
        <v>0.001563581919516294</v>
      </c>
      <c r="AS184" s="3">
        <v>0.001407510672832752</v>
      </c>
      <c r="AT184" s="3">
        <v>0.001478571059297937</v>
      </c>
      <c r="AU184" s="3">
        <v>0.001496307525136329</v>
      </c>
      <c r="AV184" s="3">
        <v>0.001530482797755292</v>
      </c>
      <c r="AW184" s="3">
        <v>0.001537461356766982</v>
      </c>
      <c r="AX184" s="3">
        <v>0.001469726337190905</v>
      </c>
      <c r="AY184" s="3">
        <v>0.001459570756243197</v>
      </c>
      <c r="AZ184" s="3">
        <v>0.001443050118547321</v>
      </c>
      <c r="BA184" s="3">
        <v>0.001407086872446915</v>
      </c>
      <c r="BB184" s="3">
        <v>0.001403053152290596</v>
      </c>
      <c r="BC184" s="3">
        <v>0.001388953368174863</v>
      </c>
      <c r="BD184" s="3">
        <v>0.001385888746237983</v>
      </c>
      <c r="BE184" s="3">
        <v>0.001378547608223007</v>
      </c>
      <c r="BF184" s="3">
        <v>0.001371212325566908</v>
      </c>
      <c r="BG184" s="3">
        <v>0.001363852890839899</v>
      </c>
      <c r="BH184" s="3">
        <v>0.001360869834596448</v>
      </c>
      <c r="BI184" s="3">
        <v>0.001362772818644668</v>
      </c>
      <c r="BJ184" s="3">
        <v>0.001351779304065403</v>
      </c>
      <c r="BK184" s="3">
        <v>0.001349550044512914</v>
      </c>
      <c r="BL184" s="3">
        <v>0.001346964426263399</v>
      </c>
      <c r="BM184" s="3">
        <v>0.001343847924464083</v>
      </c>
      <c r="BN184" s="3">
        <v>0.001344532759864395</v>
      </c>
      <c r="BO184" s="3">
        <v>0.001340039709689969</v>
      </c>
      <c r="BP184" s="3">
        <v>0.001339249561342027</v>
      </c>
      <c r="BQ184" s="3">
        <v>0.001333352376777012</v>
      </c>
      <c r="BR184" s="3">
        <v>0.001326928066025126</v>
      </c>
      <c r="BS184" s="3">
        <v>0.001320260353801072</v>
      </c>
      <c r="BT184" s="3">
        <v>0.001313585433221334</v>
      </c>
      <c r="BU184" s="3">
        <v>0.001306988422896678</v>
      </c>
      <c r="BV184" s="3">
        <v>0.00130061781312469</v>
      </c>
      <c r="BW184" s="3">
        <v>0.001294544895634091</v>
      </c>
      <c r="BX184" s="3">
        <v>0.001288819747188675</v>
      </c>
      <c r="BY184" s="3">
        <v>0.001283452568201549</v>
      </c>
      <c r="BZ184" s="3">
        <v>0.001278429849914444</v>
      </c>
      <c r="CA184" s="3">
        <v>0.001269277616789048</v>
      </c>
      <c r="CB184" s="3">
        <v>0.001264883713552365</v>
      </c>
      <c r="CC184" s="3">
        <v>0.001260774418516507</v>
      </c>
      <c r="CD184" s="3">
        <v>0.001252439824101574</v>
      </c>
      <c r="CE184" s="3">
        <v>0.001248554911412866</v>
      </c>
      <c r="CF184" s="3">
        <v>0.001244714162384473</v>
      </c>
      <c r="CG184" s="3">
        <v>0.001240865476430021</v>
      </c>
      <c r="CH184" s="3">
        <v>0.001237038511800751</v>
      </c>
      <c r="CI184" s="3">
        <v>0.00123327255164841</v>
      </c>
      <c r="CJ184" s="3">
        <v>0.001229519428653259</v>
      </c>
      <c r="CK184" s="3">
        <v>0.001225803716492729</v>
      </c>
      <c r="CL184" s="3">
        <v>0.001222085999893742</v>
      </c>
      <c r="CM184" s="3">
        <v>0.001222734918837298</v>
      </c>
      <c r="CN184" s="3">
        <v>0.001218978204768269</v>
      </c>
      <c r="CO184" s="3">
        <v>0.001215183737585184</v>
      </c>
      <c r="CP184" s="3">
        <v>0.001211339714987453</v>
      </c>
      <c r="CQ184" s="3">
        <v>0.001207404152190003</v>
      </c>
      <c r="CR184" s="3">
        <v>0.001203370918792913</v>
      </c>
      <c r="CS184" s="3">
        <v>0.00119920890662168</v>
      </c>
      <c r="CT184" s="3"/>
    </row>
    <row r="185" spans="1:98">
      <c r="A185" s="1" t="str">
        <f>'Population Definitions'!$B$33</f>
        <v>5-14F_fns</v>
      </c>
      <c r="C185" t="s">
        <v>52</v>
      </c>
      <c r="D185" s="3"/>
      <c r="E185" s="3"/>
      <c r="F185" s="4" t="s">
        <v>48</v>
      </c>
      <c r="G185" s="3">
        <v>0.0005328681309967487</v>
      </c>
      <c r="H185" s="3">
        <v>0.0004573843372750848</v>
      </c>
      <c r="I185" s="3">
        <v>0.0004341955886802624</v>
      </c>
      <c r="J185" s="3">
        <v>0.0004321213366255344</v>
      </c>
      <c r="K185" s="3">
        <v>0.0004276203585172944</v>
      </c>
      <c r="L185" s="3">
        <v>0.0004265337076053</v>
      </c>
      <c r="M185" s="3">
        <v>0.000407264531658144</v>
      </c>
      <c r="N185" s="3">
        <v>0.0003812622575316768</v>
      </c>
      <c r="O185" s="3">
        <v>0.0003953720174456232</v>
      </c>
      <c r="P185" s="3">
        <v>0.0003855131191207392</v>
      </c>
      <c r="Q185" s="3">
        <v>0.000359349715226868</v>
      </c>
      <c r="R185" s="3">
        <v>0.00035123923021704</v>
      </c>
      <c r="S185" s="3">
        <v>0.000346986448684668</v>
      </c>
      <c r="T185" s="3">
        <v>0.0003569350145489808</v>
      </c>
      <c r="U185" s="3">
        <v>0.0003624329274170232</v>
      </c>
      <c r="V185" s="3">
        <v>0.0003931885491787896</v>
      </c>
      <c r="W185" s="3">
        <v>0.0003384446671330511</v>
      </c>
      <c r="X185" s="3">
        <v>0.0003139601831434392</v>
      </c>
      <c r="Y185" s="3">
        <v>0.000276686800201284</v>
      </c>
      <c r="Z185" s="3">
        <v>0.0002989365471590976</v>
      </c>
      <c r="AA185" s="3">
        <v>0.0002803376347126848</v>
      </c>
      <c r="AB185" s="3">
        <v>0.0002401734382233288</v>
      </c>
      <c r="AC185" s="3">
        <v>0.0002687048017273872</v>
      </c>
      <c r="AD185" s="3">
        <v>0.0002427985730259312</v>
      </c>
      <c r="AE185" s="3">
        <v>0.0002133450034873702</v>
      </c>
      <c r="AF185" s="3">
        <v>0.0002167852179200004</v>
      </c>
      <c r="AG185" s="3">
        <v>0.0002038582911851767</v>
      </c>
      <c r="AH185" s="3">
        <v>0.000234510278003754</v>
      </c>
      <c r="AI185" s="3">
        <v>0.0002012349054936223</v>
      </c>
      <c r="AJ185" s="3">
        <v>0.0002218272948266599</v>
      </c>
      <c r="AK185" s="3">
        <v>0.0001992882775253842</v>
      </c>
      <c r="AL185" s="3">
        <v>0.0002183834152887624</v>
      </c>
      <c r="AM185" s="3">
        <v>0.0002140914275686584</v>
      </c>
      <c r="AN185" s="3">
        <v>0.0001969616363941334</v>
      </c>
      <c r="AO185" s="3">
        <v>0.0002161159538669016</v>
      </c>
      <c r="AP185" s="3">
        <v>0.000207577846923893</v>
      </c>
      <c r="AQ185" s="3">
        <v>0.0001417113911837424</v>
      </c>
      <c r="AR185" s="3">
        <v>0.000162560775562682</v>
      </c>
      <c r="AS185" s="3">
        <v>0.0001537208082075838</v>
      </c>
      <c r="AT185" s="3">
        <v>0.000163880376393712</v>
      </c>
      <c r="AU185" s="3">
        <v>0.0001278926774734488</v>
      </c>
      <c r="AV185" s="3">
        <v>0.0001608207579552244</v>
      </c>
      <c r="AW185" s="3">
        <v>0.0002090061152668925</v>
      </c>
      <c r="AX185" s="3">
        <v>0.0002091039603059396</v>
      </c>
      <c r="AY185" s="3">
        <v>0.0002004419106517538</v>
      </c>
      <c r="AZ185" s="3">
        <v>0.0001917916996749554</v>
      </c>
      <c r="BA185" s="3">
        <v>0.0001875819298241256</v>
      </c>
      <c r="BB185" s="3">
        <v>0.0001877191061896165</v>
      </c>
      <c r="BC185" s="3">
        <v>0.0001876752724796481</v>
      </c>
      <c r="BD185" s="3">
        <v>0.0001876429555039957</v>
      </c>
      <c r="BE185" s="3">
        <v>0.0001876320338236155</v>
      </c>
      <c r="BF185" s="3">
        <v>0.0001873707013124752</v>
      </c>
      <c r="BG185" s="3">
        <v>0.0001849884681650271</v>
      </c>
      <c r="BH185" s="3">
        <v>0.0001806416952104785</v>
      </c>
      <c r="BI185" s="3">
        <v>0.0001806790024687545</v>
      </c>
      <c r="BJ185" s="3">
        <v>0.0001808062719268243</v>
      </c>
      <c r="BK185" s="3">
        <v>0.0001808514669941545</v>
      </c>
      <c r="BL185" s="3">
        <v>0.0001806933736960704</v>
      </c>
      <c r="BM185" s="3">
        <v>0.0001806966622073783</v>
      </c>
      <c r="BN185" s="3">
        <v>0.0001806686405662972</v>
      </c>
      <c r="BO185" s="3">
        <v>0.0001784123939727776</v>
      </c>
      <c r="BP185" s="3">
        <v>0.0001783699767785721</v>
      </c>
      <c r="BQ185" s="3">
        <v>0.0001761425507475705</v>
      </c>
      <c r="BR185" s="3">
        <v>0.0001761002397769186</v>
      </c>
      <c r="BS185" s="3">
        <v>0.000176054216761201</v>
      </c>
      <c r="BT185" s="3">
        <v>0.0001760081037314992</v>
      </c>
      <c r="BU185" s="3">
        <v>0.0001759661232772989</v>
      </c>
      <c r="BV185" s="3">
        <v>0.0001759339372758209</v>
      </c>
      <c r="BW185" s="3">
        <v>0.0001759163335888451</v>
      </c>
      <c r="BX185" s="3">
        <v>0.0001737149658897504</v>
      </c>
      <c r="BY185" s="3">
        <v>0.0001737265984275329</v>
      </c>
      <c r="BZ185" s="3">
        <v>0.0001737526007624513</v>
      </c>
      <c r="CA185" s="3">
        <v>0.0001737910324544658</v>
      </c>
      <c r="CB185" s="3">
        <v>0.0001738386313816647</v>
      </c>
      <c r="CC185" s="3">
        <v>0.0001738909460905721</v>
      </c>
      <c r="CD185" s="3">
        <v>0.0001739438140439164</v>
      </c>
      <c r="CE185" s="3">
        <v>0.0001739933914875156</v>
      </c>
      <c r="CF185" s="3">
        <v>0.0001740372404827338</v>
      </c>
      <c r="CG185" s="3">
        <v>0.0001740740473881114</v>
      </c>
      <c r="CH185" s="3">
        <v>0.0001741029273969742</v>
      </c>
      <c r="CI185" s="3">
        <v>0.0001741230395742906</v>
      </c>
      <c r="CJ185" s="3">
        <v>0.0001741350294792044</v>
      </c>
      <c r="CK185" s="3">
        <v>0.0001719721087876244</v>
      </c>
      <c r="CL185" s="3">
        <v>0.0001697627956344545</v>
      </c>
      <c r="CM185" s="3">
        <v>0.0001697553540743298</v>
      </c>
      <c r="CN185" s="3">
        <v>0.000169743966956665</v>
      </c>
      <c r="CO185" s="3">
        <v>0.0001653532035443172</v>
      </c>
      <c r="CP185" s="3">
        <v>0.0001653371625329855</v>
      </c>
      <c r="CQ185" s="3">
        <v>0.000165320430015327</v>
      </c>
      <c r="CR185" s="3">
        <v>0.0001653028268645703</v>
      </c>
      <c r="CS185" s="3">
        <v>0.0001630418204391957</v>
      </c>
      <c r="CT185" s="3"/>
    </row>
    <row r="186" spans="1:98">
      <c r="A186" s="1" t="str">
        <f>'Population Definitions'!$B$34</f>
        <v>15-29F_fns</v>
      </c>
      <c r="C186" t="s">
        <v>52</v>
      </c>
      <c r="D186" s="3"/>
      <c r="E186" s="3"/>
      <c r="F186" s="4" t="s">
        <v>48</v>
      </c>
      <c r="G186" s="3">
        <v>0.001690135006386162</v>
      </c>
      <c r="H186" s="3">
        <v>0.001700245422303999</v>
      </c>
      <c r="I186" s="3">
        <v>0.001679836530581273</v>
      </c>
      <c r="J186" s="3">
        <v>0.001601532459274517</v>
      </c>
      <c r="K186" s="3">
        <v>0.001608330553781528</v>
      </c>
      <c r="L186" s="3">
        <v>0.001765912524105101</v>
      </c>
      <c r="M186" s="3">
        <v>0.001715238543153209</v>
      </c>
      <c r="N186" s="3">
        <v>0.001663183801897831</v>
      </c>
      <c r="O186" s="3">
        <v>0.001692260161468726</v>
      </c>
      <c r="P186" s="3">
        <v>0.001550811372097945</v>
      </c>
      <c r="Q186" s="3">
        <v>0.001536289205763897</v>
      </c>
      <c r="R186" s="3">
        <v>0.001611354682251753</v>
      </c>
      <c r="S186" s="3">
        <v>0.001421231680687761</v>
      </c>
      <c r="T186" s="3">
        <v>0.001328953257722525</v>
      </c>
      <c r="U186" s="3">
        <v>0.001277879491170229</v>
      </c>
      <c r="V186" s="3">
        <v>0.001418916104827734</v>
      </c>
      <c r="W186" s="3">
        <v>0.001257838452537917</v>
      </c>
      <c r="X186" s="3">
        <v>0.001466711993093368</v>
      </c>
      <c r="Y186" s="3">
        <v>0.001431968695715359</v>
      </c>
      <c r="Z186" s="3">
        <v>0.001428456617562164</v>
      </c>
      <c r="AA186" s="3">
        <v>0.001406837938397441</v>
      </c>
      <c r="AB186" s="3">
        <v>0.001151908968368336</v>
      </c>
      <c r="AC186" s="3">
        <v>0.00114855392092834</v>
      </c>
      <c r="AD186" s="3">
        <v>0.001155647550712164</v>
      </c>
      <c r="AE186" s="3">
        <v>0.001157104490613099</v>
      </c>
      <c r="AF186" s="3">
        <v>0.0009964416299883361</v>
      </c>
      <c r="AG186" s="3">
        <v>0.001087807040366956</v>
      </c>
      <c r="AH186" s="3">
        <v>0.00103384707276127</v>
      </c>
      <c r="AI186" s="3">
        <v>0.0009765922897465044</v>
      </c>
      <c r="AJ186" s="3">
        <v>0.0009886557755607256</v>
      </c>
      <c r="AK186" s="3">
        <v>0.0009489953182703754</v>
      </c>
      <c r="AL186" s="3">
        <v>0.0009779977184186004</v>
      </c>
      <c r="AM186" s="3">
        <v>0.0009133036818890579</v>
      </c>
      <c r="AN186" s="3">
        <v>0.0008656149569022213</v>
      </c>
      <c r="AO186" s="3">
        <v>0.0008923988263531033</v>
      </c>
      <c r="AP186" s="3">
        <v>0.000841261524299756</v>
      </c>
      <c r="AQ186" s="3">
        <v>0.0007741809354686305</v>
      </c>
      <c r="AR186" s="3">
        <v>0.0007298864146505985</v>
      </c>
      <c r="AS186" s="3">
        <v>0.0006870335216705025</v>
      </c>
      <c r="AT186" s="3">
        <v>0.0008314287715098785</v>
      </c>
      <c r="AU186" s="3">
        <v>0.0007560837085777088</v>
      </c>
      <c r="AV186" s="3">
        <v>0.0007633813037246016</v>
      </c>
      <c r="AW186" s="3">
        <v>0.0007523269665775073</v>
      </c>
      <c r="AX186" s="3">
        <v>0.0007251567163252481</v>
      </c>
      <c r="AY186" s="3">
        <v>0.0007147466725207008</v>
      </c>
      <c r="AZ186" s="3">
        <v>0.000712806490904944</v>
      </c>
      <c r="BA186" s="3">
        <v>0.0006969428986821185</v>
      </c>
      <c r="BB186" s="3">
        <v>0.0006924626624834272</v>
      </c>
      <c r="BC186" s="3">
        <v>0.000690837380374576</v>
      </c>
      <c r="BD186" s="3">
        <v>0.0006896848672947233</v>
      </c>
      <c r="BE186" s="3">
        <v>0.0006907900475966976</v>
      </c>
      <c r="BF186" s="3">
        <v>0.0006877804975406144</v>
      </c>
      <c r="BG186" s="3">
        <v>0.0006854890188584128</v>
      </c>
      <c r="BH186" s="3">
        <v>0.0006804122400968929</v>
      </c>
      <c r="BI186" s="3">
        <v>0.0006817568058478913</v>
      </c>
      <c r="BJ186" s="3">
        <v>0.0006762712019533568</v>
      </c>
      <c r="BK186" s="3">
        <v>0.0006721747466345792</v>
      </c>
      <c r="BL186" s="3">
        <v>0.0006696584393904769</v>
      </c>
      <c r="BM186" s="3">
        <v>0.0006697478239162112</v>
      </c>
      <c r="BN186" s="3">
        <v>0.0006696736869733152</v>
      </c>
      <c r="BO186" s="3">
        <v>0.0006694585177135169</v>
      </c>
      <c r="BP186" s="3">
        <v>0.0006693283604930337</v>
      </c>
      <c r="BQ186" s="3">
        <v>0.000667029773740384</v>
      </c>
      <c r="BR186" s="3">
        <v>0.0006669081824646721</v>
      </c>
      <c r="BS186" s="3">
        <v>0.0006667479026088096</v>
      </c>
      <c r="BT186" s="3">
        <v>0.0006666055638070656</v>
      </c>
      <c r="BU186" s="3">
        <v>0.0006663254414667969</v>
      </c>
      <c r="BV186" s="3">
        <v>0.0006661186789713889</v>
      </c>
      <c r="BW186" s="3">
        <v>0.0006659613155160064</v>
      </c>
      <c r="BX186" s="3">
        <v>0.0006637391921969856</v>
      </c>
      <c r="BY186" s="3">
        <v>0.0006635670285441024</v>
      </c>
      <c r="BZ186" s="3">
        <v>0.0006588402311378656</v>
      </c>
      <c r="CA186" s="3">
        <v>0.0006561653244571776</v>
      </c>
      <c r="CB186" s="3">
        <v>0.0006558064949152448</v>
      </c>
      <c r="CC186" s="3">
        <v>0.0006508463819442657</v>
      </c>
      <c r="CD186" s="3">
        <v>0.0006504683811775521</v>
      </c>
      <c r="CE186" s="3">
        <v>0.0006456028323650817</v>
      </c>
      <c r="CF186" s="3">
        <v>0.0006389674517677312</v>
      </c>
      <c r="CG186" s="3">
        <v>0.0006387825168064992</v>
      </c>
      <c r="CH186" s="3">
        <v>0.0006386826479583392</v>
      </c>
      <c r="CI186" s="3">
        <v>0.0006386751218738336</v>
      </c>
      <c r="CJ186" s="3">
        <v>0.0006367795904128705</v>
      </c>
      <c r="CK186" s="3">
        <v>0.0006369529626019136</v>
      </c>
      <c r="CL186" s="3">
        <v>0.0006371986158748033</v>
      </c>
      <c r="CM186" s="3">
        <v>0.0006355496463964257</v>
      </c>
      <c r="CN186" s="3">
        <v>0.000635883553968384</v>
      </c>
      <c r="CO186" s="3">
        <v>0.0006362247702445344</v>
      </c>
      <c r="CP186" s="3">
        <v>0.0006346394471190497</v>
      </c>
      <c r="CQ186" s="3">
        <v>0.0006349412365529408</v>
      </c>
      <c r="CR186" s="3">
        <v>0.0006331082036913216</v>
      </c>
      <c r="CS186" s="3">
        <v>0.0006333126703816768</v>
      </c>
      <c r="CT186" s="3"/>
    </row>
    <row r="187" spans="1:98">
      <c r="A187" s="1" t="str">
        <f>'Population Definitions'!$B$35</f>
        <v>30-49F_fns</v>
      </c>
      <c r="C187" t="s">
        <v>52</v>
      </c>
      <c r="D187" s="3"/>
      <c r="E187" s="3"/>
      <c r="F187" s="4" t="s">
        <v>48</v>
      </c>
      <c r="G187" s="3">
        <v>0.005263349884878915</v>
      </c>
      <c r="H187" s="3">
        <v>0.004980952149859275</v>
      </c>
      <c r="I187" s="3">
        <v>0.004834725236013731</v>
      </c>
      <c r="J187" s="3">
        <v>0.004648045383854084</v>
      </c>
      <c r="K187" s="3">
        <v>0.004552392163366735</v>
      </c>
      <c r="L187" s="3">
        <v>0.004603677025071953</v>
      </c>
      <c r="M187" s="3">
        <v>0.004449953833998524</v>
      </c>
      <c r="N187" s="3">
        <v>0.004347744625776705</v>
      </c>
      <c r="O187" s="3">
        <v>0.004456205697882098</v>
      </c>
      <c r="P187" s="3">
        <v>0.004357296846643897</v>
      </c>
      <c r="Q187" s="3">
        <v>0.004062280589611736</v>
      </c>
      <c r="R187" s="3">
        <v>0.004063541298468167</v>
      </c>
      <c r="S187" s="3">
        <v>0.004066226892684104</v>
      </c>
      <c r="T187" s="3">
        <v>0.004040891627489283</v>
      </c>
      <c r="U187" s="3">
        <v>0.004029832192517199</v>
      </c>
      <c r="V187" s="3">
        <v>0.003948261314768527</v>
      </c>
      <c r="W187" s="3">
        <v>0.003924792410128909</v>
      </c>
      <c r="X187" s="3">
        <v>0.004056242622512136</v>
      </c>
      <c r="Y187" s="3">
        <v>0.00397210794462604</v>
      </c>
      <c r="Z187" s="3">
        <v>0.003990380712720189</v>
      </c>
      <c r="AA187" s="3">
        <v>0.003857515996743855</v>
      </c>
      <c r="AB187" s="3">
        <v>0.003726844143478924</v>
      </c>
      <c r="AC187" s="3">
        <v>0.003689504697049826</v>
      </c>
      <c r="AD187" s="3">
        <v>0.003737072750607946</v>
      </c>
      <c r="AE187" s="3">
        <v>0.003558543091304001</v>
      </c>
      <c r="AF187" s="3">
        <v>0.00348878479677943</v>
      </c>
      <c r="AG187" s="3">
        <v>0.003462168808606713</v>
      </c>
      <c r="AH187" s="3">
        <v>0.003533291358932223</v>
      </c>
      <c r="AI187" s="3">
        <v>0.003448231656811692</v>
      </c>
      <c r="AJ187" s="3">
        <v>0.003520281011810713</v>
      </c>
      <c r="AK187" s="3">
        <v>0.003380728766005694</v>
      </c>
      <c r="AL187" s="3">
        <v>0.003429826876839828</v>
      </c>
      <c r="AM187" s="3">
        <v>0.003242488356649452</v>
      </c>
      <c r="AN187" s="3">
        <v>0.003264687381629932</v>
      </c>
      <c r="AO187" s="3">
        <v>0.003246485798470203</v>
      </c>
      <c r="AP187" s="3">
        <v>0.003285698028177563</v>
      </c>
      <c r="AQ187" s="3">
        <v>0.003113852414333942</v>
      </c>
      <c r="AR187" s="3">
        <v>0.002941544906025466</v>
      </c>
      <c r="AS187" s="3">
        <v>0.002848514617908309</v>
      </c>
      <c r="AT187" s="3">
        <v>0.00301076998389503</v>
      </c>
      <c r="AU187" s="3">
        <v>0.002785774380626124</v>
      </c>
      <c r="AV187" s="3">
        <v>0.002806325744308232</v>
      </c>
      <c r="AW187" s="3">
        <v>0.002809330900910572</v>
      </c>
      <c r="AX187" s="3">
        <v>0.00276909805317343</v>
      </c>
      <c r="AY187" s="3">
        <v>0.002745112903681826</v>
      </c>
      <c r="AZ187" s="3">
        <v>0.002726408651446269</v>
      </c>
      <c r="BA187" s="3">
        <v>0.00269604200956184</v>
      </c>
      <c r="BB187" s="3">
        <v>0.002700917778308817</v>
      </c>
      <c r="BC187" s="3">
        <v>0.002701920518024547</v>
      </c>
      <c r="BD187" s="3">
        <v>0.002708944695964342</v>
      </c>
      <c r="BE187" s="3">
        <v>0.002712727765072923</v>
      </c>
      <c r="BF187" s="3">
        <v>0.002710626568880268</v>
      </c>
      <c r="BG187" s="3">
        <v>0.002713476711039028</v>
      </c>
      <c r="BH187" s="3">
        <v>0.002713430026712478</v>
      </c>
      <c r="BI187" s="3">
        <v>0.002710815703016619</v>
      </c>
      <c r="BJ187" s="3">
        <v>0.002701150590492953</v>
      </c>
      <c r="BK187" s="3">
        <v>0.002696059828828504</v>
      </c>
      <c r="BL187" s="3">
        <v>0.002687139813460263</v>
      </c>
      <c r="BM187" s="3">
        <v>0.002677958469863222</v>
      </c>
      <c r="BN187" s="3">
        <v>0.002664145424883648</v>
      </c>
      <c r="BO187" s="3">
        <v>0.002645648891634244</v>
      </c>
      <c r="BP187" s="3">
        <v>0.002633234338242412</v>
      </c>
      <c r="BQ187" s="3">
        <v>0.002621958331874956</v>
      </c>
      <c r="BR187" s="3">
        <v>0.002612949374186338</v>
      </c>
      <c r="BS187" s="3">
        <v>0.00260298810378972</v>
      </c>
      <c r="BT187" s="3">
        <v>0.002587636917016945</v>
      </c>
      <c r="BU187" s="3">
        <v>0.00257881599855956</v>
      </c>
      <c r="BV187" s="3">
        <v>0.00257249165365347</v>
      </c>
      <c r="BW187" s="3">
        <v>0.002574303152492016</v>
      </c>
      <c r="BX187" s="3">
        <v>0.002575607414288277</v>
      </c>
      <c r="BY187" s="3">
        <v>0.002574296281275363</v>
      </c>
      <c r="BZ187" s="3">
        <v>0.002579475272931325</v>
      </c>
      <c r="CA187" s="3">
        <v>0.002584869502857716</v>
      </c>
      <c r="CB187" s="3">
        <v>0.00258815903394143</v>
      </c>
      <c r="CC187" s="3">
        <v>0.002589415626875371</v>
      </c>
      <c r="CD187" s="3">
        <v>0.002590997621516441</v>
      </c>
      <c r="CE187" s="3">
        <v>0.002592091338416472</v>
      </c>
      <c r="CF187" s="3">
        <v>0.002591956842621482</v>
      </c>
      <c r="CG187" s="3">
        <v>0.002584866123958459</v>
      </c>
      <c r="CH187" s="3">
        <v>0.002583386866436616</v>
      </c>
      <c r="CI187" s="3">
        <v>0.00257063475754747</v>
      </c>
      <c r="CJ187" s="3">
        <v>0.002570170858826582</v>
      </c>
      <c r="CK187" s="3">
        <v>0.002562821671167637</v>
      </c>
      <c r="CL187" s="3">
        <v>0.002553150038987424</v>
      </c>
      <c r="CM187" s="3">
        <v>0.002549082331318689</v>
      </c>
      <c r="CN187" s="3">
        <v>0.002545226895882247</v>
      </c>
      <c r="CO187" s="3">
        <v>0.002527829492640443</v>
      </c>
      <c r="CP187" s="3">
        <v>0.002517544191665983</v>
      </c>
      <c r="CQ187" s="3">
        <v>0.002515833514080668</v>
      </c>
      <c r="CR187" s="3">
        <v>0.002512345408282015</v>
      </c>
      <c r="CS187" s="3">
        <v>0.002503732001731508</v>
      </c>
      <c r="CT187" s="3"/>
    </row>
    <row r="188" spans="1:98">
      <c r="A188" s="1" t="str">
        <f>'Population Definitions'!$B$36</f>
        <v>50-64F_fns</v>
      </c>
      <c r="C188" t="s">
        <v>52</v>
      </c>
      <c r="D188" s="3"/>
      <c r="E188" s="3"/>
      <c r="F188" s="4" t="s">
        <v>48</v>
      </c>
      <c r="G188" s="3">
        <v>0.02093518750561501</v>
      </c>
      <c r="H188" s="3">
        <v>0.02043757447619191</v>
      </c>
      <c r="I188" s="3">
        <v>0.02150722023335616</v>
      </c>
      <c r="J188" s="3">
        <v>0.02083397465615114</v>
      </c>
      <c r="K188" s="3">
        <v>0.0197392967948712</v>
      </c>
      <c r="L188" s="3">
        <v>0.02039425535526237</v>
      </c>
      <c r="M188" s="3">
        <v>0.01935053915374167</v>
      </c>
      <c r="N188" s="3">
        <v>0.01874900891545674</v>
      </c>
      <c r="O188" s="3">
        <v>0.01869635347658275</v>
      </c>
      <c r="P188" s="3">
        <v>0.01831597919287632</v>
      </c>
      <c r="Q188" s="3">
        <v>0.01731787347325037</v>
      </c>
      <c r="R188" s="3">
        <v>0.01668784465312035</v>
      </c>
      <c r="S188" s="3">
        <v>0.01653518350776861</v>
      </c>
      <c r="T188" s="3">
        <v>0.01565666389327559</v>
      </c>
      <c r="U188" s="3">
        <v>0.01520386404701549</v>
      </c>
      <c r="V188" s="3">
        <v>0.01465228770350173</v>
      </c>
      <c r="W188" s="3">
        <v>0.0145825766120553</v>
      </c>
      <c r="X188" s="3">
        <v>0.01400012773839178</v>
      </c>
      <c r="Y188" s="3">
        <v>0.013169444705824</v>
      </c>
      <c r="Z188" s="3">
        <v>0.01232580427821958</v>
      </c>
      <c r="AA188" s="3">
        <v>0.01218733827841987</v>
      </c>
      <c r="AB188" s="3">
        <v>0.01192865792868778</v>
      </c>
      <c r="AC188" s="3">
        <v>0.01225559970803251</v>
      </c>
      <c r="AD188" s="3">
        <v>0.01148045629264355</v>
      </c>
      <c r="AE188" s="3">
        <v>0.01106930670829635</v>
      </c>
      <c r="AF188" s="3">
        <v>0.01086216856715226</v>
      </c>
      <c r="AG188" s="3">
        <v>0.01068034249754416</v>
      </c>
      <c r="AH188" s="3">
        <v>0.01101725671434499</v>
      </c>
      <c r="AI188" s="3">
        <v>0.01083598454078</v>
      </c>
      <c r="AJ188" s="3">
        <v>0.01073124479624925</v>
      </c>
      <c r="AK188" s="3">
        <v>0.01045640964168442</v>
      </c>
      <c r="AL188" s="3">
        <v>0.01029776395606419</v>
      </c>
      <c r="AM188" s="3">
        <v>0.01012961662268394</v>
      </c>
      <c r="AN188" s="3">
        <v>0.01014203598307958</v>
      </c>
      <c r="AO188" s="3">
        <v>0.01023754168111427</v>
      </c>
      <c r="AP188" s="3">
        <v>0.0102108961560928</v>
      </c>
      <c r="AQ188" s="3">
        <v>0.009654947237627944</v>
      </c>
      <c r="AR188" s="3">
        <v>0.009502766885165865</v>
      </c>
      <c r="AS188" s="3">
        <v>0.009667498131750671</v>
      </c>
      <c r="AT188" s="3">
        <v>0.009804011440305068</v>
      </c>
      <c r="AU188" s="3">
        <v>0.009157127591036542</v>
      </c>
      <c r="AV188" s="3">
        <v>0.009323420874644672</v>
      </c>
      <c r="AW188" s="3">
        <v>0.009369413221076808</v>
      </c>
      <c r="AX188" s="3">
        <v>0.009301792619455768</v>
      </c>
      <c r="AY188" s="3">
        <v>0.00923696826142302</v>
      </c>
      <c r="AZ188" s="3">
        <v>0.009165972492209188</v>
      </c>
      <c r="BA188" s="3">
        <v>0.009050569250216611</v>
      </c>
      <c r="BB188" s="3">
        <v>0.009003962754692917</v>
      </c>
      <c r="BC188" s="3">
        <v>0.008964348985366953</v>
      </c>
      <c r="BD188" s="3">
        <v>0.008912718168511241</v>
      </c>
      <c r="BE188" s="3">
        <v>0.008870508481271196</v>
      </c>
      <c r="BF188" s="3">
        <v>0.008827053796551097</v>
      </c>
      <c r="BG188" s="3">
        <v>0.008802627442498887</v>
      </c>
      <c r="BH188" s="3">
        <v>0.008768920226664432</v>
      </c>
      <c r="BI188" s="3">
        <v>0.008717117646992935</v>
      </c>
      <c r="BJ188" s="3">
        <v>0.008662659032038941</v>
      </c>
      <c r="BK188" s="3">
        <v>0.008588302850361931</v>
      </c>
      <c r="BL188" s="3">
        <v>0.008525387521784692</v>
      </c>
      <c r="BM188" s="3">
        <v>0.008484789697637704</v>
      </c>
      <c r="BN188" s="3">
        <v>0.008448549781592415</v>
      </c>
      <c r="BO188" s="3">
        <v>0.008428899655462931</v>
      </c>
      <c r="BP188" s="3">
        <v>0.008422269988164508</v>
      </c>
      <c r="BQ188" s="3">
        <v>0.008425522766202464</v>
      </c>
      <c r="BR188" s="3">
        <v>0.008438798571852174</v>
      </c>
      <c r="BS188" s="3">
        <v>0.008448651941004224</v>
      </c>
      <c r="BT188" s="3">
        <v>0.008469824190547698</v>
      </c>
      <c r="BU188" s="3">
        <v>0.00847437140758419</v>
      </c>
      <c r="BV188" s="3">
        <v>0.00849707006705348</v>
      </c>
      <c r="BW188" s="3">
        <v>0.008497692101420512</v>
      </c>
      <c r="BX188" s="3">
        <v>0.008507424099706555</v>
      </c>
      <c r="BY188" s="3">
        <v>0.008505485462797707</v>
      </c>
      <c r="BZ188" s="3">
        <v>0.008498548971104006</v>
      </c>
      <c r="CA188" s="3">
        <v>0.008499160514500949</v>
      </c>
      <c r="CB188" s="3">
        <v>0.008498097393943487</v>
      </c>
      <c r="CC188" s="3">
        <v>0.008476180751731165</v>
      </c>
      <c r="CD188" s="3">
        <v>0.008445610559853165</v>
      </c>
      <c r="CE188" s="3">
        <v>0.008399489852728188</v>
      </c>
      <c r="CF188" s="3">
        <v>0.008357984902466011</v>
      </c>
      <c r="CG188" s="3">
        <v>0.008313313233611157</v>
      </c>
      <c r="CH188" s="3">
        <v>0.008271566393171594</v>
      </c>
      <c r="CI188" s="3">
        <v>0.00823044808242664</v>
      </c>
      <c r="CJ188" s="3">
        <v>0.008196986910208408</v>
      </c>
      <c r="CK188" s="3">
        <v>0.008169867853605444</v>
      </c>
      <c r="CL188" s="3">
        <v>0.008158862929609663</v>
      </c>
      <c r="CM188" s="3">
        <v>0.008150398728567425</v>
      </c>
      <c r="CN188" s="3">
        <v>0.008143443888138117</v>
      </c>
      <c r="CO188" s="3">
        <v>0.008135303569330685</v>
      </c>
      <c r="CP188" s="3">
        <v>0.008138105789411024</v>
      </c>
      <c r="CQ188" s="3">
        <v>0.008157174209883848</v>
      </c>
      <c r="CR188" s="3">
        <v>0.008158377638888882</v>
      </c>
      <c r="CS188" s="3">
        <v>0.008165512046397892</v>
      </c>
      <c r="CT188" s="3"/>
    </row>
    <row r="189" spans="1:98">
      <c r="A189" s="1" t="str">
        <f>'Population Definitions'!$B$37</f>
        <v>65+F_fns</v>
      </c>
      <c r="C189" t="s">
        <v>52</v>
      </c>
      <c r="D189" s="3"/>
      <c r="E189" s="3"/>
      <c r="F189" s="4" t="s">
        <v>48</v>
      </c>
      <c r="G189" s="3">
        <v>0.08468832999806961</v>
      </c>
      <c r="H189" s="3">
        <v>0.08301399867583296</v>
      </c>
      <c r="I189" s="3">
        <v>0.08644248492656403</v>
      </c>
      <c r="J189" s="3">
        <v>0.08093040322634942</v>
      </c>
      <c r="K189" s="3">
        <v>0.08047393043299328</v>
      </c>
      <c r="L189" s="3">
        <v>0.08655275220572269</v>
      </c>
      <c r="M189" s="3">
        <v>0.08097787599249688</v>
      </c>
      <c r="N189" s="3">
        <v>0.0808038357639132</v>
      </c>
      <c r="O189" s="3">
        <v>0.0800743913173293</v>
      </c>
      <c r="P189" s="3">
        <v>0.0827234382823676</v>
      </c>
      <c r="Q189" s="3">
        <v>0.07820505611504161</v>
      </c>
      <c r="R189" s="3">
        <v>0.07593501026961208</v>
      </c>
      <c r="S189" s="3">
        <v>0.07834589577658173</v>
      </c>
      <c r="T189" s="3">
        <v>0.0755289637033502</v>
      </c>
      <c r="U189" s="3">
        <v>0.07844491189177621</v>
      </c>
      <c r="V189" s="3">
        <v>0.07648903596842285</v>
      </c>
      <c r="W189" s="3">
        <v>0.0774445300007837</v>
      </c>
      <c r="X189" s="3">
        <v>0.07739844366932146</v>
      </c>
      <c r="Y189" s="3">
        <v>0.07429400060596776</v>
      </c>
      <c r="Z189" s="3">
        <v>0.07427011995344741</v>
      </c>
      <c r="AA189" s="3">
        <v>0.07389338798755772</v>
      </c>
      <c r="AB189" s="3">
        <v>0.07296197534669412</v>
      </c>
      <c r="AC189" s="3">
        <v>0.07562531678803365</v>
      </c>
      <c r="AD189" s="3">
        <v>0.07352108489316291</v>
      </c>
      <c r="AE189" s="3">
        <v>0.07282619219415737</v>
      </c>
      <c r="AF189" s="3">
        <v>0.07069014372090897</v>
      </c>
      <c r="AG189" s="3">
        <v>0.07166317057793736</v>
      </c>
      <c r="AH189" s="3">
        <v>0.0721203491545374</v>
      </c>
      <c r="AI189" s="3">
        <v>0.07444016659038775</v>
      </c>
      <c r="AJ189" s="3">
        <v>0.06984557857336758</v>
      </c>
      <c r="AK189" s="3">
        <v>0.06984502317058573</v>
      </c>
      <c r="AL189" s="3">
        <v>0.0694726816195322</v>
      </c>
      <c r="AM189" s="3">
        <v>0.06799539335690621</v>
      </c>
      <c r="AN189" s="3">
        <v>0.06518836195410964</v>
      </c>
      <c r="AO189" s="3">
        <v>0.0699235531882888</v>
      </c>
      <c r="AP189" s="3">
        <v>0.0704105445549512</v>
      </c>
      <c r="AQ189" s="3">
        <v>0.0672764586064746</v>
      </c>
      <c r="AR189" s="3">
        <v>0.066796324927371</v>
      </c>
      <c r="AS189" s="3">
        <v>0.0629140299354678</v>
      </c>
      <c r="AT189" s="3">
        <v>0.0649007307658432</v>
      </c>
      <c r="AU189" s="3">
        <v>0.0592398097841332</v>
      </c>
      <c r="AV189" s="3">
        <v>0.0619717843466258</v>
      </c>
      <c r="AW189" s="3">
        <v>0.0599782124891102</v>
      </c>
      <c r="AX189" s="3">
        <v>0.0592729162622784</v>
      </c>
      <c r="AY189" s="3">
        <v>0.0586535022995026</v>
      </c>
      <c r="AZ189" s="3">
        <v>0.0581244416282842</v>
      </c>
      <c r="BA189" s="3">
        <v>0.0573694843022994</v>
      </c>
      <c r="BB189" s="3">
        <v>0.0572857064417744</v>
      </c>
      <c r="BC189" s="3">
        <v>0.0573099688227874</v>
      </c>
      <c r="BD189" s="3">
        <v>0.0575059849221774</v>
      </c>
      <c r="BE189" s="3">
        <v>0.0579068272957996</v>
      </c>
      <c r="BF189" s="3">
        <v>0.0584254186275776</v>
      </c>
      <c r="BG189" s="3">
        <v>0.0591776549725102</v>
      </c>
      <c r="BH189" s="3">
        <v>0.059946829849216</v>
      </c>
      <c r="BI189" s="3">
        <v>0.0606842712888406</v>
      </c>
      <c r="BJ189" s="3">
        <v>0.061481921229711</v>
      </c>
      <c r="BK189" s="3">
        <v>0.0621122315380368</v>
      </c>
      <c r="BL189" s="3">
        <v>0.0628706645498342</v>
      </c>
      <c r="BM189" s="3">
        <v>0.0637384016654054</v>
      </c>
      <c r="BN189" s="3">
        <v>0.06465743990439141</v>
      </c>
      <c r="BO189" s="3">
        <v>0.0656268950414314</v>
      </c>
      <c r="BP189" s="3">
        <v>0.06658570436696459</v>
      </c>
      <c r="BQ189" s="3">
        <v>0.06751279032215859</v>
      </c>
      <c r="BR189" s="3">
        <v>0.0683536846087052</v>
      </c>
      <c r="BS189" s="3">
        <v>0.06907634062274021</v>
      </c>
      <c r="BT189" s="3">
        <v>0.069720246146113</v>
      </c>
      <c r="BU189" s="3">
        <v>0.0702075405787322</v>
      </c>
      <c r="BV189" s="3">
        <v>0.0705942883874234</v>
      </c>
      <c r="BW189" s="3">
        <v>0.0708704249651642</v>
      </c>
      <c r="BX189" s="3">
        <v>0.0711031333474666</v>
      </c>
      <c r="BY189" s="3">
        <v>0.0712670078909614</v>
      </c>
      <c r="BZ189" s="3">
        <v>0.0713932715896478</v>
      </c>
      <c r="CA189" s="3">
        <v>0.0714777596697508</v>
      </c>
      <c r="CB189" s="3">
        <v>0.0715038770933214</v>
      </c>
      <c r="CC189" s="3">
        <v>0.071483049106637</v>
      </c>
      <c r="CD189" s="3">
        <v>0.071379304222564</v>
      </c>
      <c r="CE189" s="3">
        <v>0.07124336574461761</v>
      </c>
      <c r="CF189" s="3">
        <v>0.0711194401071302</v>
      </c>
      <c r="CG189" s="3">
        <v>0.0709856990150126</v>
      </c>
      <c r="CH189" s="3">
        <v>0.07087037265860401</v>
      </c>
      <c r="CI189" s="3">
        <v>0.0707536429080086</v>
      </c>
      <c r="CJ189" s="3">
        <v>0.0707124699459044</v>
      </c>
      <c r="CK189" s="3">
        <v>0.070742904614073</v>
      </c>
      <c r="CL189" s="3">
        <v>0.07082948994839219</v>
      </c>
      <c r="CM189" s="3">
        <v>0.07094583092455339</v>
      </c>
      <c r="CN189" s="3">
        <v>0.0710297738689912</v>
      </c>
      <c r="CO189" s="3">
        <v>0.07114749299018661</v>
      </c>
      <c r="CP189" s="3">
        <v>0.07132514727832739</v>
      </c>
      <c r="CQ189" s="3">
        <v>0.0715029647763952</v>
      </c>
      <c r="CR189" s="3">
        <v>0.0716775072617092</v>
      </c>
      <c r="CS189" s="3">
        <v>0.0718535398387688</v>
      </c>
      <c r="CT189" s="3"/>
    </row>
  </sheetData>
  <conditionalFormatting sqref="E100">
    <cfRule type="expression" dxfId="0" priority="117">
      <formula>COUNTIF(G100:CT100,"&lt;&gt;" &amp; "")&gt;0</formula>
    </cfRule>
    <cfRule type="expression" dxfId="1" priority="118">
      <formula>AND(COUNTIF(G100:CT100,"&lt;&gt;" &amp; "")&gt;0,NOT(ISBLANK(E100)))</formula>
    </cfRule>
  </conditionalFormatting>
  <conditionalFormatting sqref="E101">
    <cfRule type="expression" dxfId="0" priority="119">
      <formula>COUNTIF(G101:CT101,"&lt;&gt;" &amp; "")&gt;0</formula>
    </cfRule>
    <cfRule type="expression" dxfId="1" priority="120">
      <formula>AND(COUNTIF(G101:CT101,"&lt;&gt;" &amp; "")&gt;0,NOT(ISBLANK(E101)))</formula>
    </cfRule>
  </conditionalFormatting>
  <conditionalFormatting sqref="E102">
    <cfRule type="expression" dxfId="0" priority="121">
      <formula>COUNTIF(G102:CT102,"&lt;&gt;" &amp; "")&gt;0</formula>
    </cfRule>
    <cfRule type="expression" dxfId="1" priority="122">
      <formula>AND(COUNTIF(G102:CT102,"&lt;&gt;" &amp; "")&gt;0,NOT(ISBLANK(E102)))</formula>
    </cfRule>
  </conditionalFormatting>
  <conditionalFormatting sqref="E103">
    <cfRule type="expression" dxfId="0" priority="123">
      <formula>COUNTIF(G103:CT103,"&lt;&gt;" &amp; "")&gt;0</formula>
    </cfRule>
    <cfRule type="expression" dxfId="1" priority="124">
      <formula>AND(COUNTIF(G103:CT103,"&lt;&gt;" &amp; "")&gt;0,NOT(ISBLANK(E103)))</formula>
    </cfRule>
  </conditionalFormatting>
  <conditionalFormatting sqref="E104">
    <cfRule type="expression" dxfId="0" priority="125">
      <formula>COUNTIF(G104:CT104,"&lt;&gt;" &amp; "")&gt;0</formula>
    </cfRule>
    <cfRule type="expression" dxfId="1" priority="126">
      <formula>AND(COUNTIF(G104:CT104,"&lt;&gt;" &amp; "")&gt;0,NOT(ISBLANK(E104)))</formula>
    </cfRule>
  </conditionalFormatting>
  <conditionalFormatting sqref="E105">
    <cfRule type="expression" dxfId="0" priority="127">
      <formula>COUNTIF(G105:CT105,"&lt;&gt;" &amp; "")&gt;0</formula>
    </cfRule>
    <cfRule type="expression" dxfId="1" priority="128">
      <formula>AND(COUNTIF(G105:CT105,"&lt;&gt;" &amp; "")&gt;0,NOT(ISBLANK(E105)))</formula>
    </cfRule>
  </conditionalFormatting>
  <conditionalFormatting sqref="E106">
    <cfRule type="expression" dxfId="0" priority="129">
      <formula>COUNTIF(G106:CT106,"&lt;&gt;" &amp; "")&gt;0</formula>
    </cfRule>
    <cfRule type="expression" dxfId="1" priority="130">
      <formula>AND(COUNTIF(G106:CT106,"&lt;&gt;" &amp; "")&gt;0,NOT(ISBLANK(E106)))</formula>
    </cfRule>
  </conditionalFormatting>
  <conditionalFormatting sqref="E107">
    <cfRule type="expression" dxfId="0" priority="131">
      <formula>COUNTIF(G107:CT107,"&lt;&gt;" &amp; "")&gt;0</formula>
    </cfRule>
    <cfRule type="expression" dxfId="1" priority="132">
      <formula>AND(COUNTIF(G107:CT107,"&lt;&gt;" &amp; "")&gt;0,NOT(ISBLANK(E107)))</formula>
    </cfRule>
  </conditionalFormatting>
  <conditionalFormatting sqref="E108">
    <cfRule type="expression" dxfId="0" priority="133">
      <formula>COUNTIF(G108:CT108,"&lt;&gt;" &amp; "")&gt;0</formula>
    </cfRule>
    <cfRule type="expression" dxfId="1" priority="134">
      <formula>AND(COUNTIF(G108:CT108,"&lt;&gt;" &amp; "")&gt;0,NOT(ISBLANK(E108)))</formula>
    </cfRule>
  </conditionalFormatting>
  <conditionalFormatting sqref="E109">
    <cfRule type="expression" dxfId="0" priority="135">
      <formula>COUNTIF(G109:CT109,"&lt;&gt;" &amp; "")&gt;0</formula>
    </cfRule>
    <cfRule type="expression" dxfId="1" priority="136">
      <formula>AND(COUNTIF(G109:CT109,"&lt;&gt;" &amp; "")&gt;0,NOT(ISBLANK(E109)))</formula>
    </cfRule>
  </conditionalFormatting>
  <conditionalFormatting sqref="E110">
    <cfRule type="expression" dxfId="0" priority="137">
      <formula>COUNTIF(G110:CT110,"&lt;&gt;" &amp; "")&gt;0</formula>
    </cfRule>
    <cfRule type="expression" dxfId="1" priority="138">
      <formula>AND(COUNTIF(G110:CT110,"&lt;&gt;" &amp; "")&gt;0,NOT(ISBLANK(E110)))</formula>
    </cfRule>
  </conditionalFormatting>
  <conditionalFormatting sqref="E111">
    <cfRule type="expression" dxfId="0" priority="139">
      <formula>COUNTIF(G111:CT111,"&lt;&gt;" &amp; "")&gt;0</formula>
    </cfRule>
    <cfRule type="expression" dxfId="1" priority="140">
      <formula>AND(COUNTIF(G111:CT111,"&lt;&gt;" &amp; "")&gt;0,NOT(ISBLANK(E111)))</formula>
    </cfRule>
  </conditionalFormatting>
  <conditionalFormatting sqref="E112">
    <cfRule type="expression" dxfId="0" priority="141">
      <formula>COUNTIF(G112:CT112,"&lt;&gt;" &amp; "")&gt;0</formula>
    </cfRule>
    <cfRule type="expression" dxfId="1" priority="142">
      <formula>AND(COUNTIF(G112:CT112,"&lt;&gt;" &amp; "")&gt;0,NOT(ISBLANK(E112)))</formula>
    </cfRule>
  </conditionalFormatting>
  <conditionalFormatting sqref="E113">
    <cfRule type="expression" dxfId="0" priority="143">
      <formula>COUNTIF(G113:CT113,"&lt;&gt;" &amp; "")&gt;0</formula>
    </cfRule>
    <cfRule type="expression" dxfId="1" priority="144">
      <formula>AND(COUNTIF(G113:CT113,"&lt;&gt;" &amp; "")&gt;0,NOT(ISBLANK(E113)))</formula>
    </cfRule>
  </conditionalFormatting>
  <conditionalFormatting sqref="E116">
    <cfRule type="expression" dxfId="0" priority="145">
      <formula>COUNTIF(G116:CT116,"&lt;&gt;" &amp; "")&gt;0</formula>
    </cfRule>
    <cfRule type="expression" dxfId="1" priority="146">
      <formula>AND(COUNTIF(G116:CT116,"&lt;&gt;" &amp; "")&gt;0,NOT(ISBLANK(E116)))</formula>
    </cfRule>
  </conditionalFormatting>
  <conditionalFormatting sqref="E117">
    <cfRule type="expression" dxfId="0" priority="147">
      <formula>COUNTIF(G117:CT117,"&lt;&gt;" &amp; "")&gt;0</formula>
    </cfRule>
    <cfRule type="expression" dxfId="1" priority="148">
      <formula>AND(COUNTIF(G117:CT117,"&lt;&gt;" &amp; "")&gt;0,NOT(ISBLANK(E117)))</formula>
    </cfRule>
  </conditionalFormatting>
  <conditionalFormatting sqref="E118">
    <cfRule type="expression" dxfId="0" priority="149">
      <formula>COUNTIF(G118:CT118,"&lt;&gt;" &amp; "")&gt;0</formula>
    </cfRule>
    <cfRule type="expression" dxfId="1" priority="150">
      <formula>AND(COUNTIF(G118:CT118,"&lt;&gt;" &amp; "")&gt;0,NOT(ISBLANK(E118)))</formula>
    </cfRule>
  </conditionalFormatting>
  <conditionalFormatting sqref="E119">
    <cfRule type="expression" dxfId="0" priority="151">
      <formula>COUNTIF(G119:CT119,"&lt;&gt;" &amp; "")&gt;0</formula>
    </cfRule>
    <cfRule type="expression" dxfId="1" priority="152">
      <formula>AND(COUNTIF(G119:CT119,"&lt;&gt;" &amp; "")&gt;0,NOT(ISBLANK(E119)))</formula>
    </cfRule>
  </conditionalFormatting>
  <conditionalFormatting sqref="E120">
    <cfRule type="expression" dxfId="0" priority="153">
      <formula>COUNTIF(G120:CT120,"&lt;&gt;" &amp; "")&gt;0</formula>
    </cfRule>
    <cfRule type="expression" dxfId="1" priority="154">
      <formula>AND(COUNTIF(G120:CT120,"&lt;&gt;" &amp; "")&gt;0,NOT(ISBLANK(E120)))</formula>
    </cfRule>
  </conditionalFormatting>
  <conditionalFormatting sqref="E121">
    <cfRule type="expression" dxfId="0" priority="155">
      <formula>COUNTIF(G121:CT121,"&lt;&gt;" &amp; "")&gt;0</formula>
    </cfRule>
    <cfRule type="expression" dxfId="1" priority="156">
      <formula>AND(COUNTIF(G121:CT121,"&lt;&gt;" &amp; "")&gt;0,NOT(ISBLANK(E121)))</formula>
    </cfRule>
  </conditionalFormatting>
  <conditionalFormatting sqref="E122">
    <cfRule type="expression" dxfId="0" priority="157">
      <formula>COUNTIF(G122:CT122,"&lt;&gt;" &amp; "")&gt;0</formula>
    </cfRule>
    <cfRule type="expression" dxfId="1" priority="158">
      <formula>AND(COUNTIF(G122:CT122,"&lt;&gt;" &amp; "")&gt;0,NOT(ISBLANK(E122)))</formula>
    </cfRule>
  </conditionalFormatting>
  <conditionalFormatting sqref="E123">
    <cfRule type="expression" dxfId="0" priority="159">
      <formula>COUNTIF(G123:CT123,"&lt;&gt;" &amp; "")&gt;0</formula>
    </cfRule>
    <cfRule type="expression" dxfId="1" priority="160">
      <formula>AND(COUNTIF(G123:CT123,"&lt;&gt;" &amp; "")&gt;0,NOT(ISBLANK(E123)))</formula>
    </cfRule>
  </conditionalFormatting>
  <conditionalFormatting sqref="E124">
    <cfRule type="expression" dxfId="0" priority="161">
      <formula>COUNTIF(G124:CT124,"&lt;&gt;" &amp; "")&gt;0</formula>
    </cfRule>
    <cfRule type="expression" dxfId="1" priority="162">
      <formula>AND(COUNTIF(G124:CT124,"&lt;&gt;" &amp; "")&gt;0,NOT(ISBLANK(E124)))</formula>
    </cfRule>
  </conditionalFormatting>
  <conditionalFormatting sqref="E125">
    <cfRule type="expression" dxfId="0" priority="163">
      <formula>COUNTIF(G125:CT125,"&lt;&gt;" &amp; "")&gt;0</formula>
    </cfRule>
    <cfRule type="expression" dxfId="1" priority="164">
      <formula>AND(COUNTIF(G125:CT125,"&lt;&gt;" &amp; "")&gt;0,NOT(ISBLANK(E125)))</formula>
    </cfRule>
  </conditionalFormatting>
  <conditionalFormatting sqref="E126">
    <cfRule type="expression" dxfId="0" priority="165">
      <formula>COUNTIF(G126:CT126,"&lt;&gt;" &amp; "")&gt;0</formula>
    </cfRule>
    <cfRule type="expression" dxfId="1" priority="166">
      <formula>AND(COUNTIF(G126:CT126,"&lt;&gt;" &amp; "")&gt;0,NOT(ISBLANK(E126)))</formula>
    </cfRule>
  </conditionalFormatting>
  <conditionalFormatting sqref="E127">
    <cfRule type="expression" dxfId="0" priority="167">
      <formula>COUNTIF(G127:CT127,"&lt;&gt;" &amp; "")&gt;0</formula>
    </cfRule>
    <cfRule type="expression" dxfId="1" priority="168">
      <formula>AND(COUNTIF(G127:CT127,"&lt;&gt;" &amp; "")&gt;0,NOT(ISBLANK(E127)))</formula>
    </cfRule>
  </conditionalFormatting>
  <conditionalFormatting sqref="E128">
    <cfRule type="expression" dxfId="0" priority="169">
      <formula>COUNTIF(G128:CT128,"&lt;&gt;" &amp; "")&gt;0</formula>
    </cfRule>
    <cfRule type="expression" dxfId="1" priority="170">
      <formula>AND(COUNTIF(G128:CT128,"&lt;&gt;" &amp; "")&gt;0,NOT(ISBLANK(E128)))</formula>
    </cfRule>
  </conditionalFormatting>
  <conditionalFormatting sqref="E129">
    <cfRule type="expression" dxfId="0" priority="171">
      <formula>COUNTIF(G129:CT129,"&lt;&gt;" &amp; "")&gt;0</formula>
    </cfRule>
    <cfRule type="expression" dxfId="1" priority="172">
      <formula>AND(COUNTIF(G129:CT129,"&lt;&gt;" &amp; "")&gt;0,NOT(ISBLANK(E129)))</formula>
    </cfRule>
  </conditionalFormatting>
  <conditionalFormatting sqref="E130">
    <cfRule type="expression" dxfId="0" priority="173">
      <formula>COUNTIF(G130:CT130,"&lt;&gt;" &amp; "")&gt;0</formula>
    </cfRule>
    <cfRule type="expression" dxfId="1" priority="174">
      <formula>AND(COUNTIF(G130:CT130,"&lt;&gt;" &amp; "")&gt;0,NOT(ISBLANK(E130)))</formula>
    </cfRule>
  </conditionalFormatting>
  <conditionalFormatting sqref="E131">
    <cfRule type="expression" dxfId="0" priority="175">
      <formula>COUNTIF(G131:CT131,"&lt;&gt;" &amp; "")&gt;0</formula>
    </cfRule>
    <cfRule type="expression" dxfId="1" priority="176">
      <formula>AND(COUNTIF(G131:CT131,"&lt;&gt;" &amp; "")&gt;0,NOT(ISBLANK(E131)))</formula>
    </cfRule>
  </conditionalFormatting>
  <conditionalFormatting sqref="E132">
    <cfRule type="expression" dxfId="0" priority="177">
      <formula>COUNTIF(G132:CT132,"&lt;&gt;" &amp; "")&gt;0</formula>
    </cfRule>
    <cfRule type="expression" dxfId="1" priority="178">
      <formula>AND(COUNTIF(G132:CT132,"&lt;&gt;" &amp; "")&gt;0,NOT(ISBLANK(E132)))</formula>
    </cfRule>
  </conditionalFormatting>
  <conditionalFormatting sqref="E133">
    <cfRule type="expression" dxfId="0" priority="179">
      <formula>COUNTIF(G133:CT133,"&lt;&gt;" &amp; "")&gt;0</formula>
    </cfRule>
    <cfRule type="expression" dxfId="1" priority="180">
      <formula>AND(COUNTIF(G133:CT133,"&lt;&gt;" &amp; "")&gt;0,NOT(ISBLANK(E133)))</formula>
    </cfRule>
  </conditionalFormatting>
  <conditionalFormatting sqref="E134">
    <cfRule type="expression" dxfId="0" priority="181">
      <formula>COUNTIF(G134:CT134,"&lt;&gt;" &amp; "")&gt;0</formula>
    </cfRule>
    <cfRule type="expression" dxfId="1" priority="182">
      <formula>AND(COUNTIF(G134:CT134,"&lt;&gt;" &amp; "")&gt;0,NOT(ISBLANK(E134)))</formula>
    </cfRule>
  </conditionalFormatting>
  <conditionalFormatting sqref="E135">
    <cfRule type="expression" dxfId="0" priority="183">
      <formula>COUNTIF(G135:CT135,"&lt;&gt;" &amp; "")&gt;0</formula>
    </cfRule>
    <cfRule type="expression" dxfId="1" priority="184">
      <formula>AND(COUNTIF(G135:CT135,"&lt;&gt;" &amp; "")&gt;0,NOT(ISBLANK(E135)))</formula>
    </cfRule>
  </conditionalFormatting>
  <conditionalFormatting sqref="E136">
    <cfRule type="expression" dxfId="0" priority="185">
      <formula>COUNTIF(G136:CT136,"&lt;&gt;" &amp; "")&gt;0</formula>
    </cfRule>
    <cfRule type="expression" dxfId="1" priority="186">
      <formula>AND(COUNTIF(G136:CT136,"&lt;&gt;" &amp; "")&gt;0,NOT(ISBLANK(E136)))</formula>
    </cfRule>
  </conditionalFormatting>
  <conditionalFormatting sqref="E137">
    <cfRule type="expression" dxfId="0" priority="187">
      <formula>COUNTIF(G137:CT137,"&lt;&gt;" &amp; "")&gt;0</formula>
    </cfRule>
    <cfRule type="expression" dxfId="1" priority="188">
      <formula>AND(COUNTIF(G137:CT137,"&lt;&gt;" &amp; "")&gt;0,NOT(ISBLANK(E137)))</formula>
    </cfRule>
  </conditionalFormatting>
  <conditionalFormatting sqref="E138">
    <cfRule type="expression" dxfId="0" priority="189">
      <formula>COUNTIF(G138:CT138,"&lt;&gt;" &amp; "")&gt;0</formula>
    </cfRule>
    <cfRule type="expression" dxfId="1" priority="190">
      <formula>AND(COUNTIF(G138:CT138,"&lt;&gt;" &amp; "")&gt;0,NOT(ISBLANK(E138)))</formula>
    </cfRule>
  </conditionalFormatting>
  <conditionalFormatting sqref="E139">
    <cfRule type="expression" dxfId="0" priority="191">
      <formula>COUNTIF(G139:CT139,"&lt;&gt;" &amp; "")&gt;0</formula>
    </cfRule>
    <cfRule type="expression" dxfId="1" priority="192">
      <formula>AND(COUNTIF(G139:CT139,"&lt;&gt;" &amp; "")&gt;0,NOT(ISBLANK(E139)))</formula>
    </cfRule>
  </conditionalFormatting>
  <conditionalFormatting sqref="E140">
    <cfRule type="expression" dxfId="0" priority="193">
      <formula>COUNTIF(G140:CT140,"&lt;&gt;" &amp; "")&gt;0</formula>
    </cfRule>
    <cfRule type="expression" dxfId="1" priority="194">
      <formula>AND(COUNTIF(G140:CT140,"&lt;&gt;" &amp; "")&gt;0,NOT(ISBLANK(E140)))</formula>
    </cfRule>
  </conditionalFormatting>
  <conditionalFormatting sqref="E141">
    <cfRule type="expression" dxfId="0" priority="195">
      <formula>COUNTIF(G141:CT141,"&lt;&gt;" &amp; "")&gt;0</formula>
    </cfRule>
    <cfRule type="expression" dxfId="1" priority="196">
      <formula>AND(COUNTIF(G141:CT141,"&lt;&gt;" &amp; "")&gt;0,NOT(ISBLANK(E141)))</formula>
    </cfRule>
  </conditionalFormatting>
  <conditionalFormatting sqref="E142">
    <cfRule type="expression" dxfId="0" priority="197">
      <formula>COUNTIF(G142:CT142,"&lt;&gt;" &amp; "")&gt;0</formula>
    </cfRule>
    <cfRule type="expression" dxfId="1" priority="198">
      <formula>AND(COUNTIF(G142:CT142,"&lt;&gt;" &amp; "")&gt;0,NOT(ISBLANK(E142)))</formula>
    </cfRule>
  </conditionalFormatting>
  <conditionalFormatting sqref="E143">
    <cfRule type="expression" dxfId="0" priority="199">
      <formula>COUNTIF(G143:CT143,"&lt;&gt;" &amp; "")&gt;0</formula>
    </cfRule>
    <cfRule type="expression" dxfId="1" priority="200">
      <formula>AND(COUNTIF(G143:CT143,"&lt;&gt;" &amp; "")&gt;0,NOT(ISBLANK(E143)))</formula>
    </cfRule>
  </conditionalFormatting>
  <conditionalFormatting sqref="E144">
    <cfRule type="expression" dxfId="0" priority="201">
      <formula>COUNTIF(G144:CT144,"&lt;&gt;" &amp; "")&gt;0</formula>
    </cfRule>
    <cfRule type="expression" dxfId="1" priority="202">
      <formula>AND(COUNTIF(G144:CT144,"&lt;&gt;" &amp; "")&gt;0,NOT(ISBLANK(E144)))</formula>
    </cfRule>
  </conditionalFormatting>
  <conditionalFormatting sqref="E145">
    <cfRule type="expression" dxfId="0" priority="203">
      <formula>COUNTIF(G145:CT145,"&lt;&gt;" &amp; "")&gt;0</formula>
    </cfRule>
    <cfRule type="expression" dxfId="1" priority="204">
      <formula>AND(COUNTIF(G145:CT145,"&lt;&gt;" &amp; "")&gt;0,NOT(ISBLANK(E145)))</formula>
    </cfRule>
  </conditionalFormatting>
  <conditionalFormatting sqref="E146">
    <cfRule type="expression" dxfId="0" priority="205">
      <formula>COUNTIF(G146:CT146,"&lt;&gt;" &amp; "")&gt;0</formula>
    </cfRule>
    <cfRule type="expression" dxfId="1" priority="206">
      <formula>AND(COUNTIF(G146:CT146,"&lt;&gt;" &amp; "")&gt;0,NOT(ISBLANK(E146)))</formula>
    </cfRule>
  </conditionalFormatting>
  <conditionalFormatting sqref="E147">
    <cfRule type="expression" dxfId="0" priority="207">
      <formula>COUNTIF(G147:CT147,"&lt;&gt;" &amp; "")&gt;0</formula>
    </cfRule>
    <cfRule type="expression" dxfId="1" priority="208">
      <formula>AND(COUNTIF(G147:CT147,"&lt;&gt;" &amp; "")&gt;0,NOT(ISBLANK(E147)))</formula>
    </cfRule>
  </conditionalFormatting>
  <conditionalFormatting sqref="E148">
    <cfRule type="expression" dxfId="0" priority="209">
      <formula>COUNTIF(G148:CT148,"&lt;&gt;" &amp; "")&gt;0</formula>
    </cfRule>
    <cfRule type="expression" dxfId="1" priority="210">
      <formula>AND(COUNTIF(G148:CT148,"&lt;&gt;" &amp; "")&gt;0,NOT(ISBLANK(E148)))</formula>
    </cfRule>
  </conditionalFormatting>
  <conditionalFormatting sqref="E149">
    <cfRule type="expression" dxfId="0" priority="211">
      <formula>COUNTIF(G149:CT149,"&lt;&gt;" &amp; "")&gt;0</formula>
    </cfRule>
    <cfRule type="expression" dxfId="1" priority="212">
      <formula>AND(COUNTIF(G149:CT149,"&lt;&gt;" &amp; "")&gt;0,NOT(ISBLANK(E149)))</formula>
    </cfRule>
  </conditionalFormatting>
  <conditionalFormatting sqref="E150">
    <cfRule type="expression" dxfId="0" priority="213">
      <formula>COUNTIF(G150:CT150,"&lt;&gt;" &amp; "")&gt;0</formula>
    </cfRule>
    <cfRule type="expression" dxfId="1" priority="214">
      <formula>AND(COUNTIF(G150:CT150,"&lt;&gt;" &amp; "")&gt;0,NOT(ISBLANK(E150)))</formula>
    </cfRule>
  </conditionalFormatting>
  <conditionalFormatting sqref="E151">
    <cfRule type="expression" dxfId="0" priority="215">
      <formula>COUNTIF(G151:CT151,"&lt;&gt;" &amp; "")&gt;0</formula>
    </cfRule>
    <cfRule type="expression" dxfId="1" priority="216">
      <formula>AND(COUNTIF(G151:CT151,"&lt;&gt;" &amp; "")&gt;0,NOT(ISBLANK(E151)))</formula>
    </cfRule>
  </conditionalFormatting>
  <conditionalFormatting sqref="E154">
    <cfRule type="expression" dxfId="0" priority="217">
      <formula>COUNTIF(G154:CT154,"&lt;&gt;" &amp; "")&gt;0</formula>
    </cfRule>
    <cfRule type="expression" dxfId="1" priority="218">
      <formula>AND(COUNTIF(G154:CT154,"&lt;&gt;" &amp; "")&gt;0,NOT(ISBLANK(E154)))</formula>
    </cfRule>
  </conditionalFormatting>
  <conditionalFormatting sqref="E155">
    <cfRule type="expression" dxfId="0" priority="219">
      <formula>COUNTIF(G155:CT155,"&lt;&gt;" &amp; "")&gt;0</formula>
    </cfRule>
    <cfRule type="expression" dxfId="1" priority="220">
      <formula>AND(COUNTIF(G155:CT155,"&lt;&gt;" &amp; "")&gt;0,NOT(ISBLANK(E155)))</formula>
    </cfRule>
  </conditionalFormatting>
  <conditionalFormatting sqref="E156">
    <cfRule type="expression" dxfId="0" priority="221">
      <formula>COUNTIF(G156:CT156,"&lt;&gt;" &amp; "")&gt;0</formula>
    </cfRule>
    <cfRule type="expression" dxfId="1" priority="222">
      <formula>AND(COUNTIF(G156:CT156,"&lt;&gt;" &amp; "")&gt;0,NOT(ISBLANK(E156)))</formula>
    </cfRule>
  </conditionalFormatting>
  <conditionalFormatting sqref="E157">
    <cfRule type="expression" dxfId="0" priority="223">
      <formula>COUNTIF(G157:CT157,"&lt;&gt;" &amp; "")&gt;0</formula>
    </cfRule>
    <cfRule type="expression" dxfId="1" priority="224">
      <formula>AND(COUNTIF(G157:CT157,"&lt;&gt;" &amp; "")&gt;0,NOT(ISBLANK(E157)))</formula>
    </cfRule>
  </conditionalFormatting>
  <conditionalFormatting sqref="E158">
    <cfRule type="expression" dxfId="0" priority="225">
      <formula>COUNTIF(G158:CT158,"&lt;&gt;" &amp; "")&gt;0</formula>
    </cfRule>
    <cfRule type="expression" dxfId="1" priority="226">
      <formula>AND(COUNTIF(G158:CT158,"&lt;&gt;" &amp; "")&gt;0,NOT(ISBLANK(E158)))</formula>
    </cfRule>
  </conditionalFormatting>
  <conditionalFormatting sqref="E159">
    <cfRule type="expression" dxfId="0" priority="227">
      <formula>COUNTIF(G159:CT159,"&lt;&gt;" &amp; "")&gt;0</formula>
    </cfRule>
    <cfRule type="expression" dxfId="1" priority="228">
      <formula>AND(COUNTIF(G159:CT159,"&lt;&gt;" &amp; "")&gt;0,NOT(ISBLANK(E159)))</formula>
    </cfRule>
  </conditionalFormatting>
  <conditionalFormatting sqref="E160">
    <cfRule type="expression" dxfId="0" priority="229">
      <formula>COUNTIF(G160:CT160,"&lt;&gt;" &amp; "")&gt;0</formula>
    </cfRule>
    <cfRule type="expression" dxfId="1" priority="230">
      <formula>AND(COUNTIF(G160:CT160,"&lt;&gt;" &amp; "")&gt;0,NOT(ISBLANK(E160)))</formula>
    </cfRule>
  </conditionalFormatting>
  <conditionalFormatting sqref="E161">
    <cfRule type="expression" dxfId="0" priority="231">
      <formula>COUNTIF(G161:CT161,"&lt;&gt;" &amp; "")&gt;0</formula>
    </cfRule>
    <cfRule type="expression" dxfId="1" priority="232">
      <formula>AND(COUNTIF(G161:CT161,"&lt;&gt;" &amp; "")&gt;0,NOT(ISBLANK(E161)))</formula>
    </cfRule>
  </conditionalFormatting>
  <conditionalFormatting sqref="E162">
    <cfRule type="expression" dxfId="0" priority="233">
      <formula>COUNTIF(G162:CT162,"&lt;&gt;" &amp; "")&gt;0</formula>
    </cfRule>
    <cfRule type="expression" dxfId="1" priority="234">
      <formula>AND(COUNTIF(G162:CT162,"&lt;&gt;" &amp; "")&gt;0,NOT(ISBLANK(E162)))</formula>
    </cfRule>
  </conditionalFormatting>
  <conditionalFormatting sqref="E163">
    <cfRule type="expression" dxfId="0" priority="235">
      <formula>COUNTIF(G163:CT163,"&lt;&gt;" &amp; "")&gt;0</formula>
    </cfRule>
    <cfRule type="expression" dxfId="1" priority="236">
      <formula>AND(COUNTIF(G163:CT163,"&lt;&gt;" &amp; "")&gt;0,NOT(ISBLANK(E163)))</formula>
    </cfRule>
  </conditionalFormatting>
  <conditionalFormatting sqref="E164">
    <cfRule type="expression" dxfId="0" priority="237">
      <formula>COUNTIF(G164:CT164,"&lt;&gt;" &amp; "")&gt;0</formula>
    </cfRule>
    <cfRule type="expression" dxfId="1" priority="238">
      <formula>AND(COUNTIF(G164:CT164,"&lt;&gt;" &amp; "")&gt;0,NOT(ISBLANK(E164)))</formula>
    </cfRule>
  </conditionalFormatting>
  <conditionalFormatting sqref="E165">
    <cfRule type="expression" dxfId="0" priority="239">
      <formula>COUNTIF(G165:CT165,"&lt;&gt;" &amp; "")&gt;0</formula>
    </cfRule>
    <cfRule type="expression" dxfId="1" priority="240">
      <formula>AND(COUNTIF(G165:CT165,"&lt;&gt;" &amp; "")&gt;0,NOT(ISBLANK(E165)))</formula>
    </cfRule>
  </conditionalFormatting>
  <conditionalFormatting sqref="E166">
    <cfRule type="expression" dxfId="0" priority="241">
      <formula>COUNTIF(G166:CT166,"&lt;&gt;" &amp; "")&gt;0</formula>
    </cfRule>
    <cfRule type="expression" dxfId="1" priority="242">
      <formula>AND(COUNTIF(G166:CT166,"&lt;&gt;" &amp; "")&gt;0,NOT(ISBLANK(E166)))</formula>
    </cfRule>
  </conditionalFormatting>
  <conditionalFormatting sqref="E167">
    <cfRule type="expression" dxfId="0" priority="243">
      <formula>COUNTIF(G167:CT167,"&lt;&gt;" &amp; "")&gt;0</formula>
    </cfRule>
    <cfRule type="expression" dxfId="1" priority="244">
      <formula>AND(COUNTIF(G167:CT167,"&lt;&gt;" &amp; "")&gt;0,NOT(ISBLANK(E167)))</formula>
    </cfRule>
  </conditionalFormatting>
  <conditionalFormatting sqref="E168">
    <cfRule type="expression" dxfId="0" priority="245">
      <formula>COUNTIF(G168:CT168,"&lt;&gt;" &amp; "")&gt;0</formula>
    </cfRule>
    <cfRule type="expression" dxfId="1" priority="246">
      <formula>AND(COUNTIF(G168:CT168,"&lt;&gt;" &amp; "")&gt;0,NOT(ISBLANK(E168)))</formula>
    </cfRule>
  </conditionalFormatting>
  <conditionalFormatting sqref="E169">
    <cfRule type="expression" dxfId="0" priority="247">
      <formula>COUNTIF(G169:CT169,"&lt;&gt;" &amp; "")&gt;0</formula>
    </cfRule>
    <cfRule type="expression" dxfId="1" priority="248">
      <formula>AND(COUNTIF(G169:CT169,"&lt;&gt;" &amp; "")&gt;0,NOT(ISBLANK(E169)))</formula>
    </cfRule>
  </conditionalFormatting>
  <conditionalFormatting sqref="E170">
    <cfRule type="expression" dxfId="0" priority="249">
      <formula>COUNTIF(G170:CT170,"&lt;&gt;" &amp; "")&gt;0</formula>
    </cfRule>
    <cfRule type="expression" dxfId="1" priority="250">
      <formula>AND(COUNTIF(G170:CT170,"&lt;&gt;" &amp; "")&gt;0,NOT(ISBLANK(E170)))</formula>
    </cfRule>
  </conditionalFormatting>
  <conditionalFormatting sqref="E171">
    <cfRule type="expression" dxfId="0" priority="251">
      <formula>COUNTIF(G171:CT171,"&lt;&gt;" &amp; "")&gt;0</formula>
    </cfRule>
    <cfRule type="expression" dxfId="1" priority="252">
      <formula>AND(COUNTIF(G171:CT171,"&lt;&gt;" &amp; "")&gt;0,NOT(ISBLANK(E171)))</formula>
    </cfRule>
  </conditionalFormatting>
  <conditionalFormatting sqref="E172">
    <cfRule type="expression" dxfId="0" priority="253">
      <formula>COUNTIF(G172:CT172,"&lt;&gt;" &amp; "")&gt;0</formula>
    </cfRule>
    <cfRule type="expression" dxfId="1" priority="254">
      <formula>AND(COUNTIF(G172:CT172,"&lt;&gt;" &amp; "")&gt;0,NOT(ISBLANK(E172)))</formula>
    </cfRule>
  </conditionalFormatting>
  <conditionalFormatting sqref="E173">
    <cfRule type="expression" dxfId="0" priority="255">
      <formula>COUNTIF(G173:CT173,"&lt;&gt;" &amp; "")&gt;0</formula>
    </cfRule>
    <cfRule type="expression" dxfId="1" priority="256">
      <formula>AND(COUNTIF(G173:CT173,"&lt;&gt;" &amp; "")&gt;0,NOT(ISBLANK(E173)))</formula>
    </cfRule>
  </conditionalFormatting>
  <conditionalFormatting sqref="E174">
    <cfRule type="expression" dxfId="0" priority="257">
      <formula>COUNTIF(G174:CT174,"&lt;&gt;" &amp; "")&gt;0</formula>
    </cfRule>
    <cfRule type="expression" dxfId="1" priority="258">
      <formula>AND(COUNTIF(G174:CT174,"&lt;&gt;" &amp; "")&gt;0,NOT(ISBLANK(E174)))</formula>
    </cfRule>
  </conditionalFormatting>
  <conditionalFormatting sqref="E175">
    <cfRule type="expression" dxfId="0" priority="259">
      <formula>COUNTIF(G175:CT175,"&lt;&gt;" &amp; "")&gt;0</formula>
    </cfRule>
    <cfRule type="expression" dxfId="1" priority="260">
      <formula>AND(COUNTIF(G175:CT175,"&lt;&gt;" &amp; "")&gt;0,NOT(ISBLANK(E175)))</formula>
    </cfRule>
  </conditionalFormatting>
  <conditionalFormatting sqref="E176">
    <cfRule type="expression" dxfId="0" priority="261">
      <formula>COUNTIF(G176:CT176,"&lt;&gt;" &amp; "")&gt;0</formula>
    </cfRule>
    <cfRule type="expression" dxfId="1" priority="262">
      <formula>AND(COUNTIF(G176:CT176,"&lt;&gt;" &amp; "")&gt;0,NOT(ISBLANK(E176)))</formula>
    </cfRule>
  </conditionalFormatting>
  <conditionalFormatting sqref="E177">
    <cfRule type="expression" dxfId="0" priority="263">
      <formula>COUNTIF(G177:CT177,"&lt;&gt;" &amp; "")&gt;0</formula>
    </cfRule>
    <cfRule type="expression" dxfId="1" priority="264">
      <formula>AND(COUNTIF(G177:CT177,"&lt;&gt;" &amp; "")&gt;0,NOT(ISBLANK(E177)))</formula>
    </cfRule>
  </conditionalFormatting>
  <conditionalFormatting sqref="E178">
    <cfRule type="expression" dxfId="0" priority="265">
      <formula>COUNTIF(G178:CT178,"&lt;&gt;" &amp; "")&gt;0</formula>
    </cfRule>
    <cfRule type="expression" dxfId="1" priority="266">
      <formula>AND(COUNTIF(G178:CT178,"&lt;&gt;" &amp; "")&gt;0,NOT(ISBLANK(E178)))</formula>
    </cfRule>
  </conditionalFormatting>
  <conditionalFormatting sqref="E179">
    <cfRule type="expression" dxfId="0" priority="267">
      <formula>COUNTIF(G179:CT179,"&lt;&gt;" &amp; "")&gt;0</formula>
    </cfRule>
    <cfRule type="expression" dxfId="1" priority="268">
      <formula>AND(COUNTIF(G179:CT179,"&lt;&gt;" &amp; "")&gt;0,NOT(ISBLANK(E179)))</formula>
    </cfRule>
  </conditionalFormatting>
  <conditionalFormatting sqref="E180">
    <cfRule type="expression" dxfId="0" priority="269">
      <formula>COUNTIF(G180:CT180,"&lt;&gt;" &amp; "")&gt;0</formula>
    </cfRule>
    <cfRule type="expression" dxfId="1" priority="270">
      <formula>AND(COUNTIF(G180:CT180,"&lt;&gt;" &amp; "")&gt;0,NOT(ISBLANK(E180)))</formula>
    </cfRule>
  </conditionalFormatting>
  <conditionalFormatting sqref="E181">
    <cfRule type="expression" dxfId="0" priority="271">
      <formula>COUNTIF(G181:CT181,"&lt;&gt;" &amp; "")&gt;0</formula>
    </cfRule>
    <cfRule type="expression" dxfId="1" priority="272">
      <formula>AND(COUNTIF(G181:CT181,"&lt;&gt;" &amp; "")&gt;0,NOT(ISBLANK(E181)))</formula>
    </cfRule>
  </conditionalFormatting>
  <conditionalFormatting sqref="E182">
    <cfRule type="expression" dxfId="0" priority="273">
      <formula>COUNTIF(G182:CT182,"&lt;&gt;" &amp; "")&gt;0</formula>
    </cfRule>
    <cfRule type="expression" dxfId="1" priority="274">
      <formula>AND(COUNTIF(G182:CT182,"&lt;&gt;" &amp; "")&gt;0,NOT(ISBLANK(E182)))</formula>
    </cfRule>
  </conditionalFormatting>
  <conditionalFormatting sqref="E183">
    <cfRule type="expression" dxfId="0" priority="275">
      <formula>COUNTIF(G183:CT183,"&lt;&gt;" &amp; "")&gt;0</formula>
    </cfRule>
    <cfRule type="expression" dxfId="1" priority="276">
      <formula>AND(COUNTIF(G183:CT183,"&lt;&gt;" &amp; "")&gt;0,NOT(ISBLANK(E183)))</formula>
    </cfRule>
  </conditionalFormatting>
  <conditionalFormatting sqref="E184">
    <cfRule type="expression" dxfId="0" priority="277">
      <formula>COUNTIF(G184:CT184,"&lt;&gt;" &amp; "")&gt;0</formula>
    </cfRule>
    <cfRule type="expression" dxfId="1" priority="278">
      <formula>AND(COUNTIF(G184:CT184,"&lt;&gt;" &amp; "")&gt;0,NOT(ISBLANK(E184)))</formula>
    </cfRule>
  </conditionalFormatting>
  <conditionalFormatting sqref="E185">
    <cfRule type="expression" dxfId="0" priority="279">
      <formula>COUNTIF(G185:CT185,"&lt;&gt;" &amp; "")&gt;0</formula>
    </cfRule>
    <cfRule type="expression" dxfId="1" priority="280">
      <formula>AND(COUNTIF(G185:CT185,"&lt;&gt;" &amp; "")&gt;0,NOT(ISBLANK(E185)))</formula>
    </cfRule>
  </conditionalFormatting>
  <conditionalFormatting sqref="E186">
    <cfRule type="expression" dxfId="0" priority="281">
      <formula>COUNTIF(G186:CT186,"&lt;&gt;" &amp; "")&gt;0</formula>
    </cfRule>
    <cfRule type="expression" dxfId="1" priority="282">
      <formula>AND(COUNTIF(G186:CT186,"&lt;&gt;" &amp; "")&gt;0,NOT(ISBLANK(E186)))</formula>
    </cfRule>
  </conditionalFormatting>
  <conditionalFormatting sqref="E187">
    <cfRule type="expression" dxfId="0" priority="283">
      <formula>COUNTIF(G187:CT187,"&lt;&gt;" &amp; "")&gt;0</formula>
    </cfRule>
    <cfRule type="expression" dxfId="1" priority="284">
      <formula>AND(COUNTIF(G187:CT187,"&lt;&gt;" &amp; "")&gt;0,NOT(ISBLANK(E187)))</formula>
    </cfRule>
  </conditionalFormatting>
  <conditionalFormatting sqref="E188">
    <cfRule type="expression" dxfId="0" priority="285">
      <formula>COUNTIF(G188:CT188,"&lt;&gt;" &amp; "")&gt;0</formula>
    </cfRule>
    <cfRule type="expression" dxfId="1" priority="286">
      <formula>AND(COUNTIF(G188:CT188,"&lt;&gt;" &amp; "")&gt;0,NOT(ISBLANK(E188)))</formula>
    </cfRule>
  </conditionalFormatting>
  <conditionalFormatting sqref="E189">
    <cfRule type="expression" dxfId="0" priority="287">
      <formula>COUNTIF(G189:CT189,"&lt;&gt;" &amp; "")&gt;0</formula>
    </cfRule>
    <cfRule type="expression" dxfId="1" priority="288">
      <formula>AND(COUNTIF(G189:CT189,"&lt;&gt;" &amp; "")&gt;0,NOT(ISBLANK(E189)))</formula>
    </cfRule>
  </conditionalFormatting>
  <conditionalFormatting sqref="E40">
    <cfRule type="expression" dxfId="0" priority="1">
      <formula>COUNTIF(G40:CT40,"&lt;&gt;" &amp; "")&gt;0</formula>
    </cfRule>
    <cfRule type="expression" dxfId="1" priority="2">
      <formula>AND(COUNTIF(G40:CT40,"&lt;&gt;" &amp; "")&gt;0,NOT(ISBLANK(E40)))</formula>
    </cfRule>
  </conditionalFormatting>
  <conditionalFormatting sqref="E41">
    <cfRule type="expression" dxfId="0" priority="3">
      <formula>COUNTIF(G41:CT41,"&lt;&gt;" &amp; "")&gt;0</formula>
    </cfRule>
    <cfRule type="expression" dxfId="1" priority="4">
      <formula>AND(COUNTIF(G41:CT41,"&lt;&gt;" &amp; "")&gt;0,NOT(ISBLANK(E41)))</formula>
    </cfRule>
  </conditionalFormatting>
  <conditionalFormatting sqref="E42">
    <cfRule type="expression" dxfId="0" priority="5">
      <formula>COUNTIF(G42:CT42,"&lt;&gt;" &amp; "")&gt;0</formula>
    </cfRule>
    <cfRule type="expression" dxfId="1" priority="6">
      <formula>AND(COUNTIF(G42:CT42,"&lt;&gt;" &amp; "")&gt;0,NOT(ISBLANK(E42)))</formula>
    </cfRule>
  </conditionalFormatting>
  <conditionalFormatting sqref="E43">
    <cfRule type="expression" dxfId="0" priority="7">
      <formula>COUNTIF(G43:CT43,"&lt;&gt;" &amp; "")&gt;0</formula>
    </cfRule>
    <cfRule type="expression" dxfId="1" priority="8">
      <formula>AND(COUNTIF(G43:CT43,"&lt;&gt;" &amp; "")&gt;0,NOT(ISBLANK(E43)))</formula>
    </cfRule>
  </conditionalFormatting>
  <conditionalFormatting sqref="E44">
    <cfRule type="expression" dxfId="0" priority="9">
      <formula>COUNTIF(G44:CT44,"&lt;&gt;" &amp; "")&gt;0</formula>
    </cfRule>
    <cfRule type="expression" dxfId="1" priority="10">
      <formula>AND(COUNTIF(G44:CT44,"&lt;&gt;" &amp; "")&gt;0,NOT(ISBLANK(E44)))</formula>
    </cfRule>
  </conditionalFormatting>
  <conditionalFormatting sqref="E45">
    <cfRule type="expression" dxfId="0" priority="11">
      <formula>COUNTIF(G45:CT45,"&lt;&gt;" &amp; "")&gt;0</formula>
    </cfRule>
    <cfRule type="expression" dxfId="1" priority="12">
      <formula>AND(COUNTIF(G45:CT45,"&lt;&gt;" &amp; "")&gt;0,NOT(ISBLANK(E45)))</formula>
    </cfRule>
  </conditionalFormatting>
  <conditionalFormatting sqref="E46">
    <cfRule type="expression" dxfId="0" priority="13">
      <formula>COUNTIF(G46:CT46,"&lt;&gt;" &amp; "")&gt;0</formula>
    </cfRule>
    <cfRule type="expression" dxfId="1" priority="14">
      <formula>AND(COUNTIF(G46:CT46,"&lt;&gt;" &amp; "")&gt;0,NOT(ISBLANK(E46)))</formula>
    </cfRule>
  </conditionalFormatting>
  <conditionalFormatting sqref="E47">
    <cfRule type="expression" dxfId="0" priority="15">
      <formula>COUNTIF(G47:CT47,"&lt;&gt;" &amp; "")&gt;0</formula>
    </cfRule>
    <cfRule type="expression" dxfId="1" priority="16">
      <formula>AND(COUNTIF(G47:CT47,"&lt;&gt;" &amp; "")&gt;0,NOT(ISBLANK(E47)))</formula>
    </cfRule>
  </conditionalFormatting>
  <conditionalFormatting sqref="E48">
    <cfRule type="expression" dxfId="0" priority="17">
      <formula>COUNTIF(G48:CT48,"&lt;&gt;" &amp; "")&gt;0</formula>
    </cfRule>
    <cfRule type="expression" dxfId="1" priority="18">
      <formula>AND(COUNTIF(G48:CT48,"&lt;&gt;" &amp; "")&gt;0,NOT(ISBLANK(E48)))</formula>
    </cfRule>
  </conditionalFormatting>
  <conditionalFormatting sqref="E49">
    <cfRule type="expression" dxfId="0" priority="19">
      <formula>COUNTIF(G49:CT49,"&lt;&gt;" &amp; "")&gt;0</formula>
    </cfRule>
    <cfRule type="expression" dxfId="1" priority="20">
      <formula>AND(COUNTIF(G49:CT49,"&lt;&gt;" &amp; "")&gt;0,NOT(ISBLANK(E49)))</formula>
    </cfRule>
  </conditionalFormatting>
  <conditionalFormatting sqref="E50">
    <cfRule type="expression" dxfId="0" priority="21">
      <formula>COUNTIF(G50:CT50,"&lt;&gt;" &amp; "")&gt;0</formula>
    </cfRule>
    <cfRule type="expression" dxfId="1" priority="22">
      <formula>AND(COUNTIF(G50:CT50,"&lt;&gt;" &amp; "")&gt;0,NOT(ISBLANK(E50)))</formula>
    </cfRule>
  </conditionalFormatting>
  <conditionalFormatting sqref="E51">
    <cfRule type="expression" dxfId="0" priority="23">
      <formula>COUNTIF(G51:CT51,"&lt;&gt;" &amp; "")&gt;0</formula>
    </cfRule>
    <cfRule type="expression" dxfId="1" priority="24">
      <formula>AND(COUNTIF(G51:CT51,"&lt;&gt;" &amp; "")&gt;0,NOT(ISBLANK(E51)))</formula>
    </cfRule>
  </conditionalFormatting>
  <conditionalFormatting sqref="E52">
    <cfRule type="expression" dxfId="0" priority="25">
      <formula>COUNTIF(G52:CT52,"&lt;&gt;" &amp; "")&gt;0</formula>
    </cfRule>
    <cfRule type="expression" dxfId="1" priority="26">
      <formula>AND(COUNTIF(G52:CT52,"&lt;&gt;" &amp; "")&gt;0,NOT(ISBLANK(E52)))</formula>
    </cfRule>
  </conditionalFormatting>
  <conditionalFormatting sqref="E53">
    <cfRule type="expression" dxfId="0" priority="27">
      <formula>COUNTIF(G53:CT53,"&lt;&gt;" &amp; "")&gt;0</formula>
    </cfRule>
    <cfRule type="expression" dxfId="1" priority="28">
      <formula>AND(COUNTIF(G53:CT53,"&lt;&gt;" &amp; "")&gt;0,NOT(ISBLANK(E53)))</formula>
    </cfRule>
  </conditionalFormatting>
  <conditionalFormatting sqref="E54">
    <cfRule type="expression" dxfId="0" priority="29">
      <formula>COUNTIF(G54:CT54,"&lt;&gt;" &amp; "")&gt;0</formula>
    </cfRule>
    <cfRule type="expression" dxfId="1" priority="30">
      <formula>AND(COUNTIF(G54:CT54,"&lt;&gt;" &amp; "")&gt;0,NOT(ISBLANK(E54)))</formula>
    </cfRule>
  </conditionalFormatting>
  <conditionalFormatting sqref="E55">
    <cfRule type="expression" dxfId="0" priority="31">
      <formula>COUNTIF(G55:CT55,"&lt;&gt;" &amp; "")&gt;0</formula>
    </cfRule>
    <cfRule type="expression" dxfId="1" priority="32">
      <formula>AND(COUNTIF(G55:CT55,"&lt;&gt;" &amp; "")&gt;0,NOT(ISBLANK(E55)))</formula>
    </cfRule>
  </conditionalFormatting>
  <conditionalFormatting sqref="E56">
    <cfRule type="expression" dxfId="0" priority="33">
      <formula>COUNTIF(G56:CT56,"&lt;&gt;" &amp; "")&gt;0</formula>
    </cfRule>
    <cfRule type="expression" dxfId="1" priority="34">
      <formula>AND(COUNTIF(G56:CT56,"&lt;&gt;" &amp; "")&gt;0,NOT(ISBLANK(E56)))</formula>
    </cfRule>
  </conditionalFormatting>
  <conditionalFormatting sqref="E57">
    <cfRule type="expression" dxfId="0" priority="35">
      <formula>COUNTIF(G57:CT57,"&lt;&gt;" &amp; "")&gt;0</formula>
    </cfRule>
    <cfRule type="expression" dxfId="1" priority="36">
      <formula>AND(COUNTIF(G57:CT57,"&lt;&gt;" &amp; "")&gt;0,NOT(ISBLANK(E57)))</formula>
    </cfRule>
  </conditionalFormatting>
  <conditionalFormatting sqref="E58">
    <cfRule type="expression" dxfId="0" priority="37">
      <formula>COUNTIF(G58:CT58,"&lt;&gt;" &amp; "")&gt;0</formula>
    </cfRule>
    <cfRule type="expression" dxfId="1" priority="38">
      <formula>AND(COUNTIF(G58:CT58,"&lt;&gt;" &amp; "")&gt;0,NOT(ISBLANK(E58)))</formula>
    </cfRule>
  </conditionalFormatting>
  <conditionalFormatting sqref="E59">
    <cfRule type="expression" dxfId="0" priority="39">
      <formula>COUNTIF(G59:CT59,"&lt;&gt;" &amp; "")&gt;0</formula>
    </cfRule>
    <cfRule type="expression" dxfId="1" priority="40">
      <formula>AND(COUNTIF(G59:CT59,"&lt;&gt;" &amp; "")&gt;0,NOT(ISBLANK(E59)))</formula>
    </cfRule>
  </conditionalFormatting>
  <conditionalFormatting sqref="E60">
    <cfRule type="expression" dxfId="0" priority="41">
      <formula>COUNTIF(G60:CT60,"&lt;&gt;" &amp; "")&gt;0</formula>
    </cfRule>
    <cfRule type="expression" dxfId="1" priority="42">
      <formula>AND(COUNTIF(G60:CT60,"&lt;&gt;" &amp; "")&gt;0,NOT(ISBLANK(E60)))</formula>
    </cfRule>
  </conditionalFormatting>
  <conditionalFormatting sqref="E61">
    <cfRule type="expression" dxfId="0" priority="43">
      <formula>COUNTIF(G61:CT61,"&lt;&gt;" &amp; "")&gt;0</formula>
    </cfRule>
    <cfRule type="expression" dxfId="1" priority="44">
      <formula>AND(COUNTIF(G61:CT61,"&lt;&gt;" &amp; "")&gt;0,NOT(ISBLANK(E61)))</formula>
    </cfRule>
  </conditionalFormatting>
  <conditionalFormatting sqref="E62">
    <cfRule type="expression" dxfId="0" priority="45">
      <formula>COUNTIF(G62:CT62,"&lt;&gt;" &amp; "")&gt;0</formula>
    </cfRule>
    <cfRule type="expression" dxfId="1" priority="46">
      <formula>AND(COUNTIF(G62:CT62,"&lt;&gt;" &amp; "")&gt;0,NOT(ISBLANK(E62)))</formula>
    </cfRule>
  </conditionalFormatting>
  <conditionalFormatting sqref="E63">
    <cfRule type="expression" dxfId="0" priority="47">
      <formula>COUNTIF(G63:CT63,"&lt;&gt;" &amp; "")&gt;0</formula>
    </cfRule>
    <cfRule type="expression" dxfId="1" priority="48">
      <formula>AND(COUNTIF(G63:CT63,"&lt;&gt;" &amp; "")&gt;0,NOT(ISBLANK(E63)))</formula>
    </cfRule>
  </conditionalFormatting>
  <conditionalFormatting sqref="E64">
    <cfRule type="expression" dxfId="0" priority="49">
      <formula>COUNTIF(G64:CT64,"&lt;&gt;" &amp; "")&gt;0</formula>
    </cfRule>
    <cfRule type="expression" dxfId="1" priority="50">
      <formula>AND(COUNTIF(G64:CT64,"&lt;&gt;" &amp; "")&gt;0,NOT(ISBLANK(E64)))</formula>
    </cfRule>
  </conditionalFormatting>
  <conditionalFormatting sqref="E65">
    <cfRule type="expression" dxfId="0" priority="51">
      <formula>COUNTIF(G65:CT65,"&lt;&gt;" &amp; "")&gt;0</formula>
    </cfRule>
    <cfRule type="expression" dxfId="1" priority="52">
      <formula>AND(COUNTIF(G65:CT65,"&lt;&gt;" &amp; "")&gt;0,NOT(ISBLANK(E65)))</formula>
    </cfRule>
  </conditionalFormatting>
  <conditionalFormatting sqref="E66">
    <cfRule type="expression" dxfId="0" priority="53">
      <formula>COUNTIF(G66:CT66,"&lt;&gt;" &amp; "")&gt;0</formula>
    </cfRule>
    <cfRule type="expression" dxfId="1" priority="54">
      <formula>AND(COUNTIF(G66:CT66,"&lt;&gt;" &amp; "")&gt;0,NOT(ISBLANK(E66)))</formula>
    </cfRule>
  </conditionalFormatting>
  <conditionalFormatting sqref="E67">
    <cfRule type="expression" dxfId="0" priority="55">
      <formula>COUNTIF(G67:CT67,"&lt;&gt;" &amp; "")&gt;0</formula>
    </cfRule>
    <cfRule type="expression" dxfId="1" priority="56">
      <formula>AND(COUNTIF(G67:CT67,"&lt;&gt;" &amp; "")&gt;0,NOT(ISBLANK(E67)))</formula>
    </cfRule>
  </conditionalFormatting>
  <conditionalFormatting sqref="E68">
    <cfRule type="expression" dxfId="0" priority="57">
      <formula>COUNTIF(G68:CT68,"&lt;&gt;" &amp; "")&gt;0</formula>
    </cfRule>
    <cfRule type="expression" dxfId="1" priority="58">
      <formula>AND(COUNTIF(G68:CT68,"&lt;&gt;" &amp; "")&gt;0,NOT(ISBLANK(E68)))</formula>
    </cfRule>
  </conditionalFormatting>
  <conditionalFormatting sqref="E69">
    <cfRule type="expression" dxfId="0" priority="59">
      <formula>COUNTIF(G69:CT69,"&lt;&gt;" &amp; "")&gt;0</formula>
    </cfRule>
    <cfRule type="expression" dxfId="1" priority="60">
      <formula>AND(COUNTIF(G69:CT69,"&lt;&gt;" &amp; "")&gt;0,NOT(ISBLANK(E69)))</formula>
    </cfRule>
  </conditionalFormatting>
  <conditionalFormatting sqref="E70">
    <cfRule type="expression" dxfId="0" priority="61">
      <formula>COUNTIF(G70:CT70,"&lt;&gt;" &amp; "")&gt;0</formula>
    </cfRule>
    <cfRule type="expression" dxfId="1" priority="62">
      <formula>AND(COUNTIF(G70:CT70,"&lt;&gt;" &amp; "")&gt;0,NOT(ISBLANK(E70)))</formula>
    </cfRule>
  </conditionalFormatting>
  <conditionalFormatting sqref="E71">
    <cfRule type="expression" dxfId="0" priority="63">
      <formula>COUNTIF(G71:CT71,"&lt;&gt;" &amp; "")&gt;0</formula>
    </cfRule>
    <cfRule type="expression" dxfId="1" priority="64">
      <formula>AND(COUNTIF(G71:CT71,"&lt;&gt;" &amp; "")&gt;0,NOT(ISBLANK(E71)))</formula>
    </cfRule>
  </conditionalFormatting>
  <conditionalFormatting sqref="E72">
    <cfRule type="expression" dxfId="0" priority="65">
      <formula>COUNTIF(G72:CT72,"&lt;&gt;" &amp; "")&gt;0</formula>
    </cfRule>
    <cfRule type="expression" dxfId="1" priority="66">
      <formula>AND(COUNTIF(G72:CT72,"&lt;&gt;" &amp; "")&gt;0,NOT(ISBLANK(E72)))</formula>
    </cfRule>
  </conditionalFormatting>
  <conditionalFormatting sqref="E73">
    <cfRule type="expression" dxfId="0" priority="67">
      <formula>COUNTIF(G73:CT73,"&lt;&gt;" &amp; "")&gt;0</formula>
    </cfRule>
    <cfRule type="expression" dxfId="1" priority="68">
      <formula>AND(COUNTIF(G73:CT73,"&lt;&gt;" &amp; "")&gt;0,NOT(ISBLANK(E73)))</formula>
    </cfRule>
  </conditionalFormatting>
  <conditionalFormatting sqref="E74">
    <cfRule type="expression" dxfId="0" priority="69">
      <formula>COUNTIF(G74:CT74,"&lt;&gt;" &amp; "")&gt;0</formula>
    </cfRule>
    <cfRule type="expression" dxfId="1" priority="70">
      <formula>AND(COUNTIF(G74:CT74,"&lt;&gt;" &amp; "")&gt;0,NOT(ISBLANK(E74)))</formula>
    </cfRule>
  </conditionalFormatting>
  <conditionalFormatting sqref="E75">
    <cfRule type="expression" dxfId="0" priority="71">
      <formula>COUNTIF(G75:CT75,"&lt;&gt;" &amp; "")&gt;0</formula>
    </cfRule>
    <cfRule type="expression" dxfId="1" priority="72">
      <formula>AND(COUNTIF(G75:CT75,"&lt;&gt;" &amp; "")&gt;0,NOT(ISBLANK(E75)))</formula>
    </cfRule>
  </conditionalFormatting>
  <conditionalFormatting sqref="E78">
    <cfRule type="expression" dxfId="0" priority="73">
      <formula>COUNTIF(G78:CT78,"&lt;&gt;" &amp; "")&gt;0</formula>
    </cfRule>
    <cfRule type="expression" dxfId="1" priority="74">
      <formula>AND(COUNTIF(G78:CT78,"&lt;&gt;" &amp; "")&gt;0,NOT(ISBLANK(E78)))</formula>
    </cfRule>
  </conditionalFormatting>
  <conditionalFormatting sqref="E79">
    <cfRule type="expression" dxfId="0" priority="75">
      <formula>COUNTIF(G79:CT79,"&lt;&gt;" &amp; "")&gt;0</formula>
    </cfRule>
    <cfRule type="expression" dxfId="1" priority="76">
      <formula>AND(COUNTIF(G79:CT79,"&lt;&gt;" &amp; "")&gt;0,NOT(ISBLANK(E79)))</formula>
    </cfRule>
  </conditionalFormatting>
  <conditionalFormatting sqref="E80">
    <cfRule type="expression" dxfId="0" priority="77">
      <formula>COUNTIF(G80:CT80,"&lt;&gt;" &amp; "")&gt;0</formula>
    </cfRule>
    <cfRule type="expression" dxfId="1" priority="78">
      <formula>AND(COUNTIF(G80:CT80,"&lt;&gt;" &amp; "")&gt;0,NOT(ISBLANK(E80)))</formula>
    </cfRule>
  </conditionalFormatting>
  <conditionalFormatting sqref="E81">
    <cfRule type="expression" dxfId="0" priority="79">
      <formula>COUNTIF(G81:CT81,"&lt;&gt;" &amp; "")&gt;0</formula>
    </cfRule>
    <cfRule type="expression" dxfId="1" priority="80">
      <formula>AND(COUNTIF(G81:CT81,"&lt;&gt;" &amp; "")&gt;0,NOT(ISBLANK(E81)))</formula>
    </cfRule>
  </conditionalFormatting>
  <conditionalFormatting sqref="E82">
    <cfRule type="expression" dxfId="0" priority="81">
      <formula>COUNTIF(G82:CT82,"&lt;&gt;" &amp; "")&gt;0</formula>
    </cfRule>
    <cfRule type="expression" dxfId="1" priority="82">
      <formula>AND(COUNTIF(G82:CT82,"&lt;&gt;" &amp; "")&gt;0,NOT(ISBLANK(E82)))</formula>
    </cfRule>
  </conditionalFormatting>
  <conditionalFormatting sqref="E83">
    <cfRule type="expression" dxfId="0" priority="83">
      <formula>COUNTIF(G83:CT83,"&lt;&gt;" &amp; "")&gt;0</formula>
    </cfRule>
    <cfRule type="expression" dxfId="1" priority="84">
      <formula>AND(COUNTIF(G83:CT83,"&lt;&gt;" &amp; "")&gt;0,NOT(ISBLANK(E83)))</formula>
    </cfRule>
  </conditionalFormatting>
  <conditionalFormatting sqref="E84">
    <cfRule type="expression" dxfId="0" priority="85">
      <formula>COUNTIF(G84:CT84,"&lt;&gt;" &amp; "")&gt;0</formula>
    </cfRule>
    <cfRule type="expression" dxfId="1" priority="86">
      <formula>AND(COUNTIF(G84:CT84,"&lt;&gt;" &amp; "")&gt;0,NOT(ISBLANK(E84)))</formula>
    </cfRule>
  </conditionalFormatting>
  <conditionalFormatting sqref="E85">
    <cfRule type="expression" dxfId="0" priority="87">
      <formula>COUNTIF(G85:CT85,"&lt;&gt;" &amp; "")&gt;0</formula>
    </cfRule>
    <cfRule type="expression" dxfId="1" priority="88">
      <formula>AND(COUNTIF(G85:CT85,"&lt;&gt;" &amp; "")&gt;0,NOT(ISBLANK(E85)))</formula>
    </cfRule>
  </conditionalFormatting>
  <conditionalFormatting sqref="E86">
    <cfRule type="expression" dxfId="0" priority="89">
      <formula>COUNTIF(G86:CT86,"&lt;&gt;" &amp; "")&gt;0</formula>
    </cfRule>
    <cfRule type="expression" dxfId="1" priority="90">
      <formula>AND(COUNTIF(G86:CT86,"&lt;&gt;" &amp; "")&gt;0,NOT(ISBLANK(E86)))</formula>
    </cfRule>
  </conditionalFormatting>
  <conditionalFormatting sqref="E87">
    <cfRule type="expression" dxfId="0" priority="91">
      <formula>COUNTIF(G87:CT87,"&lt;&gt;" &amp; "")&gt;0</formula>
    </cfRule>
    <cfRule type="expression" dxfId="1" priority="92">
      <formula>AND(COUNTIF(G87:CT87,"&lt;&gt;" &amp; "")&gt;0,NOT(ISBLANK(E87)))</formula>
    </cfRule>
  </conditionalFormatting>
  <conditionalFormatting sqref="E88">
    <cfRule type="expression" dxfId="0" priority="93">
      <formula>COUNTIF(G88:CT88,"&lt;&gt;" &amp; "")&gt;0</formula>
    </cfRule>
    <cfRule type="expression" dxfId="1" priority="94">
      <formula>AND(COUNTIF(G88:CT88,"&lt;&gt;" &amp; "")&gt;0,NOT(ISBLANK(E88)))</formula>
    </cfRule>
  </conditionalFormatting>
  <conditionalFormatting sqref="E89">
    <cfRule type="expression" dxfId="0" priority="95">
      <formula>COUNTIF(G89:CT89,"&lt;&gt;" &amp; "")&gt;0</formula>
    </cfRule>
    <cfRule type="expression" dxfId="1" priority="96">
      <formula>AND(COUNTIF(G89:CT89,"&lt;&gt;" &amp; "")&gt;0,NOT(ISBLANK(E89)))</formula>
    </cfRule>
  </conditionalFormatting>
  <conditionalFormatting sqref="E90">
    <cfRule type="expression" dxfId="0" priority="97">
      <formula>COUNTIF(G90:CT90,"&lt;&gt;" &amp; "")&gt;0</formula>
    </cfRule>
    <cfRule type="expression" dxfId="1" priority="98">
      <formula>AND(COUNTIF(G90:CT90,"&lt;&gt;" &amp; "")&gt;0,NOT(ISBLANK(E90)))</formula>
    </cfRule>
  </conditionalFormatting>
  <conditionalFormatting sqref="E91">
    <cfRule type="expression" dxfId="0" priority="99">
      <formula>COUNTIF(G91:CT91,"&lt;&gt;" &amp; "")&gt;0</formula>
    </cfRule>
    <cfRule type="expression" dxfId="1" priority="100">
      <formula>AND(COUNTIF(G91:CT91,"&lt;&gt;" &amp; "")&gt;0,NOT(ISBLANK(E91)))</formula>
    </cfRule>
  </conditionalFormatting>
  <conditionalFormatting sqref="E92">
    <cfRule type="expression" dxfId="0" priority="101">
      <formula>COUNTIF(G92:CT92,"&lt;&gt;" &amp; "")&gt;0</formula>
    </cfRule>
    <cfRule type="expression" dxfId="1" priority="102">
      <formula>AND(COUNTIF(G92:CT92,"&lt;&gt;" &amp; "")&gt;0,NOT(ISBLANK(E92)))</formula>
    </cfRule>
  </conditionalFormatting>
  <conditionalFormatting sqref="E93">
    <cfRule type="expression" dxfId="0" priority="103">
      <formula>COUNTIF(G93:CT93,"&lt;&gt;" &amp; "")&gt;0</formula>
    </cfRule>
    <cfRule type="expression" dxfId="1" priority="104">
      <formula>AND(COUNTIF(G93:CT93,"&lt;&gt;" &amp; "")&gt;0,NOT(ISBLANK(E93)))</formula>
    </cfRule>
  </conditionalFormatting>
  <conditionalFormatting sqref="E94">
    <cfRule type="expression" dxfId="0" priority="105">
      <formula>COUNTIF(G94:CT94,"&lt;&gt;" &amp; "")&gt;0</formula>
    </cfRule>
    <cfRule type="expression" dxfId="1" priority="106">
      <formula>AND(COUNTIF(G94:CT94,"&lt;&gt;" &amp; "")&gt;0,NOT(ISBLANK(E94)))</formula>
    </cfRule>
  </conditionalFormatting>
  <conditionalFormatting sqref="E95">
    <cfRule type="expression" dxfId="0" priority="107">
      <formula>COUNTIF(G95:CT95,"&lt;&gt;" &amp; "")&gt;0</formula>
    </cfRule>
    <cfRule type="expression" dxfId="1" priority="108">
      <formula>AND(COUNTIF(G95:CT95,"&lt;&gt;" &amp; "")&gt;0,NOT(ISBLANK(E95)))</formula>
    </cfRule>
  </conditionalFormatting>
  <conditionalFormatting sqref="E96">
    <cfRule type="expression" dxfId="0" priority="109">
      <formula>COUNTIF(G96:CT96,"&lt;&gt;" &amp; "")&gt;0</formula>
    </cfRule>
    <cfRule type="expression" dxfId="1" priority="110">
      <formula>AND(COUNTIF(G96:CT96,"&lt;&gt;" &amp; "")&gt;0,NOT(ISBLANK(E96)))</formula>
    </cfRule>
  </conditionalFormatting>
  <conditionalFormatting sqref="E97">
    <cfRule type="expression" dxfId="0" priority="111">
      <formula>COUNTIF(G97:CT97,"&lt;&gt;" &amp; "")&gt;0</formula>
    </cfRule>
    <cfRule type="expression" dxfId="1" priority="112">
      <formula>AND(COUNTIF(G97:CT97,"&lt;&gt;" &amp; "")&gt;0,NOT(ISBLANK(E97)))</formula>
    </cfRule>
  </conditionalFormatting>
  <conditionalFormatting sqref="E98">
    <cfRule type="expression" dxfId="0" priority="113">
      <formula>COUNTIF(G98:CT98,"&lt;&gt;" &amp; "")&gt;0</formula>
    </cfRule>
    <cfRule type="expression" dxfId="1" priority="114">
      <formula>AND(COUNTIF(G98:CT98,"&lt;&gt;" &amp; "")&gt;0,NOT(ISBLANK(E98)))</formula>
    </cfRule>
  </conditionalFormatting>
  <conditionalFormatting sqref="E99">
    <cfRule type="expression" dxfId="0" priority="115">
      <formula>COUNTIF(G99:CT99,"&lt;&gt;" &amp; "")&gt;0</formula>
    </cfRule>
    <cfRule type="expression" dxfId="1" priority="116">
      <formula>AND(COUNTIF(G99:CT99,"&lt;&gt;" &amp; "")&gt;0,NOT(ISBLANK(E99)))</formula>
    </cfRule>
  </conditionalFormatting>
  <dataValidations count="18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1">
      <formula1>"Number (per year)"</formula1>
    </dataValidation>
    <dataValidation type="list" allowBlank="1" showInputMessage="1" showErrorMessage="1" sqref="C52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2">
      <formula1>"Number (per year)"</formula1>
    </dataValidation>
    <dataValidation type="list" allowBlank="1" showInputMessage="1" showErrorMessage="1" sqref="C103">
      <formula1>"Number (per year)"</formula1>
    </dataValidation>
    <dataValidation type="list" allowBlank="1" showInputMessage="1" showErrorMessage="1" sqref="C104">
      <formula1>"Number (per year)"</formula1>
    </dataValidation>
    <dataValidation type="list" allowBlank="1" showInputMessage="1" showErrorMessage="1" sqref="C105">
      <formula1>"Number (per year)"</formula1>
    </dataValidation>
    <dataValidation type="list" allowBlank="1" showInputMessage="1" showErrorMessage="1" sqref="C106">
      <formula1>"Number (per year)"</formula1>
    </dataValidation>
    <dataValidation type="list" allowBlank="1" showInputMessage="1" showErrorMessage="1" sqref="C107">
      <formula1>"Number (per year)"</formula1>
    </dataValidation>
    <dataValidation type="list" allowBlank="1" showInputMessage="1" showErrorMessage="1" sqref="C108">
      <formula1>"Number (per year)"</formula1>
    </dataValidation>
    <dataValidation type="list" allowBlank="1" showInputMessage="1" showErrorMessage="1" sqref="C109">
      <formula1>"Number (per year)"</formula1>
    </dataValidation>
    <dataValidation type="list" allowBlank="1" showInputMessage="1" showErrorMessage="1" sqref="C110">
      <formula1>"Number (per year)"</formula1>
    </dataValidation>
    <dataValidation type="list" allowBlank="1" showInputMessage="1" showErrorMessage="1" sqref="C111">
      <formula1>"Number (per year)"</formula1>
    </dataValidation>
    <dataValidation type="list" allowBlank="1" showInputMessage="1" showErrorMessage="1" sqref="C112">
      <formula1>"Number (per year)"</formula1>
    </dataValidation>
    <dataValidation type="list" allowBlank="1" showInputMessage="1" showErrorMessage="1" sqref="C113">
      <formula1>"Number (per year)"</formula1>
    </dataValidation>
    <dataValidation type="list" allowBlank="1" showInputMessage="1" showErrorMessage="1" sqref="C116">
      <formula1>"Number (per year)"</formula1>
    </dataValidation>
    <dataValidation type="list" allowBlank="1" showInputMessage="1" showErrorMessage="1" sqref="C117">
      <formula1>"Number (per year)"</formula1>
    </dataValidation>
    <dataValidation type="list" allowBlank="1" showInputMessage="1" showErrorMessage="1" sqref="C118">
      <formula1>"Number (per year)"</formula1>
    </dataValidation>
    <dataValidation type="list" allowBlank="1" showInputMessage="1" showErrorMessage="1" sqref="C119">
      <formula1>"Number (per year)"</formula1>
    </dataValidation>
    <dataValidation type="list" allowBlank="1" showInputMessage="1" showErrorMessage="1" sqref="C120">
      <formula1>"Number (per year)"</formula1>
    </dataValidation>
    <dataValidation type="list" allowBlank="1" showInputMessage="1" showErrorMessage="1" sqref="C121">
      <formula1>"Number (per year)"</formula1>
    </dataValidation>
    <dataValidation type="list" allowBlank="1" showInputMessage="1" showErrorMessage="1" sqref="C122">
      <formula1>"Number (per year)"</formula1>
    </dataValidation>
    <dataValidation type="list" allowBlank="1" showInputMessage="1" showErrorMessage="1" sqref="C123">
      <formula1>"Number (per year)"</formula1>
    </dataValidation>
    <dataValidation type="list" allowBlank="1" showInputMessage="1" showErrorMessage="1" sqref="C124">
      <formula1>"Number (per year)"</formula1>
    </dataValidation>
    <dataValidation type="list" allowBlank="1" showInputMessage="1" showErrorMessage="1" sqref="C125">
      <formula1>"Number (per year)"</formula1>
    </dataValidation>
    <dataValidation type="list" allowBlank="1" showInputMessage="1" showErrorMessage="1" sqref="C126">
      <formula1>"Number (per year)"</formula1>
    </dataValidation>
    <dataValidation type="list" allowBlank="1" showInputMessage="1" showErrorMessage="1" sqref="C127">
      <formula1>"Number (per year)"</formula1>
    </dataValidation>
    <dataValidation type="list" allowBlank="1" showInputMessage="1" showErrorMessage="1" sqref="C128">
      <formula1>"Number (per year)"</formula1>
    </dataValidation>
    <dataValidation type="list" allowBlank="1" showInputMessage="1" showErrorMessage="1" sqref="C129">
      <formula1>"Number (per year)"</formula1>
    </dataValidation>
    <dataValidation type="list" allowBlank="1" showInputMessage="1" showErrorMessage="1" sqref="C130">
      <formula1>"Number (per year)"</formula1>
    </dataValidation>
    <dataValidation type="list" allowBlank="1" showInputMessage="1" showErrorMessage="1" sqref="C131">
      <formula1>"Number (per year)"</formula1>
    </dataValidation>
    <dataValidation type="list" allowBlank="1" showInputMessage="1" showErrorMessage="1" sqref="C132">
      <formula1>"Number (per year)"</formula1>
    </dataValidation>
    <dataValidation type="list" allowBlank="1" showInputMessage="1" showErrorMessage="1" sqref="C133">
      <formula1>"Number (per year)"</formula1>
    </dataValidation>
    <dataValidation type="list" allowBlank="1" showInputMessage="1" showErrorMessage="1" sqref="C134">
      <formula1>"Number (per year)"</formula1>
    </dataValidation>
    <dataValidation type="list" allowBlank="1" showInputMessage="1" showErrorMessage="1" sqref="C135">
      <formula1>"Number (per year)"</formula1>
    </dataValidation>
    <dataValidation type="list" allowBlank="1" showInputMessage="1" showErrorMessage="1" sqref="C136">
      <formula1>"Number (per year)"</formula1>
    </dataValidation>
    <dataValidation type="list" allowBlank="1" showInputMessage="1" showErrorMessage="1" sqref="C137">
      <formula1>"Number (per year)"</formula1>
    </dataValidation>
    <dataValidation type="list" allowBlank="1" showInputMessage="1" showErrorMessage="1" sqref="C138">
      <formula1>"Number (per year)"</formula1>
    </dataValidation>
    <dataValidation type="list" allowBlank="1" showInputMessage="1" showErrorMessage="1" sqref="C139">
      <formula1>"Number (per year)"</formula1>
    </dataValidation>
    <dataValidation type="list" allowBlank="1" showInputMessage="1" showErrorMessage="1" sqref="C140">
      <formula1>"Number (per year)"</formula1>
    </dataValidation>
    <dataValidation type="list" allowBlank="1" showInputMessage="1" showErrorMessage="1" sqref="C141">
      <formula1>"Number (per year)"</formula1>
    </dataValidation>
    <dataValidation type="list" allowBlank="1" showInputMessage="1" showErrorMessage="1" sqref="C142">
      <formula1>"Number (per year)"</formula1>
    </dataValidation>
    <dataValidation type="list" allowBlank="1" showInputMessage="1" showErrorMessage="1" sqref="C143">
      <formula1>"Number (per year)"</formula1>
    </dataValidation>
    <dataValidation type="list" allowBlank="1" showInputMessage="1" showErrorMessage="1" sqref="C144">
      <formula1>"Number (per year)"</formula1>
    </dataValidation>
    <dataValidation type="list" allowBlank="1" showInputMessage="1" showErrorMessage="1" sqref="C145">
      <formula1>"Number (per year)"</formula1>
    </dataValidation>
    <dataValidation type="list" allowBlank="1" showInputMessage="1" showErrorMessage="1" sqref="C146">
      <formula1>"Number (per year)"</formula1>
    </dataValidation>
    <dataValidation type="list" allowBlank="1" showInputMessage="1" showErrorMessage="1" sqref="C147">
      <formula1>"Number (per year)"</formula1>
    </dataValidation>
    <dataValidation type="list" allowBlank="1" showInputMessage="1" showErrorMessage="1" sqref="C148">
      <formula1>"Number (per year)"</formula1>
    </dataValidation>
    <dataValidation type="list" allowBlank="1" showInputMessage="1" showErrorMessage="1" sqref="C149">
      <formula1>"Number (per year)"</formula1>
    </dataValidation>
    <dataValidation type="list" allowBlank="1" showInputMessage="1" showErrorMessage="1" sqref="C150">
      <formula1>"Number (per year)"</formula1>
    </dataValidation>
    <dataValidation type="list" allowBlank="1" showInputMessage="1" showErrorMessage="1" sqref="C151">
      <formula1>"Number (per year)"</formula1>
    </dataValidation>
    <dataValidation type="list" allowBlank="1" showInputMessage="1" showErrorMessage="1" sqref="C154">
      <formula1>"Probability (per year)"</formula1>
    </dataValidation>
    <dataValidation type="list" allowBlank="1" showInputMessage="1" showErrorMessage="1" sqref="C155">
      <formula1>"Probability (per year)"</formula1>
    </dataValidation>
    <dataValidation type="list" allowBlank="1" showInputMessage="1" showErrorMessage="1" sqref="C156">
      <formula1>"Probability (per year)"</formula1>
    </dataValidation>
    <dataValidation type="list" allowBlank="1" showInputMessage="1" showErrorMessage="1" sqref="C157">
      <formula1>"Probability (per year)"</formula1>
    </dataValidation>
    <dataValidation type="list" allowBlank="1" showInputMessage="1" showErrorMessage="1" sqref="C158">
      <formula1>"Probability (per year)"</formula1>
    </dataValidation>
    <dataValidation type="list" allowBlank="1" showInputMessage="1" showErrorMessage="1" sqref="C159">
      <formula1>"Probability (per year)"</formula1>
    </dataValidation>
    <dataValidation type="list" allowBlank="1" showInputMessage="1" showErrorMessage="1" sqref="C160">
      <formula1>"Probability (per year)"</formula1>
    </dataValidation>
    <dataValidation type="list" allowBlank="1" showInputMessage="1" showErrorMessage="1" sqref="C161">
      <formula1>"Probability (per year)"</formula1>
    </dataValidation>
    <dataValidation type="list" allowBlank="1" showInputMessage="1" showErrorMessage="1" sqref="C162">
      <formula1>"Probability (per year)"</formula1>
    </dataValidation>
    <dataValidation type="list" allowBlank="1" showInputMessage="1" showErrorMessage="1" sqref="C163">
      <formula1>"Probability (per year)"</formula1>
    </dataValidation>
    <dataValidation type="list" allowBlank="1" showInputMessage="1" showErrorMessage="1" sqref="C164">
      <formula1>"Probability (per year)"</formula1>
    </dataValidation>
    <dataValidation type="list" allowBlank="1" showInputMessage="1" showErrorMessage="1" sqref="C165">
      <formula1>"Probability (per year)"</formula1>
    </dataValidation>
    <dataValidation type="list" allowBlank="1" showInputMessage="1" showErrorMessage="1" sqref="C166">
      <formula1>"Probability (per year)"</formula1>
    </dataValidation>
    <dataValidation type="list" allowBlank="1" showInputMessage="1" showErrorMessage="1" sqref="C167">
      <formula1>"Probability (per year)"</formula1>
    </dataValidation>
    <dataValidation type="list" allowBlank="1" showInputMessage="1" showErrorMessage="1" sqref="C168">
      <formula1>"Probability (per year)"</formula1>
    </dataValidation>
    <dataValidation type="list" allowBlank="1" showInputMessage="1" showErrorMessage="1" sqref="C169">
      <formula1>"Probability (per year)"</formula1>
    </dataValidation>
    <dataValidation type="list" allowBlank="1" showInputMessage="1" showErrorMessage="1" sqref="C170">
      <formula1>"Probability (per year)"</formula1>
    </dataValidation>
    <dataValidation type="list" allowBlank="1" showInputMessage="1" showErrorMessage="1" sqref="C171">
      <formula1>"Probability (per year)"</formula1>
    </dataValidation>
    <dataValidation type="list" allowBlank="1" showInputMessage="1" showErrorMessage="1" sqref="C172">
      <formula1>"Probability (per year)"</formula1>
    </dataValidation>
    <dataValidation type="list" allowBlank="1" showInputMessage="1" showErrorMessage="1" sqref="C173">
      <formula1>"Probability (per year)"</formula1>
    </dataValidation>
    <dataValidation type="list" allowBlank="1" showInputMessage="1" showErrorMessage="1" sqref="C174">
      <formula1>"Probability (per year)"</formula1>
    </dataValidation>
    <dataValidation type="list" allowBlank="1" showInputMessage="1" showErrorMessage="1" sqref="C175">
      <formula1>"Probability (per year)"</formula1>
    </dataValidation>
    <dataValidation type="list" allowBlank="1" showInputMessage="1" showErrorMessage="1" sqref="C176">
      <formula1>"Probability (per year)"</formula1>
    </dataValidation>
    <dataValidation type="list" allowBlank="1" showInputMessage="1" showErrorMessage="1" sqref="C177">
      <formula1>"Probability (per year)"</formula1>
    </dataValidation>
    <dataValidation type="list" allowBlank="1" showInputMessage="1" showErrorMessage="1" sqref="C178">
      <formula1>"Probability (per year)"</formula1>
    </dataValidation>
    <dataValidation type="list" allowBlank="1" showInputMessage="1" showErrorMessage="1" sqref="C179">
      <formula1>"Probability (per year)"</formula1>
    </dataValidation>
    <dataValidation type="list" allowBlank="1" showInputMessage="1" showErrorMessage="1" sqref="C180">
      <formula1>"Probability (per year)"</formula1>
    </dataValidation>
    <dataValidation type="list" allowBlank="1" showInputMessage="1" showErrorMessage="1" sqref="C181">
      <formula1>"Probability (per year)"</formula1>
    </dataValidation>
    <dataValidation type="list" allowBlank="1" showInputMessage="1" showErrorMessage="1" sqref="C182">
      <formula1>"Probability (per year)"</formula1>
    </dataValidation>
    <dataValidation type="list" allowBlank="1" showInputMessage="1" showErrorMessage="1" sqref="C183">
      <formula1>"Probability (per year)"</formula1>
    </dataValidation>
    <dataValidation type="list" allowBlank="1" showInputMessage="1" showErrorMessage="1" sqref="C184">
      <formula1>"Probability (per year)"</formula1>
    </dataValidation>
    <dataValidation type="list" allowBlank="1" showInputMessage="1" showErrorMessage="1" sqref="C185">
      <formula1>"Probability (per year)"</formula1>
    </dataValidation>
    <dataValidation type="list" allowBlank="1" showInputMessage="1" showErrorMessage="1" sqref="C186">
      <formula1>"Probability (per year)"</formula1>
    </dataValidation>
    <dataValidation type="list" allowBlank="1" showInputMessage="1" showErrorMessage="1" sqref="C187">
      <formula1>"Probability (per year)"</formula1>
    </dataValidation>
    <dataValidation type="list" allowBlank="1" showInputMessage="1" showErrorMessage="1" sqref="C188">
      <formula1>"Probability (per year)"</formula1>
    </dataValidation>
    <dataValidation type="list" allowBlank="1" showInputMessage="1" showErrorMessage="1" sqref="C189">
      <formula1>"Probability (per year)"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CV1338"/>
  <sheetViews>
    <sheetView workbookViewId="0"/>
  </sheetViews>
  <sheetFormatPr defaultRowHeight="15"/>
  <cols>
    <col min="1" max="1" width="18.28515625" customWidth="1"/>
    <col min="2" max="2" width="11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8" width="10.5703125" customWidth="1"/>
    <col min="9" max="9" width="11.5703125" customWidth="1"/>
    <col min="10" max="12" width="12.7109375" customWidth="1"/>
    <col min="13" max="14" width="10.5703125" customWidth="1"/>
    <col min="15" max="15" width="11.5703125" customWidth="1"/>
    <col min="16" max="18" width="12.7109375" customWidth="1"/>
    <col min="19" max="20" width="10.5703125" customWidth="1"/>
    <col min="21" max="21" width="11.5703125" customWidth="1"/>
    <col min="22" max="24" width="12.7109375" customWidth="1"/>
    <col min="25" max="26" width="10.5703125" customWidth="1"/>
    <col min="27" max="27" width="11.5703125" customWidth="1"/>
    <col min="28" max="30" width="12.7109375" customWidth="1"/>
    <col min="31" max="32" width="10.5703125" customWidth="1"/>
    <col min="33" max="33" width="11.5703125" customWidth="1"/>
    <col min="34" max="36" width="12.7109375" customWidth="1"/>
    <col min="37" max="37" width="10.5703125" customWidth="1"/>
    <col min="38" max="100" width="9.42578125" customWidth="1"/>
  </cols>
  <sheetData>
    <row r="1" spans="1:37">
      <c r="A1" s="1" t="s">
        <v>0</v>
      </c>
      <c r="B1" s="1" t="s">
        <v>1</v>
      </c>
      <c r="C1" s="1" t="s">
        <v>55</v>
      </c>
      <c r="D1" s="1" t="s">
        <v>56</v>
      </c>
    </row>
    <row r="2" spans="1:37">
      <c r="A2" t="s">
        <v>53</v>
      </c>
      <c r="B2" t="s">
        <v>54</v>
      </c>
      <c r="C2" t="s">
        <v>4</v>
      </c>
      <c r="D2" t="s">
        <v>4</v>
      </c>
    </row>
    <row r="4" spans="1:37">
      <c r="B4" s="1" t="str">
        <f>'Population Definitions'!$B$2</f>
        <v>0-4M_aus</v>
      </c>
      <c r="C4" s="1" t="str">
        <f>'Population Definitions'!$B$3</f>
        <v>5-14M_aus</v>
      </c>
      <c r="D4" s="1" t="str">
        <f>'Population Definitions'!$B$4</f>
        <v>15-29M_aus</v>
      </c>
      <c r="E4" s="1" t="str">
        <f>'Population Definitions'!$B$5</f>
        <v>30-49M_aus</v>
      </c>
      <c r="F4" s="1" t="str">
        <f>'Population Definitions'!$B$6</f>
        <v>50-64M_aus</v>
      </c>
      <c r="G4" s="1" t="str">
        <f>'Population Definitions'!$B$7</f>
        <v>65+M_aus</v>
      </c>
      <c r="H4" s="1" t="str">
        <f>'Population Definitions'!$B$8</f>
        <v>0-4F_aus</v>
      </c>
      <c r="I4" s="1" t="str">
        <f>'Population Definitions'!$B$9</f>
        <v>5-14F_aus</v>
      </c>
      <c r="J4" s="1" t="str">
        <f>'Population Definitions'!$B$10</f>
        <v>15-29F_aus</v>
      </c>
      <c r="K4" s="1" t="str">
        <f>'Population Definitions'!$B$11</f>
        <v>30-49F_aus</v>
      </c>
      <c r="L4" s="1" t="str">
        <f>'Population Definitions'!$B$12</f>
        <v>50-64F_aus</v>
      </c>
      <c r="M4" s="1" t="str">
        <f>'Population Definitions'!$B$13</f>
        <v>65+F_aus</v>
      </c>
      <c r="N4" s="1" t="str">
        <f>'Population Definitions'!$B$14</f>
        <v>0-4M_oth</v>
      </c>
      <c r="O4" s="1" t="str">
        <f>'Population Definitions'!$B$15</f>
        <v>5-14M_oth</v>
      </c>
      <c r="P4" s="1" t="str">
        <f>'Population Definitions'!$B$16</f>
        <v>15-29M_oth</v>
      </c>
      <c r="Q4" s="1" t="str">
        <f>'Population Definitions'!$B$17</f>
        <v>30-49M_oth</v>
      </c>
      <c r="R4" s="1" t="str">
        <f>'Population Definitions'!$B$18</f>
        <v>50-64M_oth</v>
      </c>
      <c r="S4" s="1" t="str">
        <f>'Population Definitions'!$B$19</f>
        <v>65+M_oth</v>
      </c>
      <c r="T4" s="1" t="str">
        <f>'Population Definitions'!$B$20</f>
        <v>0-4F_oth</v>
      </c>
      <c r="U4" s="1" t="str">
        <f>'Population Definitions'!$B$21</f>
        <v>5-14F_oth</v>
      </c>
      <c r="V4" s="1" t="str">
        <f>'Population Definitions'!$B$22</f>
        <v>15-29F_oth</v>
      </c>
      <c r="W4" s="1" t="str">
        <f>'Population Definitions'!$B$23</f>
        <v>30-49F_oth</v>
      </c>
      <c r="X4" s="1" t="str">
        <f>'Population Definitions'!$B$24</f>
        <v>50-64F_oth</v>
      </c>
      <c r="Y4" s="1" t="str">
        <f>'Population Definitions'!$B$25</f>
        <v>65+F_oth</v>
      </c>
      <c r="Z4" s="1" t="str">
        <f>'Population Definitions'!$B$26</f>
        <v>0-4M_fns</v>
      </c>
      <c r="AA4" s="1" t="str">
        <f>'Population Definitions'!$B$27</f>
        <v>5-14M_fns</v>
      </c>
      <c r="AB4" s="1" t="str">
        <f>'Population Definitions'!$B$28</f>
        <v>15-29M_fns</v>
      </c>
      <c r="AC4" s="1" t="str">
        <f>'Population Definitions'!$B$29</f>
        <v>30-49M_fns</v>
      </c>
      <c r="AD4" s="1" t="str">
        <f>'Population Definitions'!$B$30</f>
        <v>50-64M_fns</v>
      </c>
      <c r="AE4" s="1" t="str">
        <f>'Population Definitions'!$B$31</f>
        <v>65+M_fns</v>
      </c>
      <c r="AF4" s="1" t="str">
        <f>'Population Definitions'!$B$32</f>
        <v>0-4F_fns</v>
      </c>
      <c r="AG4" s="1" t="str">
        <f>'Population Definitions'!$B$33</f>
        <v>5-14F_fns</v>
      </c>
      <c r="AH4" s="1" t="str">
        <f>'Population Definitions'!$B$34</f>
        <v>15-29F_fns</v>
      </c>
      <c r="AI4" s="1" t="str">
        <f>'Population Definitions'!$B$35</f>
        <v>30-49F_fns</v>
      </c>
      <c r="AJ4" s="1" t="str">
        <f>'Population Definitions'!$B$36</f>
        <v>50-64F_fns</v>
      </c>
      <c r="AK4" s="1" t="str">
        <f>'Population Definitions'!$B$37</f>
        <v>65+F_fns</v>
      </c>
    </row>
    <row r="5" spans="1:37">
      <c r="A5" s="1" t="str">
        <f>'Population Definitions'!$B$2</f>
        <v>0-4M_aus</v>
      </c>
      <c r="B5" s="4" t="s">
        <v>57</v>
      </c>
      <c r="C5" s="5" t="s">
        <v>58</v>
      </c>
      <c r="D5" s="5" t="s">
        <v>59</v>
      </c>
      <c r="E5" s="5" t="s">
        <v>59</v>
      </c>
      <c r="F5" s="5" t="s">
        <v>59</v>
      </c>
      <c r="G5" s="5" t="s">
        <v>59</v>
      </c>
      <c r="H5" s="5" t="s">
        <v>59</v>
      </c>
      <c r="I5" s="5" t="s">
        <v>59</v>
      </c>
      <c r="J5" s="5" t="s">
        <v>59</v>
      </c>
      <c r="K5" s="5" t="s">
        <v>59</v>
      </c>
      <c r="L5" s="5" t="s">
        <v>59</v>
      </c>
      <c r="M5" s="5" t="s">
        <v>59</v>
      </c>
      <c r="N5" s="5" t="s">
        <v>59</v>
      </c>
      <c r="O5" s="5" t="s">
        <v>59</v>
      </c>
      <c r="P5" s="5" t="s">
        <v>59</v>
      </c>
      <c r="Q5" s="5" t="s">
        <v>59</v>
      </c>
      <c r="R5" s="5" t="s">
        <v>59</v>
      </c>
      <c r="S5" s="5" t="s">
        <v>59</v>
      </c>
      <c r="T5" s="5" t="s">
        <v>59</v>
      </c>
      <c r="U5" s="5" t="s">
        <v>59</v>
      </c>
      <c r="V5" s="5" t="s">
        <v>59</v>
      </c>
      <c r="W5" s="5" t="s">
        <v>59</v>
      </c>
      <c r="X5" s="5" t="s">
        <v>59</v>
      </c>
      <c r="Y5" s="5" t="s">
        <v>59</v>
      </c>
      <c r="Z5" s="5" t="s">
        <v>59</v>
      </c>
      <c r="AA5" s="5" t="s">
        <v>59</v>
      </c>
      <c r="AB5" s="5" t="s">
        <v>59</v>
      </c>
      <c r="AC5" s="5" t="s">
        <v>59</v>
      </c>
      <c r="AD5" s="5" t="s">
        <v>59</v>
      </c>
      <c r="AE5" s="5" t="s">
        <v>59</v>
      </c>
      <c r="AF5" s="5" t="s">
        <v>59</v>
      </c>
      <c r="AG5" s="5" t="s">
        <v>59</v>
      </c>
      <c r="AH5" s="5" t="s">
        <v>59</v>
      </c>
      <c r="AI5" s="5" t="s">
        <v>59</v>
      </c>
      <c r="AJ5" s="5" t="s">
        <v>59</v>
      </c>
      <c r="AK5" s="5" t="s">
        <v>59</v>
      </c>
    </row>
    <row r="6" spans="1:37">
      <c r="A6" s="1" t="str">
        <f>'Population Definitions'!$B$3</f>
        <v>5-14M_aus</v>
      </c>
      <c r="B6" s="5" t="s">
        <v>59</v>
      </c>
      <c r="C6" s="4" t="s">
        <v>57</v>
      </c>
      <c r="D6" s="5" t="s">
        <v>58</v>
      </c>
      <c r="E6" s="5" t="s">
        <v>59</v>
      </c>
      <c r="F6" s="5" t="s">
        <v>59</v>
      </c>
      <c r="G6" s="5" t="s">
        <v>59</v>
      </c>
      <c r="H6" s="5" t="s">
        <v>59</v>
      </c>
      <c r="I6" s="5" t="s">
        <v>59</v>
      </c>
      <c r="J6" s="5" t="s">
        <v>59</v>
      </c>
      <c r="K6" s="5" t="s">
        <v>59</v>
      </c>
      <c r="L6" s="5" t="s">
        <v>59</v>
      </c>
      <c r="M6" s="5" t="s">
        <v>59</v>
      </c>
      <c r="N6" s="5" t="s">
        <v>59</v>
      </c>
      <c r="O6" s="5" t="s">
        <v>59</v>
      </c>
      <c r="P6" s="5" t="s">
        <v>59</v>
      </c>
      <c r="Q6" s="5" t="s">
        <v>59</v>
      </c>
      <c r="R6" s="5" t="s">
        <v>59</v>
      </c>
      <c r="S6" s="5" t="s">
        <v>59</v>
      </c>
      <c r="T6" s="5" t="s">
        <v>59</v>
      </c>
      <c r="U6" s="5" t="s">
        <v>59</v>
      </c>
      <c r="V6" s="5" t="s">
        <v>59</v>
      </c>
      <c r="W6" s="5" t="s">
        <v>59</v>
      </c>
      <c r="X6" s="5" t="s">
        <v>59</v>
      </c>
      <c r="Y6" s="5" t="s">
        <v>59</v>
      </c>
      <c r="Z6" s="5" t="s">
        <v>59</v>
      </c>
      <c r="AA6" s="5" t="s">
        <v>59</v>
      </c>
      <c r="AB6" s="5" t="s">
        <v>59</v>
      </c>
      <c r="AC6" s="5" t="s">
        <v>59</v>
      </c>
      <c r="AD6" s="5" t="s">
        <v>59</v>
      </c>
      <c r="AE6" s="5" t="s">
        <v>59</v>
      </c>
      <c r="AF6" s="5" t="s">
        <v>59</v>
      </c>
      <c r="AG6" s="5" t="s">
        <v>59</v>
      </c>
      <c r="AH6" s="5" t="s">
        <v>59</v>
      </c>
      <c r="AI6" s="5" t="s">
        <v>59</v>
      </c>
      <c r="AJ6" s="5" t="s">
        <v>59</v>
      </c>
      <c r="AK6" s="5" t="s">
        <v>59</v>
      </c>
    </row>
    <row r="7" spans="1:37">
      <c r="A7" s="1" t="str">
        <f>'Population Definitions'!$B$4</f>
        <v>15-29M_aus</v>
      </c>
      <c r="B7" s="5" t="s">
        <v>59</v>
      </c>
      <c r="C7" s="5" t="s">
        <v>59</v>
      </c>
      <c r="D7" s="4" t="s">
        <v>57</v>
      </c>
      <c r="E7" s="5" t="s">
        <v>58</v>
      </c>
      <c r="F7" s="5" t="s">
        <v>59</v>
      </c>
      <c r="G7" s="5" t="s">
        <v>59</v>
      </c>
      <c r="H7" s="5" t="s">
        <v>59</v>
      </c>
      <c r="I7" s="5" t="s">
        <v>59</v>
      </c>
      <c r="J7" s="5" t="s">
        <v>59</v>
      </c>
      <c r="K7" s="5" t="s">
        <v>59</v>
      </c>
      <c r="L7" s="5" t="s">
        <v>59</v>
      </c>
      <c r="M7" s="5" t="s">
        <v>59</v>
      </c>
      <c r="N7" s="5" t="s">
        <v>59</v>
      </c>
      <c r="O7" s="5" t="s">
        <v>59</v>
      </c>
      <c r="P7" s="5" t="s">
        <v>59</v>
      </c>
      <c r="Q7" s="5" t="s">
        <v>59</v>
      </c>
      <c r="R7" s="5" t="s">
        <v>59</v>
      </c>
      <c r="S7" s="5" t="s">
        <v>59</v>
      </c>
      <c r="T7" s="5" t="s">
        <v>59</v>
      </c>
      <c r="U7" s="5" t="s">
        <v>59</v>
      </c>
      <c r="V7" s="5" t="s">
        <v>59</v>
      </c>
      <c r="W7" s="5" t="s">
        <v>59</v>
      </c>
      <c r="X7" s="5" t="s">
        <v>59</v>
      </c>
      <c r="Y7" s="5" t="s">
        <v>59</v>
      </c>
      <c r="Z7" s="5" t="s">
        <v>59</v>
      </c>
      <c r="AA7" s="5" t="s">
        <v>59</v>
      </c>
      <c r="AB7" s="5" t="s">
        <v>59</v>
      </c>
      <c r="AC7" s="5" t="s">
        <v>59</v>
      </c>
      <c r="AD7" s="5" t="s">
        <v>59</v>
      </c>
      <c r="AE7" s="5" t="s">
        <v>59</v>
      </c>
      <c r="AF7" s="5" t="s">
        <v>59</v>
      </c>
      <c r="AG7" s="5" t="s">
        <v>59</v>
      </c>
      <c r="AH7" s="5" t="s">
        <v>59</v>
      </c>
      <c r="AI7" s="5" t="s">
        <v>59</v>
      </c>
      <c r="AJ7" s="5" t="s">
        <v>59</v>
      </c>
      <c r="AK7" s="5" t="s">
        <v>59</v>
      </c>
    </row>
    <row r="8" spans="1:37">
      <c r="A8" s="1" t="str">
        <f>'Population Definitions'!$B$5</f>
        <v>30-49M_aus</v>
      </c>
      <c r="B8" s="5" t="s">
        <v>59</v>
      </c>
      <c r="C8" s="5" t="s">
        <v>59</v>
      </c>
      <c r="D8" s="5" t="s">
        <v>59</v>
      </c>
      <c r="E8" s="4" t="s">
        <v>57</v>
      </c>
      <c r="F8" s="5" t="s">
        <v>58</v>
      </c>
      <c r="G8" s="5" t="s">
        <v>59</v>
      </c>
      <c r="H8" s="5" t="s">
        <v>59</v>
      </c>
      <c r="I8" s="5" t="s">
        <v>59</v>
      </c>
      <c r="J8" s="5" t="s">
        <v>59</v>
      </c>
      <c r="K8" s="5" t="s">
        <v>59</v>
      </c>
      <c r="L8" s="5" t="s">
        <v>59</v>
      </c>
      <c r="M8" s="5" t="s">
        <v>59</v>
      </c>
      <c r="N8" s="5" t="s">
        <v>59</v>
      </c>
      <c r="O8" s="5" t="s">
        <v>59</v>
      </c>
      <c r="P8" s="5" t="s">
        <v>59</v>
      </c>
      <c r="Q8" s="5" t="s">
        <v>59</v>
      </c>
      <c r="R8" s="5" t="s">
        <v>59</v>
      </c>
      <c r="S8" s="5" t="s">
        <v>59</v>
      </c>
      <c r="T8" s="5" t="s">
        <v>59</v>
      </c>
      <c r="U8" s="5" t="s">
        <v>59</v>
      </c>
      <c r="V8" s="5" t="s">
        <v>59</v>
      </c>
      <c r="W8" s="5" t="s">
        <v>59</v>
      </c>
      <c r="X8" s="5" t="s">
        <v>59</v>
      </c>
      <c r="Y8" s="5" t="s">
        <v>59</v>
      </c>
      <c r="Z8" s="5" t="s">
        <v>59</v>
      </c>
      <c r="AA8" s="5" t="s">
        <v>59</v>
      </c>
      <c r="AB8" s="5" t="s">
        <v>59</v>
      </c>
      <c r="AC8" s="5" t="s">
        <v>59</v>
      </c>
      <c r="AD8" s="5" t="s">
        <v>59</v>
      </c>
      <c r="AE8" s="5" t="s">
        <v>59</v>
      </c>
      <c r="AF8" s="5" t="s">
        <v>59</v>
      </c>
      <c r="AG8" s="5" t="s">
        <v>59</v>
      </c>
      <c r="AH8" s="5" t="s">
        <v>59</v>
      </c>
      <c r="AI8" s="5" t="s">
        <v>59</v>
      </c>
      <c r="AJ8" s="5" t="s">
        <v>59</v>
      </c>
      <c r="AK8" s="5" t="s">
        <v>59</v>
      </c>
    </row>
    <row r="9" spans="1:37">
      <c r="A9" s="1" t="str">
        <f>'Population Definitions'!$B$6</f>
        <v>50-64M_aus</v>
      </c>
      <c r="B9" s="5" t="s">
        <v>59</v>
      </c>
      <c r="C9" s="5" t="s">
        <v>59</v>
      </c>
      <c r="D9" s="5" t="s">
        <v>59</v>
      </c>
      <c r="E9" s="5" t="s">
        <v>59</v>
      </c>
      <c r="F9" s="4" t="s">
        <v>57</v>
      </c>
      <c r="G9" s="5" t="s">
        <v>58</v>
      </c>
      <c r="H9" s="5" t="s">
        <v>59</v>
      </c>
      <c r="I9" s="5" t="s">
        <v>59</v>
      </c>
      <c r="J9" s="5" t="s">
        <v>59</v>
      </c>
      <c r="K9" s="5" t="s">
        <v>59</v>
      </c>
      <c r="L9" s="5" t="s">
        <v>59</v>
      </c>
      <c r="M9" s="5" t="s">
        <v>59</v>
      </c>
      <c r="N9" s="5" t="s">
        <v>59</v>
      </c>
      <c r="O9" s="5" t="s">
        <v>59</v>
      </c>
      <c r="P9" s="5" t="s">
        <v>59</v>
      </c>
      <c r="Q9" s="5" t="s">
        <v>59</v>
      </c>
      <c r="R9" s="5" t="s">
        <v>59</v>
      </c>
      <c r="S9" s="5" t="s">
        <v>59</v>
      </c>
      <c r="T9" s="5" t="s">
        <v>59</v>
      </c>
      <c r="U9" s="5" t="s">
        <v>59</v>
      </c>
      <c r="V9" s="5" t="s">
        <v>59</v>
      </c>
      <c r="W9" s="5" t="s">
        <v>59</v>
      </c>
      <c r="X9" s="5" t="s">
        <v>59</v>
      </c>
      <c r="Y9" s="5" t="s">
        <v>59</v>
      </c>
      <c r="Z9" s="5" t="s">
        <v>59</v>
      </c>
      <c r="AA9" s="5" t="s">
        <v>59</v>
      </c>
      <c r="AB9" s="5" t="s">
        <v>59</v>
      </c>
      <c r="AC9" s="5" t="s">
        <v>59</v>
      </c>
      <c r="AD9" s="5" t="s">
        <v>59</v>
      </c>
      <c r="AE9" s="5" t="s">
        <v>59</v>
      </c>
      <c r="AF9" s="5" t="s">
        <v>59</v>
      </c>
      <c r="AG9" s="5" t="s">
        <v>59</v>
      </c>
      <c r="AH9" s="5" t="s">
        <v>59</v>
      </c>
      <c r="AI9" s="5" t="s">
        <v>59</v>
      </c>
      <c r="AJ9" s="5" t="s">
        <v>59</v>
      </c>
      <c r="AK9" s="5" t="s">
        <v>59</v>
      </c>
    </row>
    <row r="10" spans="1:37">
      <c r="A10" s="1" t="str">
        <f>'Population Definitions'!$B$7</f>
        <v>65+M_aus</v>
      </c>
      <c r="B10" s="5" t="s">
        <v>59</v>
      </c>
      <c r="C10" s="5" t="s">
        <v>59</v>
      </c>
      <c r="D10" s="5" t="s">
        <v>59</v>
      </c>
      <c r="E10" s="5" t="s">
        <v>59</v>
      </c>
      <c r="F10" s="5" t="s">
        <v>59</v>
      </c>
      <c r="G10" s="4" t="s">
        <v>57</v>
      </c>
      <c r="H10" s="5" t="s">
        <v>59</v>
      </c>
      <c r="I10" s="5" t="s">
        <v>59</v>
      </c>
      <c r="J10" s="5" t="s">
        <v>59</v>
      </c>
      <c r="K10" s="5" t="s">
        <v>59</v>
      </c>
      <c r="L10" s="5" t="s">
        <v>59</v>
      </c>
      <c r="M10" s="5" t="s">
        <v>59</v>
      </c>
      <c r="N10" s="5" t="s">
        <v>59</v>
      </c>
      <c r="O10" s="5" t="s">
        <v>59</v>
      </c>
      <c r="P10" s="5" t="s">
        <v>59</v>
      </c>
      <c r="Q10" s="5" t="s">
        <v>59</v>
      </c>
      <c r="R10" s="5" t="s">
        <v>59</v>
      </c>
      <c r="S10" s="5" t="s">
        <v>59</v>
      </c>
      <c r="T10" s="5" t="s">
        <v>59</v>
      </c>
      <c r="U10" s="5" t="s">
        <v>59</v>
      </c>
      <c r="V10" s="5" t="s">
        <v>59</v>
      </c>
      <c r="W10" s="5" t="s">
        <v>59</v>
      </c>
      <c r="X10" s="5" t="s">
        <v>59</v>
      </c>
      <c r="Y10" s="5" t="s">
        <v>59</v>
      </c>
      <c r="Z10" s="5" t="s">
        <v>59</v>
      </c>
      <c r="AA10" s="5" t="s">
        <v>59</v>
      </c>
      <c r="AB10" s="5" t="s">
        <v>59</v>
      </c>
      <c r="AC10" s="5" t="s">
        <v>59</v>
      </c>
      <c r="AD10" s="5" t="s">
        <v>59</v>
      </c>
      <c r="AE10" s="5" t="s">
        <v>59</v>
      </c>
      <c r="AF10" s="5" t="s">
        <v>59</v>
      </c>
      <c r="AG10" s="5" t="s">
        <v>59</v>
      </c>
      <c r="AH10" s="5" t="s">
        <v>59</v>
      </c>
      <c r="AI10" s="5" t="s">
        <v>59</v>
      </c>
      <c r="AJ10" s="5" t="s">
        <v>59</v>
      </c>
      <c r="AK10" s="5" t="s">
        <v>59</v>
      </c>
    </row>
    <row r="11" spans="1:37">
      <c r="A11" s="1" t="str">
        <f>'Population Definitions'!$B$8</f>
        <v>0-4F_aus</v>
      </c>
      <c r="B11" s="5" t="s">
        <v>59</v>
      </c>
      <c r="C11" s="5" t="s">
        <v>59</v>
      </c>
      <c r="D11" s="5" t="s">
        <v>59</v>
      </c>
      <c r="E11" s="5" t="s">
        <v>59</v>
      </c>
      <c r="F11" s="5" t="s">
        <v>59</v>
      </c>
      <c r="G11" s="5" t="s">
        <v>59</v>
      </c>
      <c r="H11" s="4" t="s">
        <v>57</v>
      </c>
      <c r="I11" s="5" t="s">
        <v>58</v>
      </c>
      <c r="J11" s="5" t="s">
        <v>59</v>
      </c>
      <c r="K11" s="5" t="s">
        <v>59</v>
      </c>
      <c r="L11" s="5" t="s">
        <v>59</v>
      </c>
      <c r="M11" s="5" t="s">
        <v>59</v>
      </c>
      <c r="N11" s="5" t="s">
        <v>59</v>
      </c>
      <c r="O11" s="5" t="s">
        <v>59</v>
      </c>
      <c r="P11" s="5" t="s">
        <v>59</v>
      </c>
      <c r="Q11" s="5" t="s">
        <v>59</v>
      </c>
      <c r="R11" s="5" t="s">
        <v>59</v>
      </c>
      <c r="S11" s="5" t="s">
        <v>59</v>
      </c>
      <c r="T11" s="5" t="s">
        <v>59</v>
      </c>
      <c r="U11" s="5" t="s">
        <v>59</v>
      </c>
      <c r="V11" s="5" t="s">
        <v>59</v>
      </c>
      <c r="W11" s="5" t="s">
        <v>59</v>
      </c>
      <c r="X11" s="5" t="s">
        <v>59</v>
      </c>
      <c r="Y11" s="5" t="s">
        <v>59</v>
      </c>
      <c r="Z11" s="5" t="s">
        <v>59</v>
      </c>
      <c r="AA11" s="5" t="s">
        <v>59</v>
      </c>
      <c r="AB11" s="5" t="s">
        <v>59</v>
      </c>
      <c r="AC11" s="5" t="s">
        <v>59</v>
      </c>
      <c r="AD11" s="5" t="s">
        <v>59</v>
      </c>
      <c r="AE11" s="5" t="s">
        <v>59</v>
      </c>
      <c r="AF11" s="5" t="s">
        <v>59</v>
      </c>
      <c r="AG11" s="5" t="s">
        <v>59</v>
      </c>
      <c r="AH11" s="5" t="s">
        <v>59</v>
      </c>
      <c r="AI11" s="5" t="s">
        <v>59</v>
      </c>
      <c r="AJ11" s="5" t="s">
        <v>59</v>
      </c>
      <c r="AK11" s="5" t="s">
        <v>59</v>
      </c>
    </row>
    <row r="12" spans="1:37">
      <c r="A12" s="1" t="str">
        <f>'Population Definitions'!$B$9</f>
        <v>5-14F_aus</v>
      </c>
      <c r="B12" s="5" t="s">
        <v>59</v>
      </c>
      <c r="C12" s="5" t="s">
        <v>59</v>
      </c>
      <c r="D12" s="5" t="s">
        <v>59</v>
      </c>
      <c r="E12" s="5" t="s">
        <v>59</v>
      </c>
      <c r="F12" s="5" t="s">
        <v>59</v>
      </c>
      <c r="G12" s="5" t="s">
        <v>59</v>
      </c>
      <c r="H12" s="5" t="s">
        <v>59</v>
      </c>
      <c r="I12" s="4" t="s">
        <v>57</v>
      </c>
      <c r="J12" s="5" t="s">
        <v>58</v>
      </c>
      <c r="K12" s="5" t="s">
        <v>59</v>
      </c>
      <c r="L12" s="5" t="s">
        <v>59</v>
      </c>
      <c r="M12" s="5" t="s">
        <v>59</v>
      </c>
      <c r="N12" s="5" t="s">
        <v>59</v>
      </c>
      <c r="O12" s="5" t="s">
        <v>59</v>
      </c>
      <c r="P12" s="5" t="s">
        <v>59</v>
      </c>
      <c r="Q12" s="5" t="s">
        <v>59</v>
      </c>
      <c r="R12" s="5" t="s">
        <v>59</v>
      </c>
      <c r="S12" s="5" t="s">
        <v>59</v>
      </c>
      <c r="T12" s="5" t="s">
        <v>59</v>
      </c>
      <c r="U12" s="5" t="s">
        <v>59</v>
      </c>
      <c r="V12" s="5" t="s">
        <v>59</v>
      </c>
      <c r="W12" s="5" t="s">
        <v>59</v>
      </c>
      <c r="X12" s="5" t="s">
        <v>59</v>
      </c>
      <c r="Y12" s="5" t="s">
        <v>59</v>
      </c>
      <c r="Z12" s="5" t="s">
        <v>59</v>
      </c>
      <c r="AA12" s="5" t="s">
        <v>59</v>
      </c>
      <c r="AB12" s="5" t="s">
        <v>59</v>
      </c>
      <c r="AC12" s="5" t="s">
        <v>59</v>
      </c>
      <c r="AD12" s="5" t="s">
        <v>59</v>
      </c>
      <c r="AE12" s="5" t="s">
        <v>59</v>
      </c>
      <c r="AF12" s="5" t="s">
        <v>59</v>
      </c>
      <c r="AG12" s="5" t="s">
        <v>59</v>
      </c>
      <c r="AH12" s="5" t="s">
        <v>59</v>
      </c>
      <c r="AI12" s="5" t="s">
        <v>59</v>
      </c>
      <c r="AJ12" s="5" t="s">
        <v>59</v>
      </c>
      <c r="AK12" s="5" t="s">
        <v>59</v>
      </c>
    </row>
    <row r="13" spans="1:37">
      <c r="A13" s="1" t="str">
        <f>'Population Definitions'!$B$10</f>
        <v>15-29F_aus</v>
      </c>
      <c r="B13" s="5" t="s">
        <v>59</v>
      </c>
      <c r="C13" s="5" t="s">
        <v>59</v>
      </c>
      <c r="D13" s="5" t="s">
        <v>59</v>
      </c>
      <c r="E13" s="5" t="s">
        <v>59</v>
      </c>
      <c r="F13" s="5" t="s">
        <v>59</v>
      </c>
      <c r="G13" s="5" t="s">
        <v>59</v>
      </c>
      <c r="H13" s="5" t="s">
        <v>59</v>
      </c>
      <c r="I13" s="5" t="s">
        <v>59</v>
      </c>
      <c r="J13" s="4" t="s">
        <v>57</v>
      </c>
      <c r="K13" s="5" t="s">
        <v>58</v>
      </c>
      <c r="L13" s="5" t="s">
        <v>59</v>
      </c>
      <c r="M13" s="5" t="s">
        <v>59</v>
      </c>
      <c r="N13" s="5" t="s">
        <v>59</v>
      </c>
      <c r="O13" s="5" t="s">
        <v>59</v>
      </c>
      <c r="P13" s="5" t="s">
        <v>59</v>
      </c>
      <c r="Q13" s="5" t="s">
        <v>59</v>
      </c>
      <c r="R13" s="5" t="s">
        <v>59</v>
      </c>
      <c r="S13" s="5" t="s">
        <v>59</v>
      </c>
      <c r="T13" s="5" t="s">
        <v>59</v>
      </c>
      <c r="U13" s="5" t="s">
        <v>59</v>
      </c>
      <c r="V13" s="5" t="s">
        <v>59</v>
      </c>
      <c r="W13" s="5" t="s">
        <v>59</v>
      </c>
      <c r="X13" s="5" t="s">
        <v>59</v>
      </c>
      <c r="Y13" s="5" t="s">
        <v>59</v>
      </c>
      <c r="Z13" s="5" t="s">
        <v>59</v>
      </c>
      <c r="AA13" s="5" t="s">
        <v>59</v>
      </c>
      <c r="AB13" s="5" t="s">
        <v>59</v>
      </c>
      <c r="AC13" s="5" t="s">
        <v>59</v>
      </c>
      <c r="AD13" s="5" t="s">
        <v>59</v>
      </c>
      <c r="AE13" s="5" t="s">
        <v>59</v>
      </c>
      <c r="AF13" s="5" t="s">
        <v>59</v>
      </c>
      <c r="AG13" s="5" t="s">
        <v>59</v>
      </c>
      <c r="AH13" s="5" t="s">
        <v>59</v>
      </c>
      <c r="AI13" s="5" t="s">
        <v>59</v>
      </c>
      <c r="AJ13" s="5" t="s">
        <v>59</v>
      </c>
      <c r="AK13" s="5" t="s">
        <v>59</v>
      </c>
    </row>
    <row r="14" spans="1:37">
      <c r="A14" s="1" t="str">
        <f>'Population Definitions'!$B$11</f>
        <v>30-49F_aus</v>
      </c>
      <c r="B14" s="5" t="s">
        <v>59</v>
      </c>
      <c r="C14" s="5" t="s">
        <v>59</v>
      </c>
      <c r="D14" s="5" t="s">
        <v>59</v>
      </c>
      <c r="E14" s="5" t="s">
        <v>59</v>
      </c>
      <c r="F14" s="5" t="s">
        <v>59</v>
      </c>
      <c r="G14" s="5" t="s">
        <v>59</v>
      </c>
      <c r="H14" s="5" t="s">
        <v>59</v>
      </c>
      <c r="I14" s="5" t="s">
        <v>59</v>
      </c>
      <c r="J14" s="5" t="s">
        <v>59</v>
      </c>
      <c r="K14" s="4" t="s">
        <v>57</v>
      </c>
      <c r="L14" s="5" t="s">
        <v>58</v>
      </c>
      <c r="M14" s="5" t="s">
        <v>59</v>
      </c>
      <c r="N14" s="5" t="s">
        <v>59</v>
      </c>
      <c r="O14" s="5" t="s">
        <v>59</v>
      </c>
      <c r="P14" s="5" t="s">
        <v>59</v>
      </c>
      <c r="Q14" s="5" t="s">
        <v>59</v>
      </c>
      <c r="R14" s="5" t="s">
        <v>59</v>
      </c>
      <c r="S14" s="5" t="s">
        <v>59</v>
      </c>
      <c r="T14" s="5" t="s">
        <v>59</v>
      </c>
      <c r="U14" s="5" t="s">
        <v>59</v>
      </c>
      <c r="V14" s="5" t="s">
        <v>59</v>
      </c>
      <c r="W14" s="5" t="s">
        <v>59</v>
      </c>
      <c r="X14" s="5" t="s">
        <v>59</v>
      </c>
      <c r="Y14" s="5" t="s">
        <v>59</v>
      </c>
      <c r="Z14" s="5" t="s">
        <v>59</v>
      </c>
      <c r="AA14" s="5" t="s">
        <v>59</v>
      </c>
      <c r="AB14" s="5" t="s">
        <v>59</v>
      </c>
      <c r="AC14" s="5" t="s">
        <v>59</v>
      </c>
      <c r="AD14" s="5" t="s">
        <v>59</v>
      </c>
      <c r="AE14" s="5" t="s">
        <v>59</v>
      </c>
      <c r="AF14" s="5" t="s">
        <v>59</v>
      </c>
      <c r="AG14" s="5" t="s">
        <v>59</v>
      </c>
      <c r="AH14" s="5" t="s">
        <v>59</v>
      </c>
      <c r="AI14" s="5" t="s">
        <v>59</v>
      </c>
      <c r="AJ14" s="5" t="s">
        <v>59</v>
      </c>
      <c r="AK14" s="5" t="s">
        <v>59</v>
      </c>
    </row>
    <row r="15" spans="1:37">
      <c r="A15" s="1" t="str">
        <f>'Population Definitions'!$B$12</f>
        <v>50-64F_aus</v>
      </c>
      <c r="B15" s="5" t="s">
        <v>59</v>
      </c>
      <c r="C15" s="5" t="s">
        <v>59</v>
      </c>
      <c r="D15" s="5" t="s">
        <v>59</v>
      </c>
      <c r="E15" s="5" t="s">
        <v>59</v>
      </c>
      <c r="F15" s="5" t="s">
        <v>59</v>
      </c>
      <c r="G15" s="5" t="s">
        <v>59</v>
      </c>
      <c r="H15" s="5" t="s">
        <v>59</v>
      </c>
      <c r="I15" s="5" t="s">
        <v>59</v>
      </c>
      <c r="J15" s="5" t="s">
        <v>59</v>
      </c>
      <c r="K15" s="5" t="s">
        <v>59</v>
      </c>
      <c r="L15" s="4" t="s">
        <v>57</v>
      </c>
      <c r="M15" s="5" t="s">
        <v>58</v>
      </c>
      <c r="N15" s="5" t="s">
        <v>59</v>
      </c>
      <c r="O15" s="5" t="s">
        <v>59</v>
      </c>
      <c r="P15" s="5" t="s">
        <v>59</v>
      </c>
      <c r="Q15" s="5" t="s">
        <v>59</v>
      </c>
      <c r="R15" s="5" t="s">
        <v>59</v>
      </c>
      <c r="S15" s="5" t="s">
        <v>59</v>
      </c>
      <c r="T15" s="5" t="s">
        <v>59</v>
      </c>
      <c r="U15" s="5" t="s">
        <v>59</v>
      </c>
      <c r="V15" s="5" t="s">
        <v>59</v>
      </c>
      <c r="W15" s="5" t="s">
        <v>59</v>
      </c>
      <c r="X15" s="5" t="s">
        <v>59</v>
      </c>
      <c r="Y15" s="5" t="s">
        <v>59</v>
      </c>
      <c r="Z15" s="5" t="s">
        <v>59</v>
      </c>
      <c r="AA15" s="5" t="s">
        <v>59</v>
      </c>
      <c r="AB15" s="5" t="s">
        <v>59</v>
      </c>
      <c r="AC15" s="5" t="s">
        <v>59</v>
      </c>
      <c r="AD15" s="5" t="s">
        <v>59</v>
      </c>
      <c r="AE15" s="5" t="s">
        <v>59</v>
      </c>
      <c r="AF15" s="5" t="s">
        <v>59</v>
      </c>
      <c r="AG15" s="5" t="s">
        <v>59</v>
      </c>
      <c r="AH15" s="5" t="s">
        <v>59</v>
      </c>
      <c r="AI15" s="5" t="s">
        <v>59</v>
      </c>
      <c r="AJ15" s="5" t="s">
        <v>59</v>
      </c>
      <c r="AK15" s="5" t="s">
        <v>59</v>
      </c>
    </row>
    <row r="16" spans="1:37">
      <c r="A16" s="1" t="str">
        <f>'Population Definitions'!$B$13</f>
        <v>65+F_aus</v>
      </c>
      <c r="B16" s="5" t="s">
        <v>59</v>
      </c>
      <c r="C16" s="5" t="s">
        <v>59</v>
      </c>
      <c r="D16" s="5" t="s">
        <v>59</v>
      </c>
      <c r="E16" s="5" t="s">
        <v>59</v>
      </c>
      <c r="F16" s="5" t="s">
        <v>59</v>
      </c>
      <c r="G16" s="5" t="s">
        <v>59</v>
      </c>
      <c r="H16" s="5" t="s">
        <v>59</v>
      </c>
      <c r="I16" s="5" t="s">
        <v>59</v>
      </c>
      <c r="J16" s="5" t="s">
        <v>59</v>
      </c>
      <c r="K16" s="5" t="s">
        <v>59</v>
      </c>
      <c r="L16" s="5" t="s">
        <v>59</v>
      </c>
      <c r="M16" s="4" t="s">
        <v>57</v>
      </c>
      <c r="N16" s="5" t="s">
        <v>59</v>
      </c>
      <c r="O16" s="5" t="s">
        <v>59</v>
      </c>
      <c r="P16" s="5" t="s">
        <v>59</v>
      </c>
      <c r="Q16" s="5" t="s">
        <v>59</v>
      </c>
      <c r="R16" s="5" t="s">
        <v>59</v>
      </c>
      <c r="S16" s="5" t="s">
        <v>59</v>
      </c>
      <c r="T16" s="5" t="s">
        <v>59</v>
      </c>
      <c r="U16" s="5" t="s">
        <v>59</v>
      </c>
      <c r="V16" s="5" t="s">
        <v>59</v>
      </c>
      <c r="W16" s="5" t="s">
        <v>59</v>
      </c>
      <c r="X16" s="5" t="s">
        <v>59</v>
      </c>
      <c r="Y16" s="5" t="s">
        <v>59</v>
      </c>
      <c r="Z16" s="5" t="s">
        <v>59</v>
      </c>
      <c r="AA16" s="5" t="s">
        <v>59</v>
      </c>
      <c r="AB16" s="5" t="s">
        <v>59</v>
      </c>
      <c r="AC16" s="5" t="s">
        <v>59</v>
      </c>
      <c r="AD16" s="5" t="s">
        <v>59</v>
      </c>
      <c r="AE16" s="5" t="s">
        <v>59</v>
      </c>
      <c r="AF16" s="5" t="s">
        <v>59</v>
      </c>
      <c r="AG16" s="5" t="s">
        <v>59</v>
      </c>
      <c r="AH16" s="5" t="s">
        <v>59</v>
      </c>
      <c r="AI16" s="5" t="s">
        <v>59</v>
      </c>
      <c r="AJ16" s="5" t="s">
        <v>59</v>
      </c>
      <c r="AK16" s="5" t="s">
        <v>59</v>
      </c>
    </row>
    <row r="17" spans="1:37">
      <c r="A17" s="1" t="str">
        <f>'Population Definitions'!$B$14</f>
        <v>0-4M_oth</v>
      </c>
      <c r="B17" s="5" t="s">
        <v>59</v>
      </c>
      <c r="C17" s="5" t="s">
        <v>59</v>
      </c>
      <c r="D17" s="5" t="s">
        <v>59</v>
      </c>
      <c r="E17" s="5" t="s">
        <v>59</v>
      </c>
      <c r="F17" s="5" t="s">
        <v>59</v>
      </c>
      <c r="G17" s="5" t="s">
        <v>59</v>
      </c>
      <c r="H17" s="5" t="s">
        <v>59</v>
      </c>
      <c r="I17" s="5" t="s">
        <v>59</v>
      </c>
      <c r="J17" s="5" t="s">
        <v>59</v>
      </c>
      <c r="K17" s="5" t="s">
        <v>59</v>
      </c>
      <c r="L17" s="5" t="s">
        <v>59</v>
      </c>
      <c r="M17" s="5" t="s">
        <v>59</v>
      </c>
      <c r="N17" s="4" t="s">
        <v>57</v>
      </c>
      <c r="O17" s="5" t="s">
        <v>58</v>
      </c>
      <c r="P17" s="5" t="s">
        <v>59</v>
      </c>
      <c r="Q17" s="5" t="s">
        <v>59</v>
      </c>
      <c r="R17" s="5" t="s">
        <v>59</v>
      </c>
      <c r="S17" s="5" t="s">
        <v>59</v>
      </c>
      <c r="T17" s="5" t="s">
        <v>59</v>
      </c>
      <c r="U17" s="5" t="s">
        <v>59</v>
      </c>
      <c r="V17" s="5" t="s">
        <v>59</v>
      </c>
      <c r="W17" s="5" t="s">
        <v>59</v>
      </c>
      <c r="X17" s="5" t="s">
        <v>59</v>
      </c>
      <c r="Y17" s="5" t="s">
        <v>59</v>
      </c>
      <c r="Z17" s="5" t="s">
        <v>59</v>
      </c>
      <c r="AA17" s="5" t="s">
        <v>59</v>
      </c>
      <c r="AB17" s="5" t="s">
        <v>59</v>
      </c>
      <c r="AC17" s="5" t="s">
        <v>59</v>
      </c>
      <c r="AD17" s="5" t="s">
        <v>59</v>
      </c>
      <c r="AE17" s="5" t="s">
        <v>59</v>
      </c>
      <c r="AF17" s="5" t="s">
        <v>59</v>
      </c>
      <c r="AG17" s="5" t="s">
        <v>59</v>
      </c>
      <c r="AH17" s="5" t="s">
        <v>59</v>
      </c>
      <c r="AI17" s="5" t="s">
        <v>59</v>
      </c>
      <c r="AJ17" s="5" t="s">
        <v>59</v>
      </c>
      <c r="AK17" s="5" t="s">
        <v>59</v>
      </c>
    </row>
    <row r="18" spans="1:37">
      <c r="A18" s="1" t="str">
        <f>'Population Definitions'!$B$15</f>
        <v>5-14M_oth</v>
      </c>
      <c r="B18" s="5" t="s">
        <v>59</v>
      </c>
      <c r="C18" s="5" t="s">
        <v>59</v>
      </c>
      <c r="D18" s="5" t="s">
        <v>59</v>
      </c>
      <c r="E18" s="5" t="s">
        <v>59</v>
      </c>
      <c r="F18" s="5" t="s">
        <v>59</v>
      </c>
      <c r="G18" s="5" t="s">
        <v>59</v>
      </c>
      <c r="H18" s="5" t="s">
        <v>59</v>
      </c>
      <c r="I18" s="5" t="s">
        <v>59</v>
      </c>
      <c r="J18" s="5" t="s">
        <v>59</v>
      </c>
      <c r="K18" s="5" t="s">
        <v>59</v>
      </c>
      <c r="L18" s="5" t="s">
        <v>59</v>
      </c>
      <c r="M18" s="5" t="s">
        <v>59</v>
      </c>
      <c r="N18" s="5" t="s">
        <v>59</v>
      </c>
      <c r="O18" s="4" t="s">
        <v>57</v>
      </c>
      <c r="P18" s="5" t="s">
        <v>58</v>
      </c>
      <c r="Q18" s="5" t="s">
        <v>59</v>
      </c>
      <c r="R18" s="5" t="s">
        <v>59</v>
      </c>
      <c r="S18" s="5" t="s">
        <v>59</v>
      </c>
      <c r="T18" s="5" t="s">
        <v>59</v>
      </c>
      <c r="U18" s="5" t="s">
        <v>59</v>
      </c>
      <c r="V18" s="5" t="s">
        <v>59</v>
      </c>
      <c r="W18" s="5" t="s">
        <v>59</v>
      </c>
      <c r="X18" s="5" t="s">
        <v>59</v>
      </c>
      <c r="Y18" s="5" t="s">
        <v>59</v>
      </c>
      <c r="Z18" s="5" t="s">
        <v>59</v>
      </c>
      <c r="AA18" s="5" t="s">
        <v>59</v>
      </c>
      <c r="AB18" s="5" t="s">
        <v>59</v>
      </c>
      <c r="AC18" s="5" t="s">
        <v>59</v>
      </c>
      <c r="AD18" s="5" t="s">
        <v>59</v>
      </c>
      <c r="AE18" s="5" t="s">
        <v>59</v>
      </c>
      <c r="AF18" s="5" t="s">
        <v>59</v>
      </c>
      <c r="AG18" s="5" t="s">
        <v>59</v>
      </c>
      <c r="AH18" s="5" t="s">
        <v>59</v>
      </c>
      <c r="AI18" s="5" t="s">
        <v>59</v>
      </c>
      <c r="AJ18" s="5" t="s">
        <v>59</v>
      </c>
      <c r="AK18" s="5" t="s">
        <v>59</v>
      </c>
    </row>
    <row r="19" spans="1:37">
      <c r="A19" s="1" t="str">
        <f>'Population Definitions'!$B$16</f>
        <v>15-29M_oth</v>
      </c>
      <c r="B19" s="5" t="s">
        <v>59</v>
      </c>
      <c r="C19" s="5" t="s">
        <v>59</v>
      </c>
      <c r="D19" s="5" t="s">
        <v>59</v>
      </c>
      <c r="E19" s="5" t="s">
        <v>59</v>
      </c>
      <c r="F19" s="5" t="s">
        <v>59</v>
      </c>
      <c r="G19" s="5" t="s">
        <v>59</v>
      </c>
      <c r="H19" s="5" t="s">
        <v>59</v>
      </c>
      <c r="I19" s="5" t="s">
        <v>59</v>
      </c>
      <c r="J19" s="5" t="s">
        <v>59</v>
      </c>
      <c r="K19" s="5" t="s">
        <v>59</v>
      </c>
      <c r="L19" s="5" t="s">
        <v>59</v>
      </c>
      <c r="M19" s="5" t="s">
        <v>59</v>
      </c>
      <c r="N19" s="5" t="s">
        <v>59</v>
      </c>
      <c r="O19" s="5" t="s">
        <v>59</v>
      </c>
      <c r="P19" s="4" t="s">
        <v>57</v>
      </c>
      <c r="Q19" s="5" t="s">
        <v>58</v>
      </c>
      <c r="R19" s="5" t="s">
        <v>59</v>
      </c>
      <c r="S19" s="5" t="s">
        <v>59</v>
      </c>
      <c r="T19" s="5" t="s">
        <v>59</v>
      </c>
      <c r="U19" s="5" t="s">
        <v>59</v>
      </c>
      <c r="V19" s="5" t="s">
        <v>59</v>
      </c>
      <c r="W19" s="5" t="s">
        <v>59</v>
      </c>
      <c r="X19" s="5" t="s">
        <v>59</v>
      </c>
      <c r="Y19" s="5" t="s">
        <v>59</v>
      </c>
      <c r="Z19" s="5" t="s">
        <v>59</v>
      </c>
      <c r="AA19" s="5" t="s">
        <v>59</v>
      </c>
      <c r="AB19" s="5" t="s">
        <v>59</v>
      </c>
      <c r="AC19" s="5" t="s">
        <v>59</v>
      </c>
      <c r="AD19" s="5" t="s">
        <v>59</v>
      </c>
      <c r="AE19" s="5" t="s">
        <v>59</v>
      </c>
      <c r="AF19" s="5" t="s">
        <v>59</v>
      </c>
      <c r="AG19" s="5" t="s">
        <v>59</v>
      </c>
      <c r="AH19" s="5" t="s">
        <v>59</v>
      </c>
      <c r="AI19" s="5" t="s">
        <v>59</v>
      </c>
      <c r="AJ19" s="5" t="s">
        <v>59</v>
      </c>
      <c r="AK19" s="5" t="s">
        <v>59</v>
      </c>
    </row>
    <row r="20" spans="1:37">
      <c r="A20" s="1" t="str">
        <f>'Population Definitions'!$B$17</f>
        <v>30-49M_oth</v>
      </c>
      <c r="B20" s="5" t="s">
        <v>59</v>
      </c>
      <c r="C20" s="5" t="s">
        <v>59</v>
      </c>
      <c r="D20" s="5" t="s">
        <v>59</v>
      </c>
      <c r="E20" s="5" t="s">
        <v>59</v>
      </c>
      <c r="F20" s="5" t="s">
        <v>59</v>
      </c>
      <c r="G20" s="5" t="s">
        <v>59</v>
      </c>
      <c r="H20" s="5" t="s">
        <v>59</v>
      </c>
      <c r="I20" s="5" t="s">
        <v>59</v>
      </c>
      <c r="J20" s="5" t="s">
        <v>59</v>
      </c>
      <c r="K20" s="5" t="s">
        <v>59</v>
      </c>
      <c r="L20" s="5" t="s">
        <v>59</v>
      </c>
      <c r="M20" s="5" t="s">
        <v>59</v>
      </c>
      <c r="N20" s="5" t="s">
        <v>59</v>
      </c>
      <c r="O20" s="5" t="s">
        <v>59</v>
      </c>
      <c r="P20" s="5" t="s">
        <v>59</v>
      </c>
      <c r="Q20" s="4" t="s">
        <v>57</v>
      </c>
      <c r="R20" s="5" t="s">
        <v>58</v>
      </c>
      <c r="S20" s="5" t="s">
        <v>59</v>
      </c>
      <c r="T20" s="5" t="s">
        <v>59</v>
      </c>
      <c r="U20" s="5" t="s">
        <v>59</v>
      </c>
      <c r="V20" s="5" t="s">
        <v>59</v>
      </c>
      <c r="W20" s="5" t="s">
        <v>59</v>
      </c>
      <c r="X20" s="5" t="s">
        <v>59</v>
      </c>
      <c r="Y20" s="5" t="s">
        <v>59</v>
      </c>
      <c r="Z20" s="5" t="s">
        <v>59</v>
      </c>
      <c r="AA20" s="5" t="s">
        <v>59</v>
      </c>
      <c r="AB20" s="5" t="s">
        <v>59</v>
      </c>
      <c r="AC20" s="5" t="s">
        <v>59</v>
      </c>
      <c r="AD20" s="5" t="s">
        <v>59</v>
      </c>
      <c r="AE20" s="5" t="s">
        <v>59</v>
      </c>
      <c r="AF20" s="5" t="s">
        <v>59</v>
      </c>
      <c r="AG20" s="5" t="s">
        <v>59</v>
      </c>
      <c r="AH20" s="5" t="s">
        <v>59</v>
      </c>
      <c r="AI20" s="5" t="s">
        <v>59</v>
      </c>
      <c r="AJ20" s="5" t="s">
        <v>59</v>
      </c>
      <c r="AK20" s="5" t="s">
        <v>59</v>
      </c>
    </row>
    <row r="21" spans="1:37">
      <c r="A21" s="1" t="str">
        <f>'Population Definitions'!$B$18</f>
        <v>50-64M_oth</v>
      </c>
      <c r="B21" s="5" t="s">
        <v>59</v>
      </c>
      <c r="C21" s="5" t="s">
        <v>59</v>
      </c>
      <c r="D21" s="5" t="s">
        <v>59</v>
      </c>
      <c r="E21" s="5" t="s">
        <v>59</v>
      </c>
      <c r="F21" s="5" t="s">
        <v>59</v>
      </c>
      <c r="G21" s="5" t="s">
        <v>59</v>
      </c>
      <c r="H21" s="5" t="s">
        <v>59</v>
      </c>
      <c r="I21" s="5" t="s">
        <v>59</v>
      </c>
      <c r="J21" s="5" t="s">
        <v>59</v>
      </c>
      <c r="K21" s="5" t="s">
        <v>59</v>
      </c>
      <c r="L21" s="5" t="s">
        <v>59</v>
      </c>
      <c r="M21" s="5" t="s">
        <v>59</v>
      </c>
      <c r="N21" s="5" t="s">
        <v>59</v>
      </c>
      <c r="O21" s="5" t="s">
        <v>59</v>
      </c>
      <c r="P21" s="5" t="s">
        <v>59</v>
      </c>
      <c r="Q21" s="5" t="s">
        <v>59</v>
      </c>
      <c r="R21" s="4" t="s">
        <v>57</v>
      </c>
      <c r="S21" s="5" t="s">
        <v>58</v>
      </c>
      <c r="T21" s="5" t="s">
        <v>59</v>
      </c>
      <c r="U21" s="5" t="s">
        <v>59</v>
      </c>
      <c r="V21" s="5" t="s">
        <v>59</v>
      </c>
      <c r="W21" s="5" t="s">
        <v>59</v>
      </c>
      <c r="X21" s="5" t="s">
        <v>59</v>
      </c>
      <c r="Y21" s="5" t="s">
        <v>59</v>
      </c>
      <c r="Z21" s="5" t="s">
        <v>59</v>
      </c>
      <c r="AA21" s="5" t="s">
        <v>59</v>
      </c>
      <c r="AB21" s="5" t="s">
        <v>59</v>
      </c>
      <c r="AC21" s="5" t="s">
        <v>59</v>
      </c>
      <c r="AD21" s="5" t="s">
        <v>59</v>
      </c>
      <c r="AE21" s="5" t="s">
        <v>59</v>
      </c>
      <c r="AF21" s="5" t="s">
        <v>59</v>
      </c>
      <c r="AG21" s="5" t="s">
        <v>59</v>
      </c>
      <c r="AH21" s="5" t="s">
        <v>59</v>
      </c>
      <c r="AI21" s="5" t="s">
        <v>59</v>
      </c>
      <c r="AJ21" s="5" t="s">
        <v>59</v>
      </c>
      <c r="AK21" s="5" t="s">
        <v>59</v>
      </c>
    </row>
    <row r="22" spans="1:37">
      <c r="A22" s="1" t="str">
        <f>'Population Definitions'!$B$19</f>
        <v>65+M_oth</v>
      </c>
      <c r="B22" s="5" t="s">
        <v>59</v>
      </c>
      <c r="C22" s="5" t="s">
        <v>59</v>
      </c>
      <c r="D22" s="5" t="s">
        <v>59</v>
      </c>
      <c r="E22" s="5" t="s">
        <v>59</v>
      </c>
      <c r="F22" s="5" t="s">
        <v>59</v>
      </c>
      <c r="G22" s="5" t="s">
        <v>59</v>
      </c>
      <c r="H22" s="5" t="s">
        <v>59</v>
      </c>
      <c r="I22" s="5" t="s">
        <v>59</v>
      </c>
      <c r="J22" s="5" t="s">
        <v>59</v>
      </c>
      <c r="K22" s="5" t="s">
        <v>59</v>
      </c>
      <c r="L22" s="5" t="s">
        <v>59</v>
      </c>
      <c r="M22" s="5" t="s">
        <v>59</v>
      </c>
      <c r="N22" s="5" t="s">
        <v>59</v>
      </c>
      <c r="O22" s="5" t="s">
        <v>59</v>
      </c>
      <c r="P22" s="5" t="s">
        <v>59</v>
      </c>
      <c r="Q22" s="5" t="s">
        <v>59</v>
      </c>
      <c r="R22" s="5" t="s">
        <v>59</v>
      </c>
      <c r="S22" s="4" t="s">
        <v>57</v>
      </c>
      <c r="T22" s="5" t="s">
        <v>59</v>
      </c>
      <c r="U22" s="5" t="s">
        <v>59</v>
      </c>
      <c r="V22" s="5" t="s">
        <v>59</v>
      </c>
      <c r="W22" s="5" t="s">
        <v>59</v>
      </c>
      <c r="X22" s="5" t="s">
        <v>59</v>
      </c>
      <c r="Y22" s="5" t="s">
        <v>59</v>
      </c>
      <c r="Z22" s="5" t="s">
        <v>59</v>
      </c>
      <c r="AA22" s="5" t="s">
        <v>59</v>
      </c>
      <c r="AB22" s="5" t="s">
        <v>59</v>
      </c>
      <c r="AC22" s="5" t="s">
        <v>59</v>
      </c>
      <c r="AD22" s="5" t="s">
        <v>59</v>
      </c>
      <c r="AE22" s="5" t="s">
        <v>59</v>
      </c>
      <c r="AF22" s="5" t="s">
        <v>59</v>
      </c>
      <c r="AG22" s="5" t="s">
        <v>59</v>
      </c>
      <c r="AH22" s="5" t="s">
        <v>59</v>
      </c>
      <c r="AI22" s="5" t="s">
        <v>59</v>
      </c>
      <c r="AJ22" s="5" t="s">
        <v>59</v>
      </c>
      <c r="AK22" s="5" t="s">
        <v>59</v>
      </c>
    </row>
    <row r="23" spans="1:37">
      <c r="A23" s="1" t="str">
        <f>'Population Definitions'!$B$20</f>
        <v>0-4F_oth</v>
      </c>
      <c r="B23" s="5" t="s">
        <v>59</v>
      </c>
      <c r="C23" s="5" t="s">
        <v>59</v>
      </c>
      <c r="D23" s="5" t="s">
        <v>59</v>
      </c>
      <c r="E23" s="5" t="s">
        <v>59</v>
      </c>
      <c r="F23" s="5" t="s">
        <v>59</v>
      </c>
      <c r="G23" s="5" t="s">
        <v>59</v>
      </c>
      <c r="H23" s="5" t="s">
        <v>59</v>
      </c>
      <c r="I23" s="5" t="s">
        <v>59</v>
      </c>
      <c r="J23" s="5" t="s">
        <v>59</v>
      </c>
      <c r="K23" s="5" t="s">
        <v>59</v>
      </c>
      <c r="L23" s="5" t="s">
        <v>59</v>
      </c>
      <c r="M23" s="5" t="s">
        <v>59</v>
      </c>
      <c r="N23" s="5" t="s">
        <v>59</v>
      </c>
      <c r="O23" s="5" t="s">
        <v>59</v>
      </c>
      <c r="P23" s="5" t="s">
        <v>59</v>
      </c>
      <c r="Q23" s="5" t="s">
        <v>59</v>
      </c>
      <c r="R23" s="5" t="s">
        <v>59</v>
      </c>
      <c r="S23" s="5" t="s">
        <v>59</v>
      </c>
      <c r="T23" s="4" t="s">
        <v>57</v>
      </c>
      <c r="U23" s="5" t="s">
        <v>58</v>
      </c>
      <c r="V23" s="5" t="s">
        <v>59</v>
      </c>
      <c r="W23" s="5" t="s">
        <v>59</v>
      </c>
      <c r="X23" s="5" t="s">
        <v>59</v>
      </c>
      <c r="Y23" s="5" t="s">
        <v>59</v>
      </c>
      <c r="Z23" s="5" t="s">
        <v>59</v>
      </c>
      <c r="AA23" s="5" t="s">
        <v>59</v>
      </c>
      <c r="AB23" s="5" t="s">
        <v>59</v>
      </c>
      <c r="AC23" s="5" t="s">
        <v>59</v>
      </c>
      <c r="AD23" s="5" t="s">
        <v>59</v>
      </c>
      <c r="AE23" s="5" t="s">
        <v>59</v>
      </c>
      <c r="AF23" s="5" t="s">
        <v>59</v>
      </c>
      <c r="AG23" s="5" t="s">
        <v>59</v>
      </c>
      <c r="AH23" s="5" t="s">
        <v>59</v>
      </c>
      <c r="AI23" s="5" t="s">
        <v>59</v>
      </c>
      <c r="AJ23" s="5" t="s">
        <v>59</v>
      </c>
      <c r="AK23" s="5" t="s">
        <v>59</v>
      </c>
    </row>
    <row r="24" spans="1:37">
      <c r="A24" s="1" t="str">
        <f>'Population Definitions'!$B$21</f>
        <v>5-14F_oth</v>
      </c>
      <c r="B24" s="5" t="s">
        <v>59</v>
      </c>
      <c r="C24" s="5" t="s">
        <v>59</v>
      </c>
      <c r="D24" s="5" t="s">
        <v>59</v>
      </c>
      <c r="E24" s="5" t="s">
        <v>59</v>
      </c>
      <c r="F24" s="5" t="s">
        <v>59</v>
      </c>
      <c r="G24" s="5" t="s">
        <v>59</v>
      </c>
      <c r="H24" s="5" t="s">
        <v>59</v>
      </c>
      <c r="I24" s="5" t="s">
        <v>59</v>
      </c>
      <c r="J24" s="5" t="s">
        <v>59</v>
      </c>
      <c r="K24" s="5" t="s">
        <v>59</v>
      </c>
      <c r="L24" s="5" t="s">
        <v>59</v>
      </c>
      <c r="M24" s="5" t="s">
        <v>59</v>
      </c>
      <c r="N24" s="5" t="s">
        <v>59</v>
      </c>
      <c r="O24" s="5" t="s">
        <v>59</v>
      </c>
      <c r="P24" s="5" t="s">
        <v>59</v>
      </c>
      <c r="Q24" s="5" t="s">
        <v>59</v>
      </c>
      <c r="R24" s="5" t="s">
        <v>59</v>
      </c>
      <c r="S24" s="5" t="s">
        <v>59</v>
      </c>
      <c r="T24" s="5" t="s">
        <v>59</v>
      </c>
      <c r="U24" s="4" t="s">
        <v>57</v>
      </c>
      <c r="V24" s="5" t="s">
        <v>58</v>
      </c>
      <c r="W24" s="5" t="s">
        <v>59</v>
      </c>
      <c r="X24" s="5" t="s">
        <v>59</v>
      </c>
      <c r="Y24" s="5" t="s">
        <v>59</v>
      </c>
      <c r="Z24" s="5" t="s">
        <v>59</v>
      </c>
      <c r="AA24" s="5" t="s">
        <v>59</v>
      </c>
      <c r="AB24" s="5" t="s">
        <v>59</v>
      </c>
      <c r="AC24" s="5" t="s">
        <v>59</v>
      </c>
      <c r="AD24" s="5" t="s">
        <v>59</v>
      </c>
      <c r="AE24" s="5" t="s">
        <v>59</v>
      </c>
      <c r="AF24" s="5" t="s">
        <v>59</v>
      </c>
      <c r="AG24" s="5" t="s">
        <v>59</v>
      </c>
      <c r="AH24" s="5" t="s">
        <v>59</v>
      </c>
      <c r="AI24" s="5" t="s">
        <v>59</v>
      </c>
      <c r="AJ24" s="5" t="s">
        <v>59</v>
      </c>
      <c r="AK24" s="5" t="s">
        <v>59</v>
      </c>
    </row>
    <row r="25" spans="1:37">
      <c r="A25" s="1" t="str">
        <f>'Population Definitions'!$B$22</f>
        <v>15-29F_oth</v>
      </c>
      <c r="B25" s="5" t="s">
        <v>59</v>
      </c>
      <c r="C25" s="5" t="s">
        <v>59</v>
      </c>
      <c r="D25" s="5" t="s">
        <v>59</v>
      </c>
      <c r="E25" s="5" t="s">
        <v>59</v>
      </c>
      <c r="F25" s="5" t="s">
        <v>59</v>
      </c>
      <c r="G25" s="5" t="s">
        <v>59</v>
      </c>
      <c r="H25" s="5" t="s">
        <v>59</v>
      </c>
      <c r="I25" s="5" t="s">
        <v>59</v>
      </c>
      <c r="J25" s="5" t="s">
        <v>59</v>
      </c>
      <c r="K25" s="5" t="s">
        <v>59</v>
      </c>
      <c r="L25" s="5" t="s">
        <v>59</v>
      </c>
      <c r="M25" s="5" t="s">
        <v>59</v>
      </c>
      <c r="N25" s="5" t="s">
        <v>59</v>
      </c>
      <c r="O25" s="5" t="s">
        <v>59</v>
      </c>
      <c r="P25" s="5" t="s">
        <v>59</v>
      </c>
      <c r="Q25" s="5" t="s">
        <v>59</v>
      </c>
      <c r="R25" s="5" t="s">
        <v>59</v>
      </c>
      <c r="S25" s="5" t="s">
        <v>59</v>
      </c>
      <c r="T25" s="5" t="s">
        <v>59</v>
      </c>
      <c r="U25" s="5" t="s">
        <v>59</v>
      </c>
      <c r="V25" s="4" t="s">
        <v>57</v>
      </c>
      <c r="W25" s="5" t="s">
        <v>58</v>
      </c>
      <c r="X25" s="5" t="s">
        <v>59</v>
      </c>
      <c r="Y25" s="5" t="s">
        <v>59</v>
      </c>
      <c r="Z25" s="5" t="s">
        <v>59</v>
      </c>
      <c r="AA25" s="5" t="s">
        <v>59</v>
      </c>
      <c r="AB25" s="5" t="s">
        <v>59</v>
      </c>
      <c r="AC25" s="5" t="s">
        <v>59</v>
      </c>
      <c r="AD25" s="5" t="s">
        <v>59</v>
      </c>
      <c r="AE25" s="5" t="s">
        <v>59</v>
      </c>
      <c r="AF25" s="5" t="s">
        <v>59</v>
      </c>
      <c r="AG25" s="5" t="s">
        <v>59</v>
      </c>
      <c r="AH25" s="5" t="s">
        <v>59</v>
      </c>
      <c r="AI25" s="5" t="s">
        <v>59</v>
      </c>
      <c r="AJ25" s="5" t="s">
        <v>59</v>
      </c>
      <c r="AK25" s="5" t="s">
        <v>59</v>
      </c>
    </row>
    <row r="26" spans="1:37">
      <c r="A26" s="1" t="str">
        <f>'Population Definitions'!$B$23</f>
        <v>30-49F_oth</v>
      </c>
      <c r="B26" s="5" t="s">
        <v>59</v>
      </c>
      <c r="C26" s="5" t="s">
        <v>59</v>
      </c>
      <c r="D26" s="5" t="s">
        <v>59</v>
      </c>
      <c r="E26" s="5" t="s">
        <v>59</v>
      </c>
      <c r="F26" s="5" t="s">
        <v>59</v>
      </c>
      <c r="G26" s="5" t="s">
        <v>59</v>
      </c>
      <c r="H26" s="5" t="s">
        <v>59</v>
      </c>
      <c r="I26" s="5" t="s">
        <v>59</v>
      </c>
      <c r="J26" s="5" t="s">
        <v>59</v>
      </c>
      <c r="K26" s="5" t="s">
        <v>59</v>
      </c>
      <c r="L26" s="5" t="s">
        <v>59</v>
      </c>
      <c r="M26" s="5" t="s">
        <v>59</v>
      </c>
      <c r="N26" s="5" t="s">
        <v>59</v>
      </c>
      <c r="O26" s="5" t="s">
        <v>59</v>
      </c>
      <c r="P26" s="5" t="s">
        <v>59</v>
      </c>
      <c r="Q26" s="5" t="s">
        <v>59</v>
      </c>
      <c r="R26" s="5" t="s">
        <v>59</v>
      </c>
      <c r="S26" s="5" t="s">
        <v>59</v>
      </c>
      <c r="T26" s="5" t="s">
        <v>59</v>
      </c>
      <c r="U26" s="5" t="s">
        <v>59</v>
      </c>
      <c r="V26" s="5" t="s">
        <v>59</v>
      </c>
      <c r="W26" s="4" t="s">
        <v>57</v>
      </c>
      <c r="X26" s="5" t="s">
        <v>58</v>
      </c>
      <c r="Y26" s="5" t="s">
        <v>59</v>
      </c>
      <c r="Z26" s="5" t="s">
        <v>59</v>
      </c>
      <c r="AA26" s="5" t="s">
        <v>59</v>
      </c>
      <c r="AB26" s="5" t="s">
        <v>59</v>
      </c>
      <c r="AC26" s="5" t="s">
        <v>59</v>
      </c>
      <c r="AD26" s="5" t="s">
        <v>59</v>
      </c>
      <c r="AE26" s="5" t="s">
        <v>59</v>
      </c>
      <c r="AF26" s="5" t="s">
        <v>59</v>
      </c>
      <c r="AG26" s="5" t="s">
        <v>59</v>
      </c>
      <c r="AH26" s="5" t="s">
        <v>59</v>
      </c>
      <c r="AI26" s="5" t="s">
        <v>59</v>
      </c>
      <c r="AJ26" s="5" t="s">
        <v>59</v>
      </c>
      <c r="AK26" s="5" t="s">
        <v>59</v>
      </c>
    </row>
    <row r="27" spans="1:37">
      <c r="A27" s="1" t="str">
        <f>'Population Definitions'!$B$24</f>
        <v>50-64F_oth</v>
      </c>
      <c r="B27" s="5" t="s">
        <v>59</v>
      </c>
      <c r="C27" s="5" t="s">
        <v>59</v>
      </c>
      <c r="D27" s="5" t="s">
        <v>59</v>
      </c>
      <c r="E27" s="5" t="s">
        <v>59</v>
      </c>
      <c r="F27" s="5" t="s">
        <v>59</v>
      </c>
      <c r="G27" s="5" t="s">
        <v>59</v>
      </c>
      <c r="H27" s="5" t="s">
        <v>59</v>
      </c>
      <c r="I27" s="5" t="s">
        <v>59</v>
      </c>
      <c r="J27" s="5" t="s">
        <v>59</v>
      </c>
      <c r="K27" s="5" t="s">
        <v>59</v>
      </c>
      <c r="L27" s="5" t="s">
        <v>59</v>
      </c>
      <c r="M27" s="5" t="s">
        <v>59</v>
      </c>
      <c r="N27" s="5" t="s">
        <v>59</v>
      </c>
      <c r="O27" s="5" t="s">
        <v>59</v>
      </c>
      <c r="P27" s="5" t="s">
        <v>59</v>
      </c>
      <c r="Q27" s="5" t="s">
        <v>59</v>
      </c>
      <c r="R27" s="5" t="s">
        <v>59</v>
      </c>
      <c r="S27" s="5" t="s">
        <v>59</v>
      </c>
      <c r="T27" s="5" t="s">
        <v>59</v>
      </c>
      <c r="U27" s="5" t="s">
        <v>59</v>
      </c>
      <c r="V27" s="5" t="s">
        <v>59</v>
      </c>
      <c r="W27" s="5" t="s">
        <v>59</v>
      </c>
      <c r="X27" s="4" t="s">
        <v>57</v>
      </c>
      <c r="Y27" s="5" t="s">
        <v>58</v>
      </c>
      <c r="Z27" s="5" t="s">
        <v>59</v>
      </c>
      <c r="AA27" s="5" t="s">
        <v>59</v>
      </c>
      <c r="AB27" s="5" t="s">
        <v>59</v>
      </c>
      <c r="AC27" s="5" t="s">
        <v>59</v>
      </c>
      <c r="AD27" s="5" t="s">
        <v>59</v>
      </c>
      <c r="AE27" s="5" t="s">
        <v>59</v>
      </c>
      <c r="AF27" s="5" t="s">
        <v>59</v>
      </c>
      <c r="AG27" s="5" t="s">
        <v>59</v>
      </c>
      <c r="AH27" s="5" t="s">
        <v>59</v>
      </c>
      <c r="AI27" s="5" t="s">
        <v>59</v>
      </c>
      <c r="AJ27" s="5" t="s">
        <v>59</v>
      </c>
      <c r="AK27" s="5" t="s">
        <v>59</v>
      </c>
    </row>
    <row r="28" spans="1:37">
      <c r="A28" s="1" t="str">
        <f>'Population Definitions'!$B$25</f>
        <v>65+F_oth</v>
      </c>
      <c r="B28" s="5" t="s">
        <v>59</v>
      </c>
      <c r="C28" s="5" t="s">
        <v>59</v>
      </c>
      <c r="D28" s="5" t="s">
        <v>59</v>
      </c>
      <c r="E28" s="5" t="s">
        <v>59</v>
      </c>
      <c r="F28" s="5" t="s">
        <v>59</v>
      </c>
      <c r="G28" s="5" t="s">
        <v>59</v>
      </c>
      <c r="H28" s="5" t="s">
        <v>59</v>
      </c>
      <c r="I28" s="5" t="s">
        <v>59</v>
      </c>
      <c r="J28" s="5" t="s">
        <v>59</v>
      </c>
      <c r="K28" s="5" t="s">
        <v>59</v>
      </c>
      <c r="L28" s="5" t="s">
        <v>59</v>
      </c>
      <c r="M28" s="5" t="s">
        <v>59</v>
      </c>
      <c r="N28" s="5" t="s">
        <v>59</v>
      </c>
      <c r="O28" s="5" t="s">
        <v>59</v>
      </c>
      <c r="P28" s="5" t="s">
        <v>59</v>
      </c>
      <c r="Q28" s="5" t="s">
        <v>59</v>
      </c>
      <c r="R28" s="5" t="s">
        <v>59</v>
      </c>
      <c r="S28" s="5" t="s">
        <v>59</v>
      </c>
      <c r="T28" s="5" t="s">
        <v>59</v>
      </c>
      <c r="U28" s="5" t="s">
        <v>59</v>
      </c>
      <c r="V28" s="5" t="s">
        <v>59</v>
      </c>
      <c r="W28" s="5" t="s">
        <v>59</v>
      </c>
      <c r="X28" s="5" t="s">
        <v>59</v>
      </c>
      <c r="Y28" s="4" t="s">
        <v>57</v>
      </c>
      <c r="Z28" s="5" t="s">
        <v>59</v>
      </c>
      <c r="AA28" s="5" t="s">
        <v>59</v>
      </c>
      <c r="AB28" s="5" t="s">
        <v>59</v>
      </c>
      <c r="AC28" s="5" t="s">
        <v>59</v>
      </c>
      <c r="AD28" s="5" t="s">
        <v>59</v>
      </c>
      <c r="AE28" s="5" t="s">
        <v>59</v>
      </c>
      <c r="AF28" s="5" t="s">
        <v>59</v>
      </c>
      <c r="AG28" s="5" t="s">
        <v>59</v>
      </c>
      <c r="AH28" s="5" t="s">
        <v>59</v>
      </c>
      <c r="AI28" s="5" t="s">
        <v>59</v>
      </c>
      <c r="AJ28" s="5" t="s">
        <v>59</v>
      </c>
      <c r="AK28" s="5" t="s">
        <v>59</v>
      </c>
    </row>
    <row r="29" spans="1:37">
      <c r="A29" s="1" t="str">
        <f>'Population Definitions'!$B$26</f>
        <v>0-4M_fns</v>
      </c>
      <c r="B29" s="5" t="s">
        <v>59</v>
      </c>
      <c r="C29" s="5" t="s">
        <v>59</v>
      </c>
      <c r="D29" s="5" t="s">
        <v>59</v>
      </c>
      <c r="E29" s="5" t="s">
        <v>59</v>
      </c>
      <c r="F29" s="5" t="s">
        <v>59</v>
      </c>
      <c r="G29" s="5" t="s">
        <v>59</v>
      </c>
      <c r="H29" s="5" t="s">
        <v>59</v>
      </c>
      <c r="I29" s="5" t="s">
        <v>59</v>
      </c>
      <c r="J29" s="5" t="s">
        <v>59</v>
      </c>
      <c r="K29" s="5" t="s">
        <v>59</v>
      </c>
      <c r="L29" s="5" t="s">
        <v>59</v>
      </c>
      <c r="M29" s="5" t="s">
        <v>59</v>
      </c>
      <c r="N29" s="5" t="s">
        <v>59</v>
      </c>
      <c r="O29" s="5" t="s">
        <v>59</v>
      </c>
      <c r="P29" s="5" t="s">
        <v>59</v>
      </c>
      <c r="Q29" s="5" t="s">
        <v>59</v>
      </c>
      <c r="R29" s="5" t="s">
        <v>59</v>
      </c>
      <c r="S29" s="5" t="s">
        <v>59</v>
      </c>
      <c r="T29" s="5" t="s">
        <v>59</v>
      </c>
      <c r="U29" s="5" t="s">
        <v>59</v>
      </c>
      <c r="V29" s="5" t="s">
        <v>59</v>
      </c>
      <c r="W29" s="5" t="s">
        <v>59</v>
      </c>
      <c r="X29" s="5" t="s">
        <v>59</v>
      </c>
      <c r="Y29" s="5" t="s">
        <v>59</v>
      </c>
      <c r="Z29" s="4" t="s">
        <v>57</v>
      </c>
      <c r="AA29" s="5" t="s">
        <v>58</v>
      </c>
      <c r="AB29" s="5" t="s">
        <v>59</v>
      </c>
      <c r="AC29" s="5" t="s">
        <v>59</v>
      </c>
      <c r="AD29" s="5" t="s">
        <v>59</v>
      </c>
      <c r="AE29" s="5" t="s">
        <v>59</v>
      </c>
      <c r="AF29" s="5" t="s">
        <v>59</v>
      </c>
      <c r="AG29" s="5" t="s">
        <v>59</v>
      </c>
      <c r="AH29" s="5" t="s">
        <v>59</v>
      </c>
      <c r="AI29" s="5" t="s">
        <v>59</v>
      </c>
      <c r="AJ29" s="5" t="s">
        <v>59</v>
      </c>
      <c r="AK29" s="5" t="s">
        <v>59</v>
      </c>
    </row>
    <row r="30" spans="1:37">
      <c r="A30" s="1" t="str">
        <f>'Population Definitions'!$B$27</f>
        <v>5-14M_fns</v>
      </c>
      <c r="B30" s="5" t="s">
        <v>59</v>
      </c>
      <c r="C30" s="5" t="s">
        <v>59</v>
      </c>
      <c r="D30" s="5" t="s">
        <v>59</v>
      </c>
      <c r="E30" s="5" t="s">
        <v>59</v>
      </c>
      <c r="F30" s="5" t="s">
        <v>59</v>
      </c>
      <c r="G30" s="5" t="s">
        <v>59</v>
      </c>
      <c r="H30" s="5" t="s">
        <v>59</v>
      </c>
      <c r="I30" s="5" t="s">
        <v>59</v>
      </c>
      <c r="J30" s="5" t="s">
        <v>59</v>
      </c>
      <c r="K30" s="5" t="s">
        <v>59</v>
      </c>
      <c r="L30" s="5" t="s">
        <v>59</v>
      </c>
      <c r="M30" s="5" t="s">
        <v>59</v>
      </c>
      <c r="N30" s="5" t="s">
        <v>59</v>
      </c>
      <c r="O30" s="5" t="s">
        <v>59</v>
      </c>
      <c r="P30" s="5" t="s">
        <v>59</v>
      </c>
      <c r="Q30" s="5" t="s">
        <v>59</v>
      </c>
      <c r="R30" s="5" t="s">
        <v>59</v>
      </c>
      <c r="S30" s="5" t="s">
        <v>59</v>
      </c>
      <c r="T30" s="5" t="s">
        <v>59</v>
      </c>
      <c r="U30" s="5" t="s">
        <v>59</v>
      </c>
      <c r="V30" s="5" t="s">
        <v>59</v>
      </c>
      <c r="W30" s="5" t="s">
        <v>59</v>
      </c>
      <c r="X30" s="5" t="s">
        <v>59</v>
      </c>
      <c r="Y30" s="5" t="s">
        <v>59</v>
      </c>
      <c r="Z30" s="5" t="s">
        <v>59</v>
      </c>
      <c r="AA30" s="4" t="s">
        <v>57</v>
      </c>
      <c r="AB30" s="5" t="s">
        <v>58</v>
      </c>
      <c r="AC30" s="5" t="s">
        <v>59</v>
      </c>
      <c r="AD30" s="5" t="s">
        <v>59</v>
      </c>
      <c r="AE30" s="5" t="s">
        <v>59</v>
      </c>
      <c r="AF30" s="5" t="s">
        <v>59</v>
      </c>
      <c r="AG30" s="5" t="s">
        <v>59</v>
      </c>
      <c r="AH30" s="5" t="s">
        <v>59</v>
      </c>
      <c r="AI30" s="5" t="s">
        <v>59</v>
      </c>
      <c r="AJ30" s="5" t="s">
        <v>59</v>
      </c>
      <c r="AK30" s="5" t="s">
        <v>59</v>
      </c>
    </row>
    <row r="31" spans="1:37">
      <c r="A31" s="1" t="str">
        <f>'Population Definitions'!$B$28</f>
        <v>15-29M_fns</v>
      </c>
      <c r="B31" s="5" t="s">
        <v>59</v>
      </c>
      <c r="C31" s="5" t="s">
        <v>59</v>
      </c>
      <c r="D31" s="5" t="s">
        <v>59</v>
      </c>
      <c r="E31" s="5" t="s">
        <v>59</v>
      </c>
      <c r="F31" s="5" t="s">
        <v>59</v>
      </c>
      <c r="G31" s="5" t="s">
        <v>59</v>
      </c>
      <c r="H31" s="5" t="s">
        <v>59</v>
      </c>
      <c r="I31" s="5" t="s">
        <v>59</v>
      </c>
      <c r="J31" s="5" t="s">
        <v>59</v>
      </c>
      <c r="K31" s="5" t="s">
        <v>59</v>
      </c>
      <c r="L31" s="5" t="s">
        <v>59</v>
      </c>
      <c r="M31" s="5" t="s">
        <v>59</v>
      </c>
      <c r="N31" s="5" t="s">
        <v>59</v>
      </c>
      <c r="O31" s="5" t="s">
        <v>59</v>
      </c>
      <c r="P31" s="5" t="s">
        <v>59</v>
      </c>
      <c r="Q31" s="5" t="s">
        <v>59</v>
      </c>
      <c r="R31" s="5" t="s">
        <v>59</v>
      </c>
      <c r="S31" s="5" t="s">
        <v>59</v>
      </c>
      <c r="T31" s="5" t="s">
        <v>59</v>
      </c>
      <c r="U31" s="5" t="s">
        <v>59</v>
      </c>
      <c r="V31" s="5" t="s">
        <v>59</v>
      </c>
      <c r="W31" s="5" t="s">
        <v>59</v>
      </c>
      <c r="X31" s="5" t="s">
        <v>59</v>
      </c>
      <c r="Y31" s="5" t="s">
        <v>59</v>
      </c>
      <c r="Z31" s="5" t="s">
        <v>59</v>
      </c>
      <c r="AA31" s="5" t="s">
        <v>59</v>
      </c>
      <c r="AB31" s="4" t="s">
        <v>57</v>
      </c>
      <c r="AC31" s="5" t="s">
        <v>58</v>
      </c>
      <c r="AD31" s="5" t="s">
        <v>59</v>
      </c>
      <c r="AE31" s="5" t="s">
        <v>59</v>
      </c>
      <c r="AF31" s="5" t="s">
        <v>59</v>
      </c>
      <c r="AG31" s="5" t="s">
        <v>59</v>
      </c>
      <c r="AH31" s="5" t="s">
        <v>59</v>
      </c>
      <c r="AI31" s="5" t="s">
        <v>59</v>
      </c>
      <c r="AJ31" s="5" t="s">
        <v>59</v>
      </c>
      <c r="AK31" s="5" t="s">
        <v>59</v>
      </c>
    </row>
    <row r="32" spans="1:37">
      <c r="A32" s="1" t="str">
        <f>'Population Definitions'!$B$29</f>
        <v>30-49M_fns</v>
      </c>
      <c r="B32" s="5" t="s">
        <v>59</v>
      </c>
      <c r="C32" s="5" t="s">
        <v>59</v>
      </c>
      <c r="D32" s="5" t="s">
        <v>59</v>
      </c>
      <c r="E32" s="5" t="s">
        <v>59</v>
      </c>
      <c r="F32" s="5" t="s">
        <v>59</v>
      </c>
      <c r="G32" s="5" t="s">
        <v>59</v>
      </c>
      <c r="H32" s="5" t="s">
        <v>59</v>
      </c>
      <c r="I32" s="5" t="s">
        <v>59</v>
      </c>
      <c r="J32" s="5" t="s">
        <v>59</v>
      </c>
      <c r="K32" s="5" t="s">
        <v>59</v>
      </c>
      <c r="L32" s="5" t="s">
        <v>59</v>
      </c>
      <c r="M32" s="5" t="s">
        <v>59</v>
      </c>
      <c r="N32" s="5" t="s">
        <v>59</v>
      </c>
      <c r="O32" s="5" t="s">
        <v>59</v>
      </c>
      <c r="P32" s="5" t="s">
        <v>59</v>
      </c>
      <c r="Q32" s="5" t="s">
        <v>59</v>
      </c>
      <c r="R32" s="5" t="s">
        <v>59</v>
      </c>
      <c r="S32" s="5" t="s">
        <v>59</v>
      </c>
      <c r="T32" s="5" t="s">
        <v>59</v>
      </c>
      <c r="U32" s="5" t="s">
        <v>59</v>
      </c>
      <c r="V32" s="5" t="s">
        <v>59</v>
      </c>
      <c r="W32" s="5" t="s">
        <v>59</v>
      </c>
      <c r="X32" s="5" t="s">
        <v>59</v>
      </c>
      <c r="Y32" s="5" t="s">
        <v>59</v>
      </c>
      <c r="Z32" s="5" t="s">
        <v>59</v>
      </c>
      <c r="AA32" s="5" t="s">
        <v>59</v>
      </c>
      <c r="AB32" s="5" t="s">
        <v>59</v>
      </c>
      <c r="AC32" s="4" t="s">
        <v>57</v>
      </c>
      <c r="AD32" s="5" t="s">
        <v>58</v>
      </c>
      <c r="AE32" s="5" t="s">
        <v>59</v>
      </c>
      <c r="AF32" s="5" t="s">
        <v>59</v>
      </c>
      <c r="AG32" s="5" t="s">
        <v>59</v>
      </c>
      <c r="AH32" s="5" t="s">
        <v>59</v>
      </c>
      <c r="AI32" s="5" t="s">
        <v>59</v>
      </c>
      <c r="AJ32" s="5" t="s">
        <v>59</v>
      </c>
      <c r="AK32" s="5" t="s">
        <v>59</v>
      </c>
    </row>
    <row r="33" spans="1:100">
      <c r="A33" s="1" t="str">
        <f>'Population Definitions'!$B$30</f>
        <v>50-64M_fns</v>
      </c>
      <c r="B33" s="5" t="s">
        <v>59</v>
      </c>
      <c r="C33" s="5" t="s">
        <v>59</v>
      </c>
      <c r="D33" s="5" t="s">
        <v>59</v>
      </c>
      <c r="E33" s="5" t="s">
        <v>59</v>
      </c>
      <c r="F33" s="5" t="s">
        <v>59</v>
      </c>
      <c r="G33" s="5" t="s">
        <v>59</v>
      </c>
      <c r="H33" s="5" t="s">
        <v>59</v>
      </c>
      <c r="I33" s="5" t="s">
        <v>59</v>
      </c>
      <c r="J33" s="5" t="s">
        <v>59</v>
      </c>
      <c r="K33" s="5" t="s">
        <v>59</v>
      </c>
      <c r="L33" s="5" t="s">
        <v>59</v>
      </c>
      <c r="M33" s="5" t="s">
        <v>59</v>
      </c>
      <c r="N33" s="5" t="s">
        <v>59</v>
      </c>
      <c r="O33" s="5" t="s">
        <v>59</v>
      </c>
      <c r="P33" s="5" t="s">
        <v>59</v>
      </c>
      <c r="Q33" s="5" t="s">
        <v>59</v>
      </c>
      <c r="R33" s="5" t="s">
        <v>59</v>
      </c>
      <c r="S33" s="5" t="s">
        <v>59</v>
      </c>
      <c r="T33" s="5" t="s">
        <v>59</v>
      </c>
      <c r="U33" s="5" t="s">
        <v>59</v>
      </c>
      <c r="V33" s="5" t="s">
        <v>59</v>
      </c>
      <c r="W33" s="5" t="s">
        <v>59</v>
      </c>
      <c r="X33" s="5" t="s">
        <v>59</v>
      </c>
      <c r="Y33" s="5" t="s">
        <v>59</v>
      </c>
      <c r="Z33" s="5" t="s">
        <v>59</v>
      </c>
      <c r="AA33" s="5" t="s">
        <v>59</v>
      </c>
      <c r="AB33" s="5" t="s">
        <v>59</v>
      </c>
      <c r="AC33" s="5" t="s">
        <v>59</v>
      </c>
      <c r="AD33" s="4" t="s">
        <v>57</v>
      </c>
      <c r="AE33" s="5" t="s">
        <v>58</v>
      </c>
      <c r="AF33" s="5" t="s">
        <v>59</v>
      </c>
      <c r="AG33" s="5" t="s">
        <v>59</v>
      </c>
      <c r="AH33" s="5" t="s">
        <v>59</v>
      </c>
      <c r="AI33" s="5" t="s">
        <v>59</v>
      </c>
      <c r="AJ33" s="5" t="s">
        <v>59</v>
      </c>
      <c r="AK33" s="5" t="s">
        <v>59</v>
      </c>
    </row>
    <row r="34" spans="1:100">
      <c r="A34" s="1" t="str">
        <f>'Population Definitions'!$B$31</f>
        <v>65+M_fns</v>
      </c>
      <c r="B34" s="5" t="s">
        <v>59</v>
      </c>
      <c r="C34" s="5" t="s">
        <v>59</v>
      </c>
      <c r="D34" s="5" t="s">
        <v>59</v>
      </c>
      <c r="E34" s="5" t="s">
        <v>59</v>
      </c>
      <c r="F34" s="5" t="s">
        <v>59</v>
      </c>
      <c r="G34" s="5" t="s">
        <v>59</v>
      </c>
      <c r="H34" s="5" t="s">
        <v>59</v>
      </c>
      <c r="I34" s="5" t="s">
        <v>59</v>
      </c>
      <c r="J34" s="5" t="s">
        <v>59</v>
      </c>
      <c r="K34" s="5" t="s">
        <v>59</v>
      </c>
      <c r="L34" s="5" t="s">
        <v>59</v>
      </c>
      <c r="M34" s="5" t="s">
        <v>59</v>
      </c>
      <c r="N34" s="5" t="s">
        <v>59</v>
      </c>
      <c r="O34" s="5" t="s">
        <v>59</v>
      </c>
      <c r="P34" s="5" t="s">
        <v>59</v>
      </c>
      <c r="Q34" s="5" t="s">
        <v>59</v>
      </c>
      <c r="R34" s="5" t="s">
        <v>59</v>
      </c>
      <c r="S34" s="5" t="s">
        <v>59</v>
      </c>
      <c r="T34" s="5" t="s">
        <v>59</v>
      </c>
      <c r="U34" s="5" t="s">
        <v>59</v>
      </c>
      <c r="V34" s="5" t="s">
        <v>59</v>
      </c>
      <c r="W34" s="5" t="s">
        <v>59</v>
      </c>
      <c r="X34" s="5" t="s">
        <v>59</v>
      </c>
      <c r="Y34" s="5" t="s">
        <v>59</v>
      </c>
      <c r="Z34" s="5" t="s">
        <v>59</v>
      </c>
      <c r="AA34" s="5" t="s">
        <v>59</v>
      </c>
      <c r="AB34" s="5" t="s">
        <v>59</v>
      </c>
      <c r="AC34" s="5" t="s">
        <v>59</v>
      </c>
      <c r="AD34" s="5" t="s">
        <v>59</v>
      </c>
      <c r="AE34" s="4" t="s">
        <v>57</v>
      </c>
      <c r="AF34" s="5" t="s">
        <v>59</v>
      </c>
      <c r="AG34" s="5" t="s">
        <v>59</v>
      </c>
      <c r="AH34" s="5" t="s">
        <v>59</v>
      </c>
      <c r="AI34" s="5" t="s">
        <v>59</v>
      </c>
      <c r="AJ34" s="5" t="s">
        <v>59</v>
      </c>
      <c r="AK34" s="5" t="s">
        <v>59</v>
      </c>
    </row>
    <row r="35" spans="1:100">
      <c r="A35" s="1" t="str">
        <f>'Population Definitions'!$B$32</f>
        <v>0-4F_fns</v>
      </c>
      <c r="B35" s="5" t="s">
        <v>59</v>
      </c>
      <c r="C35" s="5" t="s">
        <v>59</v>
      </c>
      <c r="D35" s="5" t="s">
        <v>59</v>
      </c>
      <c r="E35" s="5" t="s">
        <v>59</v>
      </c>
      <c r="F35" s="5" t="s">
        <v>59</v>
      </c>
      <c r="G35" s="5" t="s">
        <v>59</v>
      </c>
      <c r="H35" s="5" t="s">
        <v>59</v>
      </c>
      <c r="I35" s="5" t="s">
        <v>59</v>
      </c>
      <c r="J35" s="5" t="s">
        <v>59</v>
      </c>
      <c r="K35" s="5" t="s">
        <v>59</v>
      </c>
      <c r="L35" s="5" t="s">
        <v>59</v>
      </c>
      <c r="M35" s="5" t="s">
        <v>59</v>
      </c>
      <c r="N35" s="5" t="s">
        <v>59</v>
      </c>
      <c r="O35" s="5" t="s">
        <v>59</v>
      </c>
      <c r="P35" s="5" t="s">
        <v>59</v>
      </c>
      <c r="Q35" s="5" t="s">
        <v>59</v>
      </c>
      <c r="R35" s="5" t="s">
        <v>59</v>
      </c>
      <c r="S35" s="5" t="s">
        <v>59</v>
      </c>
      <c r="T35" s="5" t="s">
        <v>59</v>
      </c>
      <c r="U35" s="5" t="s">
        <v>59</v>
      </c>
      <c r="V35" s="5" t="s">
        <v>59</v>
      </c>
      <c r="W35" s="5" t="s">
        <v>59</v>
      </c>
      <c r="X35" s="5" t="s">
        <v>59</v>
      </c>
      <c r="Y35" s="5" t="s">
        <v>59</v>
      </c>
      <c r="Z35" s="5" t="s">
        <v>59</v>
      </c>
      <c r="AA35" s="5" t="s">
        <v>59</v>
      </c>
      <c r="AB35" s="5" t="s">
        <v>59</v>
      </c>
      <c r="AC35" s="5" t="s">
        <v>59</v>
      </c>
      <c r="AD35" s="5" t="s">
        <v>59</v>
      </c>
      <c r="AE35" s="5" t="s">
        <v>59</v>
      </c>
      <c r="AF35" s="4" t="s">
        <v>57</v>
      </c>
      <c r="AG35" s="5" t="s">
        <v>58</v>
      </c>
      <c r="AH35" s="5" t="s">
        <v>59</v>
      </c>
      <c r="AI35" s="5" t="s">
        <v>59</v>
      </c>
      <c r="AJ35" s="5" t="s">
        <v>59</v>
      </c>
      <c r="AK35" s="5" t="s">
        <v>59</v>
      </c>
    </row>
    <row r="36" spans="1:100">
      <c r="A36" s="1" t="str">
        <f>'Population Definitions'!$B$33</f>
        <v>5-14F_fns</v>
      </c>
      <c r="B36" s="5" t="s">
        <v>59</v>
      </c>
      <c r="C36" s="5" t="s">
        <v>59</v>
      </c>
      <c r="D36" s="5" t="s">
        <v>59</v>
      </c>
      <c r="E36" s="5" t="s">
        <v>59</v>
      </c>
      <c r="F36" s="5" t="s">
        <v>59</v>
      </c>
      <c r="G36" s="5" t="s">
        <v>59</v>
      </c>
      <c r="H36" s="5" t="s">
        <v>59</v>
      </c>
      <c r="I36" s="5" t="s">
        <v>59</v>
      </c>
      <c r="J36" s="5" t="s">
        <v>59</v>
      </c>
      <c r="K36" s="5" t="s">
        <v>59</v>
      </c>
      <c r="L36" s="5" t="s">
        <v>59</v>
      </c>
      <c r="M36" s="5" t="s">
        <v>59</v>
      </c>
      <c r="N36" s="5" t="s">
        <v>59</v>
      </c>
      <c r="O36" s="5" t="s">
        <v>59</v>
      </c>
      <c r="P36" s="5" t="s">
        <v>59</v>
      </c>
      <c r="Q36" s="5" t="s">
        <v>59</v>
      </c>
      <c r="R36" s="5" t="s">
        <v>59</v>
      </c>
      <c r="S36" s="5" t="s">
        <v>59</v>
      </c>
      <c r="T36" s="5" t="s">
        <v>59</v>
      </c>
      <c r="U36" s="5" t="s">
        <v>59</v>
      </c>
      <c r="V36" s="5" t="s">
        <v>59</v>
      </c>
      <c r="W36" s="5" t="s">
        <v>59</v>
      </c>
      <c r="X36" s="5" t="s">
        <v>59</v>
      </c>
      <c r="Y36" s="5" t="s">
        <v>59</v>
      </c>
      <c r="Z36" s="5" t="s">
        <v>59</v>
      </c>
      <c r="AA36" s="5" t="s">
        <v>59</v>
      </c>
      <c r="AB36" s="5" t="s">
        <v>59</v>
      </c>
      <c r="AC36" s="5" t="s">
        <v>59</v>
      </c>
      <c r="AD36" s="5" t="s">
        <v>59</v>
      </c>
      <c r="AE36" s="5" t="s">
        <v>59</v>
      </c>
      <c r="AF36" s="5" t="s">
        <v>59</v>
      </c>
      <c r="AG36" s="4" t="s">
        <v>57</v>
      </c>
      <c r="AH36" s="5" t="s">
        <v>58</v>
      </c>
      <c r="AI36" s="5" t="s">
        <v>59</v>
      </c>
      <c r="AJ36" s="5" t="s">
        <v>59</v>
      </c>
      <c r="AK36" s="5" t="s">
        <v>59</v>
      </c>
    </row>
    <row r="37" spans="1:100">
      <c r="A37" s="1" t="str">
        <f>'Population Definitions'!$B$34</f>
        <v>15-29F_fns</v>
      </c>
      <c r="B37" s="5" t="s">
        <v>59</v>
      </c>
      <c r="C37" s="5" t="s">
        <v>59</v>
      </c>
      <c r="D37" s="5" t="s">
        <v>59</v>
      </c>
      <c r="E37" s="5" t="s">
        <v>59</v>
      </c>
      <c r="F37" s="5" t="s">
        <v>59</v>
      </c>
      <c r="G37" s="5" t="s">
        <v>59</v>
      </c>
      <c r="H37" s="5" t="s">
        <v>59</v>
      </c>
      <c r="I37" s="5" t="s">
        <v>59</v>
      </c>
      <c r="J37" s="5" t="s">
        <v>59</v>
      </c>
      <c r="K37" s="5" t="s">
        <v>59</v>
      </c>
      <c r="L37" s="5" t="s">
        <v>59</v>
      </c>
      <c r="M37" s="5" t="s">
        <v>59</v>
      </c>
      <c r="N37" s="5" t="s">
        <v>59</v>
      </c>
      <c r="O37" s="5" t="s">
        <v>59</v>
      </c>
      <c r="P37" s="5" t="s">
        <v>59</v>
      </c>
      <c r="Q37" s="5" t="s">
        <v>59</v>
      </c>
      <c r="R37" s="5" t="s">
        <v>59</v>
      </c>
      <c r="S37" s="5" t="s">
        <v>59</v>
      </c>
      <c r="T37" s="5" t="s">
        <v>59</v>
      </c>
      <c r="U37" s="5" t="s">
        <v>59</v>
      </c>
      <c r="V37" s="5" t="s">
        <v>59</v>
      </c>
      <c r="W37" s="5" t="s">
        <v>59</v>
      </c>
      <c r="X37" s="5" t="s">
        <v>59</v>
      </c>
      <c r="Y37" s="5" t="s">
        <v>59</v>
      </c>
      <c r="Z37" s="5" t="s">
        <v>59</v>
      </c>
      <c r="AA37" s="5" t="s">
        <v>59</v>
      </c>
      <c r="AB37" s="5" t="s">
        <v>59</v>
      </c>
      <c r="AC37" s="5" t="s">
        <v>59</v>
      </c>
      <c r="AD37" s="5" t="s">
        <v>59</v>
      </c>
      <c r="AE37" s="5" t="s">
        <v>59</v>
      </c>
      <c r="AF37" s="5" t="s">
        <v>59</v>
      </c>
      <c r="AG37" s="5" t="s">
        <v>59</v>
      </c>
      <c r="AH37" s="4" t="s">
        <v>57</v>
      </c>
      <c r="AI37" s="5" t="s">
        <v>58</v>
      </c>
      <c r="AJ37" s="5" t="s">
        <v>59</v>
      </c>
      <c r="AK37" s="5" t="s">
        <v>59</v>
      </c>
    </row>
    <row r="38" spans="1:100">
      <c r="A38" s="1" t="str">
        <f>'Population Definitions'!$B$35</f>
        <v>30-49F_fns</v>
      </c>
      <c r="B38" s="5" t="s">
        <v>59</v>
      </c>
      <c r="C38" s="5" t="s">
        <v>59</v>
      </c>
      <c r="D38" s="5" t="s">
        <v>59</v>
      </c>
      <c r="E38" s="5" t="s">
        <v>59</v>
      </c>
      <c r="F38" s="5" t="s">
        <v>59</v>
      </c>
      <c r="G38" s="5" t="s">
        <v>59</v>
      </c>
      <c r="H38" s="5" t="s">
        <v>59</v>
      </c>
      <c r="I38" s="5" t="s">
        <v>59</v>
      </c>
      <c r="J38" s="5" t="s">
        <v>59</v>
      </c>
      <c r="K38" s="5" t="s">
        <v>59</v>
      </c>
      <c r="L38" s="5" t="s">
        <v>59</v>
      </c>
      <c r="M38" s="5" t="s">
        <v>59</v>
      </c>
      <c r="N38" s="5" t="s">
        <v>59</v>
      </c>
      <c r="O38" s="5" t="s">
        <v>59</v>
      </c>
      <c r="P38" s="5" t="s">
        <v>59</v>
      </c>
      <c r="Q38" s="5" t="s">
        <v>59</v>
      </c>
      <c r="R38" s="5" t="s">
        <v>59</v>
      </c>
      <c r="S38" s="5" t="s">
        <v>59</v>
      </c>
      <c r="T38" s="5" t="s">
        <v>59</v>
      </c>
      <c r="U38" s="5" t="s">
        <v>59</v>
      </c>
      <c r="V38" s="5" t="s">
        <v>59</v>
      </c>
      <c r="W38" s="5" t="s">
        <v>59</v>
      </c>
      <c r="X38" s="5" t="s">
        <v>59</v>
      </c>
      <c r="Y38" s="5" t="s">
        <v>59</v>
      </c>
      <c r="Z38" s="5" t="s">
        <v>59</v>
      </c>
      <c r="AA38" s="5" t="s">
        <v>59</v>
      </c>
      <c r="AB38" s="5" t="s">
        <v>59</v>
      </c>
      <c r="AC38" s="5" t="s">
        <v>59</v>
      </c>
      <c r="AD38" s="5" t="s">
        <v>59</v>
      </c>
      <c r="AE38" s="5" t="s">
        <v>59</v>
      </c>
      <c r="AF38" s="5" t="s">
        <v>59</v>
      </c>
      <c r="AG38" s="5" t="s">
        <v>59</v>
      </c>
      <c r="AH38" s="5" t="s">
        <v>59</v>
      </c>
      <c r="AI38" s="4" t="s">
        <v>57</v>
      </c>
      <c r="AJ38" s="5" t="s">
        <v>58</v>
      </c>
      <c r="AK38" s="5" t="s">
        <v>59</v>
      </c>
    </row>
    <row r="39" spans="1:100">
      <c r="A39" s="1" t="str">
        <f>'Population Definitions'!$B$36</f>
        <v>50-64F_fns</v>
      </c>
      <c r="B39" s="5" t="s">
        <v>59</v>
      </c>
      <c r="C39" s="5" t="s">
        <v>59</v>
      </c>
      <c r="D39" s="5" t="s">
        <v>59</v>
      </c>
      <c r="E39" s="5" t="s">
        <v>59</v>
      </c>
      <c r="F39" s="5" t="s">
        <v>59</v>
      </c>
      <c r="G39" s="5" t="s">
        <v>59</v>
      </c>
      <c r="H39" s="5" t="s">
        <v>59</v>
      </c>
      <c r="I39" s="5" t="s">
        <v>59</v>
      </c>
      <c r="J39" s="5" t="s">
        <v>59</v>
      </c>
      <c r="K39" s="5" t="s">
        <v>59</v>
      </c>
      <c r="L39" s="5" t="s">
        <v>59</v>
      </c>
      <c r="M39" s="5" t="s">
        <v>59</v>
      </c>
      <c r="N39" s="5" t="s">
        <v>59</v>
      </c>
      <c r="O39" s="5" t="s">
        <v>59</v>
      </c>
      <c r="P39" s="5" t="s">
        <v>59</v>
      </c>
      <c r="Q39" s="5" t="s">
        <v>59</v>
      </c>
      <c r="R39" s="5" t="s">
        <v>59</v>
      </c>
      <c r="S39" s="5" t="s">
        <v>59</v>
      </c>
      <c r="T39" s="5" t="s">
        <v>59</v>
      </c>
      <c r="U39" s="5" t="s">
        <v>59</v>
      </c>
      <c r="V39" s="5" t="s">
        <v>59</v>
      </c>
      <c r="W39" s="5" t="s">
        <v>59</v>
      </c>
      <c r="X39" s="5" t="s">
        <v>59</v>
      </c>
      <c r="Y39" s="5" t="s">
        <v>59</v>
      </c>
      <c r="Z39" s="5" t="s">
        <v>59</v>
      </c>
      <c r="AA39" s="5" t="s">
        <v>59</v>
      </c>
      <c r="AB39" s="5" t="s">
        <v>59</v>
      </c>
      <c r="AC39" s="5" t="s">
        <v>59</v>
      </c>
      <c r="AD39" s="5" t="s">
        <v>59</v>
      </c>
      <c r="AE39" s="5" t="s">
        <v>59</v>
      </c>
      <c r="AF39" s="5" t="s">
        <v>59</v>
      </c>
      <c r="AG39" s="5" t="s">
        <v>59</v>
      </c>
      <c r="AH39" s="5" t="s">
        <v>59</v>
      </c>
      <c r="AI39" s="5" t="s">
        <v>59</v>
      </c>
      <c r="AJ39" s="4" t="s">
        <v>57</v>
      </c>
      <c r="AK39" s="5" t="s">
        <v>58</v>
      </c>
    </row>
    <row r="40" spans="1:100">
      <c r="A40" s="1" t="str">
        <f>'Population Definitions'!$B$37</f>
        <v>65+F_fns</v>
      </c>
      <c r="B40" s="5" t="s">
        <v>59</v>
      </c>
      <c r="C40" s="5" t="s">
        <v>59</v>
      </c>
      <c r="D40" s="5" t="s">
        <v>59</v>
      </c>
      <c r="E40" s="5" t="s">
        <v>59</v>
      </c>
      <c r="F40" s="5" t="s">
        <v>59</v>
      </c>
      <c r="G40" s="5" t="s">
        <v>59</v>
      </c>
      <c r="H40" s="5" t="s">
        <v>59</v>
      </c>
      <c r="I40" s="5" t="s">
        <v>59</v>
      </c>
      <c r="J40" s="5" t="s">
        <v>59</v>
      </c>
      <c r="K40" s="5" t="s">
        <v>59</v>
      </c>
      <c r="L40" s="5" t="s">
        <v>59</v>
      </c>
      <c r="M40" s="5" t="s">
        <v>59</v>
      </c>
      <c r="N40" s="5" t="s">
        <v>59</v>
      </c>
      <c r="O40" s="5" t="s">
        <v>59</v>
      </c>
      <c r="P40" s="5" t="s">
        <v>59</v>
      </c>
      <c r="Q40" s="5" t="s">
        <v>59</v>
      </c>
      <c r="R40" s="5" t="s">
        <v>59</v>
      </c>
      <c r="S40" s="5" t="s">
        <v>59</v>
      </c>
      <c r="T40" s="5" t="s">
        <v>59</v>
      </c>
      <c r="U40" s="5" t="s">
        <v>59</v>
      </c>
      <c r="V40" s="5" t="s">
        <v>59</v>
      </c>
      <c r="W40" s="5" t="s">
        <v>59</v>
      </c>
      <c r="X40" s="5" t="s">
        <v>59</v>
      </c>
      <c r="Y40" s="5" t="s">
        <v>59</v>
      </c>
      <c r="Z40" s="5" t="s">
        <v>59</v>
      </c>
      <c r="AA40" s="5" t="s">
        <v>59</v>
      </c>
      <c r="AB40" s="5" t="s">
        <v>59</v>
      </c>
      <c r="AC40" s="5" t="s">
        <v>59</v>
      </c>
      <c r="AD40" s="5" t="s">
        <v>59</v>
      </c>
      <c r="AE40" s="5" t="s">
        <v>59</v>
      </c>
      <c r="AF40" s="5" t="s">
        <v>59</v>
      </c>
      <c r="AG40" s="5" t="s">
        <v>59</v>
      </c>
      <c r="AH40" s="5" t="s">
        <v>59</v>
      </c>
      <c r="AI40" s="5" t="s">
        <v>59</v>
      </c>
      <c r="AJ40" s="5" t="s">
        <v>59</v>
      </c>
      <c r="AK40" s="4" t="s">
        <v>57</v>
      </c>
    </row>
    <row r="42" spans="1:100">
      <c r="A42" s="1" t="s">
        <v>60</v>
      </c>
      <c r="B42" s="1"/>
      <c r="C42" s="1" t="s">
        <v>61</v>
      </c>
      <c r="D42" s="1" t="s">
        <v>41</v>
      </c>
      <c r="E42" s="1" t="s">
        <v>42</v>
      </c>
      <c r="F42" s="1" t="s">
        <v>43</v>
      </c>
      <c r="G42" s="1" t="s">
        <v>46</v>
      </c>
      <c r="H42" s="1"/>
      <c r="I42" s="1">
        <v>1980</v>
      </c>
      <c r="J42" s="1">
        <v>1981</v>
      </c>
      <c r="K42" s="1">
        <v>1982</v>
      </c>
      <c r="L42" s="1">
        <v>1983</v>
      </c>
      <c r="M42" s="1">
        <v>1984</v>
      </c>
      <c r="N42" s="1">
        <v>1985</v>
      </c>
      <c r="O42" s="1">
        <v>1986</v>
      </c>
      <c r="P42" s="1">
        <v>1987</v>
      </c>
      <c r="Q42" s="1">
        <v>1988</v>
      </c>
      <c r="R42" s="1">
        <v>1989</v>
      </c>
      <c r="S42" s="1">
        <v>1990</v>
      </c>
      <c r="T42" s="1">
        <v>1991</v>
      </c>
      <c r="U42" s="1">
        <v>1992</v>
      </c>
      <c r="V42" s="1">
        <v>1993</v>
      </c>
      <c r="W42" s="1">
        <v>1994</v>
      </c>
      <c r="X42" s="1">
        <v>1995</v>
      </c>
      <c r="Y42" s="1">
        <v>1996</v>
      </c>
      <c r="Z42" s="1">
        <v>1997</v>
      </c>
      <c r="AA42" s="1">
        <v>1998</v>
      </c>
      <c r="AB42" s="1">
        <v>1999</v>
      </c>
      <c r="AC42" s="1">
        <v>2000</v>
      </c>
      <c r="AD42" s="1">
        <v>2001</v>
      </c>
      <c r="AE42" s="1">
        <v>2002</v>
      </c>
      <c r="AF42" s="1">
        <v>2003</v>
      </c>
      <c r="AG42" s="1">
        <v>2004</v>
      </c>
      <c r="AH42" s="1">
        <v>2005</v>
      </c>
      <c r="AI42" s="1">
        <v>2006</v>
      </c>
      <c r="AJ42" s="1">
        <v>2007</v>
      </c>
      <c r="AK42" s="1">
        <v>2008</v>
      </c>
      <c r="AL42" s="1">
        <v>2009</v>
      </c>
      <c r="AM42" s="1">
        <v>2010</v>
      </c>
      <c r="AN42" s="1">
        <v>2011</v>
      </c>
      <c r="AO42" s="1">
        <v>2012</v>
      </c>
      <c r="AP42" s="1">
        <v>2013</v>
      </c>
      <c r="AQ42" s="1">
        <v>2014</v>
      </c>
      <c r="AR42" s="1">
        <v>2015</v>
      </c>
      <c r="AS42" s="1">
        <v>2016</v>
      </c>
      <c r="AT42" s="1">
        <v>2017</v>
      </c>
      <c r="AU42" s="1">
        <v>2018</v>
      </c>
      <c r="AV42" s="1">
        <v>2019</v>
      </c>
      <c r="AW42" s="1">
        <v>2020</v>
      </c>
      <c r="AX42" s="1">
        <v>2021</v>
      </c>
      <c r="AY42" s="1">
        <v>2022</v>
      </c>
      <c r="AZ42" s="1">
        <v>2023</v>
      </c>
      <c r="BA42" s="1">
        <v>2024</v>
      </c>
      <c r="BB42" s="1">
        <v>2025</v>
      </c>
      <c r="BC42" s="1">
        <v>2026</v>
      </c>
      <c r="BD42" s="1">
        <v>2027</v>
      </c>
      <c r="BE42" s="1">
        <v>2028</v>
      </c>
      <c r="BF42" s="1">
        <v>2029</v>
      </c>
      <c r="BG42" s="1">
        <v>2030</v>
      </c>
      <c r="BH42" s="1">
        <v>2031</v>
      </c>
      <c r="BI42" s="1">
        <v>2032</v>
      </c>
      <c r="BJ42" s="1">
        <v>2033</v>
      </c>
      <c r="BK42" s="1">
        <v>2034</v>
      </c>
      <c r="BL42" s="1">
        <v>2035</v>
      </c>
      <c r="BM42" s="1">
        <v>2036</v>
      </c>
      <c r="BN42" s="1">
        <v>2037</v>
      </c>
      <c r="BO42" s="1">
        <v>2038</v>
      </c>
      <c r="BP42" s="1">
        <v>2039</v>
      </c>
      <c r="BQ42" s="1">
        <v>2040</v>
      </c>
      <c r="BR42" s="1">
        <v>2041</v>
      </c>
      <c r="BS42" s="1">
        <v>2042</v>
      </c>
      <c r="BT42" s="1">
        <v>2043</v>
      </c>
      <c r="BU42" s="1">
        <v>2044</v>
      </c>
      <c r="BV42" s="1">
        <v>2045</v>
      </c>
      <c r="BW42" s="1">
        <v>2046</v>
      </c>
      <c r="BX42" s="1">
        <v>2047</v>
      </c>
      <c r="BY42" s="1">
        <v>2048</v>
      </c>
      <c r="BZ42" s="1">
        <v>2049</v>
      </c>
      <c r="CA42" s="1">
        <v>2050</v>
      </c>
      <c r="CB42" s="1">
        <v>2051</v>
      </c>
      <c r="CC42" s="1">
        <v>2052</v>
      </c>
      <c r="CD42" s="1">
        <v>2053</v>
      </c>
      <c r="CE42" s="1">
        <v>2054</v>
      </c>
      <c r="CF42" s="1">
        <v>2055</v>
      </c>
      <c r="CG42" s="1">
        <v>2056</v>
      </c>
      <c r="CH42" s="1">
        <v>2057</v>
      </c>
      <c r="CI42" s="1">
        <v>2058</v>
      </c>
      <c r="CJ42" s="1">
        <v>2059</v>
      </c>
      <c r="CK42" s="1">
        <v>2060</v>
      </c>
      <c r="CL42" s="1">
        <v>2061</v>
      </c>
      <c r="CM42" s="1">
        <v>2062</v>
      </c>
      <c r="CN42" s="1">
        <v>2063</v>
      </c>
      <c r="CO42" s="1">
        <v>2064</v>
      </c>
      <c r="CP42" s="1">
        <v>2065</v>
      </c>
      <c r="CQ42" s="1">
        <v>2066</v>
      </c>
      <c r="CR42" s="1">
        <v>2067</v>
      </c>
      <c r="CS42" s="1">
        <v>2068</v>
      </c>
      <c r="CT42" s="1">
        <v>2069</v>
      </c>
      <c r="CU42" s="1">
        <v>2070</v>
      </c>
      <c r="CV42" s="1">
        <v>2071</v>
      </c>
    </row>
    <row r="43" spans="1:100">
      <c r="A43" s="1" t="str">
        <f>IF($B$5="Y",'Population Definitions'!$B$2,"...")</f>
        <v>...</v>
      </c>
      <c r="B43" s="4" t="str">
        <f>IF($B$5="Y","---&gt;","...")</f>
        <v>...</v>
      </c>
      <c r="C43" s="1" t="str">
        <f>IF($B$5="Y",'Population Definitions'!$B$2,"...")</f>
        <v>...</v>
      </c>
      <c r="E43" s="2"/>
      <c r="F43" s="3"/>
      <c r="G43" s="2"/>
      <c r="H43" s="4" t="str">
        <f>IF($B$5="Y","OR","...")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IF($C$5="Y",'Population Definitions'!$B$2,"...")</f>
        <v>0-4M_aus</v>
      </c>
      <c r="B44" s="4" t="str">
        <f>IF($C$5="Y","---&gt;","...")</f>
        <v>---&gt;</v>
      </c>
      <c r="C44" s="1" t="str">
        <f>IF($C$5="Y",'Population Definitions'!$B$3,"...")</f>
        <v>5-14M_aus</v>
      </c>
      <c r="E44" s="3" t="s">
        <v>63</v>
      </c>
      <c r="F44" s="3"/>
      <c r="G44" s="3"/>
      <c r="H44" s="4" t="str">
        <f>IF($C$5="Y","OR","...")</f>
        <v>OR</v>
      </c>
      <c r="I44" s="3">
        <v>0.20478154703602</v>
      </c>
      <c r="J44" s="3">
        <v>0.20200165289823</v>
      </c>
      <c r="K44" s="3">
        <v>0.200238292406753</v>
      </c>
      <c r="L44" s="3">
        <v>0.195595233334666</v>
      </c>
      <c r="M44" s="3">
        <v>0.194983786776337</v>
      </c>
      <c r="N44" s="3">
        <v>0.197279919501509</v>
      </c>
      <c r="O44" s="3">
        <v>0.200011308196827</v>
      </c>
      <c r="P44" s="3">
        <v>0.202949262684329</v>
      </c>
      <c r="Q44" s="3">
        <v>0.200926902740353</v>
      </c>
      <c r="R44" s="3">
        <v>0.201462406912055</v>
      </c>
      <c r="S44" s="3">
        <v>0.200103528813712</v>
      </c>
      <c r="T44" s="3">
        <v>0.197255259067119</v>
      </c>
      <c r="U44" s="3">
        <v>0.196565995610671</v>
      </c>
      <c r="V44" s="3">
        <v>0.197234247851619</v>
      </c>
      <c r="W44" s="3">
        <v>0.20141310332171</v>
      </c>
      <c r="X44" s="3">
        <v>0.202451847306938</v>
      </c>
      <c r="Y44" s="3">
        <v>0.201056181301064</v>
      </c>
      <c r="Z44" s="3">
        <v>0.202548831483862</v>
      </c>
      <c r="AA44" s="3">
        <v>0.20455075881342</v>
      </c>
      <c r="AB44" s="3">
        <v>0.206406599113884</v>
      </c>
      <c r="AC44" s="3">
        <v>0.204711728496175</v>
      </c>
      <c r="AD44" s="3">
        <v>0.203994162801488</v>
      </c>
      <c r="AE44" s="3">
        <v>0.201862079460406</v>
      </c>
      <c r="AF44" s="3">
        <v>0.203465638717769</v>
      </c>
      <c r="AG44" s="3">
        <v>0.203405361764047</v>
      </c>
      <c r="AH44" s="3">
        <v>0.202622389081204</v>
      </c>
      <c r="AI44" s="3">
        <v>0.198244880022153</v>
      </c>
      <c r="AJ44" s="3">
        <v>0.193490428429248</v>
      </c>
      <c r="AK44" s="3">
        <v>0.19116172851326</v>
      </c>
      <c r="AL44" s="3">
        <v>0.1913919851797</v>
      </c>
      <c r="AM44" s="3">
        <v>0.195560361345371</v>
      </c>
      <c r="AN44" s="3">
        <v>0.197910028629562</v>
      </c>
      <c r="AO44" s="3">
        <v>0.198658276222528</v>
      </c>
      <c r="AP44" s="3">
        <v>0.198243574676818</v>
      </c>
      <c r="AQ44" s="3">
        <v>0.200312686423798</v>
      </c>
      <c r="AR44" s="3">
        <v>0.199448457915432</v>
      </c>
      <c r="AS44" s="3">
        <v>0.199908898826949</v>
      </c>
      <c r="AT44" s="3">
        <v>0.203300330033003</v>
      </c>
      <c r="AU44" s="3">
        <v>0.202891103989171</v>
      </c>
      <c r="AV44" s="3">
        <v>0.204512713030168</v>
      </c>
      <c r="AW44" s="3">
        <v>0.209686019370012</v>
      </c>
      <c r="AX44" s="3">
        <v>0.206016504725486</v>
      </c>
      <c r="AY44" s="3">
        <v>0.202436567293799</v>
      </c>
      <c r="AZ44" s="3">
        <v>0.203390154947156</v>
      </c>
      <c r="BA44" s="3">
        <v>0.1997534300145</v>
      </c>
      <c r="BB44" s="3">
        <v>0.201738528356518</v>
      </c>
      <c r="BC44" s="3">
        <v>0.206067405319654</v>
      </c>
      <c r="BD44" s="3">
        <v>0.201969111534172</v>
      </c>
      <c r="BE44" s="3">
        <v>0.202604504010762</v>
      </c>
      <c r="BF44" s="3">
        <v>0.202687344913151</v>
      </c>
      <c r="BG44" s="3">
        <v>0.202538061026201</v>
      </c>
      <c r="BH44" s="3">
        <v>0.202139909383902</v>
      </c>
      <c r="BI44" s="3">
        <v>0.201790449464386</v>
      </c>
      <c r="BJ44" s="3">
        <v>0.20159536161123</v>
      </c>
      <c r="BK44" s="3">
        <v>0.20133591029831</v>
      </c>
      <c r="BL44" s="3">
        <v>0.201019024361994</v>
      </c>
      <c r="BM44" s="3">
        <v>0.200637129633956</v>
      </c>
      <c r="BN44" s="3">
        <v>0.200233933143619</v>
      </c>
      <c r="BO44" s="3">
        <v>0.199896290621962</v>
      </c>
      <c r="BP44" s="3">
        <v>0.199658521716687</v>
      </c>
      <c r="BQ44" s="3">
        <v>0.199539039341326</v>
      </c>
      <c r="BR44" s="3">
        <v>0.199538447252179</v>
      </c>
      <c r="BS44" s="3">
        <v>0.199672266023623</v>
      </c>
      <c r="BT44" s="3">
        <v>0.199931916582032</v>
      </c>
      <c r="BU44" s="3">
        <v>0.200284028913203</v>
      </c>
      <c r="BV44" s="3">
        <v>0.20069155662523</v>
      </c>
      <c r="BW44" s="3">
        <v>0.201111124634724</v>
      </c>
      <c r="BX44" s="3">
        <v>0.201509189460798</v>
      </c>
      <c r="BY44" s="3">
        <v>0.201872751736826</v>
      </c>
      <c r="BZ44" s="3">
        <v>0.202192995431899</v>
      </c>
      <c r="CA44" s="3">
        <v>0.202444613373731</v>
      </c>
      <c r="CB44" s="3">
        <v>0.20263174280318</v>
      </c>
      <c r="CC44" s="3">
        <v>0.202759480188403</v>
      </c>
      <c r="CD44" s="3">
        <v>0.202822031033618</v>
      </c>
      <c r="CE44" s="3">
        <v>0.202827459590209</v>
      </c>
      <c r="CF44" s="3">
        <v>0.202781261430736</v>
      </c>
      <c r="CG44" s="3">
        <v>0.202703804924096</v>
      </c>
      <c r="CH44" s="3">
        <v>0.202608131783864</v>
      </c>
      <c r="CI44" s="3">
        <v>0.202511670079478</v>
      </c>
      <c r="CJ44" s="3">
        <v>0.202406241676574</v>
      </c>
      <c r="CK44" s="3">
        <v>0.202299484020855</v>
      </c>
      <c r="CL44" s="3">
        <v>0.202185421181443</v>
      </c>
      <c r="CM44" s="3">
        <v>0.20205986226002</v>
      </c>
      <c r="CN44" s="3">
        <v>0.201928768745067</v>
      </c>
      <c r="CO44" s="3">
        <v>0.201795073809475</v>
      </c>
      <c r="CP44" s="3">
        <v>0.2016651130583</v>
      </c>
      <c r="CQ44" s="3">
        <v>0.201539197965567</v>
      </c>
      <c r="CR44" s="3">
        <v>0.201420375560153</v>
      </c>
      <c r="CS44" s="3">
        <v>0.201314587201934</v>
      </c>
      <c r="CT44" s="3">
        <v>0.201216770684316</v>
      </c>
      <c r="CU44" s="3">
        <v>0.201145078385081</v>
      </c>
      <c r="CV44" s="3">
        <v>0.2010949026384</v>
      </c>
    </row>
    <row r="45" spans="1:100">
      <c r="A45" s="1" t="str">
        <f>IF($D$5="Y",'Population Definitions'!$B$2,"...")</f>
        <v>...</v>
      </c>
      <c r="B45" s="4" t="str">
        <f>IF($D$5="Y","---&gt;","...")</f>
        <v>...</v>
      </c>
      <c r="C45" s="1" t="str">
        <f>IF($D$5="Y",'Population Definitions'!$B$4,"...")</f>
        <v>...</v>
      </c>
      <c r="E45" s="2"/>
      <c r="F45" s="3"/>
      <c r="G45" s="2"/>
      <c r="H45" s="4" t="str">
        <f>IF($D$5="Y","OR","...")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IF($E$5="Y",'Population Definitions'!$B$2,"...")</f>
        <v>...</v>
      </c>
      <c r="B46" s="4" t="str">
        <f>IF($E$5="Y","---&gt;","...")</f>
        <v>...</v>
      </c>
      <c r="C46" s="1" t="str">
        <f>IF($E$5="Y",'Population Definitions'!$B$5,"...")</f>
        <v>...</v>
      </c>
      <c r="E46" s="2"/>
      <c r="F46" s="3"/>
      <c r="G46" s="2"/>
      <c r="H46" s="4" t="str">
        <f>IF($E$5="Y","OR","...")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IF($F$5="Y",'Population Definitions'!$B$2,"...")</f>
        <v>...</v>
      </c>
      <c r="B47" s="4" t="str">
        <f>IF($F$5="Y","---&gt;","...")</f>
        <v>...</v>
      </c>
      <c r="C47" s="1" t="str">
        <f>IF($F$5="Y",'Population Definitions'!$B$6,"...")</f>
        <v>...</v>
      </c>
      <c r="E47" s="2"/>
      <c r="F47" s="3"/>
      <c r="G47" s="2"/>
      <c r="H47" s="4" t="str">
        <f>IF($F$5="Y","OR","...")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IF($G$5="Y",'Population Definitions'!$B$2,"...")</f>
        <v>...</v>
      </c>
      <c r="B48" s="4" t="str">
        <f>IF($G$5="Y","---&gt;","...")</f>
        <v>...</v>
      </c>
      <c r="C48" s="1" t="str">
        <f>IF($G$5="Y",'Population Definitions'!$B$7,"...")</f>
        <v>...</v>
      </c>
      <c r="E48" s="2"/>
      <c r="F48" s="3"/>
      <c r="G48" s="2"/>
      <c r="H48" s="4" t="str">
        <f>IF($G$5="Y","OR","...")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IF($H$5="Y",'Population Definitions'!$B$2,"...")</f>
        <v>...</v>
      </c>
      <c r="B49" s="4" t="str">
        <f>IF($H$5="Y","---&gt;","...")</f>
        <v>...</v>
      </c>
      <c r="C49" s="1" t="str">
        <f>IF($H$5="Y",'Population Definitions'!$B$8,"...")</f>
        <v>...</v>
      </c>
      <c r="E49" s="2"/>
      <c r="F49" s="3"/>
      <c r="G49" s="2"/>
      <c r="H49" s="4" t="str">
        <f>IF($H$5="Y","OR","...")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IF($I$5="Y",'Population Definitions'!$B$2,"...")</f>
        <v>...</v>
      </c>
      <c r="B50" s="4" t="str">
        <f>IF($I$5="Y","---&gt;","...")</f>
        <v>...</v>
      </c>
      <c r="C50" s="1" t="str">
        <f>IF($I$5="Y",'Population Definitions'!$B$9,"...")</f>
        <v>...</v>
      </c>
      <c r="E50" s="2"/>
      <c r="F50" s="3"/>
      <c r="G50" s="2"/>
      <c r="H50" s="4" t="str">
        <f>IF($I$5="Y","OR","...")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IF($J$5="Y",'Population Definitions'!$B$2,"...")</f>
        <v>...</v>
      </c>
      <c r="B51" s="4" t="str">
        <f>IF($J$5="Y","---&gt;","...")</f>
        <v>...</v>
      </c>
      <c r="C51" s="1" t="str">
        <f>IF($J$5="Y",'Population Definitions'!$B$10,"...")</f>
        <v>...</v>
      </c>
      <c r="E51" s="2"/>
      <c r="F51" s="3"/>
      <c r="G51" s="2"/>
      <c r="H51" s="4" t="str">
        <f>IF($J$5="Y","OR","...")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IF($K$5="Y",'Population Definitions'!$B$2,"...")</f>
        <v>...</v>
      </c>
      <c r="B52" s="4" t="str">
        <f>IF($K$5="Y","---&gt;","...")</f>
        <v>...</v>
      </c>
      <c r="C52" s="1" t="str">
        <f>IF($K$5="Y",'Population Definitions'!$B$11,"...")</f>
        <v>...</v>
      </c>
      <c r="E52" s="2"/>
      <c r="F52" s="3"/>
      <c r="G52" s="2"/>
      <c r="H52" s="4" t="str">
        <f>IF($K$5="Y","OR","...")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IF($L$5="Y",'Population Definitions'!$B$2,"...")</f>
        <v>...</v>
      </c>
      <c r="B53" s="4" t="str">
        <f>IF($L$5="Y","---&gt;","...")</f>
        <v>...</v>
      </c>
      <c r="C53" s="1" t="str">
        <f>IF($L$5="Y",'Population Definitions'!$B$12,"...")</f>
        <v>...</v>
      </c>
      <c r="E53" s="2"/>
      <c r="F53" s="3"/>
      <c r="G53" s="2"/>
      <c r="H53" s="4" t="str">
        <f>IF($L$5="Y","OR","...")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IF($M$5="Y",'Population Definitions'!$B$2,"...")</f>
        <v>...</v>
      </c>
      <c r="B54" s="4" t="str">
        <f>IF($M$5="Y","---&gt;","...")</f>
        <v>...</v>
      </c>
      <c r="C54" s="1" t="str">
        <f>IF($M$5="Y",'Population Definitions'!$B$13,"...")</f>
        <v>...</v>
      </c>
      <c r="E54" s="2"/>
      <c r="F54" s="3"/>
      <c r="G54" s="2"/>
      <c r="H54" s="4" t="str">
        <f>IF($M$5="Y","OR","...")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IF($N$5="Y",'Population Definitions'!$B$2,"...")</f>
        <v>...</v>
      </c>
      <c r="B55" s="4" t="str">
        <f>IF($N$5="Y","---&gt;","...")</f>
        <v>...</v>
      </c>
      <c r="C55" s="1" t="str">
        <f>IF($N$5="Y",'Population Definitions'!$B$14,"...")</f>
        <v>...</v>
      </c>
      <c r="E55" s="2"/>
      <c r="F55" s="3"/>
      <c r="G55" s="2"/>
      <c r="H55" s="4" t="str">
        <f>IF($N$5="Y","OR","...")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IF($O$5="Y",'Population Definitions'!$B$2,"...")</f>
        <v>...</v>
      </c>
      <c r="B56" s="4" t="str">
        <f>IF($O$5="Y","---&gt;","...")</f>
        <v>...</v>
      </c>
      <c r="C56" s="1" t="str">
        <f>IF($O$5="Y",'Population Definitions'!$B$15,"...")</f>
        <v>...</v>
      </c>
      <c r="E56" s="2"/>
      <c r="F56" s="3"/>
      <c r="G56" s="2"/>
      <c r="H56" s="4" t="str">
        <f>IF($O$5="Y","OR","...")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IF($P$5="Y",'Population Definitions'!$B$2,"...")</f>
        <v>...</v>
      </c>
      <c r="B57" s="4" t="str">
        <f>IF($P$5="Y","---&gt;","...")</f>
        <v>...</v>
      </c>
      <c r="C57" s="1" t="str">
        <f>IF($P$5="Y",'Population Definitions'!$B$16,"...")</f>
        <v>...</v>
      </c>
      <c r="E57" s="2"/>
      <c r="F57" s="3"/>
      <c r="G57" s="2"/>
      <c r="H57" s="4" t="str">
        <f>IF($P$5="Y","OR","...")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IF($Q$5="Y",'Population Definitions'!$B$2,"...")</f>
        <v>...</v>
      </c>
      <c r="B58" s="4" t="str">
        <f>IF($Q$5="Y","---&gt;","...")</f>
        <v>...</v>
      </c>
      <c r="C58" s="1" t="str">
        <f>IF($Q$5="Y",'Population Definitions'!$B$17,"...")</f>
        <v>...</v>
      </c>
      <c r="E58" s="2"/>
      <c r="F58" s="3"/>
      <c r="G58" s="2"/>
      <c r="H58" s="4" t="str">
        <f>IF($Q$5="Y","OR","...")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IF($R$5="Y",'Population Definitions'!$B$2,"...")</f>
        <v>...</v>
      </c>
      <c r="B59" s="4" t="str">
        <f>IF($R$5="Y","---&gt;","...")</f>
        <v>...</v>
      </c>
      <c r="C59" s="1" t="str">
        <f>IF($R$5="Y",'Population Definitions'!$B$18,"...")</f>
        <v>...</v>
      </c>
      <c r="E59" s="2"/>
      <c r="F59" s="3"/>
      <c r="G59" s="2"/>
      <c r="H59" s="4" t="str">
        <f>IF($R$5="Y","OR","...")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IF($S$5="Y",'Population Definitions'!$B$2,"...")</f>
        <v>...</v>
      </c>
      <c r="B60" s="4" t="str">
        <f>IF($S$5="Y","---&gt;","...")</f>
        <v>...</v>
      </c>
      <c r="C60" s="1" t="str">
        <f>IF($S$5="Y",'Population Definitions'!$B$19,"...")</f>
        <v>...</v>
      </c>
      <c r="E60" s="2"/>
      <c r="F60" s="3"/>
      <c r="G60" s="2"/>
      <c r="H60" s="4" t="str">
        <f>IF($S$5="Y","OR","...")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IF($T$5="Y",'Population Definitions'!$B$2,"...")</f>
        <v>...</v>
      </c>
      <c r="B61" s="4" t="str">
        <f>IF($T$5="Y","---&gt;","...")</f>
        <v>...</v>
      </c>
      <c r="C61" s="1" t="str">
        <f>IF($T$5="Y",'Population Definitions'!$B$20,"...")</f>
        <v>...</v>
      </c>
      <c r="E61" s="2"/>
      <c r="F61" s="3"/>
      <c r="G61" s="2"/>
      <c r="H61" s="4" t="str">
        <f>IF($T$5="Y","OR","...")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IF($U$5="Y",'Population Definitions'!$B$2,"...")</f>
        <v>...</v>
      </c>
      <c r="B62" s="4" t="str">
        <f>IF($U$5="Y","---&gt;","...")</f>
        <v>...</v>
      </c>
      <c r="C62" s="1" t="str">
        <f>IF($U$5="Y",'Population Definitions'!$B$21,"...")</f>
        <v>...</v>
      </c>
      <c r="E62" s="2"/>
      <c r="F62" s="3"/>
      <c r="G62" s="2"/>
      <c r="H62" s="4" t="str">
        <f>IF($U$5="Y","OR","...")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IF($V$5="Y",'Population Definitions'!$B$2,"...")</f>
        <v>...</v>
      </c>
      <c r="B63" s="4" t="str">
        <f>IF($V$5="Y","---&gt;","...")</f>
        <v>...</v>
      </c>
      <c r="C63" s="1" t="str">
        <f>IF($V$5="Y",'Population Definitions'!$B$22,"...")</f>
        <v>...</v>
      </c>
      <c r="E63" s="2"/>
      <c r="F63" s="3"/>
      <c r="G63" s="2"/>
      <c r="H63" s="4" t="str">
        <f>IF($V$5="Y","OR","...")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IF($W$5="Y",'Population Definitions'!$B$2,"...")</f>
        <v>...</v>
      </c>
      <c r="B64" s="4" t="str">
        <f>IF($W$5="Y","---&gt;","...")</f>
        <v>...</v>
      </c>
      <c r="C64" s="1" t="str">
        <f>IF($W$5="Y",'Population Definitions'!$B$23,"...")</f>
        <v>...</v>
      </c>
      <c r="E64" s="2"/>
      <c r="F64" s="3"/>
      <c r="G64" s="2"/>
      <c r="H64" s="4" t="str">
        <f>IF($W$5="Y","OR","...")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IF($X$5="Y",'Population Definitions'!$B$2,"...")</f>
        <v>...</v>
      </c>
      <c r="B65" s="4" t="str">
        <f>IF($X$5="Y","---&gt;","...")</f>
        <v>...</v>
      </c>
      <c r="C65" s="1" t="str">
        <f>IF($X$5="Y",'Population Definitions'!$B$24,"...")</f>
        <v>...</v>
      </c>
      <c r="E65" s="2"/>
      <c r="F65" s="3"/>
      <c r="G65" s="2"/>
      <c r="H65" s="4" t="str">
        <f>IF($X$5="Y","OR","...")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IF($Y$5="Y",'Population Definitions'!$B$2,"...")</f>
        <v>...</v>
      </c>
      <c r="B66" s="4" t="str">
        <f>IF($Y$5="Y","---&gt;","...")</f>
        <v>...</v>
      </c>
      <c r="C66" s="1" t="str">
        <f>IF($Y$5="Y",'Population Definitions'!$B$25,"...")</f>
        <v>...</v>
      </c>
      <c r="E66" s="2"/>
      <c r="F66" s="3"/>
      <c r="G66" s="2"/>
      <c r="H66" s="4" t="str">
        <f>IF($Y$5="Y","OR","...")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IF($Z$5="Y",'Population Definitions'!$B$2,"...")</f>
        <v>...</v>
      </c>
      <c r="B67" s="4" t="str">
        <f>IF($Z$5="Y","---&gt;","...")</f>
        <v>...</v>
      </c>
      <c r="C67" s="1" t="str">
        <f>IF($Z$5="Y",'Population Definitions'!$B$26,"...")</f>
        <v>...</v>
      </c>
      <c r="E67" s="2"/>
      <c r="F67" s="3"/>
      <c r="G67" s="2"/>
      <c r="H67" s="4" t="str">
        <f>IF($Z$5="Y","OR","...")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IF($AA$5="Y",'Population Definitions'!$B$2,"...")</f>
        <v>...</v>
      </c>
      <c r="B68" s="4" t="str">
        <f>IF($AA$5="Y","---&gt;","...")</f>
        <v>...</v>
      </c>
      <c r="C68" s="1" t="str">
        <f>IF($AA$5="Y",'Population Definitions'!$B$27,"...")</f>
        <v>...</v>
      </c>
      <c r="E68" s="2"/>
      <c r="F68" s="3"/>
      <c r="G68" s="2"/>
      <c r="H68" s="4" t="str">
        <f>IF($AA$5="Y","OR","...")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IF($AB$5="Y",'Population Definitions'!$B$2,"...")</f>
        <v>...</v>
      </c>
      <c r="B69" s="4" t="str">
        <f>IF($AB$5="Y","---&gt;","...")</f>
        <v>...</v>
      </c>
      <c r="C69" s="1" t="str">
        <f>IF($AB$5="Y",'Population Definitions'!$B$28,"...")</f>
        <v>...</v>
      </c>
      <c r="E69" s="2"/>
      <c r="F69" s="3"/>
      <c r="G69" s="2"/>
      <c r="H69" s="4" t="str">
        <f>IF($AB$5="Y","OR","...")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IF($AC$5="Y",'Population Definitions'!$B$2,"...")</f>
        <v>...</v>
      </c>
      <c r="B70" s="4" t="str">
        <f>IF($AC$5="Y","---&gt;","...")</f>
        <v>...</v>
      </c>
      <c r="C70" s="1" t="str">
        <f>IF($AC$5="Y",'Population Definitions'!$B$29,"...")</f>
        <v>...</v>
      </c>
      <c r="E70" s="2"/>
      <c r="F70" s="3"/>
      <c r="G70" s="2"/>
      <c r="H70" s="4" t="str">
        <f>IF($AC$5="Y","OR","...")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IF($AD$5="Y",'Population Definitions'!$B$2,"...")</f>
        <v>...</v>
      </c>
      <c r="B71" s="4" t="str">
        <f>IF($AD$5="Y","---&gt;","...")</f>
        <v>...</v>
      </c>
      <c r="C71" s="1" t="str">
        <f>IF($AD$5="Y",'Population Definitions'!$B$30,"...")</f>
        <v>...</v>
      </c>
      <c r="E71" s="2"/>
      <c r="F71" s="3"/>
      <c r="G71" s="2"/>
      <c r="H71" s="4" t="str">
        <f>IF($AD$5="Y","OR","...")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IF($AE$5="Y",'Population Definitions'!$B$2,"...")</f>
        <v>...</v>
      </c>
      <c r="B72" s="4" t="str">
        <f>IF($AE$5="Y","---&gt;","...")</f>
        <v>...</v>
      </c>
      <c r="C72" s="1" t="str">
        <f>IF($AE$5="Y",'Population Definitions'!$B$31,"...")</f>
        <v>...</v>
      </c>
      <c r="E72" s="2"/>
      <c r="F72" s="3"/>
      <c r="G72" s="2"/>
      <c r="H72" s="4" t="str">
        <f>IF($AE$5="Y","OR","...")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IF($AF$5="Y",'Population Definitions'!$B$2,"...")</f>
        <v>...</v>
      </c>
      <c r="B73" s="4" t="str">
        <f>IF($AF$5="Y","---&gt;","...")</f>
        <v>...</v>
      </c>
      <c r="C73" s="1" t="str">
        <f>IF($AF$5="Y",'Population Definitions'!$B$32,"...")</f>
        <v>...</v>
      </c>
      <c r="E73" s="2"/>
      <c r="F73" s="3"/>
      <c r="G73" s="2"/>
      <c r="H73" s="4" t="str">
        <f>IF($AF$5="Y","OR","...")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IF($AG$5="Y",'Population Definitions'!$B$2,"...")</f>
        <v>...</v>
      </c>
      <c r="B74" s="4" t="str">
        <f>IF($AG$5="Y","---&gt;","...")</f>
        <v>...</v>
      </c>
      <c r="C74" s="1" t="str">
        <f>IF($AG$5="Y",'Population Definitions'!$B$33,"...")</f>
        <v>...</v>
      </c>
      <c r="E74" s="2"/>
      <c r="F74" s="3"/>
      <c r="G74" s="2"/>
      <c r="H74" s="4" t="str">
        <f>IF($AG$5="Y","OR","...")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IF($AH$5="Y",'Population Definitions'!$B$2,"...")</f>
        <v>...</v>
      </c>
      <c r="B75" s="4" t="str">
        <f>IF($AH$5="Y","---&gt;","...")</f>
        <v>...</v>
      </c>
      <c r="C75" s="1" t="str">
        <f>IF($AH$5="Y",'Population Definitions'!$B$34,"...")</f>
        <v>...</v>
      </c>
      <c r="E75" s="2"/>
      <c r="F75" s="3"/>
      <c r="G75" s="2"/>
      <c r="H75" s="4" t="str">
        <f>IF($AH$5="Y","OR","...")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IF($AI$5="Y",'Population Definitions'!$B$2,"...")</f>
        <v>...</v>
      </c>
      <c r="B76" s="4" t="str">
        <f>IF($AI$5="Y","---&gt;","...")</f>
        <v>...</v>
      </c>
      <c r="C76" s="1" t="str">
        <f>IF($AI$5="Y",'Population Definitions'!$B$35,"...")</f>
        <v>...</v>
      </c>
      <c r="E76" s="2"/>
      <c r="F76" s="3"/>
      <c r="G76" s="2"/>
      <c r="H76" s="4" t="str">
        <f>IF($AI$5="Y","OR","...")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IF($AJ$5="Y",'Population Definitions'!$B$2,"...")</f>
        <v>...</v>
      </c>
      <c r="B77" s="4" t="str">
        <f>IF($AJ$5="Y","---&gt;","...")</f>
        <v>...</v>
      </c>
      <c r="C77" s="1" t="str">
        <f>IF($AJ$5="Y",'Population Definitions'!$B$36,"...")</f>
        <v>...</v>
      </c>
      <c r="E77" s="2"/>
      <c r="F77" s="3"/>
      <c r="G77" s="2"/>
      <c r="H77" s="4" t="str">
        <f>IF($AJ$5="Y","OR","...")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IF($AK$5="Y",'Population Definitions'!$B$2,"...")</f>
        <v>...</v>
      </c>
      <c r="B78" s="4" t="str">
        <f>IF($AK$5="Y","---&gt;","...")</f>
        <v>...</v>
      </c>
      <c r="C78" s="1" t="str">
        <f>IF($AK$5="Y",'Population Definitions'!$B$37,"...")</f>
        <v>...</v>
      </c>
      <c r="E78" s="2"/>
      <c r="F78" s="3"/>
      <c r="G78" s="2"/>
      <c r="H78" s="4" t="str">
        <f>IF($AK$5="Y","OR","...")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IF($B$6="Y",'Population Definitions'!$B$3,"...")</f>
        <v>...</v>
      </c>
      <c r="B79" s="4" t="str">
        <f>IF($B$6="Y","---&gt;","...")</f>
        <v>...</v>
      </c>
      <c r="C79" s="1" t="str">
        <f>IF($B$6="Y",'Population Definitions'!$B$2,"...")</f>
        <v>...</v>
      </c>
      <c r="E79" s="2"/>
      <c r="F79" s="3"/>
      <c r="G79" s="2"/>
      <c r="H79" s="4" t="str">
        <f>IF($B$6="Y","OR","...")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IF($C$6="Y",'Population Definitions'!$B$3,"...")</f>
        <v>...</v>
      </c>
      <c r="B80" s="4" t="str">
        <f>IF($C$6="Y","---&gt;","...")</f>
        <v>...</v>
      </c>
      <c r="C80" s="1" t="str">
        <f>IF($C$6="Y",'Population Definitions'!$B$3,"...")</f>
        <v>...</v>
      </c>
      <c r="E80" s="2"/>
      <c r="F80" s="3"/>
      <c r="G80" s="2"/>
      <c r="H80" s="4" t="str">
        <f>IF($C$6="Y","OR","...")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IF($D$6="Y",'Population Definitions'!$B$3,"...")</f>
        <v>5-14M_aus</v>
      </c>
      <c r="B81" s="4" t="str">
        <f>IF($D$6="Y","---&gt;","...")</f>
        <v>---&gt;</v>
      </c>
      <c r="C81" s="1" t="str">
        <f>IF($D$6="Y",'Population Definitions'!$B$4,"...")</f>
        <v>15-29M_aus</v>
      </c>
      <c r="E81" s="3" t="s">
        <v>63</v>
      </c>
      <c r="F81" s="3"/>
      <c r="G81" s="3"/>
      <c r="H81" s="4" t="str">
        <f>IF($D$6="Y","OR","...")</f>
        <v>OR</v>
      </c>
      <c r="I81" s="3">
        <v>0.0957467718495414</v>
      </c>
      <c r="J81" s="3">
        <v>0.097168026397445</v>
      </c>
      <c r="K81" s="3">
        <v>0.0984233977353668</v>
      </c>
      <c r="L81" s="3">
        <v>0.103550076210505</v>
      </c>
      <c r="M81" s="3">
        <v>0.105495606072556</v>
      </c>
      <c r="N81" s="3">
        <v>0.114124629171865</v>
      </c>
      <c r="O81" s="3">
        <v>0.1145292385755</v>
      </c>
      <c r="P81" s="3">
        <v>0.110594485832377</v>
      </c>
      <c r="Q81" s="3">
        <v>0.106966536076</v>
      </c>
      <c r="R81" s="3">
        <v>0.103917532574115</v>
      </c>
      <c r="S81" s="3">
        <v>0.101074444729742</v>
      </c>
      <c r="T81" s="3">
        <v>0.0994236590329961</v>
      </c>
      <c r="U81" s="3">
        <v>0.0981541019400459</v>
      </c>
      <c r="V81" s="3">
        <v>0.097885352195697</v>
      </c>
      <c r="W81" s="3">
        <v>0.09754298966538059</v>
      </c>
      <c r="X81" s="3">
        <v>0.0989379406336046</v>
      </c>
      <c r="Y81" s="3">
        <v>0.0998277035841853</v>
      </c>
      <c r="Z81" s="3">
        <v>0.100409713767337</v>
      </c>
      <c r="AA81" s="3">
        <v>0.099318603251679</v>
      </c>
      <c r="AB81" s="3">
        <v>0.09932559377870021</v>
      </c>
      <c r="AC81" s="3">
        <v>0.0995113737515767</v>
      </c>
      <c r="AD81" s="3">
        <v>0.09900079419583679</v>
      </c>
      <c r="AE81" s="3">
        <v>0.0987950953240961</v>
      </c>
      <c r="AF81" s="3">
        <v>0.10004307785113</v>
      </c>
      <c r="AG81" s="3">
        <v>0.102499513643209</v>
      </c>
      <c r="AH81" s="3">
        <v>0.103356407539799</v>
      </c>
      <c r="AI81" s="3">
        <v>0.103599258899895</v>
      </c>
      <c r="AJ81" s="3">
        <v>0.103392068963533</v>
      </c>
      <c r="AK81" s="3">
        <v>0.103490229752715</v>
      </c>
      <c r="AL81" s="3">
        <v>0.104242963888895</v>
      </c>
      <c r="AM81" s="3">
        <v>0.102335416061463</v>
      </c>
      <c r="AN81" s="3">
        <v>0.10113587516892</v>
      </c>
      <c r="AO81" s="3">
        <v>0.09962862359051761</v>
      </c>
      <c r="AP81" s="3">
        <v>0.0985722948168866</v>
      </c>
      <c r="AQ81" s="3">
        <v>0.09724941311359291</v>
      </c>
      <c r="AR81" s="3">
        <v>0.0962279723856467</v>
      </c>
      <c r="AS81" s="3">
        <v>0.0932636732488259</v>
      </c>
      <c r="AT81" s="3">
        <v>0.0921336669390195</v>
      </c>
      <c r="AU81" s="3">
        <v>0.09241514118789571</v>
      </c>
      <c r="AV81" s="3">
        <v>0.0931090807128216</v>
      </c>
      <c r="AW81" s="3">
        <v>0.095614723847885</v>
      </c>
      <c r="AX81" s="3">
        <v>0.09948095069241571</v>
      </c>
      <c r="AY81" s="3">
        <v>0.100564026724864</v>
      </c>
      <c r="AZ81" s="3">
        <v>0.101153202159258</v>
      </c>
      <c r="BA81" s="3">
        <v>0.102246714008794</v>
      </c>
      <c r="BB81" s="3">
        <v>0.102027703717938</v>
      </c>
      <c r="BC81" s="3">
        <v>0.103225381803094</v>
      </c>
      <c r="BD81" s="3">
        <v>0.104241701013392</v>
      </c>
      <c r="BE81" s="3">
        <v>0.104016081659039</v>
      </c>
      <c r="BF81" s="3">
        <v>0.103949670811997</v>
      </c>
      <c r="BG81" s="3">
        <v>0.105249828331854</v>
      </c>
      <c r="BH81" s="3">
        <v>0.10358377509711</v>
      </c>
      <c r="BI81" s="3">
        <v>0.102478032271994</v>
      </c>
      <c r="BJ81" s="3">
        <v>0.102757998803917</v>
      </c>
      <c r="BK81" s="3">
        <v>0.10104749006409</v>
      </c>
      <c r="BL81" s="3">
        <v>0.102075408021069</v>
      </c>
      <c r="BM81" s="3">
        <v>0.104041065853784</v>
      </c>
      <c r="BN81" s="3">
        <v>0.101857682255193</v>
      </c>
      <c r="BO81" s="3">
        <v>0.102053762039484</v>
      </c>
      <c r="BP81" s="3">
        <v>0.101936038397875</v>
      </c>
      <c r="BQ81" s="3">
        <v>0.101682250690425</v>
      </c>
      <c r="BR81" s="3">
        <v>0.101300705153571</v>
      </c>
      <c r="BS81" s="3">
        <v>0.100951608812233</v>
      </c>
      <c r="BT81" s="3">
        <v>0.100671409025034</v>
      </c>
      <c r="BU81" s="3">
        <v>0.100366101422163</v>
      </c>
      <c r="BV81" s="3">
        <v>0.10006240310185</v>
      </c>
      <c r="BW81" s="3">
        <v>0.0997719407277089</v>
      </c>
      <c r="BX81" s="3">
        <v>0.09953072823419019</v>
      </c>
      <c r="BY81" s="3">
        <v>0.09938499105042491</v>
      </c>
      <c r="BZ81" s="3">
        <v>0.0993510111276746</v>
      </c>
      <c r="CA81" s="3">
        <v>0.0994292792047281</v>
      </c>
      <c r="CB81" s="3">
        <v>0.0996089503387082</v>
      </c>
      <c r="CC81" s="3">
        <v>0.09988013498255791</v>
      </c>
      <c r="CD81" s="3">
        <v>0.100222470751886</v>
      </c>
      <c r="CE81" s="3">
        <v>0.100605632913275</v>
      </c>
      <c r="CF81" s="3">
        <v>0.100998581923187</v>
      </c>
      <c r="CG81" s="3">
        <v>0.101372530518248</v>
      </c>
      <c r="CH81" s="3">
        <v>0.101705013876577</v>
      </c>
      <c r="CI81" s="3">
        <v>0.101986802145232</v>
      </c>
      <c r="CJ81" s="3">
        <v>0.102212302712287</v>
      </c>
      <c r="CK81" s="3">
        <v>0.102372541408534</v>
      </c>
      <c r="CL81" s="3">
        <v>0.102471920975048</v>
      </c>
      <c r="CM81" s="3">
        <v>0.102517987459379</v>
      </c>
      <c r="CN81" s="3">
        <v>0.102515023895062</v>
      </c>
      <c r="CO81" s="3">
        <v>0.102471160060829</v>
      </c>
      <c r="CP81" s="3">
        <v>0.102394347380765</v>
      </c>
      <c r="CQ81" s="3">
        <v>0.102297270362401</v>
      </c>
      <c r="CR81" s="3">
        <v>0.102187721760442</v>
      </c>
      <c r="CS81" s="3">
        <v>0.102074262486712</v>
      </c>
      <c r="CT81" s="3">
        <v>0.101952971820884</v>
      </c>
      <c r="CU81" s="3">
        <v>0.101832148784951</v>
      </c>
      <c r="CV81" s="3">
        <v>0.101703700934353</v>
      </c>
    </row>
    <row r="82" spans="1:100">
      <c r="A82" s="1" t="str">
        <f>IF($E$6="Y",'Population Definitions'!$B$3,"...")</f>
        <v>...</v>
      </c>
      <c r="B82" s="4" t="str">
        <f>IF($E$6="Y","---&gt;","...")</f>
        <v>...</v>
      </c>
      <c r="C82" s="1" t="str">
        <f>IF($E$6="Y",'Population Definitions'!$B$5,"...")</f>
        <v>...</v>
      </c>
      <c r="E82" s="2"/>
      <c r="F82" s="3"/>
      <c r="G82" s="2"/>
      <c r="H82" s="4" t="str">
        <f>IF($E$6="Y","OR","...")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IF($F$6="Y",'Population Definitions'!$B$3,"...")</f>
        <v>...</v>
      </c>
      <c r="B83" s="4" t="str">
        <f>IF($F$6="Y","---&gt;","...")</f>
        <v>...</v>
      </c>
      <c r="C83" s="1" t="str">
        <f>IF($F$6="Y",'Population Definitions'!$B$6,"...")</f>
        <v>...</v>
      </c>
      <c r="E83" s="2"/>
      <c r="F83" s="3"/>
      <c r="G83" s="2"/>
      <c r="H83" s="4" t="str">
        <f>IF($F$6="Y","OR","...")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IF($G$6="Y",'Population Definitions'!$B$3,"...")</f>
        <v>...</v>
      </c>
      <c r="B84" s="4" t="str">
        <f>IF($G$6="Y","---&gt;","...")</f>
        <v>...</v>
      </c>
      <c r="C84" s="1" t="str">
        <f>IF($G$6="Y",'Population Definitions'!$B$7,"...")</f>
        <v>...</v>
      </c>
      <c r="E84" s="2"/>
      <c r="F84" s="3"/>
      <c r="G84" s="2"/>
      <c r="H84" s="4" t="str">
        <f>IF($G$6="Y","OR","...")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IF($H$6="Y",'Population Definitions'!$B$3,"...")</f>
        <v>...</v>
      </c>
      <c r="B85" s="4" t="str">
        <f>IF($H$6="Y","---&gt;","...")</f>
        <v>...</v>
      </c>
      <c r="C85" s="1" t="str">
        <f>IF($H$6="Y",'Population Definitions'!$B$8,"...")</f>
        <v>...</v>
      </c>
      <c r="E85" s="2"/>
      <c r="F85" s="3"/>
      <c r="G85" s="2"/>
      <c r="H85" s="4" t="str">
        <f>IF($H$6="Y","OR","...")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IF($I$6="Y",'Population Definitions'!$B$3,"...")</f>
        <v>...</v>
      </c>
      <c r="B86" s="4" t="str">
        <f>IF($I$6="Y","---&gt;","...")</f>
        <v>...</v>
      </c>
      <c r="C86" s="1" t="str">
        <f>IF($I$6="Y",'Population Definitions'!$B$9,"...")</f>
        <v>...</v>
      </c>
      <c r="E86" s="2"/>
      <c r="F86" s="3"/>
      <c r="G86" s="2"/>
      <c r="H86" s="4" t="str">
        <f>IF($I$6="Y","OR","...")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IF($J$6="Y",'Population Definitions'!$B$3,"...")</f>
        <v>...</v>
      </c>
      <c r="B87" s="4" t="str">
        <f>IF($J$6="Y","---&gt;","...")</f>
        <v>...</v>
      </c>
      <c r="C87" s="1" t="str">
        <f>IF($J$6="Y",'Population Definitions'!$B$10,"...")</f>
        <v>...</v>
      </c>
      <c r="E87" s="2"/>
      <c r="F87" s="3"/>
      <c r="G87" s="2"/>
      <c r="H87" s="4" t="str">
        <f>IF($J$6="Y","OR","...")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IF($K$6="Y",'Population Definitions'!$B$3,"...")</f>
        <v>...</v>
      </c>
      <c r="B88" s="4" t="str">
        <f>IF($K$6="Y","---&gt;","...")</f>
        <v>...</v>
      </c>
      <c r="C88" s="1" t="str">
        <f>IF($K$6="Y",'Population Definitions'!$B$11,"...")</f>
        <v>...</v>
      </c>
      <c r="E88" s="2"/>
      <c r="F88" s="3"/>
      <c r="G88" s="2"/>
      <c r="H88" s="4" t="str">
        <f>IF($K$6="Y","OR","...")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IF($L$6="Y",'Population Definitions'!$B$3,"...")</f>
        <v>...</v>
      </c>
      <c r="B89" s="4" t="str">
        <f>IF($L$6="Y","---&gt;","...")</f>
        <v>...</v>
      </c>
      <c r="C89" s="1" t="str">
        <f>IF($L$6="Y",'Population Definitions'!$B$12,"...")</f>
        <v>...</v>
      </c>
      <c r="E89" s="2"/>
      <c r="F89" s="3"/>
      <c r="G89" s="2"/>
      <c r="H89" s="4" t="str">
        <f>IF($L$6="Y","OR","...")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IF($M$6="Y",'Population Definitions'!$B$3,"...")</f>
        <v>...</v>
      </c>
      <c r="B90" s="4" t="str">
        <f>IF($M$6="Y","---&gt;","...")</f>
        <v>...</v>
      </c>
      <c r="C90" s="1" t="str">
        <f>IF($M$6="Y",'Population Definitions'!$B$13,"...")</f>
        <v>...</v>
      </c>
      <c r="E90" s="2"/>
      <c r="F90" s="3"/>
      <c r="G90" s="2"/>
      <c r="H90" s="4" t="str">
        <f>IF($M$6="Y","OR","...")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IF($N$6="Y",'Population Definitions'!$B$3,"...")</f>
        <v>...</v>
      </c>
      <c r="B91" s="4" t="str">
        <f>IF($N$6="Y","---&gt;","...")</f>
        <v>...</v>
      </c>
      <c r="C91" s="1" t="str">
        <f>IF($N$6="Y",'Population Definitions'!$B$14,"...")</f>
        <v>...</v>
      </c>
      <c r="E91" s="2"/>
      <c r="F91" s="3"/>
      <c r="G91" s="2"/>
      <c r="H91" s="4" t="str">
        <f>IF($N$6="Y","OR","...")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IF($O$6="Y",'Population Definitions'!$B$3,"...")</f>
        <v>...</v>
      </c>
      <c r="B92" s="4" t="str">
        <f>IF($O$6="Y","---&gt;","...")</f>
        <v>...</v>
      </c>
      <c r="C92" s="1" t="str">
        <f>IF($O$6="Y",'Population Definitions'!$B$15,"...")</f>
        <v>...</v>
      </c>
      <c r="E92" s="2"/>
      <c r="F92" s="3"/>
      <c r="G92" s="2"/>
      <c r="H92" s="4" t="str">
        <f>IF($O$6="Y","OR","...")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IF($P$6="Y",'Population Definitions'!$B$3,"...")</f>
        <v>...</v>
      </c>
      <c r="B93" s="4" t="str">
        <f>IF($P$6="Y","---&gt;","...")</f>
        <v>...</v>
      </c>
      <c r="C93" s="1" t="str">
        <f>IF($P$6="Y",'Population Definitions'!$B$16,"...")</f>
        <v>...</v>
      </c>
      <c r="E93" s="2"/>
      <c r="F93" s="3"/>
      <c r="G93" s="2"/>
      <c r="H93" s="4" t="str">
        <f>IF($P$6="Y","OR","...")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IF($Q$6="Y",'Population Definitions'!$B$3,"...")</f>
        <v>...</v>
      </c>
      <c r="B94" s="4" t="str">
        <f>IF($Q$6="Y","---&gt;","...")</f>
        <v>...</v>
      </c>
      <c r="C94" s="1" t="str">
        <f>IF($Q$6="Y",'Population Definitions'!$B$17,"...")</f>
        <v>...</v>
      </c>
      <c r="E94" s="2"/>
      <c r="F94" s="3"/>
      <c r="G94" s="2"/>
      <c r="H94" s="4" t="str">
        <f>IF($Q$6="Y","OR","...")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IF($R$6="Y",'Population Definitions'!$B$3,"...")</f>
        <v>...</v>
      </c>
      <c r="B95" s="4" t="str">
        <f>IF($R$6="Y","---&gt;","...")</f>
        <v>...</v>
      </c>
      <c r="C95" s="1" t="str">
        <f>IF($R$6="Y",'Population Definitions'!$B$18,"...")</f>
        <v>...</v>
      </c>
      <c r="E95" s="2"/>
      <c r="F95" s="3"/>
      <c r="G95" s="2"/>
      <c r="H95" s="4" t="str">
        <f>IF($R$6="Y","OR","...")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IF($S$6="Y",'Population Definitions'!$B$3,"...")</f>
        <v>...</v>
      </c>
      <c r="B96" s="4" t="str">
        <f>IF($S$6="Y","---&gt;","...")</f>
        <v>...</v>
      </c>
      <c r="C96" s="1" t="str">
        <f>IF($S$6="Y",'Population Definitions'!$B$19,"...")</f>
        <v>...</v>
      </c>
      <c r="E96" s="2"/>
      <c r="F96" s="3"/>
      <c r="G96" s="2"/>
      <c r="H96" s="4" t="str">
        <f>IF($S$6="Y","OR","...")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IF($T$6="Y",'Population Definitions'!$B$3,"...")</f>
        <v>...</v>
      </c>
      <c r="B97" s="4" t="str">
        <f>IF($T$6="Y","---&gt;","...")</f>
        <v>...</v>
      </c>
      <c r="C97" s="1" t="str">
        <f>IF($T$6="Y",'Population Definitions'!$B$20,"...")</f>
        <v>...</v>
      </c>
      <c r="E97" s="2"/>
      <c r="F97" s="3"/>
      <c r="G97" s="2"/>
      <c r="H97" s="4" t="str">
        <f>IF($T$6="Y","OR","...")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IF($U$6="Y",'Population Definitions'!$B$3,"...")</f>
        <v>...</v>
      </c>
      <c r="B98" s="4" t="str">
        <f>IF($U$6="Y","---&gt;","...")</f>
        <v>...</v>
      </c>
      <c r="C98" s="1" t="str">
        <f>IF($U$6="Y",'Population Definitions'!$B$21,"...")</f>
        <v>...</v>
      </c>
      <c r="E98" s="2"/>
      <c r="F98" s="3"/>
      <c r="G98" s="2"/>
      <c r="H98" s="4" t="str">
        <f>IF($U$6="Y","OR","...")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IF($V$6="Y",'Population Definitions'!$B$3,"...")</f>
        <v>...</v>
      </c>
      <c r="B99" s="4" t="str">
        <f>IF($V$6="Y","---&gt;","...")</f>
        <v>...</v>
      </c>
      <c r="C99" s="1" t="str">
        <f>IF($V$6="Y",'Population Definitions'!$B$22,"...")</f>
        <v>...</v>
      </c>
      <c r="E99" s="2"/>
      <c r="F99" s="3"/>
      <c r="G99" s="2"/>
      <c r="H99" s="4" t="str">
        <f>IF($V$6="Y","OR","...")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IF($W$6="Y",'Population Definitions'!$B$3,"...")</f>
        <v>...</v>
      </c>
      <c r="B100" s="4" t="str">
        <f>IF($W$6="Y","---&gt;","...")</f>
        <v>...</v>
      </c>
      <c r="C100" s="1" t="str">
        <f>IF($W$6="Y",'Population Definitions'!$B$23,"...")</f>
        <v>...</v>
      </c>
      <c r="E100" s="2"/>
      <c r="F100" s="3"/>
      <c r="G100" s="2"/>
      <c r="H100" s="4" t="str">
        <f>IF($W$6="Y","OR","...")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IF($X$6="Y",'Population Definitions'!$B$3,"...")</f>
        <v>...</v>
      </c>
      <c r="B101" s="4" t="str">
        <f>IF($X$6="Y","---&gt;","...")</f>
        <v>...</v>
      </c>
      <c r="C101" s="1" t="str">
        <f>IF($X$6="Y",'Population Definitions'!$B$24,"...")</f>
        <v>...</v>
      </c>
      <c r="E101" s="2"/>
      <c r="F101" s="3"/>
      <c r="G101" s="2"/>
      <c r="H101" s="4" t="str">
        <f>IF($X$6="Y","OR","...")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IF($Y$6="Y",'Population Definitions'!$B$3,"...")</f>
        <v>...</v>
      </c>
      <c r="B102" s="4" t="str">
        <f>IF($Y$6="Y","---&gt;","...")</f>
        <v>...</v>
      </c>
      <c r="C102" s="1" t="str">
        <f>IF($Y$6="Y",'Population Definitions'!$B$25,"...")</f>
        <v>...</v>
      </c>
      <c r="E102" s="2"/>
      <c r="F102" s="3"/>
      <c r="G102" s="2"/>
      <c r="H102" s="4" t="str">
        <f>IF($Y$6="Y","OR","...")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IF($Z$6="Y",'Population Definitions'!$B$3,"...")</f>
        <v>...</v>
      </c>
      <c r="B103" s="4" t="str">
        <f>IF($Z$6="Y","---&gt;","...")</f>
        <v>...</v>
      </c>
      <c r="C103" s="1" t="str">
        <f>IF($Z$6="Y",'Population Definitions'!$B$26,"...")</f>
        <v>...</v>
      </c>
      <c r="E103" s="2"/>
      <c r="F103" s="3"/>
      <c r="G103" s="2"/>
      <c r="H103" s="4" t="str">
        <f>IF($Z$6="Y","OR","...")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IF($AA$6="Y",'Population Definitions'!$B$3,"...")</f>
        <v>...</v>
      </c>
      <c r="B104" s="4" t="str">
        <f>IF($AA$6="Y","---&gt;","...")</f>
        <v>...</v>
      </c>
      <c r="C104" s="1" t="str">
        <f>IF($AA$6="Y",'Population Definitions'!$B$27,"...")</f>
        <v>...</v>
      </c>
      <c r="E104" s="2"/>
      <c r="F104" s="3"/>
      <c r="G104" s="2"/>
      <c r="H104" s="4" t="str">
        <f>IF($AA$6="Y","OR","...")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IF($AB$6="Y",'Population Definitions'!$B$3,"...")</f>
        <v>...</v>
      </c>
      <c r="B105" s="4" t="str">
        <f>IF($AB$6="Y","---&gt;","...")</f>
        <v>...</v>
      </c>
      <c r="C105" s="1" t="str">
        <f>IF($AB$6="Y",'Population Definitions'!$B$28,"...")</f>
        <v>...</v>
      </c>
      <c r="E105" s="2"/>
      <c r="F105" s="3"/>
      <c r="G105" s="2"/>
      <c r="H105" s="4" t="str">
        <f>IF($AB$6="Y","OR","...")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IF($AC$6="Y",'Population Definitions'!$B$3,"...")</f>
        <v>...</v>
      </c>
      <c r="B106" s="4" t="str">
        <f>IF($AC$6="Y","---&gt;","...")</f>
        <v>...</v>
      </c>
      <c r="C106" s="1" t="str">
        <f>IF($AC$6="Y",'Population Definitions'!$B$29,"...")</f>
        <v>...</v>
      </c>
      <c r="E106" s="2"/>
      <c r="F106" s="3"/>
      <c r="G106" s="2"/>
      <c r="H106" s="4" t="str">
        <f>IF($AC$6="Y","OR","...")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IF($AD$6="Y",'Population Definitions'!$B$3,"...")</f>
        <v>...</v>
      </c>
      <c r="B107" s="4" t="str">
        <f>IF($AD$6="Y","---&gt;","...")</f>
        <v>...</v>
      </c>
      <c r="C107" s="1" t="str">
        <f>IF($AD$6="Y",'Population Definitions'!$B$30,"...")</f>
        <v>...</v>
      </c>
      <c r="E107" s="2"/>
      <c r="F107" s="3"/>
      <c r="G107" s="2"/>
      <c r="H107" s="4" t="str">
        <f>IF($AD$6="Y","OR","...")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IF($AE$6="Y",'Population Definitions'!$B$3,"...")</f>
        <v>...</v>
      </c>
      <c r="B108" s="4" t="str">
        <f>IF($AE$6="Y","---&gt;","...")</f>
        <v>...</v>
      </c>
      <c r="C108" s="1" t="str">
        <f>IF($AE$6="Y",'Population Definitions'!$B$31,"...")</f>
        <v>...</v>
      </c>
      <c r="E108" s="2"/>
      <c r="F108" s="3"/>
      <c r="G108" s="2"/>
      <c r="H108" s="4" t="str">
        <f>IF($AE$6="Y","OR","...")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IF($AF$6="Y",'Population Definitions'!$B$3,"...")</f>
        <v>...</v>
      </c>
      <c r="B109" s="4" t="str">
        <f>IF($AF$6="Y","---&gt;","...")</f>
        <v>...</v>
      </c>
      <c r="C109" s="1" t="str">
        <f>IF($AF$6="Y",'Population Definitions'!$B$32,"...")</f>
        <v>...</v>
      </c>
      <c r="E109" s="2"/>
      <c r="F109" s="3"/>
      <c r="G109" s="2"/>
      <c r="H109" s="4" t="str">
        <f>IF($AF$6="Y","OR","...")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IF($AG$6="Y",'Population Definitions'!$B$3,"...")</f>
        <v>...</v>
      </c>
      <c r="B110" s="4" t="str">
        <f>IF($AG$6="Y","---&gt;","...")</f>
        <v>...</v>
      </c>
      <c r="C110" s="1" t="str">
        <f>IF($AG$6="Y",'Population Definitions'!$B$33,"...")</f>
        <v>...</v>
      </c>
      <c r="E110" s="2"/>
      <c r="F110" s="3"/>
      <c r="G110" s="2"/>
      <c r="H110" s="4" t="str">
        <f>IF($AG$6="Y","OR","...")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IF($AH$6="Y",'Population Definitions'!$B$3,"...")</f>
        <v>...</v>
      </c>
      <c r="B111" s="4" t="str">
        <f>IF($AH$6="Y","---&gt;","...")</f>
        <v>...</v>
      </c>
      <c r="C111" s="1" t="str">
        <f>IF($AH$6="Y",'Population Definitions'!$B$34,"...")</f>
        <v>...</v>
      </c>
      <c r="E111" s="2"/>
      <c r="F111" s="3"/>
      <c r="G111" s="2"/>
      <c r="H111" s="4" t="str">
        <f>IF($AH$6="Y","OR","...")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IF($AI$6="Y",'Population Definitions'!$B$3,"...")</f>
        <v>...</v>
      </c>
      <c r="B112" s="4" t="str">
        <f>IF($AI$6="Y","---&gt;","...")</f>
        <v>...</v>
      </c>
      <c r="C112" s="1" t="str">
        <f>IF($AI$6="Y",'Population Definitions'!$B$35,"...")</f>
        <v>...</v>
      </c>
      <c r="E112" s="2"/>
      <c r="F112" s="3"/>
      <c r="G112" s="2"/>
      <c r="H112" s="4" t="str">
        <f>IF($AI$6="Y","OR","...")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IF($AJ$6="Y",'Population Definitions'!$B$3,"...")</f>
        <v>...</v>
      </c>
      <c r="B113" s="4" t="str">
        <f>IF($AJ$6="Y","---&gt;","...")</f>
        <v>...</v>
      </c>
      <c r="C113" s="1" t="str">
        <f>IF($AJ$6="Y",'Population Definitions'!$B$36,"...")</f>
        <v>...</v>
      </c>
      <c r="E113" s="2"/>
      <c r="F113" s="3"/>
      <c r="G113" s="2"/>
      <c r="H113" s="4" t="str">
        <f>IF($AJ$6="Y","OR","...")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IF($AK$6="Y",'Population Definitions'!$B$3,"...")</f>
        <v>...</v>
      </c>
      <c r="B114" s="4" t="str">
        <f>IF($AK$6="Y","---&gt;","...")</f>
        <v>...</v>
      </c>
      <c r="C114" s="1" t="str">
        <f>IF($AK$6="Y",'Population Definitions'!$B$37,"...")</f>
        <v>...</v>
      </c>
      <c r="E114" s="2"/>
      <c r="F114" s="3"/>
      <c r="G114" s="2"/>
      <c r="H114" s="4" t="str">
        <f>IF($AK$6="Y","OR","...")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IF($B$7="Y",'Population Definitions'!$B$4,"...")</f>
        <v>...</v>
      </c>
      <c r="B115" s="4" t="str">
        <f>IF($B$7="Y","---&gt;","...")</f>
        <v>...</v>
      </c>
      <c r="C115" s="1" t="str">
        <f>IF($B$7="Y",'Population Definitions'!$B$2,"...")</f>
        <v>...</v>
      </c>
      <c r="E115" s="2"/>
      <c r="F115" s="3"/>
      <c r="G115" s="2"/>
      <c r="H115" s="4" t="str">
        <f>IF($B$7="Y","OR","...")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IF($C$7="Y",'Population Definitions'!$B$4,"...")</f>
        <v>...</v>
      </c>
      <c r="B116" s="4" t="str">
        <f>IF($C$7="Y","---&gt;","...")</f>
        <v>...</v>
      </c>
      <c r="C116" s="1" t="str">
        <f>IF($C$7="Y",'Population Definitions'!$B$3,"...")</f>
        <v>...</v>
      </c>
      <c r="E116" s="2"/>
      <c r="F116" s="3"/>
      <c r="G116" s="2"/>
      <c r="H116" s="4" t="str">
        <f>IF($C$7="Y","OR","...")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IF($D$7="Y",'Population Definitions'!$B$4,"...")</f>
        <v>...</v>
      </c>
      <c r="B117" s="4" t="str">
        <f>IF($D$7="Y","---&gt;","...")</f>
        <v>...</v>
      </c>
      <c r="C117" s="1" t="str">
        <f>IF($D$7="Y",'Population Definitions'!$B$4,"...")</f>
        <v>...</v>
      </c>
      <c r="E117" s="2"/>
      <c r="F117" s="3"/>
      <c r="G117" s="2"/>
      <c r="H117" s="4" t="str">
        <f>IF($D$7="Y","OR","...")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IF($E$7="Y",'Population Definitions'!$B$4,"...")</f>
        <v>15-29M_aus</v>
      </c>
      <c r="B118" s="4" t="str">
        <f>IF($E$7="Y","---&gt;","...")</f>
        <v>---&gt;</v>
      </c>
      <c r="C118" s="1" t="str">
        <f>IF($E$7="Y",'Population Definitions'!$B$5,"...")</f>
        <v>30-49M_aus</v>
      </c>
      <c r="E118" s="3" t="s">
        <v>63</v>
      </c>
      <c r="F118" s="3"/>
      <c r="G118" s="3"/>
      <c r="H118" s="4" t="str">
        <f>IF($E$7="Y","OR","...")</f>
        <v>OR</v>
      </c>
      <c r="I118" s="3">
        <v>0.0643327180678791</v>
      </c>
      <c r="J118" s="3">
        <v>0.0633279602764345</v>
      </c>
      <c r="K118" s="3">
        <v>0.0637564156720056</v>
      </c>
      <c r="L118" s="3">
        <v>0.0629583277778451</v>
      </c>
      <c r="M118" s="3">
        <v>0.062407989665289</v>
      </c>
      <c r="N118" s="3">
        <v>0.0654439184691562</v>
      </c>
      <c r="O118" s="3">
        <v>0.06439609309855519</v>
      </c>
      <c r="P118" s="3">
        <v>0.06507009654966669</v>
      </c>
      <c r="Q118" s="3">
        <v>0.0659218786904481</v>
      </c>
      <c r="R118" s="3">
        <v>0.067618976542418</v>
      </c>
      <c r="S118" s="3">
        <v>0.07042863559305659</v>
      </c>
      <c r="T118" s="3">
        <v>0.069159286264746</v>
      </c>
      <c r="U118" s="3">
        <v>0.0691388072839329</v>
      </c>
      <c r="V118" s="3">
        <v>0.0691031946953673</v>
      </c>
      <c r="W118" s="3">
        <v>0.0664985207560063</v>
      </c>
      <c r="X118" s="3">
        <v>0.06601815691253771</v>
      </c>
      <c r="Y118" s="3">
        <v>0.0653491439932631</v>
      </c>
      <c r="Z118" s="3">
        <v>0.06678007496035331</v>
      </c>
      <c r="AA118" s="3">
        <v>0.06896576981655581</v>
      </c>
      <c r="AB118" s="3">
        <v>0.070219209641912</v>
      </c>
      <c r="AC118" s="3">
        <v>0.07511821409854021</v>
      </c>
      <c r="AD118" s="3">
        <v>0.07312950935466669</v>
      </c>
      <c r="AE118" s="3">
        <v>0.0704994840425584</v>
      </c>
      <c r="AF118" s="3">
        <v>0.06855591957158259</v>
      </c>
      <c r="AG118" s="3">
        <v>0.0665408422785355</v>
      </c>
      <c r="AH118" s="3">
        <v>0.0651055104907587</v>
      </c>
      <c r="AI118" s="3">
        <v>0.0638101381072025</v>
      </c>
      <c r="AJ118" s="3">
        <v>0.0631254403792658</v>
      </c>
      <c r="AK118" s="3">
        <v>0.0633260742820078</v>
      </c>
      <c r="AL118" s="3">
        <v>0.0642129025878368</v>
      </c>
      <c r="AM118" s="3">
        <v>0.06655296075687631</v>
      </c>
      <c r="AN118" s="3">
        <v>0.06831130168844531</v>
      </c>
      <c r="AO118" s="3">
        <v>0.0705595658477968</v>
      </c>
      <c r="AP118" s="3">
        <v>0.0709365090047539</v>
      </c>
      <c r="AQ118" s="3">
        <v>0.0711973159417864</v>
      </c>
      <c r="AR118" s="3">
        <v>0.07170067761027291</v>
      </c>
      <c r="AS118" s="3">
        <v>0.07084726241197591</v>
      </c>
      <c r="AT118" s="3">
        <v>0.0716274383671606</v>
      </c>
      <c r="AU118" s="3">
        <v>0.07200051030467509</v>
      </c>
      <c r="AV118" s="3">
        <v>0.0734622376744884</v>
      </c>
      <c r="AW118" s="3">
        <v>0.0740147033797089</v>
      </c>
      <c r="AX118" s="3">
        <v>0.07345202345202349</v>
      </c>
      <c r="AY118" s="3">
        <v>0.0730045484593065</v>
      </c>
      <c r="AZ118" s="3">
        <v>0.0724572595864811</v>
      </c>
      <c r="BA118" s="3">
        <v>0.0723620567025032</v>
      </c>
      <c r="BB118" s="3">
        <v>0.0701607603719626</v>
      </c>
      <c r="BC118" s="3">
        <v>0.0680569671783411</v>
      </c>
      <c r="BD118" s="3">
        <v>0.0664216567303629</v>
      </c>
      <c r="BE118" s="3">
        <v>0.0665816538240785</v>
      </c>
      <c r="BF118" s="3">
        <v>0.0682910088045509</v>
      </c>
      <c r="BG118" s="3">
        <v>0.06792597059547981</v>
      </c>
      <c r="BH118" s="3">
        <v>0.0656069519615423</v>
      </c>
      <c r="BI118" s="3">
        <v>0.0659040176343038</v>
      </c>
      <c r="BJ118" s="3">
        <v>0.0677909729939473</v>
      </c>
      <c r="BK118" s="3">
        <v>0.0692913282553881</v>
      </c>
      <c r="BL118" s="3">
        <v>0.07082378651372589</v>
      </c>
      <c r="BM118" s="3">
        <v>0.07288298460447259</v>
      </c>
      <c r="BN118" s="3">
        <v>0.0731929272516663</v>
      </c>
      <c r="BO118" s="3">
        <v>0.0732340066507126</v>
      </c>
      <c r="BP118" s="3">
        <v>0.0735922226460239</v>
      </c>
      <c r="BQ118" s="3">
        <v>0.07314278200855109</v>
      </c>
      <c r="BR118" s="3">
        <v>0.0735581378630374</v>
      </c>
      <c r="BS118" s="3">
        <v>0.0740296954025792</v>
      </c>
      <c r="BT118" s="3">
        <v>0.0737502789664804</v>
      </c>
      <c r="BU118" s="3">
        <v>0.07364096779900919</v>
      </c>
      <c r="BV118" s="3">
        <v>0.07430076294589689</v>
      </c>
      <c r="BW118" s="3">
        <v>0.07329282093315451</v>
      </c>
      <c r="BX118" s="3">
        <v>0.07261495761807001</v>
      </c>
      <c r="BY118" s="3">
        <v>0.07270987608350039</v>
      </c>
      <c r="BZ118" s="3">
        <v>0.07169157489539971</v>
      </c>
      <c r="CA118" s="3">
        <v>0.0722001537693608</v>
      </c>
      <c r="CB118" s="3">
        <v>0.07318852898064961</v>
      </c>
      <c r="CC118" s="3">
        <v>0.0718524525398707</v>
      </c>
      <c r="CD118" s="3">
        <v>0.07185440683564449</v>
      </c>
      <c r="CE118" s="3">
        <v>0.0716744490154161</v>
      </c>
      <c r="CF118" s="3">
        <v>0.0714246495633071</v>
      </c>
      <c r="CG118" s="3">
        <v>0.071117298793925</v>
      </c>
      <c r="CH118" s="3">
        <v>0.0708476239891956</v>
      </c>
      <c r="CI118" s="3">
        <v>0.0706420617197264</v>
      </c>
      <c r="CJ118" s="3">
        <v>0.07044724342375321</v>
      </c>
      <c r="CK118" s="3">
        <v>0.0702797417390877</v>
      </c>
      <c r="CL118" s="3">
        <v>0.0701455774458097</v>
      </c>
      <c r="CM118" s="3">
        <v>0.0700599578349871</v>
      </c>
      <c r="CN118" s="3">
        <v>0.0700449847348962</v>
      </c>
      <c r="CO118" s="3">
        <v>0.0701046741055657</v>
      </c>
      <c r="CP118" s="3">
        <v>0.07023283451401829</v>
      </c>
      <c r="CQ118" s="3">
        <v>0.07041868873306339</v>
      </c>
      <c r="CR118" s="3">
        <v>0.0706507128363963</v>
      </c>
      <c r="CS118" s="3">
        <v>0.0709132340135539</v>
      </c>
      <c r="CT118" s="3">
        <v>0.0711887204294732</v>
      </c>
      <c r="CU118" s="3">
        <v>0.0714550983737679</v>
      </c>
      <c r="CV118" s="3">
        <v>0.0716972155081015</v>
      </c>
    </row>
    <row r="119" spans="1:100">
      <c r="A119" s="1" t="str">
        <f>IF($F$7="Y",'Population Definitions'!$B$4,"...")</f>
        <v>...</v>
      </c>
      <c r="B119" s="4" t="str">
        <f>IF($F$7="Y","---&gt;","...")</f>
        <v>...</v>
      </c>
      <c r="C119" s="1" t="str">
        <f>IF($F$7="Y",'Population Definitions'!$B$6,"...")</f>
        <v>...</v>
      </c>
      <c r="E119" s="2"/>
      <c r="F119" s="3"/>
      <c r="G119" s="2"/>
      <c r="H119" s="4" t="str">
        <f>IF($F$7="Y","OR","...")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IF($G$7="Y",'Population Definitions'!$B$4,"...")</f>
        <v>...</v>
      </c>
      <c r="B120" s="4" t="str">
        <f>IF($G$7="Y","---&gt;","...")</f>
        <v>...</v>
      </c>
      <c r="C120" s="1" t="str">
        <f>IF($G$7="Y",'Population Definitions'!$B$7,"...")</f>
        <v>...</v>
      </c>
      <c r="E120" s="2"/>
      <c r="F120" s="3"/>
      <c r="G120" s="2"/>
      <c r="H120" s="4" t="str">
        <f>IF($G$7="Y","OR","...")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IF($H$7="Y",'Population Definitions'!$B$4,"...")</f>
        <v>...</v>
      </c>
      <c r="B121" s="4" t="str">
        <f>IF($H$7="Y","---&gt;","...")</f>
        <v>...</v>
      </c>
      <c r="C121" s="1" t="str">
        <f>IF($H$7="Y",'Population Definitions'!$B$8,"...")</f>
        <v>...</v>
      </c>
      <c r="E121" s="2"/>
      <c r="F121" s="3"/>
      <c r="G121" s="2"/>
      <c r="H121" s="4" t="str">
        <f>IF($H$7="Y","OR","...")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IF($I$7="Y",'Population Definitions'!$B$4,"...")</f>
        <v>...</v>
      </c>
      <c r="B122" s="4" t="str">
        <f>IF($I$7="Y","---&gt;","...")</f>
        <v>...</v>
      </c>
      <c r="C122" s="1" t="str">
        <f>IF($I$7="Y",'Population Definitions'!$B$9,"...")</f>
        <v>...</v>
      </c>
      <c r="E122" s="2"/>
      <c r="F122" s="3"/>
      <c r="G122" s="2"/>
      <c r="H122" s="4" t="str">
        <f>IF($I$7="Y","OR","...")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IF($J$7="Y",'Population Definitions'!$B$4,"...")</f>
        <v>...</v>
      </c>
      <c r="B123" s="4" t="str">
        <f>IF($J$7="Y","---&gt;","...")</f>
        <v>...</v>
      </c>
      <c r="C123" s="1" t="str">
        <f>IF($J$7="Y",'Population Definitions'!$B$10,"...")</f>
        <v>...</v>
      </c>
      <c r="E123" s="2"/>
      <c r="F123" s="3"/>
      <c r="G123" s="2"/>
      <c r="H123" s="4" t="str">
        <f>IF($J$7="Y","OR","...")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IF($K$7="Y",'Population Definitions'!$B$4,"...")</f>
        <v>...</v>
      </c>
      <c r="B124" s="4" t="str">
        <f>IF($K$7="Y","---&gt;","...")</f>
        <v>...</v>
      </c>
      <c r="C124" s="1" t="str">
        <f>IF($K$7="Y",'Population Definitions'!$B$11,"...")</f>
        <v>...</v>
      </c>
      <c r="E124" s="2"/>
      <c r="F124" s="3"/>
      <c r="G124" s="2"/>
      <c r="H124" s="4" t="str">
        <f>IF($K$7="Y","OR","...")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IF($L$7="Y",'Population Definitions'!$B$4,"...")</f>
        <v>...</v>
      </c>
      <c r="B125" s="4" t="str">
        <f>IF($L$7="Y","---&gt;","...")</f>
        <v>...</v>
      </c>
      <c r="C125" s="1" t="str">
        <f>IF($L$7="Y",'Population Definitions'!$B$12,"...")</f>
        <v>...</v>
      </c>
      <c r="E125" s="2"/>
      <c r="F125" s="3"/>
      <c r="G125" s="2"/>
      <c r="H125" s="4" t="str">
        <f>IF($L$7="Y","OR","...")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IF($M$7="Y",'Population Definitions'!$B$4,"...")</f>
        <v>...</v>
      </c>
      <c r="B126" s="4" t="str">
        <f>IF($M$7="Y","---&gt;","...")</f>
        <v>...</v>
      </c>
      <c r="C126" s="1" t="str">
        <f>IF($M$7="Y",'Population Definitions'!$B$13,"...")</f>
        <v>...</v>
      </c>
      <c r="E126" s="2"/>
      <c r="F126" s="3"/>
      <c r="G126" s="2"/>
      <c r="H126" s="4" t="str">
        <f>IF($M$7="Y","OR","...")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IF($N$7="Y",'Population Definitions'!$B$4,"...")</f>
        <v>...</v>
      </c>
      <c r="B127" s="4" t="str">
        <f>IF($N$7="Y","---&gt;","...")</f>
        <v>...</v>
      </c>
      <c r="C127" s="1" t="str">
        <f>IF($N$7="Y",'Population Definitions'!$B$14,"...")</f>
        <v>...</v>
      </c>
      <c r="E127" s="2"/>
      <c r="F127" s="3"/>
      <c r="G127" s="2"/>
      <c r="H127" s="4" t="str">
        <f>IF($N$7="Y","OR","...")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IF($O$7="Y",'Population Definitions'!$B$4,"...")</f>
        <v>...</v>
      </c>
      <c r="B128" s="4" t="str">
        <f>IF($O$7="Y","---&gt;","...")</f>
        <v>...</v>
      </c>
      <c r="C128" s="1" t="str">
        <f>IF($O$7="Y",'Population Definitions'!$B$15,"...")</f>
        <v>...</v>
      </c>
      <c r="E128" s="2"/>
      <c r="F128" s="3"/>
      <c r="G128" s="2"/>
      <c r="H128" s="4" t="str">
        <f>IF($O$7="Y","OR","...")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IF($P$7="Y",'Population Definitions'!$B$4,"...")</f>
        <v>...</v>
      </c>
      <c r="B129" s="4" t="str">
        <f>IF($P$7="Y","---&gt;","...")</f>
        <v>...</v>
      </c>
      <c r="C129" s="1" t="str">
        <f>IF($P$7="Y",'Population Definitions'!$B$16,"...")</f>
        <v>...</v>
      </c>
      <c r="E129" s="2"/>
      <c r="F129" s="3"/>
      <c r="G129" s="2"/>
      <c r="H129" s="4" t="str">
        <f>IF($P$7="Y","OR","...")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IF($Q$7="Y",'Population Definitions'!$B$4,"...")</f>
        <v>...</v>
      </c>
      <c r="B130" s="4" t="str">
        <f>IF($Q$7="Y","---&gt;","...")</f>
        <v>...</v>
      </c>
      <c r="C130" s="1" t="str">
        <f>IF($Q$7="Y",'Population Definitions'!$B$17,"...")</f>
        <v>...</v>
      </c>
      <c r="E130" s="2"/>
      <c r="F130" s="3"/>
      <c r="G130" s="2"/>
      <c r="H130" s="4" t="str">
        <f>IF($Q$7="Y","OR","...")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IF($R$7="Y",'Population Definitions'!$B$4,"...")</f>
        <v>...</v>
      </c>
      <c r="B131" s="4" t="str">
        <f>IF($R$7="Y","---&gt;","...")</f>
        <v>...</v>
      </c>
      <c r="C131" s="1" t="str">
        <f>IF($R$7="Y",'Population Definitions'!$B$18,"...")</f>
        <v>...</v>
      </c>
      <c r="E131" s="2"/>
      <c r="F131" s="3"/>
      <c r="G131" s="2"/>
      <c r="H131" s="4" t="str">
        <f>IF($R$7="Y","OR","...")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IF($S$7="Y",'Population Definitions'!$B$4,"...")</f>
        <v>...</v>
      </c>
      <c r="B132" s="4" t="str">
        <f>IF($S$7="Y","---&gt;","...")</f>
        <v>...</v>
      </c>
      <c r="C132" s="1" t="str">
        <f>IF($S$7="Y",'Population Definitions'!$B$19,"...")</f>
        <v>...</v>
      </c>
      <c r="E132" s="2"/>
      <c r="F132" s="3"/>
      <c r="G132" s="2"/>
      <c r="H132" s="4" t="str">
        <f>IF($S$7="Y","OR","...")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IF($T$7="Y",'Population Definitions'!$B$4,"...")</f>
        <v>...</v>
      </c>
      <c r="B133" s="4" t="str">
        <f>IF($T$7="Y","---&gt;","...")</f>
        <v>...</v>
      </c>
      <c r="C133" s="1" t="str">
        <f>IF($T$7="Y",'Population Definitions'!$B$20,"...")</f>
        <v>...</v>
      </c>
      <c r="E133" s="2"/>
      <c r="F133" s="3"/>
      <c r="G133" s="2"/>
      <c r="H133" s="4" t="str">
        <f>IF($T$7="Y","OR","...")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IF($U$7="Y",'Population Definitions'!$B$4,"...")</f>
        <v>...</v>
      </c>
      <c r="B134" s="4" t="str">
        <f>IF($U$7="Y","---&gt;","...")</f>
        <v>...</v>
      </c>
      <c r="C134" s="1" t="str">
        <f>IF($U$7="Y",'Population Definitions'!$B$21,"...")</f>
        <v>...</v>
      </c>
      <c r="E134" s="2"/>
      <c r="F134" s="3"/>
      <c r="G134" s="2"/>
      <c r="H134" s="4" t="str">
        <f>IF($U$7="Y","OR","...")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IF($V$7="Y",'Population Definitions'!$B$4,"...")</f>
        <v>...</v>
      </c>
      <c r="B135" s="4" t="str">
        <f>IF($V$7="Y","---&gt;","...")</f>
        <v>...</v>
      </c>
      <c r="C135" s="1" t="str">
        <f>IF($V$7="Y",'Population Definitions'!$B$22,"...")</f>
        <v>...</v>
      </c>
      <c r="E135" s="2"/>
      <c r="F135" s="3"/>
      <c r="G135" s="2"/>
      <c r="H135" s="4" t="str">
        <f>IF($V$7="Y","OR","...")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IF($W$7="Y",'Population Definitions'!$B$4,"...")</f>
        <v>...</v>
      </c>
      <c r="B136" s="4" t="str">
        <f>IF($W$7="Y","---&gt;","...")</f>
        <v>...</v>
      </c>
      <c r="C136" s="1" t="str">
        <f>IF($W$7="Y",'Population Definitions'!$B$23,"...")</f>
        <v>...</v>
      </c>
      <c r="E136" s="2"/>
      <c r="F136" s="3"/>
      <c r="G136" s="2"/>
      <c r="H136" s="4" t="str">
        <f>IF($W$7="Y","OR","...")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IF($X$7="Y",'Population Definitions'!$B$4,"...")</f>
        <v>...</v>
      </c>
      <c r="B137" s="4" t="str">
        <f>IF($X$7="Y","---&gt;","...")</f>
        <v>...</v>
      </c>
      <c r="C137" s="1" t="str">
        <f>IF($X$7="Y",'Population Definitions'!$B$24,"...")</f>
        <v>...</v>
      </c>
      <c r="E137" s="2"/>
      <c r="F137" s="3"/>
      <c r="G137" s="2"/>
      <c r="H137" s="4" t="str">
        <f>IF($X$7="Y","OR","...")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IF($Y$7="Y",'Population Definitions'!$B$4,"...")</f>
        <v>...</v>
      </c>
      <c r="B138" s="4" t="str">
        <f>IF($Y$7="Y","---&gt;","...")</f>
        <v>...</v>
      </c>
      <c r="C138" s="1" t="str">
        <f>IF($Y$7="Y",'Population Definitions'!$B$25,"...")</f>
        <v>...</v>
      </c>
      <c r="E138" s="2"/>
      <c r="F138" s="3"/>
      <c r="G138" s="2"/>
      <c r="H138" s="4" t="str">
        <f>IF($Y$7="Y","OR","...")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IF($Z$7="Y",'Population Definitions'!$B$4,"...")</f>
        <v>...</v>
      </c>
      <c r="B139" s="4" t="str">
        <f>IF($Z$7="Y","---&gt;","...")</f>
        <v>...</v>
      </c>
      <c r="C139" s="1" t="str">
        <f>IF($Z$7="Y",'Population Definitions'!$B$26,"...")</f>
        <v>...</v>
      </c>
      <c r="E139" s="2"/>
      <c r="F139" s="3"/>
      <c r="G139" s="2"/>
      <c r="H139" s="4" t="str">
        <f>IF($Z$7="Y","OR","...")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IF($AA$7="Y",'Population Definitions'!$B$4,"...")</f>
        <v>...</v>
      </c>
      <c r="B140" s="4" t="str">
        <f>IF($AA$7="Y","---&gt;","...")</f>
        <v>...</v>
      </c>
      <c r="C140" s="1" t="str">
        <f>IF($AA$7="Y",'Population Definitions'!$B$27,"...")</f>
        <v>...</v>
      </c>
      <c r="E140" s="2"/>
      <c r="F140" s="3"/>
      <c r="G140" s="2"/>
      <c r="H140" s="4" t="str">
        <f>IF($AA$7="Y","OR","...")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IF($AB$7="Y",'Population Definitions'!$B$4,"...")</f>
        <v>...</v>
      </c>
      <c r="B141" s="4" t="str">
        <f>IF($AB$7="Y","---&gt;","...")</f>
        <v>...</v>
      </c>
      <c r="C141" s="1" t="str">
        <f>IF($AB$7="Y",'Population Definitions'!$B$28,"...")</f>
        <v>...</v>
      </c>
      <c r="E141" s="2"/>
      <c r="F141" s="3"/>
      <c r="G141" s="2"/>
      <c r="H141" s="4" t="str">
        <f>IF($AB$7="Y","OR","...")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IF($AC$7="Y",'Population Definitions'!$B$4,"...")</f>
        <v>...</v>
      </c>
      <c r="B142" s="4" t="str">
        <f>IF($AC$7="Y","---&gt;","...")</f>
        <v>...</v>
      </c>
      <c r="C142" s="1" t="str">
        <f>IF($AC$7="Y",'Population Definitions'!$B$29,"...")</f>
        <v>...</v>
      </c>
      <c r="E142" s="2"/>
      <c r="F142" s="3"/>
      <c r="G142" s="2"/>
      <c r="H142" s="4" t="str">
        <f>IF($AC$7="Y","OR","...")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IF($AD$7="Y",'Population Definitions'!$B$4,"...")</f>
        <v>...</v>
      </c>
      <c r="B143" s="4" t="str">
        <f>IF($AD$7="Y","---&gt;","...")</f>
        <v>...</v>
      </c>
      <c r="C143" s="1" t="str">
        <f>IF($AD$7="Y",'Population Definitions'!$B$30,"...")</f>
        <v>...</v>
      </c>
      <c r="E143" s="2"/>
      <c r="F143" s="3"/>
      <c r="G143" s="2"/>
      <c r="H143" s="4" t="str">
        <f>IF($AD$7="Y","OR","...")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IF($AE$7="Y",'Population Definitions'!$B$4,"...")</f>
        <v>...</v>
      </c>
      <c r="B144" s="4" t="str">
        <f>IF($AE$7="Y","---&gt;","...")</f>
        <v>...</v>
      </c>
      <c r="C144" s="1" t="str">
        <f>IF($AE$7="Y",'Population Definitions'!$B$31,"...")</f>
        <v>...</v>
      </c>
      <c r="E144" s="2"/>
      <c r="F144" s="3"/>
      <c r="G144" s="2"/>
      <c r="H144" s="4" t="str">
        <f>IF($AE$7="Y","OR","...")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IF($AF$7="Y",'Population Definitions'!$B$4,"...")</f>
        <v>...</v>
      </c>
      <c r="B145" s="4" t="str">
        <f>IF($AF$7="Y","---&gt;","...")</f>
        <v>...</v>
      </c>
      <c r="C145" s="1" t="str">
        <f>IF($AF$7="Y",'Population Definitions'!$B$32,"...")</f>
        <v>...</v>
      </c>
      <c r="E145" s="2"/>
      <c r="F145" s="3"/>
      <c r="G145" s="2"/>
      <c r="H145" s="4" t="str">
        <f>IF($AF$7="Y","OR","...")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IF($AG$7="Y",'Population Definitions'!$B$4,"...")</f>
        <v>...</v>
      </c>
      <c r="B146" s="4" t="str">
        <f>IF($AG$7="Y","---&gt;","...")</f>
        <v>...</v>
      </c>
      <c r="C146" s="1" t="str">
        <f>IF($AG$7="Y",'Population Definitions'!$B$33,"...")</f>
        <v>...</v>
      </c>
      <c r="E146" s="2"/>
      <c r="F146" s="3"/>
      <c r="G146" s="2"/>
      <c r="H146" s="4" t="str">
        <f>IF($AG$7="Y","OR","...")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IF($AH$7="Y",'Population Definitions'!$B$4,"...")</f>
        <v>...</v>
      </c>
      <c r="B147" s="4" t="str">
        <f>IF($AH$7="Y","---&gt;","...")</f>
        <v>...</v>
      </c>
      <c r="C147" s="1" t="str">
        <f>IF($AH$7="Y",'Population Definitions'!$B$34,"...")</f>
        <v>...</v>
      </c>
      <c r="E147" s="2"/>
      <c r="F147" s="3"/>
      <c r="G147" s="2"/>
      <c r="H147" s="4" t="str">
        <f>IF($AH$7="Y","OR","...")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IF($AI$7="Y",'Population Definitions'!$B$4,"...")</f>
        <v>...</v>
      </c>
      <c r="B148" s="4" t="str">
        <f>IF($AI$7="Y","---&gt;","...")</f>
        <v>...</v>
      </c>
      <c r="C148" s="1" t="str">
        <f>IF($AI$7="Y",'Population Definitions'!$B$35,"...")</f>
        <v>...</v>
      </c>
      <c r="E148" s="2"/>
      <c r="F148" s="3"/>
      <c r="G148" s="2"/>
      <c r="H148" s="4" t="str">
        <f>IF($AI$7="Y","OR","...")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IF($AJ$7="Y",'Population Definitions'!$B$4,"...")</f>
        <v>...</v>
      </c>
      <c r="B149" s="4" t="str">
        <f>IF($AJ$7="Y","---&gt;","...")</f>
        <v>...</v>
      </c>
      <c r="C149" s="1" t="str">
        <f>IF($AJ$7="Y",'Population Definitions'!$B$36,"...")</f>
        <v>...</v>
      </c>
      <c r="E149" s="2"/>
      <c r="F149" s="3"/>
      <c r="G149" s="2"/>
      <c r="H149" s="4" t="str">
        <f>IF($AJ$7="Y","OR","...")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IF($AK$7="Y",'Population Definitions'!$B$4,"...")</f>
        <v>...</v>
      </c>
      <c r="B150" s="4" t="str">
        <f>IF($AK$7="Y","---&gt;","...")</f>
        <v>...</v>
      </c>
      <c r="C150" s="1" t="str">
        <f>IF($AK$7="Y",'Population Definitions'!$B$37,"...")</f>
        <v>...</v>
      </c>
      <c r="E150" s="2"/>
      <c r="F150" s="3"/>
      <c r="G150" s="2"/>
      <c r="H150" s="4" t="str">
        <f>IF($AK$7="Y","OR","...")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IF($B$8="Y",'Population Definitions'!$B$5,"...")</f>
        <v>...</v>
      </c>
      <c r="B151" s="4" t="str">
        <f>IF($B$8="Y","---&gt;","...")</f>
        <v>...</v>
      </c>
      <c r="C151" s="1" t="str">
        <f>IF($B$8="Y",'Population Definitions'!$B$2,"...")</f>
        <v>...</v>
      </c>
      <c r="E151" s="2"/>
      <c r="F151" s="3"/>
      <c r="G151" s="2"/>
      <c r="H151" s="4" t="str">
        <f>IF($B$8="Y","OR","...")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IF($C$8="Y",'Population Definitions'!$B$5,"...")</f>
        <v>...</v>
      </c>
      <c r="B152" s="4" t="str">
        <f>IF($C$8="Y","---&gt;","...")</f>
        <v>...</v>
      </c>
      <c r="C152" s="1" t="str">
        <f>IF($C$8="Y",'Population Definitions'!$B$3,"...")</f>
        <v>...</v>
      </c>
      <c r="E152" s="2"/>
      <c r="F152" s="3"/>
      <c r="G152" s="2"/>
      <c r="H152" s="4" t="str">
        <f>IF($C$8="Y","OR","...")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IF($D$8="Y",'Population Definitions'!$B$5,"...")</f>
        <v>...</v>
      </c>
      <c r="B153" s="4" t="str">
        <f>IF($D$8="Y","---&gt;","...")</f>
        <v>...</v>
      </c>
      <c r="C153" s="1" t="str">
        <f>IF($D$8="Y",'Population Definitions'!$B$4,"...")</f>
        <v>...</v>
      </c>
      <c r="E153" s="2"/>
      <c r="F153" s="3"/>
      <c r="G153" s="2"/>
      <c r="H153" s="4" t="str">
        <f>IF($D$8="Y","OR","...")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IF($E$8="Y",'Population Definitions'!$B$5,"...")</f>
        <v>...</v>
      </c>
      <c r="B154" s="4" t="str">
        <f>IF($E$8="Y","---&gt;","...")</f>
        <v>...</v>
      </c>
      <c r="C154" s="1" t="str">
        <f>IF($E$8="Y",'Population Definitions'!$B$5,"...")</f>
        <v>...</v>
      </c>
      <c r="E154" s="2"/>
      <c r="F154" s="3"/>
      <c r="G154" s="2"/>
      <c r="H154" s="4" t="str">
        <f>IF($E$8="Y","OR","...")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IF($F$8="Y",'Population Definitions'!$B$5,"...")</f>
        <v>30-49M_aus</v>
      </c>
      <c r="B155" s="4" t="str">
        <f>IF($F$8="Y","---&gt;","...")</f>
        <v>---&gt;</v>
      </c>
      <c r="C155" s="1" t="str">
        <f>IF($F$8="Y",'Population Definitions'!$B$6,"...")</f>
        <v>50-64M_aus</v>
      </c>
      <c r="E155" s="3" t="s">
        <v>63</v>
      </c>
      <c r="F155" s="3"/>
      <c r="G155" s="3"/>
      <c r="H155" s="4" t="str">
        <f>IF($F$8="Y","OR","...")</f>
        <v>OR</v>
      </c>
      <c r="I155" s="3">
        <v>0.043365976392738</v>
      </c>
      <c r="J155" s="3">
        <v>0.0390016691326466</v>
      </c>
      <c r="K155" s="3">
        <v>0.0372135808663656</v>
      </c>
      <c r="L155" s="3">
        <v>0.0361218023812556</v>
      </c>
      <c r="M155" s="3">
        <v>0.0350225908644506</v>
      </c>
      <c r="N155" s="3">
        <v>0.0374487667351237</v>
      </c>
      <c r="O155" s="3">
        <v>0.0370778472963444</v>
      </c>
      <c r="P155" s="3">
        <v>0.0364366078207593</v>
      </c>
      <c r="Q155" s="3">
        <v>0.0364588868457298</v>
      </c>
      <c r="R155" s="3">
        <v>0.0365242023512676</v>
      </c>
      <c r="S155" s="3">
        <v>0.0375732580507837</v>
      </c>
      <c r="T155" s="3">
        <v>0.037431709360037</v>
      </c>
      <c r="U155" s="3">
        <v>0.0364667145960168</v>
      </c>
      <c r="V155" s="3">
        <v>0.0397849458325176</v>
      </c>
      <c r="W155" s="3">
        <v>0.0407304328238324</v>
      </c>
      <c r="X155" s="3">
        <v>0.0413305562801438</v>
      </c>
      <c r="Y155" s="3">
        <v>0.0484968527430743</v>
      </c>
      <c r="Z155" s="3">
        <v>0.0468734388655699</v>
      </c>
      <c r="AA155" s="3">
        <v>0.0456067352821924</v>
      </c>
      <c r="AB155" s="3">
        <v>0.0462159367290348</v>
      </c>
      <c r="AC155" s="3">
        <v>0.0462693430011495</v>
      </c>
      <c r="AD155" s="3">
        <v>0.0456296629870318</v>
      </c>
      <c r="AE155" s="3">
        <v>0.045962166206719</v>
      </c>
      <c r="AF155" s="3">
        <v>0.0456467671073375</v>
      </c>
      <c r="AG155" s="3">
        <v>0.0463346766488258</v>
      </c>
      <c r="AH155" s="3">
        <v>0.0475883246851903</v>
      </c>
      <c r="AI155" s="3">
        <v>0.0475588586143436</v>
      </c>
      <c r="AJ155" s="3">
        <v>0.0478709472226899</v>
      </c>
      <c r="AK155" s="3">
        <v>0.0486718068077819</v>
      </c>
      <c r="AL155" s="3">
        <v>0.0490363987150892</v>
      </c>
      <c r="AM155" s="3">
        <v>0.0503804628986931</v>
      </c>
      <c r="AN155" s="3">
        <v>0.0503743984321361</v>
      </c>
      <c r="AO155" s="3">
        <v>0.0497009002907613</v>
      </c>
      <c r="AP155" s="3">
        <v>0.0487272069296337</v>
      </c>
      <c r="AQ155" s="3">
        <v>0.0465980909209781</v>
      </c>
      <c r="AR155" s="3">
        <v>0.0459481866050899</v>
      </c>
      <c r="AS155" s="3">
        <v>0.0450366067308198</v>
      </c>
      <c r="AT155" s="3">
        <v>0.0455039775587487</v>
      </c>
      <c r="AU155" s="3">
        <v>0.0463891900133365</v>
      </c>
      <c r="AV155" s="3">
        <v>0.0467133797561713</v>
      </c>
      <c r="AW155" s="3">
        <v>0.0492677151786159</v>
      </c>
      <c r="AX155" s="3">
        <v>0.0488738229367984</v>
      </c>
      <c r="AY155" s="3">
        <v>0.0468785606330606</v>
      </c>
      <c r="AZ155" s="3">
        <v>0.0452667138250054</v>
      </c>
      <c r="BA155" s="3">
        <v>0.0439940966808363</v>
      </c>
      <c r="BB155" s="3">
        <v>0.0430969600673323</v>
      </c>
      <c r="BC155" s="3">
        <v>0.0421569067631016</v>
      </c>
      <c r="BD155" s="3">
        <v>0.0418878332950973</v>
      </c>
      <c r="BE155" s="3">
        <v>0.0426022013696205</v>
      </c>
      <c r="BF155" s="3">
        <v>0.0432993959482428</v>
      </c>
      <c r="BG155" s="3">
        <v>0.0452730475779251</v>
      </c>
      <c r="BH155" s="3">
        <v>0.0464704410024114</v>
      </c>
      <c r="BI155" s="3">
        <v>0.0479380720176512</v>
      </c>
      <c r="BJ155" s="3">
        <v>0.0480399678337013</v>
      </c>
      <c r="BK155" s="3">
        <v>0.0483429040979774</v>
      </c>
      <c r="BL155" s="3">
        <v>0.048640726985082</v>
      </c>
      <c r="BM155" s="3">
        <v>0.0482552793770418</v>
      </c>
      <c r="BN155" s="3">
        <v>0.0480475426522717</v>
      </c>
      <c r="BO155" s="3">
        <v>0.0484354047865371</v>
      </c>
      <c r="BP155" s="3">
        <v>0.0489848750048542</v>
      </c>
      <c r="BQ155" s="3">
        <v>0.0488140540741222</v>
      </c>
      <c r="BR155" s="3">
        <v>0.047939410241506</v>
      </c>
      <c r="BS155" s="3">
        <v>0.0479195239405771</v>
      </c>
      <c r="BT155" s="3">
        <v>0.0480247713702112</v>
      </c>
      <c r="BU155" s="3">
        <v>0.0482410252432074</v>
      </c>
      <c r="BV155" s="3">
        <v>0.047204596057134</v>
      </c>
      <c r="BW155" s="3">
        <v>0.0461587041304733</v>
      </c>
      <c r="BX155" s="3">
        <v>0.0454243833539424</v>
      </c>
      <c r="BY155" s="3">
        <v>0.0458041365298783</v>
      </c>
      <c r="BZ155" s="3">
        <v>0.0470872330967407</v>
      </c>
      <c r="CA155" s="3">
        <v>0.0470628712895833</v>
      </c>
      <c r="CB155" s="3">
        <v>0.045802122631545</v>
      </c>
      <c r="CC155" s="3">
        <v>0.0460862351890089</v>
      </c>
      <c r="CD155" s="3">
        <v>0.0473707262441101</v>
      </c>
      <c r="CE155" s="3">
        <v>0.0483859163894503</v>
      </c>
      <c r="CF155" s="3">
        <v>0.0493548425078973</v>
      </c>
      <c r="CG155" s="3">
        <v>0.050664333837432</v>
      </c>
      <c r="CH155" s="3">
        <v>0.0509000858942226</v>
      </c>
      <c r="CI155" s="3">
        <v>0.0509007226406441</v>
      </c>
      <c r="CJ155" s="3">
        <v>0.0511107763965332</v>
      </c>
      <c r="CK155" s="3">
        <v>0.0508042278786295</v>
      </c>
      <c r="CL155" s="3">
        <v>0.0510467817087194</v>
      </c>
      <c r="CM155" s="3">
        <v>0.0513101678051554</v>
      </c>
      <c r="CN155" s="3">
        <v>0.0510918732579824</v>
      </c>
      <c r="CO155" s="3">
        <v>0.0509823533375853</v>
      </c>
      <c r="CP155" s="3">
        <v>0.0513498542012883</v>
      </c>
      <c r="CQ155" s="3">
        <v>0.0506608135730744</v>
      </c>
      <c r="CR155" s="3">
        <v>0.0501883914656756</v>
      </c>
      <c r="CS155" s="3">
        <v>0.0502040649920251</v>
      </c>
      <c r="CT155" s="3">
        <v>0.04952393212487</v>
      </c>
      <c r="CU155" s="3">
        <v>0.0498151012273777</v>
      </c>
      <c r="CV155" s="3">
        <v>0.0503967893307394</v>
      </c>
    </row>
    <row r="156" spans="1:100">
      <c r="A156" s="1" t="str">
        <f>IF($G$8="Y",'Population Definitions'!$B$5,"...")</f>
        <v>...</v>
      </c>
      <c r="B156" s="4" t="str">
        <f>IF($G$8="Y","---&gt;","...")</f>
        <v>...</v>
      </c>
      <c r="C156" s="1" t="str">
        <f>IF($G$8="Y",'Population Definitions'!$B$7,"...")</f>
        <v>...</v>
      </c>
      <c r="E156" s="2"/>
      <c r="F156" s="3"/>
      <c r="G156" s="2"/>
      <c r="H156" s="4" t="str">
        <f>IF($G$8="Y","OR","...")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IF($H$8="Y",'Population Definitions'!$B$5,"...")</f>
        <v>...</v>
      </c>
      <c r="B157" s="4" t="str">
        <f>IF($H$8="Y","---&gt;","...")</f>
        <v>...</v>
      </c>
      <c r="C157" s="1" t="str">
        <f>IF($H$8="Y",'Population Definitions'!$B$8,"...")</f>
        <v>...</v>
      </c>
      <c r="E157" s="2"/>
      <c r="F157" s="3"/>
      <c r="G157" s="2"/>
      <c r="H157" s="4" t="str">
        <f>IF($H$8="Y","OR","...")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IF($I$8="Y",'Population Definitions'!$B$5,"...")</f>
        <v>...</v>
      </c>
      <c r="B158" s="4" t="str">
        <f>IF($I$8="Y","---&gt;","...")</f>
        <v>...</v>
      </c>
      <c r="C158" s="1" t="str">
        <f>IF($I$8="Y",'Population Definitions'!$B$9,"...")</f>
        <v>...</v>
      </c>
      <c r="E158" s="2"/>
      <c r="F158" s="3"/>
      <c r="G158" s="2"/>
      <c r="H158" s="4" t="str">
        <f>IF($I$8="Y","OR","...")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IF($J$8="Y",'Population Definitions'!$B$5,"...")</f>
        <v>...</v>
      </c>
      <c r="B159" s="4" t="str">
        <f>IF($J$8="Y","---&gt;","...")</f>
        <v>...</v>
      </c>
      <c r="C159" s="1" t="str">
        <f>IF($J$8="Y",'Population Definitions'!$B$10,"...")</f>
        <v>...</v>
      </c>
      <c r="E159" s="2"/>
      <c r="F159" s="3"/>
      <c r="G159" s="2"/>
      <c r="H159" s="4" t="str">
        <f>IF($J$8="Y","OR","...")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IF($K$8="Y",'Population Definitions'!$B$5,"...")</f>
        <v>...</v>
      </c>
      <c r="B160" s="4" t="str">
        <f>IF($K$8="Y","---&gt;","...")</f>
        <v>...</v>
      </c>
      <c r="C160" s="1" t="str">
        <f>IF($K$8="Y",'Population Definitions'!$B$11,"...")</f>
        <v>...</v>
      </c>
      <c r="E160" s="2"/>
      <c r="F160" s="3"/>
      <c r="G160" s="2"/>
      <c r="H160" s="4" t="str">
        <f>IF($K$8="Y","OR","...")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IF($L$8="Y",'Population Definitions'!$B$5,"...")</f>
        <v>...</v>
      </c>
      <c r="B161" s="4" t="str">
        <f>IF($L$8="Y","---&gt;","...")</f>
        <v>...</v>
      </c>
      <c r="C161" s="1" t="str">
        <f>IF($L$8="Y",'Population Definitions'!$B$12,"...")</f>
        <v>...</v>
      </c>
      <c r="E161" s="2"/>
      <c r="F161" s="3"/>
      <c r="G161" s="2"/>
      <c r="H161" s="4" t="str">
        <f>IF($L$8="Y","OR","...")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IF($M$8="Y",'Population Definitions'!$B$5,"...")</f>
        <v>...</v>
      </c>
      <c r="B162" s="4" t="str">
        <f>IF($M$8="Y","---&gt;","...")</f>
        <v>...</v>
      </c>
      <c r="C162" s="1" t="str">
        <f>IF($M$8="Y",'Population Definitions'!$B$13,"...")</f>
        <v>...</v>
      </c>
      <c r="E162" s="2"/>
      <c r="F162" s="3"/>
      <c r="G162" s="2"/>
      <c r="H162" s="4" t="str">
        <f>IF($M$8="Y","OR","...")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IF($N$8="Y",'Population Definitions'!$B$5,"...")</f>
        <v>...</v>
      </c>
      <c r="B163" s="4" t="str">
        <f>IF($N$8="Y","---&gt;","...")</f>
        <v>...</v>
      </c>
      <c r="C163" s="1" t="str">
        <f>IF($N$8="Y",'Population Definitions'!$B$14,"...")</f>
        <v>...</v>
      </c>
      <c r="E163" s="2"/>
      <c r="F163" s="3"/>
      <c r="G163" s="2"/>
      <c r="H163" s="4" t="str">
        <f>IF($N$8="Y","OR","...")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IF($O$8="Y",'Population Definitions'!$B$5,"...")</f>
        <v>...</v>
      </c>
      <c r="B164" s="4" t="str">
        <f>IF($O$8="Y","---&gt;","...")</f>
        <v>...</v>
      </c>
      <c r="C164" s="1" t="str">
        <f>IF($O$8="Y",'Population Definitions'!$B$15,"...")</f>
        <v>...</v>
      </c>
      <c r="E164" s="2"/>
      <c r="F164" s="3"/>
      <c r="G164" s="2"/>
      <c r="H164" s="4" t="str">
        <f>IF($O$8="Y","OR","...")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IF($P$8="Y",'Population Definitions'!$B$5,"...")</f>
        <v>...</v>
      </c>
      <c r="B165" s="4" t="str">
        <f>IF($P$8="Y","---&gt;","...")</f>
        <v>...</v>
      </c>
      <c r="C165" s="1" t="str">
        <f>IF($P$8="Y",'Population Definitions'!$B$16,"...")</f>
        <v>...</v>
      </c>
      <c r="E165" s="2"/>
      <c r="F165" s="3"/>
      <c r="G165" s="2"/>
      <c r="H165" s="4" t="str">
        <f>IF($P$8="Y","OR","...")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IF($Q$8="Y",'Population Definitions'!$B$5,"...")</f>
        <v>...</v>
      </c>
      <c r="B166" s="4" t="str">
        <f>IF($Q$8="Y","---&gt;","...")</f>
        <v>...</v>
      </c>
      <c r="C166" s="1" t="str">
        <f>IF($Q$8="Y",'Population Definitions'!$B$17,"...")</f>
        <v>...</v>
      </c>
      <c r="E166" s="2"/>
      <c r="F166" s="3"/>
      <c r="G166" s="2"/>
      <c r="H166" s="4" t="str">
        <f>IF($Q$8="Y","OR","...")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IF($R$8="Y",'Population Definitions'!$B$5,"...")</f>
        <v>...</v>
      </c>
      <c r="B167" s="4" t="str">
        <f>IF($R$8="Y","---&gt;","...")</f>
        <v>...</v>
      </c>
      <c r="C167" s="1" t="str">
        <f>IF($R$8="Y",'Population Definitions'!$B$18,"...")</f>
        <v>...</v>
      </c>
      <c r="E167" s="2"/>
      <c r="F167" s="3"/>
      <c r="G167" s="2"/>
      <c r="H167" s="4" t="str">
        <f>IF($R$8="Y","OR","...")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IF($S$8="Y",'Population Definitions'!$B$5,"...")</f>
        <v>...</v>
      </c>
      <c r="B168" s="4" t="str">
        <f>IF($S$8="Y","---&gt;","...")</f>
        <v>...</v>
      </c>
      <c r="C168" s="1" t="str">
        <f>IF($S$8="Y",'Population Definitions'!$B$19,"...")</f>
        <v>...</v>
      </c>
      <c r="E168" s="2"/>
      <c r="F168" s="3"/>
      <c r="G168" s="2"/>
      <c r="H168" s="4" t="str">
        <f>IF($S$8="Y","OR","...")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IF($T$8="Y",'Population Definitions'!$B$5,"...")</f>
        <v>...</v>
      </c>
      <c r="B169" s="4" t="str">
        <f>IF($T$8="Y","---&gt;","...")</f>
        <v>...</v>
      </c>
      <c r="C169" s="1" t="str">
        <f>IF($T$8="Y",'Population Definitions'!$B$20,"...")</f>
        <v>...</v>
      </c>
      <c r="E169" s="2"/>
      <c r="F169" s="3"/>
      <c r="G169" s="2"/>
      <c r="H169" s="4" t="str">
        <f>IF($T$8="Y","OR","...")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IF($U$8="Y",'Population Definitions'!$B$5,"...")</f>
        <v>...</v>
      </c>
      <c r="B170" s="4" t="str">
        <f>IF($U$8="Y","---&gt;","...")</f>
        <v>...</v>
      </c>
      <c r="C170" s="1" t="str">
        <f>IF($U$8="Y",'Population Definitions'!$B$21,"...")</f>
        <v>...</v>
      </c>
      <c r="E170" s="2"/>
      <c r="F170" s="3"/>
      <c r="G170" s="2"/>
      <c r="H170" s="4" t="str">
        <f>IF($U$8="Y","OR","...")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IF($V$8="Y",'Population Definitions'!$B$5,"...")</f>
        <v>...</v>
      </c>
      <c r="B171" s="4" t="str">
        <f>IF($V$8="Y","---&gt;","...")</f>
        <v>...</v>
      </c>
      <c r="C171" s="1" t="str">
        <f>IF($V$8="Y",'Population Definitions'!$B$22,"...")</f>
        <v>...</v>
      </c>
      <c r="E171" s="2"/>
      <c r="F171" s="3"/>
      <c r="G171" s="2"/>
      <c r="H171" s="4" t="str">
        <f>IF($V$8="Y","OR","...")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IF($W$8="Y",'Population Definitions'!$B$5,"...")</f>
        <v>...</v>
      </c>
      <c r="B172" s="4" t="str">
        <f>IF($W$8="Y","---&gt;","...")</f>
        <v>...</v>
      </c>
      <c r="C172" s="1" t="str">
        <f>IF($W$8="Y",'Population Definitions'!$B$23,"...")</f>
        <v>...</v>
      </c>
      <c r="E172" s="2"/>
      <c r="F172" s="3"/>
      <c r="G172" s="2"/>
      <c r="H172" s="4" t="str">
        <f>IF($W$8="Y","OR","...")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IF($X$8="Y",'Population Definitions'!$B$5,"...")</f>
        <v>...</v>
      </c>
      <c r="B173" s="4" t="str">
        <f>IF($X$8="Y","---&gt;","...")</f>
        <v>...</v>
      </c>
      <c r="C173" s="1" t="str">
        <f>IF($X$8="Y",'Population Definitions'!$B$24,"...")</f>
        <v>...</v>
      </c>
      <c r="E173" s="2"/>
      <c r="F173" s="3"/>
      <c r="G173" s="2"/>
      <c r="H173" s="4" t="str">
        <f>IF($X$8="Y","OR","...")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IF($Y$8="Y",'Population Definitions'!$B$5,"...")</f>
        <v>...</v>
      </c>
      <c r="B174" s="4" t="str">
        <f>IF($Y$8="Y","---&gt;","...")</f>
        <v>...</v>
      </c>
      <c r="C174" s="1" t="str">
        <f>IF($Y$8="Y",'Population Definitions'!$B$25,"...")</f>
        <v>...</v>
      </c>
      <c r="E174" s="2"/>
      <c r="F174" s="3"/>
      <c r="G174" s="2"/>
      <c r="H174" s="4" t="str">
        <f>IF($Y$8="Y","OR","...")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IF($Z$8="Y",'Population Definitions'!$B$5,"...")</f>
        <v>...</v>
      </c>
      <c r="B175" s="4" t="str">
        <f>IF($Z$8="Y","---&gt;","...")</f>
        <v>...</v>
      </c>
      <c r="C175" s="1" t="str">
        <f>IF($Z$8="Y",'Population Definitions'!$B$26,"...")</f>
        <v>...</v>
      </c>
      <c r="E175" s="2"/>
      <c r="F175" s="3"/>
      <c r="G175" s="2"/>
      <c r="H175" s="4" t="str">
        <f>IF($Z$8="Y","OR","...")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IF($AA$8="Y",'Population Definitions'!$B$5,"...")</f>
        <v>...</v>
      </c>
      <c r="B176" s="4" t="str">
        <f>IF($AA$8="Y","---&gt;","...")</f>
        <v>...</v>
      </c>
      <c r="C176" s="1" t="str">
        <f>IF($AA$8="Y",'Population Definitions'!$B$27,"...")</f>
        <v>...</v>
      </c>
      <c r="E176" s="2"/>
      <c r="F176" s="3"/>
      <c r="G176" s="2"/>
      <c r="H176" s="4" t="str">
        <f>IF($AA$8="Y","OR","...")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IF($AB$8="Y",'Population Definitions'!$B$5,"...")</f>
        <v>...</v>
      </c>
      <c r="B177" s="4" t="str">
        <f>IF($AB$8="Y","---&gt;","...")</f>
        <v>...</v>
      </c>
      <c r="C177" s="1" t="str">
        <f>IF($AB$8="Y",'Population Definitions'!$B$28,"...")</f>
        <v>...</v>
      </c>
      <c r="E177" s="2"/>
      <c r="F177" s="3"/>
      <c r="G177" s="2"/>
      <c r="H177" s="4" t="str">
        <f>IF($AB$8="Y","OR","...")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IF($AC$8="Y",'Population Definitions'!$B$5,"...")</f>
        <v>...</v>
      </c>
      <c r="B178" s="4" t="str">
        <f>IF($AC$8="Y","---&gt;","...")</f>
        <v>...</v>
      </c>
      <c r="C178" s="1" t="str">
        <f>IF($AC$8="Y",'Population Definitions'!$B$29,"...")</f>
        <v>...</v>
      </c>
      <c r="E178" s="2"/>
      <c r="F178" s="3"/>
      <c r="G178" s="2"/>
      <c r="H178" s="4" t="str">
        <f>IF($AC$8="Y","OR","...")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IF($AD$8="Y",'Population Definitions'!$B$5,"...")</f>
        <v>...</v>
      </c>
      <c r="B179" s="4" t="str">
        <f>IF($AD$8="Y","---&gt;","...")</f>
        <v>...</v>
      </c>
      <c r="C179" s="1" t="str">
        <f>IF($AD$8="Y",'Population Definitions'!$B$30,"...")</f>
        <v>...</v>
      </c>
      <c r="E179" s="2"/>
      <c r="F179" s="3"/>
      <c r="G179" s="2"/>
      <c r="H179" s="4" t="str">
        <f>IF($AD$8="Y","OR","...")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IF($AE$8="Y",'Population Definitions'!$B$5,"...")</f>
        <v>...</v>
      </c>
      <c r="B180" s="4" t="str">
        <f>IF($AE$8="Y","---&gt;","...")</f>
        <v>...</v>
      </c>
      <c r="C180" s="1" t="str">
        <f>IF($AE$8="Y",'Population Definitions'!$B$31,"...")</f>
        <v>...</v>
      </c>
      <c r="E180" s="2"/>
      <c r="F180" s="3"/>
      <c r="G180" s="2"/>
      <c r="H180" s="4" t="str">
        <f>IF($AE$8="Y","OR","...")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IF($AF$8="Y",'Population Definitions'!$B$5,"...")</f>
        <v>...</v>
      </c>
      <c r="B181" s="4" t="str">
        <f>IF($AF$8="Y","---&gt;","...")</f>
        <v>...</v>
      </c>
      <c r="C181" s="1" t="str">
        <f>IF($AF$8="Y",'Population Definitions'!$B$32,"...")</f>
        <v>...</v>
      </c>
      <c r="E181" s="2"/>
      <c r="F181" s="3"/>
      <c r="G181" s="2"/>
      <c r="H181" s="4" t="str">
        <f>IF($AF$8="Y","OR","...")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IF($AG$8="Y",'Population Definitions'!$B$5,"...")</f>
        <v>...</v>
      </c>
      <c r="B182" s="4" t="str">
        <f>IF($AG$8="Y","---&gt;","...")</f>
        <v>...</v>
      </c>
      <c r="C182" s="1" t="str">
        <f>IF($AG$8="Y",'Population Definitions'!$B$33,"...")</f>
        <v>...</v>
      </c>
      <c r="E182" s="2"/>
      <c r="F182" s="3"/>
      <c r="G182" s="2"/>
      <c r="H182" s="4" t="str">
        <f>IF($AG$8="Y","OR","...")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IF($AH$8="Y",'Population Definitions'!$B$5,"...")</f>
        <v>...</v>
      </c>
      <c r="B183" s="4" t="str">
        <f>IF($AH$8="Y","---&gt;","...")</f>
        <v>...</v>
      </c>
      <c r="C183" s="1" t="str">
        <f>IF($AH$8="Y",'Population Definitions'!$B$34,"...")</f>
        <v>...</v>
      </c>
      <c r="E183" s="2"/>
      <c r="F183" s="3"/>
      <c r="G183" s="2"/>
      <c r="H183" s="4" t="str">
        <f>IF($AH$8="Y","OR","...")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IF($AI$8="Y",'Population Definitions'!$B$5,"...")</f>
        <v>...</v>
      </c>
      <c r="B184" s="4" t="str">
        <f>IF($AI$8="Y","---&gt;","...")</f>
        <v>...</v>
      </c>
      <c r="C184" s="1" t="str">
        <f>IF($AI$8="Y",'Population Definitions'!$B$35,"...")</f>
        <v>...</v>
      </c>
      <c r="E184" s="2"/>
      <c r="F184" s="3"/>
      <c r="G184" s="2"/>
      <c r="H184" s="4" t="str">
        <f>IF($AI$8="Y","OR","...")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IF($AJ$8="Y",'Population Definitions'!$B$5,"...")</f>
        <v>...</v>
      </c>
      <c r="B185" s="4" t="str">
        <f>IF($AJ$8="Y","---&gt;","...")</f>
        <v>...</v>
      </c>
      <c r="C185" s="1" t="str">
        <f>IF($AJ$8="Y",'Population Definitions'!$B$36,"...")</f>
        <v>...</v>
      </c>
      <c r="E185" s="2"/>
      <c r="F185" s="3"/>
      <c r="G185" s="2"/>
      <c r="H185" s="4" t="str">
        <f>IF($AJ$8="Y","OR","...")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IF($AK$8="Y",'Population Definitions'!$B$5,"...")</f>
        <v>...</v>
      </c>
      <c r="B186" s="4" t="str">
        <f>IF($AK$8="Y","---&gt;","...")</f>
        <v>...</v>
      </c>
      <c r="C186" s="1" t="str">
        <f>IF($AK$8="Y",'Population Definitions'!$B$37,"...")</f>
        <v>...</v>
      </c>
      <c r="E186" s="2"/>
      <c r="F186" s="3"/>
      <c r="G186" s="2"/>
      <c r="H186" s="4" t="str">
        <f>IF($AK$8="Y","OR","...")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IF($B$9="Y",'Population Definitions'!$B$6,"...")</f>
        <v>...</v>
      </c>
      <c r="B187" s="4" t="str">
        <f>IF($B$9="Y","---&gt;","...")</f>
        <v>...</v>
      </c>
      <c r="C187" s="1" t="str">
        <f>IF($B$9="Y",'Population Definitions'!$B$2,"...")</f>
        <v>...</v>
      </c>
      <c r="E187" s="2"/>
      <c r="F187" s="3"/>
      <c r="G187" s="2"/>
      <c r="H187" s="4" t="str">
        <f>IF($B$9="Y","OR","...")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IF($C$9="Y",'Population Definitions'!$B$6,"...")</f>
        <v>...</v>
      </c>
      <c r="B188" s="4" t="str">
        <f>IF($C$9="Y","---&gt;","...")</f>
        <v>...</v>
      </c>
      <c r="C188" s="1" t="str">
        <f>IF($C$9="Y",'Population Definitions'!$B$3,"...")</f>
        <v>...</v>
      </c>
      <c r="E188" s="2"/>
      <c r="F188" s="3"/>
      <c r="G188" s="2"/>
      <c r="H188" s="4" t="str">
        <f>IF($C$9="Y","OR","...")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IF($D$9="Y",'Population Definitions'!$B$6,"...")</f>
        <v>...</v>
      </c>
      <c r="B189" s="4" t="str">
        <f>IF($D$9="Y","---&gt;","...")</f>
        <v>...</v>
      </c>
      <c r="C189" s="1" t="str">
        <f>IF($D$9="Y",'Population Definitions'!$B$4,"...")</f>
        <v>...</v>
      </c>
      <c r="E189" s="2"/>
      <c r="F189" s="3"/>
      <c r="G189" s="2"/>
      <c r="H189" s="4" t="str">
        <f>IF($D$9="Y","OR","...")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IF($E$9="Y",'Population Definitions'!$B$6,"...")</f>
        <v>...</v>
      </c>
      <c r="B190" s="4" t="str">
        <f>IF($E$9="Y","---&gt;","...")</f>
        <v>...</v>
      </c>
      <c r="C190" s="1" t="str">
        <f>IF($E$9="Y",'Population Definitions'!$B$5,"...")</f>
        <v>...</v>
      </c>
      <c r="E190" s="2"/>
      <c r="F190" s="3"/>
      <c r="G190" s="2"/>
      <c r="H190" s="4" t="str">
        <f>IF($E$9="Y","OR","...")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IF($F$9="Y",'Population Definitions'!$B$6,"...")</f>
        <v>...</v>
      </c>
      <c r="B191" s="4" t="str">
        <f>IF($F$9="Y","---&gt;","...")</f>
        <v>...</v>
      </c>
      <c r="C191" s="1" t="str">
        <f>IF($F$9="Y",'Population Definitions'!$B$6,"...")</f>
        <v>...</v>
      </c>
      <c r="E191" s="2"/>
      <c r="F191" s="3"/>
      <c r="G191" s="2"/>
      <c r="H191" s="4" t="str">
        <f>IF($F$9="Y","OR","...")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IF($G$9="Y",'Population Definitions'!$B$6,"...")</f>
        <v>50-64M_aus</v>
      </c>
      <c r="B192" s="4" t="str">
        <f>IF($G$9="Y","---&gt;","...")</f>
        <v>---&gt;</v>
      </c>
      <c r="C192" s="1" t="str">
        <f>IF($G$9="Y",'Population Definitions'!$B$7,"...")</f>
        <v>65+M_aus</v>
      </c>
      <c r="E192" s="3" t="s">
        <v>63</v>
      </c>
      <c r="F192" s="3"/>
      <c r="G192" s="3"/>
      <c r="H192" s="4" t="str">
        <f>IF($G$9="Y","OR","...")</f>
        <v>OR</v>
      </c>
      <c r="I192" s="3">
        <v>0.0521999586466741</v>
      </c>
      <c r="J192" s="3">
        <v>0.0511010058314965</v>
      </c>
      <c r="K192" s="3">
        <v>0.0485191739311111</v>
      </c>
      <c r="L192" s="3">
        <v>0.0481981824117813</v>
      </c>
      <c r="M192" s="3">
        <v>0.0536335757022642</v>
      </c>
      <c r="N192" s="3">
        <v>0.0592890491629962</v>
      </c>
      <c r="O192" s="3">
        <v>0.0601994553776073</v>
      </c>
      <c r="P192" s="3">
        <v>0.0592962563637532</v>
      </c>
      <c r="Q192" s="3">
        <v>0.0604604870280671</v>
      </c>
      <c r="R192" s="3">
        <v>0.0595551818814782</v>
      </c>
      <c r="S192" s="3">
        <v>0.0624992424281779</v>
      </c>
      <c r="T192" s="3">
        <v>0.0610458768858485</v>
      </c>
      <c r="U192" s="3">
        <v>0.0605304750720037</v>
      </c>
      <c r="V192" s="3">
        <v>0.0597002812112247</v>
      </c>
      <c r="W192" s="3">
        <v>0.0578424696541727</v>
      </c>
      <c r="X192" s="3">
        <v>0.0575214450992675</v>
      </c>
      <c r="Y192" s="3">
        <v>0.0534715990501755</v>
      </c>
      <c r="Z192" s="3">
        <v>0.0504147722000557</v>
      </c>
      <c r="AA192" s="3">
        <v>0.048894078602819</v>
      </c>
      <c r="AB192" s="3">
        <v>0.0469141367913928</v>
      </c>
      <c r="AC192" s="3">
        <v>0.048640065232536</v>
      </c>
      <c r="AD192" s="3">
        <v>0.0489669051393704</v>
      </c>
      <c r="AE192" s="3">
        <v>0.0482198613471366</v>
      </c>
      <c r="AF192" s="3">
        <v>0.0485596226656172</v>
      </c>
      <c r="AG192" s="3">
        <v>0.0484719754852755</v>
      </c>
      <c r="AH192" s="3">
        <v>0.0482163212227271</v>
      </c>
      <c r="AI192" s="3">
        <v>0.0495635943312795</v>
      </c>
      <c r="AJ192" s="3">
        <v>0.0486380750836738</v>
      </c>
      <c r="AK192" s="3">
        <v>0.0521395794067207</v>
      </c>
      <c r="AL192" s="3">
        <v>0.0531272742173839</v>
      </c>
      <c r="AM192" s="3">
        <v>0.0542408009061881</v>
      </c>
      <c r="AN192" s="3">
        <v>0.0621175282950816</v>
      </c>
      <c r="AO192" s="3">
        <v>0.0588762882194896</v>
      </c>
      <c r="AP192" s="3">
        <v>0.0570876637511762</v>
      </c>
      <c r="AQ192" s="3">
        <v>0.0574495215210313</v>
      </c>
      <c r="AR192" s="3">
        <v>0.0578707601243594</v>
      </c>
      <c r="AS192" s="3">
        <v>0.0575110916938467</v>
      </c>
      <c r="AT192" s="3">
        <v>0.057932905174262</v>
      </c>
      <c r="AU192" s="3">
        <v>0.0572594957702516</v>
      </c>
      <c r="AV192" s="3">
        <v>0.05794782747976</v>
      </c>
      <c r="AW192" s="3">
        <v>0.0595266402308427</v>
      </c>
      <c r="AX192" s="3">
        <v>0.0591425059648615</v>
      </c>
      <c r="AY192" s="3">
        <v>0.0595679956893733</v>
      </c>
      <c r="AZ192" s="3">
        <v>0.0608347194334313</v>
      </c>
      <c r="BA192" s="3">
        <v>0.06165467812697</v>
      </c>
      <c r="BB192" s="3">
        <v>0.06395130836779631</v>
      </c>
      <c r="BC192" s="3">
        <v>0.0647365424203933</v>
      </c>
      <c r="BD192" s="3">
        <v>0.0652378296617047</v>
      </c>
      <c r="BE192" s="3">
        <v>0.0645460094517126</v>
      </c>
      <c r="BF192" s="3">
        <v>0.0627190756370973</v>
      </c>
      <c r="BG192" s="3">
        <v>0.0616060516108276</v>
      </c>
      <c r="BH192" s="3">
        <v>0.0611024067144692</v>
      </c>
      <c r="BI192" s="3">
        <v>0.0613618492076538</v>
      </c>
      <c r="BJ192" s="3">
        <v>0.062662523041493</v>
      </c>
      <c r="BK192" s="3">
        <v>0.0627500903001731</v>
      </c>
      <c r="BL192" s="3">
        <v>0.06578174115735411</v>
      </c>
      <c r="BM192" s="3">
        <v>0.0646799095873055</v>
      </c>
      <c r="BN192" s="3">
        <v>0.0621317826669186</v>
      </c>
      <c r="BO192" s="3">
        <v>0.0601645594123156</v>
      </c>
      <c r="BP192" s="3">
        <v>0.0584854826832554</v>
      </c>
      <c r="BQ192" s="3">
        <v>0.0572238966517879</v>
      </c>
      <c r="BR192" s="3">
        <v>0.0558431127254117</v>
      </c>
      <c r="BS192" s="3">
        <v>0.0553084517876221</v>
      </c>
      <c r="BT192" s="3">
        <v>0.0559576366613641</v>
      </c>
      <c r="BU192" s="3">
        <v>0.0566058042499789</v>
      </c>
      <c r="BV192" s="3">
        <v>0.0589073309361637</v>
      </c>
      <c r="BW192" s="3">
        <v>0.0603586014523547</v>
      </c>
      <c r="BX192" s="3">
        <v>0.0621602950140153</v>
      </c>
      <c r="BY192" s="3">
        <v>0.062380149001341</v>
      </c>
      <c r="BZ192" s="3">
        <v>0.06289560381352489</v>
      </c>
      <c r="CA192" s="3">
        <v>0.063355821556402</v>
      </c>
      <c r="CB192" s="3">
        <v>0.06303219020269139</v>
      </c>
      <c r="CC192" s="3">
        <v>0.0631264271226936</v>
      </c>
      <c r="CD192" s="3">
        <v>0.0639328411080861</v>
      </c>
      <c r="CE192" s="3">
        <v>0.064818368769573</v>
      </c>
      <c r="CF192" s="3">
        <v>0.0647096221616849</v>
      </c>
      <c r="CG192" s="3">
        <v>0.06358637435726699</v>
      </c>
      <c r="CH192" s="3">
        <v>0.0634254342254356</v>
      </c>
      <c r="CI192" s="3">
        <v>0.0634328620595509</v>
      </c>
      <c r="CJ192" s="3">
        <v>0.0635805462525818</v>
      </c>
      <c r="CK192" s="3">
        <v>0.0621306758052967</v>
      </c>
      <c r="CL192" s="3">
        <v>0.0607210039180598</v>
      </c>
      <c r="CM192" s="3">
        <v>0.0596359281606353</v>
      </c>
      <c r="CN192" s="3">
        <v>0.0599017310463108</v>
      </c>
      <c r="CO192" s="3">
        <v>0.0613411911499812</v>
      </c>
      <c r="CP192" s="3">
        <v>0.0611484649938485</v>
      </c>
      <c r="CQ192" s="3">
        <v>0.0594171157834077</v>
      </c>
      <c r="CR192" s="3">
        <v>0.0596937262795827</v>
      </c>
      <c r="CS192" s="3">
        <v>0.0612107583816173</v>
      </c>
      <c r="CT192" s="3">
        <v>0.0624208078448438</v>
      </c>
      <c r="CU192" s="3">
        <v>0.0636449367462634</v>
      </c>
      <c r="CV192" s="3">
        <v>0.0652734935986265</v>
      </c>
    </row>
    <row r="193" spans="1:100">
      <c r="A193" s="1" t="str">
        <f>IF($H$9="Y",'Population Definitions'!$B$6,"...")</f>
        <v>...</v>
      </c>
      <c r="B193" s="4" t="str">
        <f>IF($H$9="Y","---&gt;","...")</f>
        <v>...</v>
      </c>
      <c r="C193" s="1" t="str">
        <f>IF($H$9="Y",'Population Definitions'!$B$8,"...")</f>
        <v>...</v>
      </c>
      <c r="E193" s="2"/>
      <c r="F193" s="3"/>
      <c r="G193" s="2"/>
      <c r="H193" s="4" t="str">
        <f>IF($H$9="Y","OR","...")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IF($I$9="Y",'Population Definitions'!$B$6,"...")</f>
        <v>...</v>
      </c>
      <c r="B194" s="4" t="str">
        <f>IF($I$9="Y","---&gt;","...")</f>
        <v>...</v>
      </c>
      <c r="C194" s="1" t="str">
        <f>IF($I$9="Y",'Population Definitions'!$B$9,"...")</f>
        <v>...</v>
      </c>
      <c r="E194" s="2"/>
      <c r="F194" s="3"/>
      <c r="G194" s="2"/>
      <c r="H194" s="4" t="str">
        <f>IF($I$9="Y","OR","...")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IF($J$9="Y",'Population Definitions'!$B$6,"...")</f>
        <v>...</v>
      </c>
      <c r="B195" s="4" t="str">
        <f>IF($J$9="Y","---&gt;","...")</f>
        <v>...</v>
      </c>
      <c r="C195" s="1" t="str">
        <f>IF($J$9="Y",'Population Definitions'!$B$10,"...")</f>
        <v>...</v>
      </c>
      <c r="E195" s="2"/>
      <c r="F195" s="3"/>
      <c r="G195" s="2"/>
      <c r="H195" s="4" t="str">
        <f>IF($J$9="Y","OR","...")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IF($K$9="Y",'Population Definitions'!$B$6,"...")</f>
        <v>...</v>
      </c>
      <c r="B196" s="4" t="str">
        <f>IF($K$9="Y","---&gt;","...")</f>
        <v>...</v>
      </c>
      <c r="C196" s="1" t="str">
        <f>IF($K$9="Y",'Population Definitions'!$B$11,"...")</f>
        <v>...</v>
      </c>
      <c r="E196" s="2"/>
      <c r="F196" s="3"/>
      <c r="G196" s="2"/>
      <c r="H196" s="4" t="str">
        <f>IF($K$9="Y","OR","...")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IF($L$9="Y",'Population Definitions'!$B$6,"...")</f>
        <v>...</v>
      </c>
      <c r="B197" s="4" t="str">
        <f>IF($L$9="Y","---&gt;","...")</f>
        <v>...</v>
      </c>
      <c r="C197" s="1" t="str">
        <f>IF($L$9="Y",'Population Definitions'!$B$12,"...")</f>
        <v>...</v>
      </c>
      <c r="E197" s="2"/>
      <c r="F197" s="3"/>
      <c r="G197" s="2"/>
      <c r="H197" s="4" t="str">
        <f>IF($L$9="Y","OR","...")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IF($M$9="Y",'Population Definitions'!$B$6,"...")</f>
        <v>...</v>
      </c>
      <c r="B198" s="4" t="str">
        <f>IF($M$9="Y","---&gt;","...")</f>
        <v>...</v>
      </c>
      <c r="C198" s="1" t="str">
        <f>IF($M$9="Y",'Population Definitions'!$B$13,"...")</f>
        <v>...</v>
      </c>
      <c r="E198" s="2"/>
      <c r="F198" s="3"/>
      <c r="G198" s="2"/>
      <c r="H198" s="4" t="str">
        <f>IF($M$9="Y","OR","...")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IF($N$9="Y",'Population Definitions'!$B$6,"...")</f>
        <v>...</v>
      </c>
      <c r="B199" s="4" t="str">
        <f>IF($N$9="Y","---&gt;","...")</f>
        <v>...</v>
      </c>
      <c r="C199" s="1" t="str">
        <f>IF($N$9="Y",'Population Definitions'!$B$14,"...")</f>
        <v>...</v>
      </c>
      <c r="E199" s="2"/>
      <c r="F199" s="3"/>
      <c r="G199" s="2"/>
      <c r="H199" s="4" t="str">
        <f>IF($N$9="Y","OR","...")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IF($O$9="Y",'Population Definitions'!$B$6,"...")</f>
        <v>...</v>
      </c>
      <c r="B200" s="4" t="str">
        <f>IF($O$9="Y","---&gt;","...")</f>
        <v>...</v>
      </c>
      <c r="C200" s="1" t="str">
        <f>IF($O$9="Y",'Population Definitions'!$B$15,"...")</f>
        <v>...</v>
      </c>
      <c r="E200" s="2"/>
      <c r="F200" s="3"/>
      <c r="G200" s="2"/>
      <c r="H200" s="4" t="str">
        <f>IF($O$9="Y","OR","...")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IF($P$9="Y",'Population Definitions'!$B$6,"...")</f>
        <v>...</v>
      </c>
      <c r="B201" s="4" t="str">
        <f>IF($P$9="Y","---&gt;","...")</f>
        <v>...</v>
      </c>
      <c r="C201" s="1" t="str">
        <f>IF($P$9="Y",'Population Definitions'!$B$16,"...")</f>
        <v>...</v>
      </c>
      <c r="E201" s="2"/>
      <c r="F201" s="3"/>
      <c r="G201" s="2"/>
      <c r="H201" s="4" t="str">
        <f>IF($P$9="Y","OR","...")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IF($Q$9="Y",'Population Definitions'!$B$6,"...")</f>
        <v>...</v>
      </c>
      <c r="B202" s="4" t="str">
        <f>IF($Q$9="Y","---&gt;","...")</f>
        <v>...</v>
      </c>
      <c r="C202" s="1" t="str">
        <f>IF($Q$9="Y",'Population Definitions'!$B$17,"...")</f>
        <v>...</v>
      </c>
      <c r="E202" s="2"/>
      <c r="F202" s="3"/>
      <c r="G202" s="2"/>
      <c r="H202" s="4" t="str">
        <f>IF($Q$9="Y","OR","...")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IF($R$9="Y",'Population Definitions'!$B$6,"...")</f>
        <v>...</v>
      </c>
      <c r="B203" s="4" t="str">
        <f>IF($R$9="Y","---&gt;","...")</f>
        <v>...</v>
      </c>
      <c r="C203" s="1" t="str">
        <f>IF($R$9="Y",'Population Definitions'!$B$18,"...")</f>
        <v>...</v>
      </c>
      <c r="E203" s="2"/>
      <c r="F203" s="3"/>
      <c r="G203" s="2"/>
      <c r="H203" s="4" t="str">
        <f>IF($R$9="Y","OR","...")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IF($S$9="Y",'Population Definitions'!$B$6,"...")</f>
        <v>...</v>
      </c>
      <c r="B204" s="4" t="str">
        <f>IF($S$9="Y","---&gt;","...")</f>
        <v>...</v>
      </c>
      <c r="C204" s="1" t="str">
        <f>IF($S$9="Y",'Population Definitions'!$B$19,"...")</f>
        <v>...</v>
      </c>
      <c r="E204" s="2"/>
      <c r="F204" s="3"/>
      <c r="G204" s="2"/>
      <c r="H204" s="4" t="str">
        <f>IF($S$9="Y","OR","...")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IF($T$9="Y",'Population Definitions'!$B$6,"...")</f>
        <v>...</v>
      </c>
      <c r="B205" s="4" t="str">
        <f>IF($T$9="Y","---&gt;","...")</f>
        <v>...</v>
      </c>
      <c r="C205" s="1" t="str">
        <f>IF($T$9="Y",'Population Definitions'!$B$20,"...")</f>
        <v>...</v>
      </c>
      <c r="E205" s="2"/>
      <c r="F205" s="3"/>
      <c r="G205" s="2"/>
      <c r="H205" s="4" t="str">
        <f>IF($T$9="Y","OR","...")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IF($U$9="Y",'Population Definitions'!$B$6,"...")</f>
        <v>...</v>
      </c>
      <c r="B206" s="4" t="str">
        <f>IF($U$9="Y","---&gt;","...")</f>
        <v>...</v>
      </c>
      <c r="C206" s="1" t="str">
        <f>IF($U$9="Y",'Population Definitions'!$B$21,"...")</f>
        <v>...</v>
      </c>
      <c r="E206" s="2"/>
      <c r="F206" s="3"/>
      <c r="G206" s="2"/>
      <c r="H206" s="4" t="str">
        <f>IF($U$9="Y","OR","...")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IF($V$9="Y",'Population Definitions'!$B$6,"...")</f>
        <v>...</v>
      </c>
      <c r="B207" s="4" t="str">
        <f>IF($V$9="Y","---&gt;","...")</f>
        <v>...</v>
      </c>
      <c r="C207" s="1" t="str">
        <f>IF($V$9="Y",'Population Definitions'!$B$22,"...")</f>
        <v>...</v>
      </c>
      <c r="E207" s="2"/>
      <c r="F207" s="3"/>
      <c r="G207" s="2"/>
      <c r="H207" s="4" t="str">
        <f>IF($V$9="Y","OR","...")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IF($W$9="Y",'Population Definitions'!$B$6,"...")</f>
        <v>...</v>
      </c>
      <c r="B208" s="4" t="str">
        <f>IF($W$9="Y","---&gt;","...")</f>
        <v>...</v>
      </c>
      <c r="C208" s="1" t="str">
        <f>IF($W$9="Y",'Population Definitions'!$B$23,"...")</f>
        <v>...</v>
      </c>
      <c r="E208" s="2"/>
      <c r="F208" s="3"/>
      <c r="G208" s="2"/>
      <c r="H208" s="4" t="str">
        <f>IF($W$9="Y","OR","...")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IF($X$9="Y",'Population Definitions'!$B$6,"...")</f>
        <v>...</v>
      </c>
      <c r="B209" s="4" t="str">
        <f>IF($X$9="Y","---&gt;","...")</f>
        <v>...</v>
      </c>
      <c r="C209" s="1" t="str">
        <f>IF($X$9="Y",'Population Definitions'!$B$24,"...")</f>
        <v>...</v>
      </c>
      <c r="E209" s="2"/>
      <c r="F209" s="3"/>
      <c r="G209" s="2"/>
      <c r="H209" s="4" t="str">
        <f>IF($X$9="Y","OR","...")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IF($Y$9="Y",'Population Definitions'!$B$6,"...")</f>
        <v>...</v>
      </c>
      <c r="B210" s="4" t="str">
        <f>IF($Y$9="Y","---&gt;","...")</f>
        <v>...</v>
      </c>
      <c r="C210" s="1" t="str">
        <f>IF($Y$9="Y",'Population Definitions'!$B$25,"...")</f>
        <v>...</v>
      </c>
      <c r="E210" s="2"/>
      <c r="F210" s="3"/>
      <c r="G210" s="2"/>
      <c r="H210" s="4" t="str">
        <f>IF($Y$9="Y","OR","...")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IF($Z$9="Y",'Population Definitions'!$B$6,"...")</f>
        <v>...</v>
      </c>
      <c r="B211" s="4" t="str">
        <f>IF($Z$9="Y","---&gt;","...")</f>
        <v>...</v>
      </c>
      <c r="C211" s="1" t="str">
        <f>IF($Z$9="Y",'Population Definitions'!$B$26,"...")</f>
        <v>...</v>
      </c>
      <c r="E211" s="2"/>
      <c r="F211" s="3"/>
      <c r="G211" s="2"/>
      <c r="H211" s="4" t="str">
        <f>IF($Z$9="Y","OR","...")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IF($AA$9="Y",'Population Definitions'!$B$6,"...")</f>
        <v>...</v>
      </c>
      <c r="B212" s="4" t="str">
        <f>IF($AA$9="Y","---&gt;","...")</f>
        <v>...</v>
      </c>
      <c r="C212" s="1" t="str">
        <f>IF($AA$9="Y",'Population Definitions'!$B$27,"...")</f>
        <v>...</v>
      </c>
      <c r="E212" s="2"/>
      <c r="F212" s="3"/>
      <c r="G212" s="2"/>
      <c r="H212" s="4" t="str">
        <f>IF($AA$9="Y","OR","...")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IF($AB$9="Y",'Population Definitions'!$B$6,"...")</f>
        <v>...</v>
      </c>
      <c r="B213" s="4" t="str">
        <f>IF($AB$9="Y","---&gt;","...")</f>
        <v>...</v>
      </c>
      <c r="C213" s="1" t="str">
        <f>IF($AB$9="Y",'Population Definitions'!$B$28,"...")</f>
        <v>...</v>
      </c>
      <c r="E213" s="2"/>
      <c r="F213" s="3"/>
      <c r="G213" s="2"/>
      <c r="H213" s="4" t="str">
        <f>IF($AB$9="Y","OR","...")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IF($AC$9="Y",'Population Definitions'!$B$6,"...")</f>
        <v>...</v>
      </c>
      <c r="B214" s="4" t="str">
        <f>IF($AC$9="Y","---&gt;","...")</f>
        <v>...</v>
      </c>
      <c r="C214" s="1" t="str">
        <f>IF($AC$9="Y",'Population Definitions'!$B$29,"...")</f>
        <v>...</v>
      </c>
      <c r="E214" s="2"/>
      <c r="F214" s="3"/>
      <c r="G214" s="2"/>
      <c r="H214" s="4" t="str">
        <f>IF($AC$9="Y","OR","...")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IF($AD$9="Y",'Population Definitions'!$B$6,"...")</f>
        <v>...</v>
      </c>
      <c r="B215" s="4" t="str">
        <f>IF($AD$9="Y","---&gt;","...")</f>
        <v>...</v>
      </c>
      <c r="C215" s="1" t="str">
        <f>IF($AD$9="Y",'Population Definitions'!$B$30,"...")</f>
        <v>...</v>
      </c>
      <c r="E215" s="2"/>
      <c r="F215" s="3"/>
      <c r="G215" s="2"/>
      <c r="H215" s="4" t="str">
        <f>IF($AD$9="Y","OR","...")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IF($AE$9="Y",'Population Definitions'!$B$6,"...")</f>
        <v>...</v>
      </c>
      <c r="B216" s="4" t="str">
        <f>IF($AE$9="Y","---&gt;","...")</f>
        <v>...</v>
      </c>
      <c r="C216" s="1" t="str">
        <f>IF($AE$9="Y",'Population Definitions'!$B$31,"...")</f>
        <v>...</v>
      </c>
      <c r="E216" s="2"/>
      <c r="F216" s="3"/>
      <c r="G216" s="2"/>
      <c r="H216" s="4" t="str">
        <f>IF($AE$9="Y","OR","...")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IF($AF$9="Y",'Population Definitions'!$B$6,"...")</f>
        <v>...</v>
      </c>
      <c r="B217" s="4" t="str">
        <f>IF($AF$9="Y","---&gt;","...")</f>
        <v>...</v>
      </c>
      <c r="C217" s="1" t="str">
        <f>IF($AF$9="Y",'Population Definitions'!$B$32,"...")</f>
        <v>...</v>
      </c>
      <c r="E217" s="2"/>
      <c r="F217" s="3"/>
      <c r="G217" s="2"/>
      <c r="H217" s="4" t="str">
        <f>IF($AF$9="Y","OR","...")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IF($AG$9="Y",'Population Definitions'!$B$6,"...")</f>
        <v>...</v>
      </c>
      <c r="B218" s="4" t="str">
        <f>IF($AG$9="Y","---&gt;","...")</f>
        <v>...</v>
      </c>
      <c r="C218" s="1" t="str">
        <f>IF($AG$9="Y",'Population Definitions'!$B$33,"...")</f>
        <v>...</v>
      </c>
      <c r="E218" s="2"/>
      <c r="F218" s="3"/>
      <c r="G218" s="2"/>
      <c r="H218" s="4" t="str">
        <f>IF($AG$9="Y","OR","...")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IF($AH$9="Y",'Population Definitions'!$B$6,"...")</f>
        <v>...</v>
      </c>
      <c r="B219" s="4" t="str">
        <f>IF($AH$9="Y","---&gt;","...")</f>
        <v>...</v>
      </c>
      <c r="C219" s="1" t="str">
        <f>IF($AH$9="Y",'Population Definitions'!$B$34,"...")</f>
        <v>...</v>
      </c>
      <c r="E219" s="2"/>
      <c r="F219" s="3"/>
      <c r="G219" s="2"/>
      <c r="H219" s="4" t="str">
        <f>IF($AH$9="Y","OR","...")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IF($AI$9="Y",'Population Definitions'!$B$6,"...")</f>
        <v>...</v>
      </c>
      <c r="B220" s="4" t="str">
        <f>IF($AI$9="Y","---&gt;","...")</f>
        <v>...</v>
      </c>
      <c r="C220" s="1" t="str">
        <f>IF($AI$9="Y",'Population Definitions'!$B$35,"...")</f>
        <v>...</v>
      </c>
      <c r="E220" s="2"/>
      <c r="F220" s="3"/>
      <c r="G220" s="2"/>
      <c r="H220" s="4" t="str">
        <f>IF($AI$9="Y","OR","...")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IF($AJ$9="Y",'Population Definitions'!$B$6,"...")</f>
        <v>...</v>
      </c>
      <c r="B221" s="4" t="str">
        <f>IF($AJ$9="Y","---&gt;","...")</f>
        <v>...</v>
      </c>
      <c r="C221" s="1" t="str">
        <f>IF($AJ$9="Y",'Population Definitions'!$B$36,"...")</f>
        <v>...</v>
      </c>
      <c r="E221" s="2"/>
      <c r="F221" s="3"/>
      <c r="G221" s="2"/>
      <c r="H221" s="4" t="str">
        <f>IF($AJ$9="Y","OR","...")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IF($AK$9="Y",'Population Definitions'!$B$6,"...")</f>
        <v>...</v>
      </c>
      <c r="B222" s="4" t="str">
        <f>IF($AK$9="Y","---&gt;","...")</f>
        <v>...</v>
      </c>
      <c r="C222" s="1" t="str">
        <f>IF($AK$9="Y",'Population Definitions'!$B$37,"...")</f>
        <v>...</v>
      </c>
      <c r="E222" s="2"/>
      <c r="F222" s="3"/>
      <c r="G222" s="2"/>
      <c r="H222" s="4" t="str">
        <f>IF($AK$9="Y","OR","...")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IF($B$10="Y",'Population Definitions'!$B$7,"...")</f>
        <v>...</v>
      </c>
      <c r="B223" s="4" t="str">
        <f>IF($B$10="Y","---&gt;","...")</f>
        <v>...</v>
      </c>
      <c r="C223" s="1" t="str">
        <f>IF($B$10="Y",'Population Definitions'!$B$2,"...")</f>
        <v>...</v>
      </c>
      <c r="E223" s="2"/>
      <c r="F223" s="3"/>
      <c r="G223" s="2"/>
      <c r="H223" s="4" t="str">
        <f>IF($B$10="Y","OR","...")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IF($C$10="Y",'Population Definitions'!$B$7,"...")</f>
        <v>...</v>
      </c>
      <c r="B224" s="4" t="str">
        <f>IF($C$10="Y","---&gt;","...")</f>
        <v>...</v>
      </c>
      <c r="C224" s="1" t="str">
        <f>IF($C$10="Y",'Population Definitions'!$B$3,"...")</f>
        <v>...</v>
      </c>
      <c r="E224" s="2"/>
      <c r="F224" s="3"/>
      <c r="G224" s="2"/>
      <c r="H224" s="4" t="str">
        <f>IF($C$10="Y","OR","...")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IF($D$10="Y",'Population Definitions'!$B$7,"...")</f>
        <v>...</v>
      </c>
      <c r="B225" s="4" t="str">
        <f>IF($D$10="Y","---&gt;","...")</f>
        <v>...</v>
      </c>
      <c r="C225" s="1" t="str">
        <f>IF($D$10="Y",'Population Definitions'!$B$4,"...")</f>
        <v>...</v>
      </c>
      <c r="E225" s="2"/>
      <c r="F225" s="3"/>
      <c r="G225" s="2"/>
      <c r="H225" s="4" t="str">
        <f>IF($D$10="Y","OR","...")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IF($E$10="Y",'Population Definitions'!$B$7,"...")</f>
        <v>...</v>
      </c>
      <c r="B226" s="4" t="str">
        <f>IF($E$10="Y","---&gt;","...")</f>
        <v>...</v>
      </c>
      <c r="C226" s="1" t="str">
        <f>IF($E$10="Y",'Population Definitions'!$B$5,"...")</f>
        <v>...</v>
      </c>
      <c r="E226" s="2"/>
      <c r="F226" s="3"/>
      <c r="G226" s="2"/>
      <c r="H226" s="4" t="str">
        <f>IF($E$10="Y","OR","...")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IF($F$10="Y",'Population Definitions'!$B$7,"...")</f>
        <v>...</v>
      </c>
      <c r="B227" s="4" t="str">
        <f>IF($F$10="Y","---&gt;","...")</f>
        <v>...</v>
      </c>
      <c r="C227" s="1" t="str">
        <f>IF($F$10="Y",'Population Definitions'!$B$6,"...")</f>
        <v>...</v>
      </c>
      <c r="E227" s="2"/>
      <c r="F227" s="3"/>
      <c r="G227" s="2"/>
      <c r="H227" s="4" t="str">
        <f>IF($F$10="Y","OR","...")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IF($G$10="Y",'Population Definitions'!$B$7,"...")</f>
        <v>...</v>
      </c>
      <c r="B228" s="4" t="str">
        <f>IF($G$10="Y","---&gt;","...")</f>
        <v>...</v>
      </c>
      <c r="C228" s="1" t="str">
        <f>IF($G$10="Y",'Population Definitions'!$B$7,"...")</f>
        <v>...</v>
      </c>
      <c r="E228" s="2"/>
      <c r="F228" s="3"/>
      <c r="G228" s="2"/>
      <c r="H228" s="4" t="str">
        <f>IF($G$10="Y","OR","...")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IF($H$10="Y",'Population Definitions'!$B$7,"...")</f>
        <v>...</v>
      </c>
      <c r="B229" s="4" t="str">
        <f>IF($H$10="Y","---&gt;","...")</f>
        <v>...</v>
      </c>
      <c r="C229" s="1" t="str">
        <f>IF($H$10="Y",'Population Definitions'!$B$8,"...")</f>
        <v>...</v>
      </c>
      <c r="E229" s="2"/>
      <c r="F229" s="3"/>
      <c r="G229" s="2"/>
      <c r="H229" s="4" t="str">
        <f>IF($H$10="Y","OR","...")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IF($I$10="Y",'Population Definitions'!$B$7,"...")</f>
        <v>...</v>
      </c>
      <c r="B230" s="4" t="str">
        <f>IF($I$10="Y","---&gt;","...")</f>
        <v>...</v>
      </c>
      <c r="C230" s="1" t="str">
        <f>IF($I$10="Y",'Population Definitions'!$B$9,"...")</f>
        <v>...</v>
      </c>
      <c r="E230" s="2"/>
      <c r="F230" s="3"/>
      <c r="G230" s="2"/>
      <c r="H230" s="4" t="str">
        <f>IF($I$10="Y","OR","...")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IF($J$10="Y",'Population Definitions'!$B$7,"...")</f>
        <v>...</v>
      </c>
      <c r="B231" s="4" t="str">
        <f>IF($J$10="Y","---&gt;","...")</f>
        <v>...</v>
      </c>
      <c r="C231" s="1" t="str">
        <f>IF($J$10="Y",'Population Definitions'!$B$10,"...")</f>
        <v>...</v>
      </c>
      <c r="E231" s="2"/>
      <c r="F231" s="3"/>
      <c r="G231" s="2"/>
      <c r="H231" s="4" t="str">
        <f>IF($J$10="Y","OR","...")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IF($K$10="Y",'Population Definitions'!$B$7,"...")</f>
        <v>...</v>
      </c>
      <c r="B232" s="4" t="str">
        <f>IF($K$10="Y","---&gt;","...")</f>
        <v>...</v>
      </c>
      <c r="C232" s="1" t="str">
        <f>IF($K$10="Y",'Population Definitions'!$B$11,"...")</f>
        <v>...</v>
      </c>
      <c r="E232" s="2"/>
      <c r="F232" s="3"/>
      <c r="G232" s="2"/>
      <c r="H232" s="4" t="str">
        <f>IF($K$10="Y","OR","...")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IF($L$10="Y",'Population Definitions'!$B$7,"...")</f>
        <v>...</v>
      </c>
      <c r="B233" s="4" t="str">
        <f>IF($L$10="Y","---&gt;","...")</f>
        <v>...</v>
      </c>
      <c r="C233" s="1" t="str">
        <f>IF($L$10="Y",'Population Definitions'!$B$12,"...")</f>
        <v>...</v>
      </c>
      <c r="E233" s="2"/>
      <c r="F233" s="3"/>
      <c r="G233" s="2"/>
      <c r="H233" s="4" t="str">
        <f>IF($L$10="Y","OR","...")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IF($M$10="Y",'Population Definitions'!$B$7,"...")</f>
        <v>...</v>
      </c>
      <c r="B234" s="4" t="str">
        <f>IF($M$10="Y","---&gt;","...")</f>
        <v>...</v>
      </c>
      <c r="C234" s="1" t="str">
        <f>IF($M$10="Y",'Population Definitions'!$B$13,"...")</f>
        <v>...</v>
      </c>
      <c r="E234" s="2"/>
      <c r="F234" s="3"/>
      <c r="G234" s="2"/>
      <c r="H234" s="4" t="str">
        <f>IF($M$10="Y","OR","...")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IF($N$10="Y",'Population Definitions'!$B$7,"...")</f>
        <v>...</v>
      </c>
      <c r="B235" s="4" t="str">
        <f>IF($N$10="Y","---&gt;","...")</f>
        <v>...</v>
      </c>
      <c r="C235" s="1" t="str">
        <f>IF($N$10="Y",'Population Definitions'!$B$14,"...")</f>
        <v>...</v>
      </c>
      <c r="E235" s="2"/>
      <c r="F235" s="3"/>
      <c r="G235" s="2"/>
      <c r="H235" s="4" t="str">
        <f>IF($N$10="Y","OR","...")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IF($O$10="Y",'Population Definitions'!$B$7,"...")</f>
        <v>...</v>
      </c>
      <c r="B236" s="4" t="str">
        <f>IF($O$10="Y","---&gt;","...")</f>
        <v>...</v>
      </c>
      <c r="C236" s="1" t="str">
        <f>IF($O$10="Y",'Population Definitions'!$B$15,"...")</f>
        <v>...</v>
      </c>
      <c r="E236" s="2"/>
      <c r="F236" s="3"/>
      <c r="G236" s="2"/>
      <c r="H236" s="4" t="str">
        <f>IF($O$10="Y","OR","...")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IF($P$10="Y",'Population Definitions'!$B$7,"...")</f>
        <v>...</v>
      </c>
      <c r="B237" s="4" t="str">
        <f>IF($P$10="Y","---&gt;","...")</f>
        <v>...</v>
      </c>
      <c r="C237" s="1" t="str">
        <f>IF($P$10="Y",'Population Definitions'!$B$16,"...")</f>
        <v>...</v>
      </c>
      <c r="E237" s="2"/>
      <c r="F237" s="3"/>
      <c r="G237" s="2"/>
      <c r="H237" s="4" t="str">
        <f>IF($P$10="Y","OR","...")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IF($Q$10="Y",'Population Definitions'!$B$7,"...")</f>
        <v>...</v>
      </c>
      <c r="B238" s="4" t="str">
        <f>IF($Q$10="Y","---&gt;","...")</f>
        <v>...</v>
      </c>
      <c r="C238" s="1" t="str">
        <f>IF($Q$10="Y",'Population Definitions'!$B$17,"...")</f>
        <v>...</v>
      </c>
      <c r="E238" s="2"/>
      <c r="F238" s="3"/>
      <c r="G238" s="2"/>
      <c r="H238" s="4" t="str">
        <f>IF($Q$10="Y","OR","...")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IF($R$10="Y",'Population Definitions'!$B$7,"...")</f>
        <v>...</v>
      </c>
      <c r="B239" s="4" t="str">
        <f>IF($R$10="Y","---&gt;","...")</f>
        <v>...</v>
      </c>
      <c r="C239" s="1" t="str">
        <f>IF($R$10="Y",'Population Definitions'!$B$18,"...")</f>
        <v>...</v>
      </c>
      <c r="E239" s="2"/>
      <c r="F239" s="3"/>
      <c r="G239" s="2"/>
      <c r="H239" s="4" t="str">
        <f>IF($R$10="Y","OR","...")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IF($S$10="Y",'Population Definitions'!$B$7,"...")</f>
        <v>...</v>
      </c>
      <c r="B240" s="4" t="str">
        <f>IF($S$10="Y","---&gt;","...")</f>
        <v>...</v>
      </c>
      <c r="C240" s="1" t="str">
        <f>IF($S$10="Y",'Population Definitions'!$B$19,"...")</f>
        <v>...</v>
      </c>
      <c r="E240" s="2"/>
      <c r="F240" s="3"/>
      <c r="G240" s="2"/>
      <c r="H240" s="4" t="str">
        <f>IF($S$10="Y","OR","...")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IF($T$10="Y",'Population Definitions'!$B$7,"...")</f>
        <v>...</v>
      </c>
      <c r="B241" s="4" t="str">
        <f>IF($T$10="Y","---&gt;","...")</f>
        <v>...</v>
      </c>
      <c r="C241" s="1" t="str">
        <f>IF($T$10="Y",'Population Definitions'!$B$20,"...")</f>
        <v>...</v>
      </c>
      <c r="E241" s="2"/>
      <c r="F241" s="3"/>
      <c r="G241" s="2"/>
      <c r="H241" s="4" t="str">
        <f>IF($T$10="Y","OR","...")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IF($U$10="Y",'Population Definitions'!$B$7,"...")</f>
        <v>...</v>
      </c>
      <c r="B242" s="4" t="str">
        <f>IF($U$10="Y","---&gt;","...")</f>
        <v>...</v>
      </c>
      <c r="C242" s="1" t="str">
        <f>IF($U$10="Y",'Population Definitions'!$B$21,"...")</f>
        <v>...</v>
      </c>
      <c r="E242" s="2"/>
      <c r="F242" s="3"/>
      <c r="G242" s="2"/>
      <c r="H242" s="4" t="str">
        <f>IF($U$10="Y","OR","...")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IF($V$10="Y",'Population Definitions'!$B$7,"...")</f>
        <v>...</v>
      </c>
      <c r="B243" s="4" t="str">
        <f>IF($V$10="Y","---&gt;","...")</f>
        <v>...</v>
      </c>
      <c r="C243" s="1" t="str">
        <f>IF($V$10="Y",'Population Definitions'!$B$22,"...")</f>
        <v>...</v>
      </c>
      <c r="E243" s="2"/>
      <c r="F243" s="3"/>
      <c r="G243" s="2"/>
      <c r="H243" s="4" t="str">
        <f>IF($V$10="Y","OR","...")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IF($W$10="Y",'Population Definitions'!$B$7,"...")</f>
        <v>...</v>
      </c>
      <c r="B244" s="4" t="str">
        <f>IF($W$10="Y","---&gt;","...")</f>
        <v>...</v>
      </c>
      <c r="C244" s="1" t="str">
        <f>IF($W$10="Y",'Population Definitions'!$B$23,"...")</f>
        <v>...</v>
      </c>
      <c r="E244" s="2"/>
      <c r="F244" s="3"/>
      <c r="G244" s="2"/>
      <c r="H244" s="4" t="str">
        <f>IF($W$10="Y","OR","...")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IF($X$10="Y",'Population Definitions'!$B$7,"...")</f>
        <v>...</v>
      </c>
      <c r="B245" s="4" t="str">
        <f>IF($X$10="Y","---&gt;","...")</f>
        <v>...</v>
      </c>
      <c r="C245" s="1" t="str">
        <f>IF($X$10="Y",'Population Definitions'!$B$24,"...")</f>
        <v>...</v>
      </c>
      <c r="E245" s="2"/>
      <c r="F245" s="3"/>
      <c r="G245" s="2"/>
      <c r="H245" s="4" t="str">
        <f>IF($X$10="Y","OR","...")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IF($Y$10="Y",'Population Definitions'!$B$7,"...")</f>
        <v>...</v>
      </c>
      <c r="B246" s="4" t="str">
        <f>IF($Y$10="Y","---&gt;","...")</f>
        <v>...</v>
      </c>
      <c r="C246" s="1" t="str">
        <f>IF($Y$10="Y",'Population Definitions'!$B$25,"...")</f>
        <v>...</v>
      </c>
      <c r="E246" s="2"/>
      <c r="F246" s="3"/>
      <c r="G246" s="2"/>
      <c r="H246" s="4" t="str">
        <f>IF($Y$10="Y","OR","...")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IF($Z$10="Y",'Population Definitions'!$B$7,"...")</f>
        <v>...</v>
      </c>
      <c r="B247" s="4" t="str">
        <f>IF($Z$10="Y","---&gt;","...")</f>
        <v>...</v>
      </c>
      <c r="C247" s="1" t="str">
        <f>IF($Z$10="Y",'Population Definitions'!$B$26,"...")</f>
        <v>...</v>
      </c>
      <c r="E247" s="2"/>
      <c r="F247" s="3"/>
      <c r="G247" s="2"/>
      <c r="H247" s="4" t="str">
        <f>IF($Z$10="Y","OR","...")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IF($AA$10="Y",'Population Definitions'!$B$7,"...")</f>
        <v>...</v>
      </c>
      <c r="B248" s="4" t="str">
        <f>IF($AA$10="Y","---&gt;","...")</f>
        <v>...</v>
      </c>
      <c r="C248" s="1" t="str">
        <f>IF($AA$10="Y",'Population Definitions'!$B$27,"...")</f>
        <v>...</v>
      </c>
      <c r="E248" s="2"/>
      <c r="F248" s="3"/>
      <c r="G248" s="2"/>
      <c r="H248" s="4" t="str">
        <f>IF($AA$10="Y","OR","...")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IF($AB$10="Y",'Population Definitions'!$B$7,"...")</f>
        <v>...</v>
      </c>
      <c r="B249" s="4" t="str">
        <f>IF($AB$10="Y","---&gt;","...")</f>
        <v>...</v>
      </c>
      <c r="C249" s="1" t="str">
        <f>IF($AB$10="Y",'Population Definitions'!$B$28,"...")</f>
        <v>...</v>
      </c>
      <c r="E249" s="2"/>
      <c r="F249" s="3"/>
      <c r="G249" s="2"/>
      <c r="H249" s="4" t="str">
        <f>IF($AB$10="Y","OR","...")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IF($AC$10="Y",'Population Definitions'!$B$7,"...")</f>
        <v>...</v>
      </c>
      <c r="B250" s="4" t="str">
        <f>IF($AC$10="Y","---&gt;","...")</f>
        <v>...</v>
      </c>
      <c r="C250" s="1" t="str">
        <f>IF($AC$10="Y",'Population Definitions'!$B$29,"...")</f>
        <v>...</v>
      </c>
      <c r="E250" s="2"/>
      <c r="F250" s="3"/>
      <c r="G250" s="2"/>
      <c r="H250" s="4" t="str">
        <f>IF($AC$10="Y","OR","...")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IF($AD$10="Y",'Population Definitions'!$B$7,"...")</f>
        <v>...</v>
      </c>
      <c r="B251" s="4" t="str">
        <f>IF($AD$10="Y","---&gt;","...")</f>
        <v>...</v>
      </c>
      <c r="C251" s="1" t="str">
        <f>IF($AD$10="Y",'Population Definitions'!$B$30,"...")</f>
        <v>...</v>
      </c>
      <c r="E251" s="2"/>
      <c r="F251" s="3"/>
      <c r="G251" s="2"/>
      <c r="H251" s="4" t="str">
        <f>IF($AD$10="Y","OR","...")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IF($AE$10="Y",'Population Definitions'!$B$7,"...")</f>
        <v>...</v>
      </c>
      <c r="B252" s="4" t="str">
        <f>IF($AE$10="Y","---&gt;","...")</f>
        <v>...</v>
      </c>
      <c r="C252" s="1" t="str">
        <f>IF($AE$10="Y",'Population Definitions'!$B$31,"...")</f>
        <v>...</v>
      </c>
      <c r="E252" s="2"/>
      <c r="F252" s="3"/>
      <c r="G252" s="2"/>
      <c r="H252" s="4" t="str">
        <f>IF($AE$10="Y","OR","...")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IF($AF$10="Y",'Population Definitions'!$B$7,"...")</f>
        <v>...</v>
      </c>
      <c r="B253" s="4" t="str">
        <f>IF($AF$10="Y","---&gt;","...")</f>
        <v>...</v>
      </c>
      <c r="C253" s="1" t="str">
        <f>IF($AF$10="Y",'Population Definitions'!$B$32,"...")</f>
        <v>...</v>
      </c>
      <c r="E253" s="2"/>
      <c r="F253" s="3"/>
      <c r="G253" s="2"/>
      <c r="H253" s="4" t="str">
        <f>IF($AF$10="Y","OR","...")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IF($AG$10="Y",'Population Definitions'!$B$7,"...")</f>
        <v>...</v>
      </c>
      <c r="B254" s="4" t="str">
        <f>IF($AG$10="Y","---&gt;","...")</f>
        <v>...</v>
      </c>
      <c r="C254" s="1" t="str">
        <f>IF($AG$10="Y",'Population Definitions'!$B$33,"...")</f>
        <v>...</v>
      </c>
      <c r="E254" s="2"/>
      <c r="F254" s="3"/>
      <c r="G254" s="2"/>
      <c r="H254" s="4" t="str">
        <f>IF($AG$10="Y","OR","...")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IF($AH$10="Y",'Population Definitions'!$B$7,"...")</f>
        <v>...</v>
      </c>
      <c r="B255" s="4" t="str">
        <f>IF($AH$10="Y","---&gt;","...")</f>
        <v>...</v>
      </c>
      <c r="C255" s="1" t="str">
        <f>IF($AH$10="Y",'Population Definitions'!$B$34,"...")</f>
        <v>...</v>
      </c>
      <c r="E255" s="2"/>
      <c r="F255" s="3"/>
      <c r="G255" s="2"/>
      <c r="H255" s="4" t="str">
        <f>IF($AH$10="Y","OR","...")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IF($AI$10="Y",'Population Definitions'!$B$7,"...")</f>
        <v>...</v>
      </c>
      <c r="B256" s="4" t="str">
        <f>IF($AI$10="Y","---&gt;","...")</f>
        <v>...</v>
      </c>
      <c r="C256" s="1" t="str">
        <f>IF($AI$10="Y",'Population Definitions'!$B$35,"...")</f>
        <v>...</v>
      </c>
      <c r="E256" s="2"/>
      <c r="F256" s="3"/>
      <c r="G256" s="2"/>
      <c r="H256" s="4" t="str">
        <f>IF($AI$10="Y","OR","...")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IF($AJ$10="Y",'Population Definitions'!$B$7,"...")</f>
        <v>...</v>
      </c>
      <c r="B257" s="4" t="str">
        <f>IF($AJ$10="Y","---&gt;","...")</f>
        <v>...</v>
      </c>
      <c r="C257" s="1" t="str">
        <f>IF($AJ$10="Y",'Population Definitions'!$B$36,"...")</f>
        <v>...</v>
      </c>
      <c r="E257" s="2"/>
      <c r="F257" s="3"/>
      <c r="G257" s="2"/>
      <c r="H257" s="4" t="str">
        <f>IF($AJ$10="Y","OR","...")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IF($AK$10="Y",'Population Definitions'!$B$7,"...")</f>
        <v>...</v>
      </c>
      <c r="B258" s="4" t="str">
        <f>IF($AK$10="Y","---&gt;","...")</f>
        <v>...</v>
      </c>
      <c r="C258" s="1" t="str">
        <f>IF($AK$10="Y",'Population Definitions'!$B$37,"...")</f>
        <v>...</v>
      </c>
      <c r="E258" s="2"/>
      <c r="F258" s="3"/>
      <c r="G258" s="2"/>
      <c r="H258" s="4" t="str">
        <f>IF($AK$10="Y","OR","...")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IF($B$11="Y",'Population Definitions'!$B$8,"...")</f>
        <v>...</v>
      </c>
      <c r="B259" s="4" t="str">
        <f>IF($B$11="Y","---&gt;","...")</f>
        <v>...</v>
      </c>
      <c r="C259" s="1" t="str">
        <f>IF($B$11="Y",'Population Definitions'!$B$2,"...")</f>
        <v>...</v>
      </c>
      <c r="E259" s="2"/>
      <c r="F259" s="3"/>
      <c r="G259" s="2"/>
      <c r="H259" s="4" t="str">
        <f>IF($B$11="Y","OR","...")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IF($C$11="Y",'Population Definitions'!$B$8,"...")</f>
        <v>...</v>
      </c>
      <c r="B260" s="4" t="str">
        <f>IF($C$11="Y","---&gt;","...")</f>
        <v>...</v>
      </c>
      <c r="C260" s="1" t="str">
        <f>IF($C$11="Y",'Population Definitions'!$B$3,"...")</f>
        <v>...</v>
      </c>
      <c r="E260" s="2"/>
      <c r="F260" s="3"/>
      <c r="G260" s="2"/>
      <c r="H260" s="4" t="str">
        <f>IF($C$11="Y","OR","...")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IF($D$11="Y",'Population Definitions'!$B$8,"...")</f>
        <v>...</v>
      </c>
      <c r="B261" s="4" t="str">
        <f>IF($D$11="Y","---&gt;","...")</f>
        <v>...</v>
      </c>
      <c r="C261" s="1" t="str">
        <f>IF($D$11="Y",'Population Definitions'!$B$4,"...")</f>
        <v>...</v>
      </c>
      <c r="E261" s="2"/>
      <c r="F261" s="3"/>
      <c r="G261" s="2"/>
      <c r="H261" s="4" t="str">
        <f>IF($D$11="Y","OR","...")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IF($E$11="Y",'Population Definitions'!$B$8,"...")</f>
        <v>...</v>
      </c>
      <c r="B262" s="4" t="str">
        <f>IF($E$11="Y","---&gt;","...")</f>
        <v>...</v>
      </c>
      <c r="C262" s="1" t="str">
        <f>IF($E$11="Y",'Population Definitions'!$B$5,"...")</f>
        <v>...</v>
      </c>
      <c r="E262" s="2"/>
      <c r="F262" s="3"/>
      <c r="G262" s="2"/>
      <c r="H262" s="4" t="str">
        <f>IF($E$11="Y","OR","...")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IF($F$11="Y",'Population Definitions'!$B$8,"...")</f>
        <v>...</v>
      </c>
      <c r="B263" s="4" t="str">
        <f>IF($F$11="Y","---&gt;","...")</f>
        <v>...</v>
      </c>
      <c r="C263" s="1" t="str">
        <f>IF($F$11="Y",'Population Definitions'!$B$6,"...")</f>
        <v>...</v>
      </c>
      <c r="E263" s="2"/>
      <c r="F263" s="3"/>
      <c r="G263" s="2"/>
      <c r="H263" s="4" t="str">
        <f>IF($F$11="Y","OR","...")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IF($G$11="Y",'Population Definitions'!$B$8,"...")</f>
        <v>...</v>
      </c>
      <c r="B264" s="4" t="str">
        <f>IF($G$11="Y","---&gt;","...")</f>
        <v>...</v>
      </c>
      <c r="C264" s="1" t="str">
        <f>IF($G$11="Y",'Population Definitions'!$B$7,"...")</f>
        <v>...</v>
      </c>
      <c r="E264" s="2"/>
      <c r="F264" s="3"/>
      <c r="G264" s="2"/>
      <c r="H264" s="4" t="str">
        <f>IF($G$11="Y","OR","...")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IF($H$11="Y",'Population Definitions'!$B$8,"...")</f>
        <v>...</v>
      </c>
      <c r="B265" s="4" t="str">
        <f>IF($H$11="Y","---&gt;","...")</f>
        <v>...</v>
      </c>
      <c r="C265" s="1" t="str">
        <f>IF($H$11="Y",'Population Definitions'!$B$8,"...")</f>
        <v>...</v>
      </c>
      <c r="E265" s="2"/>
      <c r="F265" s="3"/>
      <c r="G265" s="2"/>
      <c r="H265" s="4" t="str">
        <f>IF($H$11="Y","OR","...")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IF($I$11="Y",'Population Definitions'!$B$8,"...")</f>
        <v>0-4F_aus</v>
      </c>
      <c r="B266" s="4" t="str">
        <f>IF($I$11="Y","---&gt;","...")</f>
        <v>---&gt;</v>
      </c>
      <c r="C266" s="1" t="str">
        <f>IF($I$11="Y",'Population Definitions'!$B$9,"...")</f>
        <v>5-14F_aus</v>
      </c>
      <c r="E266" s="3" t="s">
        <v>63</v>
      </c>
      <c r="F266" s="3"/>
      <c r="G266" s="3"/>
      <c r="H266" s="4" t="str">
        <f>IF($I$11="Y","OR","...")</f>
        <v>OR</v>
      </c>
      <c r="I266" s="3">
        <v>0.205620929470408</v>
      </c>
      <c r="J266" s="3">
        <v>0.202223220704529</v>
      </c>
      <c r="K266" s="3">
        <v>0.200468802123627</v>
      </c>
      <c r="L266" s="3">
        <v>0.196310258267888</v>
      </c>
      <c r="M266" s="3">
        <v>0.193799497678192</v>
      </c>
      <c r="N266" s="3">
        <v>0.197419467254772</v>
      </c>
      <c r="O266" s="3">
        <v>0.199528385909257</v>
      </c>
      <c r="P266" s="3">
        <v>0.201696135421713</v>
      </c>
      <c r="Q266" s="3">
        <v>0.201103736942695</v>
      </c>
      <c r="R266" s="3">
        <v>0.20263901202667</v>
      </c>
      <c r="S266" s="3">
        <v>0.199480846634395</v>
      </c>
      <c r="T266" s="3">
        <v>0.197153378828901</v>
      </c>
      <c r="U266" s="3">
        <v>0.197354895744909</v>
      </c>
      <c r="V266" s="3">
        <v>0.197489266974082</v>
      </c>
      <c r="W266" s="3">
        <v>0.201241627806378</v>
      </c>
      <c r="X266" s="3">
        <v>0.202812590596499</v>
      </c>
      <c r="Y266" s="3">
        <v>0.201122249843734</v>
      </c>
      <c r="Z266" s="3">
        <v>0.202897259314892</v>
      </c>
      <c r="AA266" s="3">
        <v>0.204207984134092</v>
      </c>
      <c r="AB266" s="3">
        <v>0.206419412302804</v>
      </c>
      <c r="AC266" s="3">
        <v>0.204192700485248</v>
      </c>
      <c r="AD266" s="3">
        <v>0.203732646721407</v>
      </c>
      <c r="AE266" s="3">
        <v>0.201740075249119</v>
      </c>
      <c r="AF266" s="3">
        <v>0.20341298583716</v>
      </c>
      <c r="AG266" s="3">
        <v>0.204530980775012</v>
      </c>
      <c r="AH266" s="3">
        <v>0.203154968012666</v>
      </c>
      <c r="AI266" s="3">
        <v>0.198905856698017</v>
      </c>
      <c r="AJ266" s="3">
        <v>0.19413190450119</v>
      </c>
      <c r="AK266" s="3">
        <v>0.191104584887068</v>
      </c>
      <c r="AL266" s="3">
        <v>0.190591237035382</v>
      </c>
      <c r="AM266" s="3">
        <v>0.195762268790007</v>
      </c>
      <c r="AN266" s="3">
        <v>0.197357054173766</v>
      </c>
      <c r="AO266" s="3">
        <v>0.199118036807117</v>
      </c>
      <c r="AP266" s="3">
        <v>0.198391175062539</v>
      </c>
      <c r="AQ266" s="3">
        <v>0.200696326292316</v>
      </c>
      <c r="AR266" s="3">
        <v>0.199697165826858</v>
      </c>
      <c r="AS266" s="3">
        <v>0.199849033540412</v>
      </c>
      <c r="AT266" s="3">
        <v>0.203111486212834</v>
      </c>
      <c r="AU266" s="3">
        <v>0.203555899578616</v>
      </c>
      <c r="AV266" s="3">
        <v>0.204723897997951</v>
      </c>
      <c r="AW266" s="3">
        <v>0.20984928263363</v>
      </c>
      <c r="AX266" s="3">
        <v>0.20585675663141</v>
      </c>
      <c r="AY266" s="3">
        <v>0.202119302861616</v>
      </c>
      <c r="AZ266" s="3">
        <v>0.201903877096251</v>
      </c>
      <c r="BA266" s="3">
        <v>0.199526963609089</v>
      </c>
      <c r="BB266" s="3">
        <v>0.201718637971456</v>
      </c>
      <c r="BC266" s="3">
        <v>0.206860689047916</v>
      </c>
      <c r="BD266" s="3">
        <v>0.202148563711798</v>
      </c>
      <c r="BE266" s="3">
        <v>0.202774285166801</v>
      </c>
      <c r="BF266" s="3">
        <v>0.202849589871379</v>
      </c>
      <c r="BG266" s="3">
        <v>0.202689763968262</v>
      </c>
      <c r="BH266" s="3">
        <v>0.202289174765346</v>
      </c>
      <c r="BI266" s="3">
        <v>0.201932224773014</v>
      </c>
      <c r="BJ266" s="3">
        <v>0.201732639831419</v>
      </c>
      <c r="BK266" s="3">
        <v>0.201466115433878</v>
      </c>
      <c r="BL266" s="3">
        <v>0.201143995106611</v>
      </c>
      <c r="BM266" s="3">
        <v>0.200760192194771</v>
      </c>
      <c r="BN266" s="3">
        <v>0.200358330879727</v>
      </c>
      <c r="BO266" s="3">
        <v>0.200019626817189</v>
      </c>
      <c r="BP266" s="3">
        <v>0.199780640745674</v>
      </c>
      <c r="BQ266" s="3">
        <v>0.199658272262611</v>
      </c>
      <c r="BR266" s="3">
        <v>0.199657049221533</v>
      </c>
      <c r="BS266" s="3">
        <v>0.199787261567652</v>
      </c>
      <c r="BT266" s="3">
        <v>0.200047765081349</v>
      </c>
      <c r="BU266" s="3">
        <v>0.200395655107655</v>
      </c>
      <c r="BV266" s="3">
        <v>0.20080259606885</v>
      </c>
      <c r="BW266" s="3">
        <v>0.201224191783826</v>
      </c>
      <c r="BX266" s="3">
        <v>0.201623366441057</v>
      </c>
      <c r="BY266" s="3">
        <v>0.201984040607068</v>
      </c>
      <c r="BZ266" s="3">
        <v>0.202302190846678</v>
      </c>
      <c r="CA266" s="3">
        <v>0.202555230543779</v>
      </c>
      <c r="CB266" s="3">
        <v>0.202742164668059</v>
      </c>
      <c r="CC266" s="3">
        <v>0.202865356541786</v>
      </c>
      <c r="CD266" s="3">
        <v>0.202927420254006</v>
      </c>
      <c r="CE266" s="3">
        <v>0.202932025208434</v>
      </c>
      <c r="CF266" s="3">
        <v>0.202887956557862</v>
      </c>
      <c r="CG266" s="3">
        <v>0.202812089808037</v>
      </c>
      <c r="CH266" s="3">
        <v>0.202713812023119</v>
      </c>
      <c r="CI266" s="3">
        <v>0.202616523679734</v>
      </c>
      <c r="CJ266" s="3">
        <v>0.202512517505105</v>
      </c>
      <c r="CK266" s="3">
        <v>0.202404127088632</v>
      </c>
      <c r="CL266" s="3">
        <v>0.202290978604046</v>
      </c>
      <c r="CM266" s="3">
        <v>0.202165913558442</v>
      </c>
      <c r="CN266" s="3">
        <v>0.202031586122544</v>
      </c>
      <c r="CO266" s="3">
        <v>0.201903280877605</v>
      </c>
      <c r="CP266" s="3">
        <v>0.201770974878435</v>
      </c>
      <c r="CQ266" s="3">
        <v>0.201644456030549</v>
      </c>
      <c r="CR266" s="3">
        <v>0.201523573488573</v>
      </c>
      <c r="CS266" s="3">
        <v>0.201415282251934</v>
      </c>
      <c r="CT266" s="3">
        <v>0.201320215874629</v>
      </c>
      <c r="CU266" s="3">
        <v>0.201244692351598</v>
      </c>
      <c r="CV266" s="3">
        <v>0.201195783887567</v>
      </c>
    </row>
    <row r="267" spans="1:100">
      <c r="A267" s="1" t="str">
        <f>IF($J$11="Y",'Population Definitions'!$B$8,"...")</f>
        <v>...</v>
      </c>
      <c r="B267" s="4" t="str">
        <f>IF($J$11="Y","---&gt;","...")</f>
        <v>...</v>
      </c>
      <c r="C267" s="1" t="str">
        <f>IF($J$11="Y",'Population Definitions'!$B$10,"...")</f>
        <v>...</v>
      </c>
      <c r="E267" s="2"/>
      <c r="F267" s="3"/>
      <c r="G267" s="2"/>
      <c r="H267" s="4" t="str">
        <f>IF($J$11="Y","OR","...")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IF($K$11="Y",'Population Definitions'!$B$8,"...")</f>
        <v>...</v>
      </c>
      <c r="B268" s="4" t="str">
        <f>IF($K$11="Y","---&gt;","...")</f>
        <v>...</v>
      </c>
      <c r="C268" s="1" t="str">
        <f>IF($K$11="Y",'Population Definitions'!$B$11,"...")</f>
        <v>...</v>
      </c>
      <c r="E268" s="2"/>
      <c r="F268" s="3"/>
      <c r="G268" s="2"/>
      <c r="H268" s="4" t="str">
        <f>IF($K$11="Y","OR","...")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IF($L$11="Y",'Population Definitions'!$B$8,"...")</f>
        <v>...</v>
      </c>
      <c r="B269" s="4" t="str">
        <f>IF($L$11="Y","---&gt;","...")</f>
        <v>...</v>
      </c>
      <c r="C269" s="1" t="str">
        <f>IF($L$11="Y",'Population Definitions'!$B$12,"...")</f>
        <v>...</v>
      </c>
      <c r="E269" s="2"/>
      <c r="F269" s="3"/>
      <c r="G269" s="2"/>
      <c r="H269" s="4" t="str">
        <f>IF($L$11="Y","OR","...")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IF($M$11="Y",'Population Definitions'!$B$8,"...")</f>
        <v>...</v>
      </c>
      <c r="B270" s="4" t="str">
        <f>IF($M$11="Y","---&gt;","...")</f>
        <v>...</v>
      </c>
      <c r="C270" s="1" t="str">
        <f>IF($M$11="Y",'Population Definitions'!$B$13,"...")</f>
        <v>...</v>
      </c>
      <c r="E270" s="2"/>
      <c r="F270" s="3"/>
      <c r="G270" s="2"/>
      <c r="H270" s="4" t="str">
        <f>IF($M$11="Y","OR","...")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IF($N$11="Y",'Population Definitions'!$B$8,"...")</f>
        <v>...</v>
      </c>
      <c r="B271" s="4" t="str">
        <f>IF($N$11="Y","---&gt;","...")</f>
        <v>...</v>
      </c>
      <c r="C271" s="1" t="str">
        <f>IF($N$11="Y",'Population Definitions'!$B$14,"...")</f>
        <v>...</v>
      </c>
      <c r="E271" s="2"/>
      <c r="F271" s="3"/>
      <c r="G271" s="2"/>
      <c r="H271" s="4" t="str">
        <f>IF($N$11="Y","OR","...")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IF($O$11="Y",'Population Definitions'!$B$8,"...")</f>
        <v>...</v>
      </c>
      <c r="B272" s="4" t="str">
        <f>IF($O$11="Y","---&gt;","...")</f>
        <v>...</v>
      </c>
      <c r="C272" s="1" t="str">
        <f>IF($O$11="Y",'Population Definitions'!$B$15,"...")</f>
        <v>...</v>
      </c>
      <c r="E272" s="2"/>
      <c r="F272" s="3"/>
      <c r="G272" s="2"/>
      <c r="H272" s="4" t="str">
        <f>IF($O$11="Y","OR","...")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IF($P$11="Y",'Population Definitions'!$B$8,"...")</f>
        <v>...</v>
      </c>
      <c r="B273" s="4" t="str">
        <f>IF($P$11="Y","---&gt;","...")</f>
        <v>...</v>
      </c>
      <c r="C273" s="1" t="str">
        <f>IF($P$11="Y",'Population Definitions'!$B$16,"...")</f>
        <v>...</v>
      </c>
      <c r="E273" s="2"/>
      <c r="F273" s="3"/>
      <c r="G273" s="2"/>
      <c r="H273" s="4" t="str">
        <f>IF($P$11="Y","OR","...")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IF($Q$11="Y",'Population Definitions'!$B$8,"...")</f>
        <v>...</v>
      </c>
      <c r="B274" s="4" t="str">
        <f>IF($Q$11="Y","---&gt;","...")</f>
        <v>...</v>
      </c>
      <c r="C274" s="1" t="str">
        <f>IF($Q$11="Y",'Population Definitions'!$B$17,"...")</f>
        <v>...</v>
      </c>
      <c r="E274" s="2"/>
      <c r="F274" s="3"/>
      <c r="G274" s="2"/>
      <c r="H274" s="4" t="str">
        <f>IF($Q$11="Y","OR","...")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IF($R$11="Y",'Population Definitions'!$B$8,"...")</f>
        <v>...</v>
      </c>
      <c r="B275" s="4" t="str">
        <f>IF($R$11="Y","---&gt;","...")</f>
        <v>...</v>
      </c>
      <c r="C275" s="1" t="str">
        <f>IF($R$11="Y",'Population Definitions'!$B$18,"...")</f>
        <v>...</v>
      </c>
      <c r="E275" s="2"/>
      <c r="F275" s="3"/>
      <c r="G275" s="2"/>
      <c r="H275" s="4" t="str">
        <f>IF($R$11="Y","OR","...")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IF($S$11="Y",'Population Definitions'!$B$8,"...")</f>
        <v>...</v>
      </c>
      <c r="B276" s="4" t="str">
        <f>IF($S$11="Y","---&gt;","...")</f>
        <v>...</v>
      </c>
      <c r="C276" s="1" t="str">
        <f>IF($S$11="Y",'Population Definitions'!$B$19,"...")</f>
        <v>...</v>
      </c>
      <c r="E276" s="2"/>
      <c r="F276" s="3"/>
      <c r="G276" s="2"/>
      <c r="H276" s="4" t="str">
        <f>IF($S$11="Y","OR","...")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IF($T$11="Y",'Population Definitions'!$B$8,"...")</f>
        <v>...</v>
      </c>
      <c r="B277" s="4" t="str">
        <f>IF($T$11="Y","---&gt;","...")</f>
        <v>...</v>
      </c>
      <c r="C277" s="1" t="str">
        <f>IF($T$11="Y",'Population Definitions'!$B$20,"...")</f>
        <v>...</v>
      </c>
      <c r="E277" s="2"/>
      <c r="F277" s="3"/>
      <c r="G277" s="2"/>
      <c r="H277" s="4" t="str">
        <f>IF($T$11="Y","OR","...")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IF($U$11="Y",'Population Definitions'!$B$8,"...")</f>
        <v>...</v>
      </c>
      <c r="B278" s="4" t="str">
        <f>IF($U$11="Y","---&gt;","...")</f>
        <v>...</v>
      </c>
      <c r="C278" s="1" t="str">
        <f>IF($U$11="Y",'Population Definitions'!$B$21,"...")</f>
        <v>...</v>
      </c>
      <c r="E278" s="2"/>
      <c r="F278" s="3"/>
      <c r="G278" s="2"/>
      <c r="H278" s="4" t="str">
        <f>IF($U$11="Y","OR","...")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IF($V$11="Y",'Population Definitions'!$B$8,"...")</f>
        <v>...</v>
      </c>
      <c r="B279" s="4" t="str">
        <f>IF($V$11="Y","---&gt;","...")</f>
        <v>...</v>
      </c>
      <c r="C279" s="1" t="str">
        <f>IF($V$11="Y",'Population Definitions'!$B$22,"...")</f>
        <v>...</v>
      </c>
      <c r="E279" s="2"/>
      <c r="F279" s="3"/>
      <c r="G279" s="2"/>
      <c r="H279" s="4" t="str">
        <f>IF($V$11="Y","OR","...")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IF($W$11="Y",'Population Definitions'!$B$8,"...")</f>
        <v>...</v>
      </c>
      <c r="B280" s="4" t="str">
        <f>IF($W$11="Y","---&gt;","...")</f>
        <v>...</v>
      </c>
      <c r="C280" s="1" t="str">
        <f>IF($W$11="Y",'Population Definitions'!$B$23,"...")</f>
        <v>...</v>
      </c>
      <c r="E280" s="2"/>
      <c r="F280" s="3"/>
      <c r="G280" s="2"/>
      <c r="H280" s="4" t="str">
        <f>IF($W$11="Y","OR","...")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IF($X$11="Y",'Population Definitions'!$B$8,"...")</f>
        <v>...</v>
      </c>
      <c r="B281" s="4" t="str">
        <f>IF($X$11="Y","---&gt;","...")</f>
        <v>...</v>
      </c>
      <c r="C281" s="1" t="str">
        <f>IF($X$11="Y",'Population Definitions'!$B$24,"...")</f>
        <v>...</v>
      </c>
      <c r="E281" s="2"/>
      <c r="F281" s="3"/>
      <c r="G281" s="2"/>
      <c r="H281" s="4" t="str">
        <f>IF($X$11="Y","OR","...")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IF($Y$11="Y",'Population Definitions'!$B$8,"...")</f>
        <v>...</v>
      </c>
      <c r="B282" s="4" t="str">
        <f>IF($Y$11="Y","---&gt;","...")</f>
        <v>...</v>
      </c>
      <c r="C282" s="1" t="str">
        <f>IF($Y$11="Y",'Population Definitions'!$B$25,"...")</f>
        <v>...</v>
      </c>
      <c r="E282" s="2"/>
      <c r="F282" s="3"/>
      <c r="G282" s="2"/>
      <c r="H282" s="4" t="str">
        <f>IF($Y$11="Y","OR","...")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IF($Z$11="Y",'Population Definitions'!$B$8,"...")</f>
        <v>...</v>
      </c>
      <c r="B283" s="4" t="str">
        <f>IF($Z$11="Y","---&gt;","...")</f>
        <v>...</v>
      </c>
      <c r="C283" s="1" t="str">
        <f>IF($Z$11="Y",'Population Definitions'!$B$26,"...")</f>
        <v>...</v>
      </c>
      <c r="E283" s="2"/>
      <c r="F283" s="3"/>
      <c r="G283" s="2"/>
      <c r="H283" s="4" t="str">
        <f>IF($Z$11="Y","OR","...")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IF($AA$11="Y",'Population Definitions'!$B$8,"...")</f>
        <v>...</v>
      </c>
      <c r="B284" s="4" t="str">
        <f>IF($AA$11="Y","---&gt;","...")</f>
        <v>...</v>
      </c>
      <c r="C284" s="1" t="str">
        <f>IF($AA$11="Y",'Population Definitions'!$B$27,"...")</f>
        <v>...</v>
      </c>
      <c r="E284" s="2"/>
      <c r="F284" s="3"/>
      <c r="G284" s="2"/>
      <c r="H284" s="4" t="str">
        <f>IF($AA$11="Y","OR","...")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IF($AB$11="Y",'Population Definitions'!$B$8,"...")</f>
        <v>...</v>
      </c>
      <c r="B285" s="4" t="str">
        <f>IF($AB$11="Y","---&gt;","...")</f>
        <v>...</v>
      </c>
      <c r="C285" s="1" t="str">
        <f>IF($AB$11="Y",'Population Definitions'!$B$28,"...")</f>
        <v>...</v>
      </c>
      <c r="E285" s="2"/>
      <c r="F285" s="3"/>
      <c r="G285" s="2"/>
      <c r="H285" s="4" t="str">
        <f>IF($AB$11="Y","OR","...")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IF($AC$11="Y",'Population Definitions'!$B$8,"...")</f>
        <v>...</v>
      </c>
      <c r="B286" s="4" t="str">
        <f>IF($AC$11="Y","---&gt;","...")</f>
        <v>...</v>
      </c>
      <c r="C286" s="1" t="str">
        <f>IF($AC$11="Y",'Population Definitions'!$B$29,"...")</f>
        <v>...</v>
      </c>
      <c r="E286" s="2"/>
      <c r="F286" s="3"/>
      <c r="G286" s="2"/>
      <c r="H286" s="4" t="str">
        <f>IF($AC$11="Y","OR","...")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IF($AD$11="Y",'Population Definitions'!$B$8,"...")</f>
        <v>...</v>
      </c>
      <c r="B287" s="4" t="str">
        <f>IF($AD$11="Y","---&gt;","...")</f>
        <v>...</v>
      </c>
      <c r="C287" s="1" t="str">
        <f>IF($AD$11="Y",'Population Definitions'!$B$30,"...")</f>
        <v>...</v>
      </c>
      <c r="E287" s="2"/>
      <c r="F287" s="3"/>
      <c r="G287" s="2"/>
      <c r="H287" s="4" t="str">
        <f>IF($AD$11="Y","OR","...")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IF($AE$11="Y",'Population Definitions'!$B$8,"...")</f>
        <v>...</v>
      </c>
      <c r="B288" s="4" t="str">
        <f>IF($AE$11="Y","---&gt;","...")</f>
        <v>...</v>
      </c>
      <c r="C288" s="1" t="str">
        <f>IF($AE$11="Y",'Population Definitions'!$B$31,"...")</f>
        <v>...</v>
      </c>
      <c r="E288" s="2"/>
      <c r="F288" s="3"/>
      <c r="G288" s="2"/>
      <c r="H288" s="4" t="str">
        <f>IF($AE$11="Y","OR","...")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IF($AF$11="Y",'Population Definitions'!$B$8,"...")</f>
        <v>...</v>
      </c>
      <c r="B289" s="4" t="str">
        <f>IF($AF$11="Y","---&gt;","...")</f>
        <v>...</v>
      </c>
      <c r="C289" s="1" t="str">
        <f>IF($AF$11="Y",'Population Definitions'!$B$32,"...")</f>
        <v>...</v>
      </c>
      <c r="E289" s="2"/>
      <c r="F289" s="3"/>
      <c r="G289" s="2"/>
      <c r="H289" s="4" t="str">
        <f>IF($AF$11="Y","OR","...")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IF($AG$11="Y",'Population Definitions'!$B$8,"...")</f>
        <v>...</v>
      </c>
      <c r="B290" s="4" t="str">
        <f>IF($AG$11="Y","---&gt;","...")</f>
        <v>...</v>
      </c>
      <c r="C290" s="1" t="str">
        <f>IF($AG$11="Y",'Population Definitions'!$B$33,"...")</f>
        <v>...</v>
      </c>
      <c r="E290" s="2"/>
      <c r="F290" s="3"/>
      <c r="G290" s="2"/>
      <c r="H290" s="4" t="str">
        <f>IF($AG$11="Y","OR","...")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IF($AH$11="Y",'Population Definitions'!$B$8,"...")</f>
        <v>...</v>
      </c>
      <c r="B291" s="4" t="str">
        <f>IF($AH$11="Y","---&gt;","...")</f>
        <v>...</v>
      </c>
      <c r="C291" s="1" t="str">
        <f>IF($AH$11="Y",'Population Definitions'!$B$34,"...")</f>
        <v>...</v>
      </c>
      <c r="E291" s="2"/>
      <c r="F291" s="3"/>
      <c r="G291" s="2"/>
      <c r="H291" s="4" t="str">
        <f>IF($AH$11="Y","OR","...")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IF($AI$11="Y",'Population Definitions'!$B$8,"...")</f>
        <v>...</v>
      </c>
      <c r="B292" s="4" t="str">
        <f>IF($AI$11="Y","---&gt;","...")</f>
        <v>...</v>
      </c>
      <c r="C292" s="1" t="str">
        <f>IF($AI$11="Y",'Population Definitions'!$B$35,"...")</f>
        <v>...</v>
      </c>
      <c r="E292" s="2"/>
      <c r="F292" s="3"/>
      <c r="G292" s="2"/>
      <c r="H292" s="4" t="str">
        <f>IF($AI$11="Y","OR","...")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IF($AJ$11="Y",'Population Definitions'!$B$8,"...")</f>
        <v>...</v>
      </c>
      <c r="B293" s="4" t="str">
        <f>IF($AJ$11="Y","---&gt;","...")</f>
        <v>...</v>
      </c>
      <c r="C293" s="1" t="str">
        <f>IF($AJ$11="Y",'Population Definitions'!$B$36,"...")</f>
        <v>...</v>
      </c>
      <c r="E293" s="2"/>
      <c r="F293" s="3"/>
      <c r="G293" s="2"/>
      <c r="H293" s="4" t="str">
        <f>IF($AJ$11="Y","OR","...")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IF($AK$11="Y",'Population Definitions'!$B$8,"...")</f>
        <v>...</v>
      </c>
      <c r="B294" s="4" t="str">
        <f>IF($AK$11="Y","---&gt;","...")</f>
        <v>...</v>
      </c>
      <c r="C294" s="1" t="str">
        <f>IF($AK$11="Y",'Population Definitions'!$B$37,"...")</f>
        <v>...</v>
      </c>
      <c r="E294" s="2"/>
      <c r="F294" s="3"/>
      <c r="G294" s="2"/>
      <c r="H294" s="4" t="str">
        <f>IF($AK$11="Y","OR","...")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IF($B$12="Y",'Population Definitions'!$B$9,"...")</f>
        <v>...</v>
      </c>
      <c r="B295" s="4" t="str">
        <f>IF($B$12="Y","---&gt;","...")</f>
        <v>...</v>
      </c>
      <c r="C295" s="1" t="str">
        <f>IF($B$12="Y",'Population Definitions'!$B$2,"...")</f>
        <v>...</v>
      </c>
      <c r="E295" s="2"/>
      <c r="F295" s="3"/>
      <c r="G295" s="2"/>
      <c r="H295" s="4" t="str">
        <f>IF($B$12="Y","OR","...")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IF($C$12="Y",'Population Definitions'!$B$9,"...")</f>
        <v>...</v>
      </c>
      <c r="B296" s="4" t="str">
        <f>IF($C$12="Y","---&gt;","...")</f>
        <v>...</v>
      </c>
      <c r="C296" s="1" t="str">
        <f>IF($C$12="Y",'Population Definitions'!$B$3,"...")</f>
        <v>...</v>
      </c>
      <c r="E296" s="2"/>
      <c r="F296" s="3"/>
      <c r="G296" s="2"/>
      <c r="H296" s="4" t="str">
        <f>IF($C$12="Y","OR","...")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IF($D$12="Y",'Population Definitions'!$B$9,"...")</f>
        <v>...</v>
      </c>
      <c r="B297" s="4" t="str">
        <f>IF($D$12="Y","---&gt;","...")</f>
        <v>...</v>
      </c>
      <c r="C297" s="1" t="str">
        <f>IF($D$12="Y",'Population Definitions'!$B$4,"...")</f>
        <v>...</v>
      </c>
      <c r="E297" s="2"/>
      <c r="F297" s="3"/>
      <c r="G297" s="2"/>
      <c r="H297" s="4" t="str">
        <f>IF($D$12="Y","OR","...")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IF($E$12="Y",'Population Definitions'!$B$9,"...")</f>
        <v>...</v>
      </c>
      <c r="B298" s="4" t="str">
        <f>IF($E$12="Y","---&gt;","...")</f>
        <v>...</v>
      </c>
      <c r="C298" s="1" t="str">
        <f>IF($E$12="Y",'Population Definitions'!$B$5,"...")</f>
        <v>...</v>
      </c>
      <c r="E298" s="2"/>
      <c r="F298" s="3"/>
      <c r="G298" s="2"/>
      <c r="H298" s="4" t="str">
        <f>IF($E$12="Y","OR","...")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IF($F$12="Y",'Population Definitions'!$B$9,"...")</f>
        <v>...</v>
      </c>
      <c r="B299" s="4" t="str">
        <f>IF($F$12="Y","---&gt;","...")</f>
        <v>...</v>
      </c>
      <c r="C299" s="1" t="str">
        <f>IF($F$12="Y",'Population Definitions'!$B$6,"...")</f>
        <v>...</v>
      </c>
      <c r="E299" s="2"/>
      <c r="F299" s="3"/>
      <c r="G299" s="2"/>
      <c r="H299" s="4" t="str">
        <f>IF($F$12="Y","OR","...")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IF($G$12="Y",'Population Definitions'!$B$9,"...")</f>
        <v>...</v>
      </c>
      <c r="B300" s="4" t="str">
        <f>IF($G$12="Y","---&gt;","...")</f>
        <v>...</v>
      </c>
      <c r="C300" s="1" t="str">
        <f>IF($G$12="Y",'Population Definitions'!$B$7,"...")</f>
        <v>...</v>
      </c>
      <c r="E300" s="2"/>
      <c r="F300" s="3"/>
      <c r="G300" s="2"/>
      <c r="H300" s="4" t="str">
        <f>IF($G$12="Y","OR","...")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IF($H$12="Y",'Population Definitions'!$B$9,"...")</f>
        <v>...</v>
      </c>
      <c r="B301" s="4" t="str">
        <f>IF($H$12="Y","---&gt;","...")</f>
        <v>...</v>
      </c>
      <c r="C301" s="1" t="str">
        <f>IF($H$12="Y",'Population Definitions'!$B$8,"...")</f>
        <v>...</v>
      </c>
      <c r="E301" s="2"/>
      <c r="F301" s="3"/>
      <c r="G301" s="2"/>
      <c r="H301" s="4" t="str">
        <f>IF($H$12="Y","OR","...")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IF($I$12="Y",'Population Definitions'!$B$9,"...")</f>
        <v>...</v>
      </c>
      <c r="B302" s="4" t="str">
        <f>IF($I$12="Y","---&gt;","...")</f>
        <v>...</v>
      </c>
      <c r="C302" s="1" t="str">
        <f>IF($I$12="Y",'Population Definitions'!$B$9,"...")</f>
        <v>...</v>
      </c>
      <c r="E302" s="2"/>
      <c r="F302" s="3"/>
      <c r="G302" s="2"/>
      <c r="H302" s="4" t="str">
        <f>IF($I$12="Y","OR","...")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IF($J$12="Y",'Population Definitions'!$B$9,"...")</f>
        <v>5-14F_aus</v>
      </c>
      <c r="B303" s="4" t="str">
        <f>IF($J$12="Y","---&gt;","...")</f>
        <v>---&gt;</v>
      </c>
      <c r="C303" s="1" t="str">
        <f>IF($J$12="Y",'Population Definitions'!$B$10,"...")</f>
        <v>15-29F_aus</v>
      </c>
      <c r="E303" s="3" t="s">
        <v>63</v>
      </c>
      <c r="F303" s="3"/>
      <c r="G303" s="3"/>
      <c r="H303" s="4" t="str">
        <f>IF($J$12="Y","OR","...")</f>
        <v>OR</v>
      </c>
      <c r="I303" s="3">
        <v>0.09563555626040759</v>
      </c>
      <c r="J303" s="3">
        <v>0.09679720255388739</v>
      </c>
      <c r="K303" s="3">
        <v>0.0984303071048966</v>
      </c>
      <c r="L303" s="3">
        <v>0.103811440269616</v>
      </c>
      <c r="M303" s="3">
        <v>0.105565565645905</v>
      </c>
      <c r="N303" s="3">
        <v>0.115053734645071</v>
      </c>
      <c r="O303" s="3">
        <v>0.115347134526625</v>
      </c>
      <c r="P303" s="3">
        <v>0.110833038071332</v>
      </c>
      <c r="Q303" s="3">
        <v>0.106943471452842</v>
      </c>
      <c r="R303" s="3">
        <v>0.104237580739579</v>
      </c>
      <c r="S303" s="3">
        <v>0.101147730741101</v>
      </c>
      <c r="T303" s="3">
        <v>0.0990116899872291</v>
      </c>
      <c r="U303" s="3">
        <v>0.09814713135126529</v>
      </c>
      <c r="V303" s="3">
        <v>0.09754768832848371</v>
      </c>
      <c r="W303" s="3">
        <v>0.0971010185393439</v>
      </c>
      <c r="X303" s="3">
        <v>0.0990248224130198</v>
      </c>
      <c r="Y303" s="3">
        <v>0.09924322637977651</v>
      </c>
      <c r="Z303" s="3">
        <v>0.100142175082935</v>
      </c>
      <c r="AA303" s="3">
        <v>0.099581542373119</v>
      </c>
      <c r="AB303" s="3">
        <v>0.100165405366932</v>
      </c>
      <c r="AC303" s="3">
        <v>0.09975808583495741</v>
      </c>
      <c r="AD303" s="3">
        <v>0.0990509176855959</v>
      </c>
      <c r="AE303" s="3">
        <v>0.0994992250364633</v>
      </c>
      <c r="AF303" s="3">
        <v>0.100433568880403</v>
      </c>
      <c r="AG303" s="3">
        <v>0.102173870099637</v>
      </c>
      <c r="AH303" s="3">
        <v>0.10320904364776</v>
      </c>
      <c r="AI303" s="3">
        <v>0.103304127296155</v>
      </c>
      <c r="AJ303" s="3">
        <v>0.103203458875108</v>
      </c>
      <c r="AK303" s="3">
        <v>0.10312835674779</v>
      </c>
      <c r="AL303" s="3">
        <v>0.103845532456895</v>
      </c>
      <c r="AM303" s="3">
        <v>0.101837506742063</v>
      </c>
      <c r="AN303" s="3">
        <v>0.101219085467664</v>
      </c>
      <c r="AO303" s="3">
        <v>0.0994033517592349</v>
      </c>
      <c r="AP303" s="3">
        <v>0.0987334992437566</v>
      </c>
      <c r="AQ303" s="3">
        <v>0.0979739838366821</v>
      </c>
      <c r="AR303" s="3">
        <v>0.09614983549316131</v>
      </c>
      <c r="AS303" s="3">
        <v>0.0936062670971915</v>
      </c>
      <c r="AT303" s="3">
        <v>0.0925521638720096</v>
      </c>
      <c r="AU303" s="3">
        <v>0.09180797291560649</v>
      </c>
      <c r="AV303" s="3">
        <v>0.0923216537797098</v>
      </c>
      <c r="AW303" s="3">
        <v>0.0953969496127126</v>
      </c>
      <c r="AX303" s="3">
        <v>0.09867529462617119</v>
      </c>
      <c r="AY303" s="3">
        <v>0.100443480320086</v>
      </c>
      <c r="AZ303" s="3">
        <v>0.100873171426653</v>
      </c>
      <c r="BA303" s="3">
        <v>0.102716639275063</v>
      </c>
      <c r="BB303" s="3">
        <v>0.102299620729309</v>
      </c>
      <c r="BC303" s="3">
        <v>0.103705438220336</v>
      </c>
      <c r="BD303" s="3">
        <v>0.103945751407209</v>
      </c>
      <c r="BE303" s="3">
        <v>0.103945161732846</v>
      </c>
      <c r="BF303" s="3">
        <v>0.103431035791727</v>
      </c>
      <c r="BG303" s="3">
        <v>0.105114527575676</v>
      </c>
      <c r="BH303" s="3">
        <v>0.103367052156782</v>
      </c>
      <c r="BI303" s="3">
        <v>0.102285361942912</v>
      </c>
      <c r="BJ303" s="3">
        <v>0.102086561350091</v>
      </c>
      <c r="BK303" s="3">
        <v>0.101042369758955</v>
      </c>
      <c r="BL303" s="3">
        <v>0.102179001065192</v>
      </c>
      <c r="BM303" s="3">
        <v>0.104518917048614</v>
      </c>
      <c r="BN303" s="3">
        <v>0.102015356430284</v>
      </c>
      <c r="BO303" s="3">
        <v>0.102203859256361</v>
      </c>
      <c r="BP303" s="3">
        <v>0.102079183680871</v>
      </c>
      <c r="BQ303" s="3">
        <v>0.101820447526684</v>
      </c>
      <c r="BR303" s="3">
        <v>0.101434983596422</v>
      </c>
      <c r="BS303" s="3">
        <v>0.101081081725155</v>
      </c>
      <c r="BT303" s="3">
        <v>0.100798664353757</v>
      </c>
      <c r="BU303" s="3">
        <v>0.100491115582688</v>
      </c>
      <c r="BV303" s="3">
        <v>0.100183416830216</v>
      </c>
      <c r="BW303" s="3">
        <v>0.0998916079277417</v>
      </c>
      <c r="BX303" s="3">
        <v>0.09964993562034399</v>
      </c>
      <c r="BY303" s="3">
        <v>0.09950300682581401</v>
      </c>
      <c r="BZ303" s="3">
        <v>0.0994678993485856</v>
      </c>
      <c r="CA303" s="3">
        <v>0.0995440609926591</v>
      </c>
      <c r="CB303" s="3">
        <v>0.09972315094413341</v>
      </c>
      <c r="CC303" s="3">
        <v>0.0999915114736581</v>
      </c>
      <c r="CD303" s="3">
        <v>0.100332894036826</v>
      </c>
      <c r="CE303" s="3">
        <v>0.100713452194418</v>
      </c>
      <c r="CF303" s="3">
        <v>0.101106258507944</v>
      </c>
      <c r="CG303" s="3">
        <v>0.101480776104579</v>
      </c>
      <c r="CH303" s="3">
        <v>0.101813844405054</v>
      </c>
      <c r="CI303" s="3">
        <v>0.102094455629002</v>
      </c>
      <c r="CJ303" s="3">
        <v>0.102319726765431</v>
      </c>
      <c r="CK303" s="3">
        <v>0.102479692639496</v>
      </c>
      <c r="CL303" s="3">
        <v>0.102579078533986</v>
      </c>
      <c r="CM303" s="3">
        <v>0.102622682401391</v>
      </c>
      <c r="CN303" s="3">
        <v>0.102618409076791</v>
      </c>
      <c r="CO303" s="3">
        <v>0.102574325800717</v>
      </c>
      <c r="CP303" s="3">
        <v>0.102498023962452</v>
      </c>
      <c r="CQ303" s="3">
        <v>0.102400768641906</v>
      </c>
      <c r="CR303" s="3">
        <v>0.10229021653093</v>
      </c>
      <c r="CS303" s="3">
        <v>0.102176336295137</v>
      </c>
      <c r="CT303" s="3">
        <v>0.102056387580403</v>
      </c>
      <c r="CU303" s="3">
        <v>0.101933587333552</v>
      </c>
      <c r="CV303" s="3">
        <v>0.101807361868573</v>
      </c>
    </row>
    <row r="304" spans="1:100">
      <c r="A304" s="1" t="str">
        <f>IF($K$12="Y",'Population Definitions'!$B$9,"...")</f>
        <v>...</v>
      </c>
      <c r="B304" s="4" t="str">
        <f>IF($K$12="Y","---&gt;","...")</f>
        <v>...</v>
      </c>
      <c r="C304" s="1" t="str">
        <f>IF($K$12="Y",'Population Definitions'!$B$11,"...")</f>
        <v>...</v>
      </c>
      <c r="E304" s="2"/>
      <c r="F304" s="3"/>
      <c r="G304" s="2"/>
      <c r="H304" s="4" t="str">
        <f>IF($K$12="Y","OR","...")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IF($L$12="Y",'Population Definitions'!$B$9,"...")</f>
        <v>...</v>
      </c>
      <c r="B305" s="4" t="str">
        <f>IF($L$12="Y","---&gt;","...")</f>
        <v>...</v>
      </c>
      <c r="C305" s="1" t="str">
        <f>IF($L$12="Y",'Population Definitions'!$B$12,"...")</f>
        <v>...</v>
      </c>
      <c r="E305" s="2"/>
      <c r="F305" s="3"/>
      <c r="G305" s="2"/>
      <c r="H305" s="4" t="str">
        <f>IF($L$12="Y","OR","...")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IF($M$12="Y",'Population Definitions'!$B$9,"...")</f>
        <v>...</v>
      </c>
      <c r="B306" s="4" t="str">
        <f>IF($M$12="Y","---&gt;","...")</f>
        <v>...</v>
      </c>
      <c r="C306" s="1" t="str">
        <f>IF($M$12="Y",'Population Definitions'!$B$13,"...")</f>
        <v>...</v>
      </c>
      <c r="E306" s="2"/>
      <c r="F306" s="3"/>
      <c r="G306" s="2"/>
      <c r="H306" s="4" t="str">
        <f>IF($M$12="Y","OR","...")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IF($N$12="Y",'Population Definitions'!$B$9,"...")</f>
        <v>...</v>
      </c>
      <c r="B307" s="4" t="str">
        <f>IF($N$12="Y","---&gt;","...")</f>
        <v>...</v>
      </c>
      <c r="C307" s="1" t="str">
        <f>IF($N$12="Y",'Population Definitions'!$B$14,"...")</f>
        <v>...</v>
      </c>
      <c r="E307" s="2"/>
      <c r="F307" s="3"/>
      <c r="G307" s="2"/>
      <c r="H307" s="4" t="str">
        <f>IF($N$12="Y","OR","...")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IF($O$12="Y",'Population Definitions'!$B$9,"...")</f>
        <v>...</v>
      </c>
      <c r="B308" s="4" t="str">
        <f>IF($O$12="Y","---&gt;","...")</f>
        <v>...</v>
      </c>
      <c r="C308" s="1" t="str">
        <f>IF($O$12="Y",'Population Definitions'!$B$15,"...")</f>
        <v>...</v>
      </c>
      <c r="E308" s="2"/>
      <c r="F308" s="3"/>
      <c r="G308" s="2"/>
      <c r="H308" s="4" t="str">
        <f>IF($O$12="Y","OR","...")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IF($P$12="Y",'Population Definitions'!$B$9,"...")</f>
        <v>...</v>
      </c>
      <c r="B309" s="4" t="str">
        <f>IF($P$12="Y","---&gt;","...")</f>
        <v>...</v>
      </c>
      <c r="C309" s="1" t="str">
        <f>IF($P$12="Y",'Population Definitions'!$B$16,"...")</f>
        <v>...</v>
      </c>
      <c r="E309" s="2"/>
      <c r="F309" s="3"/>
      <c r="G309" s="2"/>
      <c r="H309" s="4" t="str">
        <f>IF($P$12="Y","OR","...")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IF($Q$12="Y",'Population Definitions'!$B$9,"...")</f>
        <v>...</v>
      </c>
      <c r="B310" s="4" t="str">
        <f>IF($Q$12="Y","---&gt;","...")</f>
        <v>...</v>
      </c>
      <c r="C310" s="1" t="str">
        <f>IF($Q$12="Y",'Population Definitions'!$B$17,"...")</f>
        <v>...</v>
      </c>
      <c r="E310" s="2"/>
      <c r="F310" s="3"/>
      <c r="G310" s="2"/>
      <c r="H310" s="4" t="str">
        <f>IF($Q$12="Y","OR","...")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IF($R$12="Y",'Population Definitions'!$B$9,"...")</f>
        <v>...</v>
      </c>
      <c r="B311" s="4" t="str">
        <f>IF($R$12="Y","---&gt;","...")</f>
        <v>...</v>
      </c>
      <c r="C311" s="1" t="str">
        <f>IF($R$12="Y",'Population Definitions'!$B$18,"...")</f>
        <v>...</v>
      </c>
      <c r="E311" s="2"/>
      <c r="F311" s="3"/>
      <c r="G311" s="2"/>
      <c r="H311" s="4" t="str">
        <f>IF($R$12="Y","OR","...")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IF($S$12="Y",'Population Definitions'!$B$9,"...")</f>
        <v>...</v>
      </c>
      <c r="B312" s="4" t="str">
        <f>IF($S$12="Y","---&gt;","...")</f>
        <v>...</v>
      </c>
      <c r="C312" s="1" t="str">
        <f>IF($S$12="Y",'Population Definitions'!$B$19,"...")</f>
        <v>...</v>
      </c>
      <c r="E312" s="2"/>
      <c r="F312" s="3"/>
      <c r="G312" s="2"/>
      <c r="H312" s="4" t="str">
        <f>IF($S$12="Y","OR","...")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IF($T$12="Y",'Population Definitions'!$B$9,"...")</f>
        <v>...</v>
      </c>
      <c r="B313" s="4" t="str">
        <f>IF($T$12="Y","---&gt;","...")</f>
        <v>...</v>
      </c>
      <c r="C313" s="1" t="str">
        <f>IF($T$12="Y",'Population Definitions'!$B$20,"...")</f>
        <v>...</v>
      </c>
      <c r="E313" s="2"/>
      <c r="F313" s="3"/>
      <c r="G313" s="2"/>
      <c r="H313" s="4" t="str">
        <f>IF($T$12="Y","OR","...")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IF($U$12="Y",'Population Definitions'!$B$9,"...")</f>
        <v>...</v>
      </c>
      <c r="B314" s="4" t="str">
        <f>IF($U$12="Y","---&gt;","...")</f>
        <v>...</v>
      </c>
      <c r="C314" s="1" t="str">
        <f>IF($U$12="Y",'Population Definitions'!$B$21,"...")</f>
        <v>...</v>
      </c>
      <c r="E314" s="2"/>
      <c r="F314" s="3"/>
      <c r="G314" s="2"/>
      <c r="H314" s="4" t="str">
        <f>IF($U$12="Y","OR","...")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IF($V$12="Y",'Population Definitions'!$B$9,"...")</f>
        <v>...</v>
      </c>
      <c r="B315" s="4" t="str">
        <f>IF($V$12="Y","---&gt;","...")</f>
        <v>...</v>
      </c>
      <c r="C315" s="1" t="str">
        <f>IF($V$12="Y",'Population Definitions'!$B$22,"...")</f>
        <v>...</v>
      </c>
      <c r="E315" s="2"/>
      <c r="F315" s="3"/>
      <c r="G315" s="2"/>
      <c r="H315" s="4" t="str">
        <f>IF($V$12="Y","OR","...")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IF($W$12="Y",'Population Definitions'!$B$9,"...")</f>
        <v>...</v>
      </c>
      <c r="B316" s="4" t="str">
        <f>IF($W$12="Y","---&gt;","...")</f>
        <v>...</v>
      </c>
      <c r="C316" s="1" t="str">
        <f>IF($W$12="Y",'Population Definitions'!$B$23,"...")</f>
        <v>...</v>
      </c>
      <c r="E316" s="2"/>
      <c r="F316" s="3"/>
      <c r="G316" s="2"/>
      <c r="H316" s="4" t="str">
        <f>IF($W$12="Y","OR","...")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IF($X$12="Y",'Population Definitions'!$B$9,"...")</f>
        <v>...</v>
      </c>
      <c r="B317" s="4" t="str">
        <f>IF($X$12="Y","---&gt;","...")</f>
        <v>...</v>
      </c>
      <c r="C317" s="1" t="str">
        <f>IF($X$12="Y",'Population Definitions'!$B$24,"...")</f>
        <v>...</v>
      </c>
      <c r="E317" s="2"/>
      <c r="F317" s="3"/>
      <c r="G317" s="2"/>
      <c r="H317" s="4" t="str">
        <f>IF($X$12="Y","OR","...")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IF($Y$12="Y",'Population Definitions'!$B$9,"...")</f>
        <v>...</v>
      </c>
      <c r="B318" s="4" t="str">
        <f>IF($Y$12="Y","---&gt;","...")</f>
        <v>...</v>
      </c>
      <c r="C318" s="1" t="str">
        <f>IF($Y$12="Y",'Population Definitions'!$B$25,"...")</f>
        <v>...</v>
      </c>
      <c r="E318" s="2"/>
      <c r="F318" s="3"/>
      <c r="G318" s="2"/>
      <c r="H318" s="4" t="str">
        <f>IF($Y$12="Y","OR","...")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IF($Z$12="Y",'Population Definitions'!$B$9,"...")</f>
        <v>...</v>
      </c>
      <c r="B319" s="4" t="str">
        <f>IF($Z$12="Y","---&gt;","...")</f>
        <v>...</v>
      </c>
      <c r="C319" s="1" t="str">
        <f>IF($Z$12="Y",'Population Definitions'!$B$26,"...")</f>
        <v>...</v>
      </c>
      <c r="E319" s="2"/>
      <c r="F319" s="3"/>
      <c r="G319" s="2"/>
      <c r="H319" s="4" t="str">
        <f>IF($Z$12="Y","OR","...")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IF($AA$12="Y",'Population Definitions'!$B$9,"...")</f>
        <v>...</v>
      </c>
      <c r="B320" s="4" t="str">
        <f>IF($AA$12="Y","---&gt;","...")</f>
        <v>...</v>
      </c>
      <c r="C320" s="1" t="str">
        <f>IF($AA$12="Y",'Population Definitions'!$B$27,"...")</f>
        <v>...</v>
      </c>
      <c r="E320" s="2"/>
      <c r="F320" s="3"/>
      <c r="G320" s="2"/>
      <c r="H320" s="4" t="str">
        <f>IF($AA$12="Y","OR","...")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IF($AB$12="Y",'Population Definitions'!$B$9,"...")</f>
        <v>...</v>
      </c>
      <c r="B321" s="4" t="str">
        <f>IF($AB$12="Y","---&gt;","...")</f>
        <v>...</v>
      </c>
      <c r="C321" s="1" t="str">
        <f>IF($AB$12="Y",'Population Definitions'!$B$28,"...")</f>
        <v>...</v>
      </c>
      <c r="E321" s="2"/>
      <c r="F321" s="3"/>
      <c r="G321" s="2"/>
      <c r="H321" s="4" t="str">
        <f>IF($AB$12="Y","OR","...")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IF($AC$12="Y",'Population Definitions'!$B$9,"...")</f>
        <v>...</v>
      </c>
      <c r="B322" s="4" t="str">
        <f>IF($AC$12="Y","---&gt;","...")</f>
        <v>...</v>
      </c>
      <c r="C322" s="1" t="str">
        <f>IF($AC$12="Y",'Population Definitions'!$B$29,"...")</f>
        <v>...</v>
      </c>
      <c r="E322" s="2"/>
      <c r="F322" s="3"/>
      <c r="G322" s="2"/>
      <c r="H322" s="4" t="str">
        <f>IF($AC$12="Y","OR","...")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IF($AD$12="Y",'Population Definitions'!$B$9,"...")</f>
        <v>...</v>
      </c>
      <c r="B323" s="4" t="str">
        <f>IF($AD$12="Y","---&gt;","...")</f>
        <v>...</v>
      </c>
      <c r="C323" s="1" t="str">
        <f>IF($AD$12="Y",'Population Definitions'!$B$30,"...")</f>
        <v>...</v>
      </c>
      <c r="E323" s="2"/>
      <c r="F323" s="3"/>
      <c r="G323" s="2"/>
      <c r="H323" s="4" t="str">
        <f>IF($AD$12="Y","OR","...")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IF($AE$12="Y",'Population Definitions'!$B$9,"...")</f>
        <v>...</v>
      </c>
      <c r="B324" s="4" t="str">
        <f>IF($AE$12="Y","---&gt;","...")</f>
        <v>...</v>
      </c>
      <c r="C324" s="1" t="str">
        <f>IF($AE$12="Y",'Population Definitions'!$B$31,"...")</f>
        <v>...</v>
      </c>
      <c r="E324" s="2"/>
      <c r="F324" s="3"/>
      <c r="G324" s="2"/>
      <c r="H324" s="4" t="str">
        <f>IF($AE$12="Y","OR","...")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IF($AF$12="Y",'Population Definitions'!$B$9,"...")</f>
        <v>...</v>
      </c>
      <c r="B325" s="4" t="str">
        <f>IF($AF$12="Y","---&gt;","...")</f>
        <v>...</v>
      </c>
      <c r="C325" s="1" t="str">
        <f>IF($AF$12="Y",'Population Definitions'!$B$32,"...")</f>
        <v>...</v>
      </c>
      <c r="E325" s="2"/>
      <c r="F325" s="3"/>
      <c r="G325" s="2"/>
      <c r="H325" s="4" t="str">
        <f>IF($AF$12="Y","OR","...")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IF($AG$12="Y",'Population Definitions'!$B$9,"...")</f>
        <v>...</v>
      </c>
      <c r="B326" s="4" t="str">
        <f>IF($AG$12="Y","---&gt;","...")</f>
        <v>...</v>
      </c>
      <c r="C326" s="1" t="str">
        <f>IF($AG$12="Y",'Population Definitions'!$B$33,"...")</f>
        <v>...</v>
      </c>
      <c r="E326" s="2"/>
      <c r="F326" s="3"/>
      <c r="G326" s="2"/>
      <c r="H326" s="4" t="str">
        <f>IF($AG$12="Y","OR","...")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IF($AH$12="Y",'Population Definitions'!$B$9,"...")</f>
        <v>...</v>
      </c>
      <c r="B327" s="4" t="str">
        <f>IF($AH$12="Y","---&gt;","...")</f>
        <v>...</v>
      </c>
      <c r="C327" s="1" t="str">
        <f>IF($AH$12="Y",'Population Definitions'!$B$34,"...")</f>
        <v>...</v>
      </c>
      <c r="E327" s="2"/>
      <c r="F327" s="3"/>
      <c r="G327" s="2"/>
      <c r="H327" s="4" t="str">
        <f>IF($AH$12="Y","OR","...")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IF($AI$12="Y",'Population Definitions'!$B$9,"...")</f>
        <v>...</v>
      </c>
      <c r="B328" s="4" t="str">
        <f>IF($AI$12="Y","---&gt;","...")</f>
        <v>...</v>
      </c>
      <c r="C328" s="1" t="str">
        <f>IF($AI$12="Y",'Population Definitions'!$B$35,"...")</f>
        <v>...</v>
      </c>
      <c r="E328" s="2"/>
      <c r="F328" s="3"/>
      <c r="G328" s="2"/>
      <c r="H328" s="4" t="str">
        <f>IF($AI$12="Y","OR","...")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IF($AJ$12="Y",'Population Definitions'!$B$9,"...")</f>
        <v>...</v>
      </c>
      <c r="B329" s="4" t="str">
        <f>IF($AJ$12="Y","---&gt;","...")</f>
        <v>...</v>
      </c>
      <c r="C329" s="1" t="str">
        <f>IF($AJ$12="Y",'Population Definitions'!$B$36,"...")</f>
        <v>...</v>
      </c>
      <c r="E329" s="2"/>
      <c r="F329" s="3"/>
      <c r="G329" s="2"/>
      <c r="H329" s="4" t="str">
        <f>IF($AJ$12="Y","OR","...")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IF($AK$12="Y",'Population Definitions'!$B$9,"...")</f>
        <v>...</v>
      </c>
      <c r="B330" s="4" t="str">
        <f>IF($AK$12="Y","---&gt;","...")</f>
        <v>...</v>
      </c>
      <c r="C330" s="1" t="str">
        <f>IF($AK$12="Y",'Population Definitions'!$B$37,"...")</f>
        <v>...</v>
      </c>
      <c r="E330" s="2"/>
      <c r="F330" s="3"/>
      <c r="G330" s="2"/>
      <c r="H330" s="4" t="str">
        <f>IF($AK$12="Y","OR","...")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IF($B$13="Y",'Population Definitions'!$B$10,"...")</f>
        <v>...</v>
      </c>
      <c r="B331" s="4" t="str">
        <f>IF($B$13="Y","---&gt;","...")</f>
        <v>...</v>
      </c>
      <c r="C331" s="1" t="str">
        <f>IF($B$13="Y",'Population Definitions'!$B$2,"...")</f>
        <v>...</v>
      </c>
      <c r="E331" s="2"/>
      <c r="F331" s="3"/>
      <c r="G331" s="2"/>
      <c r="H331" s="4" t="str">
        <f>IF($B$13="Y","OR","...")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IF($C$13="Y",'Population Definitions'!$B$10,"...")</f>
        <v>...</v>
      </c>
      <c r="B332" s="4" t="str">
        <f>IF($C$13="Y","---&gt;","...")</f>
        <v>...</v>
      </c>
      <c r="C332" s="1" t="str">
        <f>IF($C$13="Y",'Population Definitions'!$B$3,"...")</f>
        <v>...</v>
      </c>
      <c r="E332" s="2"/>
      <c r="F332" s="3"/>
      <c r="G332" s="2"/>
      <c r="H332" s="4" t="str">
        <f>IF($C$13="Y","OR","...")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IF($D$13="Y",'Population Definitions'!$B$10,"...")</f>
        <v>...</v>
      </c>
      <c r="B333" s="4" t="str">
        <f>IF($D$13="Y","---&gt;","...")</f>
        <v>...</v>
      </c>
      <c r="C333" s="1" t="str">
        <f>IF($D$13="Y",'Population Definitions'!$B$4,"...")</f>
        <v>...</v>
      </c>
      <c r="E333" s="2"/>
      <c r="F333" s="3"/>
      <c r="G333" s="2"/>
      <c r="H333" s="4" t="str">
        <f>IF($D$13="Y","OR","...")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IF($E$13="Y",'Population Definitions'!$B$10,"...")</f>
        <v>...</v>
      </c>
      <c r="B334" s="4" t="str">
        <f>IF($E$13="Y","---&gt;","...")</f>
        <v>...</v>
      </c>
      <c r="C334" s="1" t="str">
        <f>IF($E$13="Y",'Population Definitions'!$B$5,"...")</f>
        <v>...</v>
      </c>
      <c r="E334" s="2"/>
      <c r="F334" s="3"/>
      <c r="G334" s="2"/>
      <c r="H334" s="4" t="str">
        <f>IF($E$13="Y","OR","...")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IF($F$13="Y",'Population Definitions'!$B$10,"...")</f>
        <v>...</v>
      </c>
      <c r="B335" s="4" t="str">
        <f>IF($F$13="Y","---&gt;","...")</f>
        <v>...</v>
      </c>
      <c r="C335" s="1" t="str">
        <f>IF($F$13="Y",'Population Definitions'!$B$6,"...")</f>
        <v>...</v>
      </c>
      <c r="E335" s="2"/>
      <c r="F335" s="3"/>
      <c r="G335" s="2"/>
      <c r="H335" s="4" t="str">
        <f>IF($F$13="Y","OR","...")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IF($G$13="Y",'Population Definitions'!$B$10,"...")</f>
        <v>...</v>
      </c>
      <c r="B336" s="4" t="str">
        <f>IF($G$13="Y","---&gt;","...")</f>
        <v>...</v>
      </c>
      <c r="C336" s="1" t="str">
        <f>IF($G$13="Y",'Population Definitions'!$B$7,"...")</f>
        <v>...</v>
      </c>
      <c r="E336" s="2"/>
      <c r="F336" s="3"/>
      <c r="G336" s="2"/>
      <c r="H336" s="4" t="str">
        <f>IF($G$13="Y","OR","...")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IF($H$13="Y",'Population Definitions'!$B$10,"...")</f>
        <v>...</v>
      </c>
      <c r="B337" s="4" t="str">
        <f>IF($H$13="Y","---&gt;","...")</f>
        <v>...</v>
      </c>
      <c r="C337" s="1" t="str">
        <f>IF($H$13="Y",'Population Definitions'!$B$8,"...")</f>
        <v>...</v>
      </c>
      <c r="E337" s="2"/>
      <c r="F337" s="3"/>
      <c r="G337" s="2"/>
      <c r="H337" s="4" t="str">
        <f>IF($H$13="Y","OR","...")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IF($I$13="Y",'Population Definitions'!$B$10,"...")</f>
        <v>...</v>
      </c>
      <c r="B338" s="4" t="str">
        <f>IF($I$13="Y","---&gt;","...")</f>
        <v>...</v>
      </c>
      <c r="C338" s="1" t="str">
        <f>IF($I$13="Y",'Population Definitions'!$B$9,"...")</f>
        <v>...</v>
      </c>
      <c r="E338" s="2"/>
      <c r="F338" s="3"/>
      <c r="G338" s="2"/>
      <c r="H338" s="4" t="str">
        <f>IF($I$13="Y","OR","...")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IF($J$13="Y",'Population Definitions'!$B$10,"...")</f>
        <v>...</v>
      </c>
      <c r="B339" s="4" t="str">
        <f>IF($J$13="Y","---&gt;","...")</f>
        <v>...</v>
      </c>
      <c r="C339" s="1" t="str">
        <f>IF($J$13="Y",'Population Definitions'!$B$10,"...")</f>
        <v>...</v>
      </c>
      <c r="E339" s="2"/>
      <c r="F339" s="3"/>
      <c r="G339" s="2"/>
      <c r="H339" s="4" t="str">
        <f>IF($J$13="Y","OR","...")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IF($K$13="Y",'Population Definitions'!$B$10,"...")</f>
        <v>15-29F_aus</v>
      </c>
      <c r="B340" s="4" t="str">
        <f>IF($K$13="Y","---&gt;","...")</f>
        <v>---&gt;</v>
      </c>
      <c r="C340" s="1" t="str">
        <f>IF($K$13="Y",'Population Definitions'!$B$11,"...")</f>
        <v>30-49F_aus</v>
      </c>
      <c r="E340" s="3" t="s">
        <v>63</v>
      </c>
      <c r="F340" s="3"/>
      <c r="G340" s="3"/>
      <c r="H340" s="4" t="str">
        <f>IF($K$13="Y","OR","...")</f>
        <v>OR</v>
      </c>
      <c r="I340" s="3">
        <v>0.065047183263182</v>
      </c>
      <c r="J340" s="3">
        <v>0.0635480270326879</v>
      </c>
      <c r="K340" s="3">
        <v>0.064888145655569</v>
      </c>
      <c r="L340" s="3">
        <v>0.0642380618251886</v>
      </c>
      <c r="M340" s="3">
        <v>0.06421773069633591</v>
      </c>
      <c r="N340" s="3">
        <v>0.0660116667067743</v>
      </c>
      <c r="O340" s="3">
        <v>0.0655306539743287</v>
      </c>
      <c r="P340" s="3">
        <v>0.06623385781568759</v>
      </c>
      <c r="Q340" s="3">
        <v>0.06704241191354821</v>
      </c>
      <c r="R340" s="3">
        <v>0.068638699275565</v>
      </c>
      <c r="S340" s="3">
        <v>0.071926002781347</v>
      </c>
      <c r="T340" s="3">
        <v>0.07056420563425859</v>
      </c>
      <c r="U340" s="3">
        <v>0.07092483277005231</v>
      </c>
      <c r="V340" s="3">
        <v>0.0707045282252271</v>
      </c>
      <c r="W340" s="3">
        <v>0.0687171687382766</v>
      </c>
      <c r="X340" s="3">
        <v>0.0681528535087237</v>
      </c>
      <c r="Y340" s="3">
        <v>0.0672987406173929</v>
      </c>
      <c r="Z340" s="3">
        <v>0.0686814994407304</v>
      </c>
      <c r="AA340" s="3">
        <v>0.07146260600269889</v>
      </c>
      <c r="AB340" s="3">
        <v>0.0725865753181584</v>
      </c>
      <c r="AC340" s="3">
        <v>0.0779659097117076</v>
      </c>
      <c r="AD340" s="3">
        <v>0.0764101345755018</v>
      </c>
      <c r="AE340" s="3">
        <v>0.07336933041016171</v>
      </c>
      <c r="AF340" s="3">
        <v>0.07100684771473249</v>
      </c>
      <c r="AG340" s="3">
        <v>0.068854810818426</v>
      </c>
      <c r="AH340" s="3">
        <v>0.06704243576799029</v>
      </c>
      <c r="AI340" s="3">
        <v>0.0660369267535872</v>
      </c>
      <c r="AJ340" s="3">
        <v>0.0654094300743905</v>
      </c>
      <c r="AK340" s="3">
        <v>0.0657868452822012</v>
      </c>
      <c r="AL340" s="3">
        <v>0.06644165969987741</v>
      </c>
      <c r="AM340" s="3">
        <v>0.0684066125796039</v>
      </c>
      <c r="AN340" s="3">
        <v>0.0697903542996334</v>
      </c>
      <c r="AO340" s="3">
        <v>0.0721877320735375</v>
      </c>
      <c r="AP340" s="3">
        <v>0.0728722478003855</v>
      </c>
      <c r="AQ340" s="3">
        <v>0.073688853197744</v>
      </c>
      <c r="AR340" s="3">
        <v>0.07433811825884069</v>
      </c>
      <c r="AS340" s="3">
        <v>0.0738278131669409</v>
      </c>
      <c r="AT340" s="3">
        <v>0.0748270589913608</v>
      </c>
      <c r="AU340" s="3">
        <v>0.0754713360211228</v>
      </c>
      <c r="AV340" s="3">
        <v>0.0771482820746249</v>
      </c>
      <c r="AW340" s="3">
        <v>0.0781840627504397</v>
      </c>
      <c r="AX340" s="3">
        <v>0.078145176272174</v>
      </c>
      <c r="AY340" s="3">
        <v>0.0771580889638933</v>
      </c>
      <c r="AZ340" s="3">
        <v>0.07604079338903889</v>
      </c>
      <c r="BA340" s="3">
        <v>0.0753759634821685</v>
      </c>
      <c r="BB340" s="3">
        <v>0.07307892829933391</v>
      </c>
      <c r="BC340" s="3">
        <v>0.0711061702388486</v>
      </c>
      <c r="BD340" s="3">
        <v>0.0690211978436605</v>
      </c>
      <c r="BE340" s="3">
        <v>0.0684783841841857</v>
      </c>
      <c r="BF340" s="3">
        <v>0.0693648774314008</v>
      </c>
      <c r="BG340" s="3">
        <v>0.0685253517922907</v>
      </c>
      <c r="BH340" s="3">
        <v>0.0668288705331382</v>
      </c>
      <c r="BI340" s="3">
        <v>0.0672578198825204</v>
      </c>
      <c r="BJ340" s="3">
        <v>0.06856904513422291</v>
      </c>
      <c r="BK340" s="3">
        <v>0.0697675466773636</v>
      </c>
      <c r="BL340" s="3">
        <v>0.0716005625393648</v>
      </c>
      <c r="BM340" s="3">
        <v>0.07339633843882459</v>
      </c>
      <c r="BN340" s="3">
        <v>0.0740698429949453</v>
      </c>
      <c r="BO340" s="3">
        <v>0.0740276547124936</v>
      </c>
      <c r="BP340" s="3">
        <v>0.0747754143758099</v>
      </c>
      <c r="BQ340" s="3">
        <v>0.07422978304693589</v>
      </c>
      <c r="BR340" s="3">
        <v>0.0747863781880653</v>
      </c>
      <c r="BS340" s="3">
        <v>0.074868550628845</v>
      </c>
      <c r="BT340" s="3">
        <v>0.0747317491182645</v>
      </c>
      <c r="BU340" s="3">
        <v>0.0743807702200551</v>
      </c>
      <c r="BV340" s="3">
        <v>0.075267097795258</v>
      </c>
      <c r="BW340" s="3">
        <v>0.0742227793451604</v>
      </c>
      <c r="BX340" s="3">
        <v>0.07356370755248109</v>
      </c>
      <c r="BY340" s="3">
        <v>0.0733966362057735</v>
      </c>
      <c r="BZ340" s="3">
        <v>0.0727564061252414</v>
      </c>
      <c r="CA340" s="3">
        <v>0.07332183210801919</v>
      </c>
      <c r="CB340" s="3">
        <v>0.07451622855649311</v>
      </c>
      <c r="CC340" s="3">
        <v>0.0729910623531827</v>
      </c>
      <c r="CD340" s="3">
        <v>0.07298364727855031</v>
      </c>
      <c r="CE340" s="3">
        <v>0.07279614614124461</v>
      </c>
      <c r="CF340" s="3">
        <v>0.07253841007834839</v>
      </c>
      <c r="CG340" s="3">
        <v>0.072223000928401</v>
      </c>
      <c r="CH340" s="3">
        <v>0.07194520222636459</v>
      </c>
      <c r="CI340" s="3">
        <v>0.0717317509415944</v>
      </c>
      <c r="CJ340" s="3">
        <v>0.0715279653687515</v>
      </c>
      <c r="CK340" s="3">
        <v>0.07135185400741539</v>
      </c>
      <c r="CL340" s="3">
        <v>0.0712112292743988</v>
      </c>
      <c r="CM340" s="3">
        <v>0.0711206862188922</v>
      </c>
      <c r="CN340" s="3">
        <v>0.0711007399004415</v>
      </c>
      <c r="CO340" s="3">
        <v>0.0711538212640708</v>
      </c>
      <c r="CP340" s="3">
        <v>0.07127602541404029</v>
      </c>
      <c r="CQ340" s="3">
        <v>0.0714571183117414</v>
      </c>
      <c r="CR340" s="3">
        <v>0.0716833114483065</v>
      </c>
      <c r="CS340" s="3">
        <v>0.0719434232689586</v>
      </c>
      <c r="CT340" s="3">
        <v>0.0722139095517389</v>
      </c>
      <c r="CU340" s="3">
        <v>0.07247887692439479</v>
      </c>
      <c r="CV340" s="3">
        <v>0.0727182265942954</v>
      </c>
    </row>
    <row r="341" spans="1:100">
      <c r="A341" s="1" t="str">
        <f>IF($L$13="Y",'Population Definitions'!$B$10,"...")</f>
        <v>...</v>
      </c>
      <c r="B341" s="4" t="str">
        <f>IF($L$13="Y","---&gt;","...")</f>
        <v>...</v>
      </c>
      <c r="C341" s="1" t="str">
        <f>IF($L$13="Y",'Population Definitions'!$B$12,"...")</f>
        <v>...</v>
      </c>
      <c r="E341" s="2"/>
      <c r="F341" s="3"/>
      <c r="G341" s="2"/>
      <c r="H341" s="4" t="str">
        <f>IF($L$13="Y","OR","...")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IF($M$13="Y",'Population Definitions'!$B$10,"...")</f>
        <v>...</v>
      </c>
      <c r="B342" s="4" t="str">
        <f>IF($M$13="Y","---&gt;","...")</f>
        <v>...</v>
      </c>
      <c r="C342" s="1" t="str">
        <f>IF($M$13="Y",'Population Definitions'!$B$13,"...")</f>
        <v>...</v>
      </c>
      <c r="E342" s="2"/>
      <c r="F342" s="3"/>
      <c r="G342" s="2"/>
      <c r="H342" s="4" t="str">
        <f>IF($M$13="Y","OR","...")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IF($N$13="Y",'Population Definitions'!$B$10,"...")</f>
        <v>...</v>
      </c>
      <c r="B343" s="4" t="str">
        <f>IF($N$13="Y","---&gt;","...")</f>
        <v>...</v>
      </c>
      <c r="C343" s="1" t="str">
        <f>IF($N$13="Y",'Population Definitions'!$B$14,"...")</f>
        <v>...</v>
      </c>
      <c r="E343" s="2"/>
      <c r="F343" s="3"/>
      <c r="G343" s="2"/>
      <c r="H343" s="4" t="str">
        <f>IF($N$13="Y","OR","...")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IF($O$13="Y",'Population Definitions'!$B$10,"...")</f>
        <v>...</v>
      </c>
      <c r="B344" s="4" t="str">
        <f>IF($O$13="Y","---&gt;","...")</f>
        <v>...</v>
      </c>
      <c r="C344" s="1" t="str">
        <f>IF($O$13="Y",'Population Definitions'!$B$15,"...")</f>
        <v>...</v>
      </c>
      <c r="E344" s="2"/>
      <c r="F344" s="3"/>
      <c r="G344" s="2"/>
      <c r="H344" s="4" t="str">
        <f>IF($O$13="Y","OR","...")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IF($P$13="Y",'Population Definitions'!$B$10,"...")</f>
        <v>...</v>
      </c>
      <c r="B345" s="4" t="str">
        <f>IF($P$13="Y","---&gt;","...")</f>
        <v>...</v>
      </c>
      <c r="C345" s="1" t="str">
        <f>IF($P$13="Y",'Population Definitions'!$B$16,"...")</f>
        <v>...</v>
      </c>
      <c r="E345" s="2"/>
      <c r="F345" s="3"/>
      <c r="G345" s="2"/>
      <c r="H345" s="4" t="str">
        <f>IF($P$13="Y","OR","...")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IF($Q$13="Y",'Population Definitions'!$B$10,"...")</f>
        <v>...</v>
      </c>
      <c r="B346" s="4" t="str">
        <f>IF($Q$13="Y","---&gt;","...")</f>
        <v>...</v>
      </c>
      <c r="C346" s="1" t="str">
        <f>IF($Q$13="Y",'Population Definitions'!$B$17,"...")</f>
        <v>...</v>
      </c>
      <c r="E346" s="2"/>
      <c r="F346" s="3"/>
      <c r="G346" s="2"/>
      <c r="H346" s="4" t="str">
        <f>IF($Q$13="Y","OR","...")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IF($R$13="Y",'Population Definitions'!$B$10,"...")</f>
        <v>...</v>
      </c>
      <c r="B347" s="4" t="str">
        <f>IF($R$13="Y","---&gt;","...")</f>
        <v>...</v>
      </c>
      <c r="C347" s="1" t="str">
        <f>IF($R$13="Y",'Population Definitions'!$B$18,"...")</f>
        <v>...</v>
      </c>
      <c r="E347" s="2"/>
      <c r="F347" s="3"/>
      <c r="G347" s="2"/>
      <c r="H347" s="4" t="str">
        <f>IF($R$13="Y","OR","...")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IF($S$13="Y",'Population Definitions'!$B$10,"...")</f>
        <v>...</v>
      </c>
      <c r="B348" s="4" t="str">
        <f>IF($S$13="Y","---&gt;","...")</f>
        <v>...</v>
      </c>
      <c r="C348" s="1" t="str">
        <f>IF($S$13="Y",'Population Definitions'!$B$19,"...")</f>
        <v>...</v>
      </c>
      <c r="E348" s="2"/>
      <c r="F348" s="3"/>
      <c r="G348" s="2"/>
      <c r="H348" s="4" t="str">
        <f>IF($S$13="Y","OR","...")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IF($T$13="Y",'Population Definitions'!$B$10,"...")</f>
        <v>...</v>
      </c>
      <c r="B349" s="4" t="str">
        <f>IF($T$13="Y","---&gt;","...")</f>
        <v>...</v>
      </c>
      <c r="C349" s="1" t="str">
        <f>IF($T$13="Y",'Population Definitions'!$B$20,"...")</f>
        <v>...</v>
      </c>
      <c r="E349" s="2"/>
      <c r="F349" s="3"/>
      <c r="G349" s="2"/>
      <c r="H349" s="4" t="str">
        <f>IF($T$13="Y","OR","...")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IF($U$13="Y",'Population Definitions'!$B$10,"...")</f>
        <v>...</v>
      </c>
      <c r="B350" s="4" t="str">
        <f>IF($U$13="Y","---&gt;","...")</f>
        <v>...</v>
      </c>
      <c r="C350" s="1" t="str">
        <f>IF($U$13="Y",'Population Definitions'!$B$21,"...")</f>
        <v>...</v>
      </c>
      <c r="E350" s="2"/>
      <c r="F350" s="3"/>
      <c r="G350" s="2"/>
      <c r="H350" s="4" t="str">
        <f>IF($U$13="Y","OR","...")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IF($V$13="Y",'Population Definitions'!$B$10,"...")</f>
        <v>...</v>
      </c>
      <c r="B351" s="4" t="str">
        <f>IF($V$13="Y","---&gt;","...")</f>
        <v>...</v>
      </c>
      <c r="C351" s="1" t="str">
        <f>IF($V$13="Y",'Population Definitions'!$B$22,"...")</f>
        <v>...</v>
      </c>
      <c r="E351" s="2"/>
      <c r="F351" s="3"/>
      <c r="G351" s="2"/>
      <c r="H351" s="4" t="str">
        <f>IF($V$13="Y","OR","...")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IF($W$13="Y",'Population Definitions'!$B$10,"...")</f>
        <v>...</v>
      </c>
      <c r="B352" s="4" t="str">
        <f>IF($W$13="Y","---&gt;","...")</f>
        <v>...</v>
      </c>
      <c r="C352" s="1" t="str">
        <f>IF($W$13="Y",'Population Definitions'!$B$23,"...")</f>
        <v>...</v>
      </c>
      <c r="E352" s="2"/>
      <c r="F352" s="3"/>
      <c r="G352" s="2"/>
      <c r="H352" s="4" t="str">
        <f>IF($W$13="Y","OR","...")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IF($X$13="Y",'Population Definitions'!$B$10,"...")</f>
        <v>...</v>
      </c>
      <c r="B353" s="4" t="str">
        <f>IF($X$13="Y","---&gt;","...")</f>
        <v>...</v>
      </c>
      <c r="C353" s="1" t="str">
        <f>IF($X$13="Y",'Population Definitions'!$B$24,"...")</f>
        <v>...</v>
      </c>
      <c r="E353" s="2"/>
      <c r="F353" s="3"/>
      <c r="G353" s="2"/>
      <c r="H353" s="4" t="str">
        <f>IF($X$13="Y","OR","...")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IF($Y$13="Y",'Population Definitions'!$B$10,"...")</f>
        <v>...</v>
      </c>
      <c r="B354" s="4" t="str">
        <f>IF($Y$13="Y","---&gt;","...")</f>
        <v>...</v>
      </c>
      <c r="C354" s="1" t="str">
        <f>IF($Y$13="Y",'Population Definitions'!$B$25,"...")</f>
        <v>...</v>
      </c>
      <c r="E354" s="2"/>
      <c r="F354" s="3"/>
      <c r="G354" s="2"/>
      <c r="H354" s="4" t="str">
        <f>IF($Y$13="Y","OR","...")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IF($Z$13="Y",'Population Definitions'!$B$10,"...")</f>
        <v>...</v>
      </c>
      <c r="B355" s="4" t="str">
        <f>IF($Z$13="Y","---&gt;","...")</f>
        <v>...</v>
      </c>
      <c r="C355" s="1" t="str">
        <f>IF($Z$13="Y",'Population Definitions'!$B$26,"...")</f>
        <v>...</v>
      </c>
      <c r="E355" s="2"/>
      <c r="F355" s="3"/>
      <c r="G355" s="2"/>
      <c r="H355" s="4" t="str">
        <f>IF($Z$13="Y","OR","...")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IF($AA$13="Y",'Population Definitions'!$B$10,"...")</f>
        <v>...</v>
      </c>
      <c r="B356" s="4" t="str">
        <f>IF($AA$13="Y","---&gt;","...")</f>
        <v>...</v>
      </c>
      <c r="C356" s="1" t="str">
        <f>IF($AA$13="Y",'Population Definitions'!$B$27,"...")</f>
        <v>...</v>
      </c>
      <c r="E356" s="2"/>
      <c r="F356" s="3"/>
      <c r="G356" s="2"/>
      <c r="H356" s="4" t="str">
        <f>IF($AA$13="Y","OR","...")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IF($AB$13="Y",'Population Definitions'!$B$10,"...")</f>
        <v>...</v>
      </c>
      <c r="B357" s="4" t="str">
        <f>IF($AB$13="Y","---&gt;","...")</f>
        <v>...</v>
      </c>
      <c r="C357" s="1" t="str">
        <f>IF($AB$13="Y",'Population Definitions'!$B$28,"...")</f>
        <v>...</v>
      </c>
      <c r="E357" s="2"/>
      <c r="F357" s="3"/>
      <c r="G357" s="2"/>
      <c r="H357" s="4" t="str">
        <f>IF($AB$13="Y","OR","...")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IF($AC$13="Y",'Population Definitions'!$B$10,"...")</f>
        <v>...</v>
      </c>
      <c r="B358" s="4" t="str">
        <f>IF($AC$13="Y","---&gt;","...")</f>
        <v>...</v>
      </c>
      <c r="C358" s="1" t="str">
        <f>IF($AC$13="Y",'Population Definitions'!$B$29,"...")</f>
        <v>...</v>
      </c>
      <c r="E358" s="2"/>
      <c r="F358" s="3"/>
      <c r="G358" s="2"/>
      <c r="H358" s="4" t="str">
        <f>IF($AC$13="Y","OR","...")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IF($AD$13="Y",'Population Definitions'!$B$10,"...")</f>
        <v>...</v>
      </c>
      <c r="B359" s="4" t="str">
        <f>IF($AD$13="Y","---&gt;","...")</f>
        <v>...</v>
      </c>
      <c r="C359" s="1" t="str">
        <f>IF($AD$13="Y",'Population Definitions'!$B$30,"...")</f>
        <v>...</v>
      </c>
      <c r="E359" s="2"/>
      <c r="F359" s="3"/>
      <c r="G359" s="2"/>
      <c r="H359" s="4" t="str">
        <f>IF($AD$13="Y","OR","...")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IF($AE$13="Y",'Population Definitions'!$B$10,"...")</f>
        <v>...</v>
      </c>
      <c r="B360" s="4" t="str">
        <f>IF($AE$13="Y","---&gt;","...")</f>
        <v>...</v>
      </c>
      <c r="C360" s="1" t="str">
        <f>IF($AE$13="Y",'Population Definitions'!$B$31,"...")</f>
        <v>...</v>
      </c>
      <c r="E360" s="2"/>
      <c r="F360" s="3"/>
      <c r="G360" s="2"/>
      <c r="H360" s="4" t="str">
        <f>IF($AE$13="Y","OR","...")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IF($AF$13="Y",'Population Definitions'!$B$10,"...")</f>
        <v>...</v>
      </c>
      <c r="B361" s="4" t="str">
        <f>IF($AF$13="Y","---&gt;","...")</f>
        <v>...</v>
      </c>
      <c r="C361" s="1" t="str">
        <f>IF($AF$13="Y",'Population Definitions'!$B$32,"...")</f>
        <v>...</v>
      </c>
      <c r="E361" s="2"/>
      <c r="F361" s="3"/>
      <c r="G361" s="2"/>
      <c r="H361" s="4" t="str">
        <f>IF($AF$13="Y","OR","...")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IF($AG$13="Y",'Population Definitions'!$B$10,"...")</f>
        <v>...</v>
      </c>
      <c r="B362" s="4" t="str">
        <f>IF($AG$13="Y","---&gt;","...")</f>
        <v>...</v>
      </c>
      <c r="C362" s="1" t="str">
        <f>IF($AG$13="Y",'Population Definitions'!$B$33,"...")</f>
        <v>...</v>
      </c>
      <c r="E362" s="2"/>
      <c r="F362" s="3"/>
      <c r="G362" s="2"/>
      <c r="H362" s="4" t="str">
        <f>IF($AG$13="Y","OR","...")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IF($AH$13="Y",'Population Definitions'!$B$10,"...")</f>
        <v>...</v>
      </c>
      <c r="B363" s="4" t="str">
        <f>IF($AH$13="Y","---&gt;","...")</f>
        <v>...</v>
      </c>
      <c r="C363" s="1" t="str">
        <f>IF($AH$13="Y",'Population Definitions'!$B$34,"...")</f>
        <v>...</v>
      </c>
      <c r="E363" s="2"/>
      <c r="F363" s="3"/>
      <c r="G363" s="2"/>
      <c r="H363" s="4" t="str">
        <f>IF($AH$13="Y","OR","...")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IF($AI$13="Y",'Population Definitions'!$B$10,"...")</f>
        <v>...</v>
      </c>
      <c r="B364" s="4" t="str">
        <f>IF($AI$13="Y","---&gt;","...")</f>
        <v>...</v>
      </c>
      <c r="C364" s="1" t="str">
        <f>IF($AI$13="Y",'Population Definitions'!$B$35,"...")</f>
        <v>...</v>
      </c>
      <c r="E364" s="2"/>
      <c r="F364" s="3"/>
      <c r="G364" s="2"/>
      <c r="H364" s="4" t="str">
        <f>IF($AI$13="Y","OR","...")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IF($AJ$13="Y",'Population Definitions'!$B$10,"...")</f>
        <v>...</v>
      </c>
      <c r="B365" s="4" t="str">
        <f>IF($AJ$13="Y","---&gt;","...")</f>
        <v>...</v>
      </c>
      <c r="C365" s="1" t="str">
        <f>IF($AJ$13="Y",'Population Definitions'!$B$36,"...")</f>
        <v>...</v>
      </c>
      <c r="E365" s="2"/>
      <c r="F365" s="3"/>
      <c r="G365" s="2"/>
      <c r="H365" s="4" t="str">
        <f>IF($AJ$13="Y","OR","...")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IF($AK$13="Y",'Population Definitions'!$B$10,"...")</f>
        <v>...</v>
      </c>
      <c r="B366" s="4" t="str">
        <f>IF($AK$13="Y","---&gt;","...")</f>
        <v>...</v>
      </c>
      <c r="C366" s="1" t="str">
        <f>IF($AK$13="Y",'Population Definitions'!$B$37,"...")</f>
        <v>...</v>
      </c>
      <c r="E366" s="2"/>
      <c r="F366" s="3"/>
      <c r="G366" s="2"/>
      <c r="H366" s="4" t="str">
        <f>IF($AK$13="Y","OR","...")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IF($B$14="Y",'Population Definitions'!$B$11,"...")</f>
        <v>...</v>
      </c>
      <c r="B367" s="4" t="str">
        <f>IF($B$14="Y","---&gt;","...")</f>
        <v>...</v>
      </c>
      <c r="C367" s="1" t="str">
        <f>IF($B$14="Y",'Population Definitions'!$B$2,"...")</f>
        <v>...</v>
      </c>
      <c r="E367" s="2"/>
      <c r="F367" s="3"/>
      <c r="G367" s="2"/>
      <c r="H367" s="4" t="str">
        <f>IF($B$14="Y","OR","...")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IF($C$14="Y",'Population Definitions'!$B$11,"...")</f>
        <v>...</v>
      </c>
      <c r="B368" s="4" t="str">
        <f>IF($C$14="Y","---&gt;","...")</f>
        <v>...</v>
      </c>
      <c r="C368" s="1" t="str">
        <f>IF($C$14="Y",'Population Definitions'!$B$3,"...")</f>
        <v>...</v>
      </c>
      <c r="E368" s="2"/>
      <c r="F368" s="3"/>
      <c r="G368" s="2"/>
      <c r="H368" s="4" t="str">
        <f>IF($C$14="Y","OR","...")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IF($D$14="Y",'Population Definitions'!$B$11,"...")</f>
        <v>...</v>
      </c>
      <c r="B369" s="4" t="str">
        <f>IF($D$14="Y","---&gt;","...")</f>
        <v>...</v>
      </c>
      <c r="C369" s="1" t="str">
        <f>IF($D$14="Y",'Population Definitions'!$B$4,"...")</f>
        <v>...</v>
      </c>
      <c r="E369" s="2"/>
      <c r="F369" s="3"/>
      <c r="G369" s="2"/>
      <c r="H369" s="4" t="str">
        <f>IF($D$14="Y","OR","...")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IF($E$14="Y",'Population Definitions'!$B$11,"...")</f>
        <v>...</v>
      </c>
      <c r="B370" s="4" t="str">
        <f>IF($E$14="Y","---&gt;","...")</f>
        <v>...</v>
      </c>
      <c r="C370" s="1" t="str">
        <f>IF($E$14="Y",'Population Definitions'!$B$5,"...")</f>
        <v>...</v>
      </c>
      <c r="E370" s="2"/>
      <c r="F370" s="3"/>
      <c r="G370" s="2"/>
      <c r="H370" s="4" t="str">
        <f>IF($E$14="Y","OR","...")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IF($F$14="Y",'Population Definitions'!$B$11,"...")</f>
        <v>...</v>
      </c>
      <c r="B371" s="4" t="str">
        <f>IF($F$14="Y","---&gt;","...")</f>
        <v>...</v>
      </c>
      <c r="C371" s="1" t="str">
        <f>IF($F$14="Y",'Population Definitions'!$B$6,"...")</f>
        <v>...</v>
      </c>
      <c r="E371" s="2"/>
      <c r="F371" s="3"/>
      <c r="G371" s="2"/>
      <c r="H371" s="4" t="str">
        <f>IF($F$14="Y","OR","...")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IF($G$14="Y",'Population Definitions'!$B$11,"...")</f>
        <v>...</v>
      </c>
      <c r="B372" s="4" t="str">
        <f>IF($G$14="Y","---&gt;","...")</f>
        <v>...</v>
      </c>
      <c r="C372" s="1" t="str">
        <f>IF($G$14="Y",'Population Definitions'!$B$7,"...")</f>
        <v>...</v>
      </c>
      <c r="E372" s="2"/>
      <c r="F372" s="3"/>
      <c r="G372" s="2"/>
      <c r="H372" s="4" t="str">
        <f>IF($G$14="Y","OR","...")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IF($H$14="Y",'Population Definitions'!$B$11,"...")</f>
        <v>...</v>
      </c>
      <c r="B373" s="4" t="str">
        <f>IF($H$14="Y","---&gt;","...")</f>
        <v>...</v>
      </c>
      <c r="C373" s="1" t="str">
        <f>IF($H$14="Y",'Population Definitions'!$B$8,"...")</f>
        <v>...</v>
      </c>
      <c r="E373" s="2"/>
      <c r="F373" s="3"/>
      <c r="G373" s="2"/>
      <c r="H373" s="4" t="str">
        <f>IF($H$14="Y","OR","...")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IF($I$14="Y",'Population Definitions'!$B$11,"...")</f>
        <v>...</v>
      </c>
      <c r="B374" s="4" t="str">
        <f>IF($I$14="Y","---&gt;","...")</f>
        <v>...</v>
      </c>
      <c r="C374" s="1" t="str">
        <f>IF($I$14="Y",'Population Definitions'!$B$9,"...")</f>
        <v>...</v>
      </c>
      <c r="E374" s="2"/>
      <c r="F374" s="3"/>
      <c r="G374" s="2"/>
      <c r="H374" s="4" t="str">
        <f>IF($I$14="Y","OR","...")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IF($J$14="Y",'Population Definitions'!$B$11,"...")</f>
        <v>...</v>
      </c>
      <c r="B375" s="4" t="str">
        <f>IF($J$14="Y","---&gt;","...")</f>
        <v>...</v>
      </c>
      <c r="C375" s="1" t="str">
        <f>IF($J$14="Y",'Population Definitions'!$B$10,"...")</f>
        <v>...</v>
      </c>
      <c r="E375" s="2"/>
      <c r="F375" s="3"/>
      <c r="G375" s="2"/>
      <c r="H375" s="4" t="str">
        <f>IF($J$14="Y","OR","...")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IF($K$14="Y",'Population Definitions'!$B$11,"...")</f>
        <v>...</v>
      </c>
      <c r="B376" s="4" t="str">
        <f>IF($K$14="Y","---&gt;","...")</f>
        <v>...</v>
      </c>
      <c r="C376" s="1" t="str">
        <f>IF($K$14="Y",'Population Definitions'!$B$11,"...")</f>
        <v>...</v>
      </c>
      <c r="E376" s="2"/>
      <c r="F376" s="3"/>
      <c r="G376" s="2"/>
      <c r="H376" s="4" t="str">
        <f>IF($K$14="Y","OR","...")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IF($L$14="Y",'Population Definitions'!$B$11,"...")</f>
        <v>30-49F_aus</v>
      </c>
      <c r="B377" s="4" t="str">
        <f>IF($L$14="Y","---&gt;","...")</f>
        <v>---&gt;</v>
      </c>
      <c r="C377" s="1" t="str">
        <f>IF($L$14="Y",'Population Definitions'!$B$12,"...")</f>
        <v>50-64F_aus</v>
      </c>
      <c r="E377" s="3" t="s">
        <v>63</v>
      </c>
      <c r="F377" s="3"/>
      <c r="G377" s="3"/>
      <c r="H377" s="4" t="str">
        <f>IF($L$14="Y","OR","...")</f>
        <v>OR</v>
      </c>
      <c r="I377" s="3">
        <v>0.0436999639379733</v>
      </c>
      <c r="J377" s="3">
        <v>0.0381447690532423</v>
      </c>
      <c r="K377" s="3">
        <v>0.0368809915391494</v>
      </c>
      <c r="L377" s="3">
        <v>0.0354527276766779</v>
      </c>
      <c r="M377" s="3">
        <v>0.0346153789536337</v>
      </c>
      <c r="N377" s="3">
        <v>0.0369979568377813</v>
      </c>
      <c r="O377" s="3">
        <v>0.0361709233755396</v>
      </c>
      <c r="P377" s="3">
        <v>0.0356820064604667</v>
      </c>
      <c r="Q377" s="3">
        <v>0.0355564500319273</v>
      </c>
      <c r="R377" s="3">
        <v>0.0349715570564185</v>
      </c>
      <c r="S377" s="3">
        <v>0.0364126792094017</v>
      </c>
      <c r="T377" s="3">
        <v>0.0358975173657308</v>
      </c>
      <c r="U377" s="3">
        <v>0.0351376131146321</v>
      </c>
      <c r="V377" s="3">
        <v>0.0384005453583431</v>
      </c>
      <c r="W377" s="3">
        <v>0.0395451816943807</v>
      </c>
      <c r="X377" s="3">
        <v>0.0399086226605797</v>
      </c>
      <c r="Y377" s="3">
        <v>0.0465586663247284</v>
      </c>
      <c r="Z377" s="3">
        <v>0.0454323774338966</v>
      </c>
      <c r="AA377" s="3">
        <v>0.0447089621573232</v>
      </c>
      <c r="AB377" s="3">
        <v>0.0456047039391255</v>
      </c>
      <c r="AC377" s="3">
        <v>0.0461257069517461</v>
      </c>
      <c r="AD377" s="3">
        <v>0.0452551392919267</v>
      </c>
      <c r="AE377" s="3">
        <v>0.0456936667520841</v>
      </c>
      <c r="AF377" s="3">
        <v>0.0455792353417995</v>
      </c>
      <c r="AG377" s="3">
        <v>0.0464053742078169</v>
      </c>
      <c r="AH377" s="3">
        <v>0.0472087284227664</v>
      </c>
      <c r="AI377" s="3">
        <v>0.0475697148389631</v>
      </c>
      <c r="AJ377" s="3">
        <v>0.0483037452263733</v>
      </c>
      <c r="AK377" s="3">
        <v>0.0489075478748004</v>
      </c>
      <c r="AL377" s="3">
        <v>0.049553560598832</v>
      </c>
      <c r="AM377" s="3">
        <v>0.0507717583499419</v>
      </c>
      <c r="AN377" s="3">
        <v>0.0505116292117996</v>
      </c>
      <c r="AO377" s="3">
        <v>0.0502496028007707</v>
      </c>
      <c r="AP377" s="3">
        <v>0.0492111359449421</v>
      </c>
      <c r="AQ377" s="3">
        <v>0.0472940363694751</v>
      </c>
      <c r="AR377" s="3">
        <v>0.0466224100389205</v>
      </c>
      <c r="AS377" s="3">
        <v>0.0460168152214454</v>
      </c>
      <c r="AT377" s="3">
        <v>0.0464769426019745</v>
      </c>
      <c r="AU377" s="3">
        <v>0.0474314436810693</v>
      </c>
      <c r="AV377" s="3">
        <v>0.047307917193336</v>
      </c>
      <c r="AW377" s="3">
        <v>0.0501170697038776</v>
      </c>
      <c r="AX377" s="3">
        <v>0.0492668301225919</v>
      </c>
      <c r="AY377" s="3">
        <v>0.0469494352922833</v>
      </c>
      <c r="AZ377" s="3">
        <v>0.045218093448656</v>
      </c>
      <c r="BA377" s="3">
        <v>0.0439142045888512</v>
      </c>
      <c r="BB377" s="3">
        <v>0.0428590630559399</v>
      </c>
      <c r="BC377" s="3">
        <v>0.0426593296591213</v>
      </c>
      <c r="BD377" s="3">
        <v>0.0426434098967323</v>
      </c>
      <c r="BE377" s="3">
        <v>0.0434850077450064</v>
      </c>
      <c r="BF377" s="3">
        <v>0.044095020893576</v>
      </c>
      <c r="BG377" s="3">
        <v>0.0458589495470164</v>
      </c>
      <c r="BH377" s="3">
        <v>0.0467997223424947</v>
      </c>
      <c r="BI377" s="3">
        <v>0.0483474299172073</v>
      </c>
      <c r="BJ377" s="3">
        <v>0.0487223236550017</v>
      </c>
      <c r="BK377" s="3">
        <v>0.0494113221305067</v>
      </c>
      <c r="BL377" s="3">
        <v>0.049722128035129</v>
      </c>
      <c r="BM377" s="3">
        <v>0.0497557594876207</v>
      </c>
      <c r="BN377" s="3">
        <v>0.0501235389215221</v>
      </c>
      <c r="BO377" s="3">
        <v>0.0504544740302069</v>
      </c>
      <c r="BP377" s="3">
        <v>0.0512087079125791</v>
      </c>
      <c r="BQ377" s="3">
        <v>0.0513220953271589</v>
      </c>
      <c r="BR377" s="3">
        <v>0.050713920795482</v>
      </c>
      <c r="BS377" s="3">
        <v>0.0504583987108558</v>
      </c>
      <c r="BT377" s="3">
        <v>0.0501754512896574</v>
      </c>
      <c r="BU377" s="3">
        <v>0.0500276405867637</v>
      </c>
      <c r="BV377" s="3">
        <v>0.0489620379543448</v>
      </c>
      <c r="BW377" s="3">
        <v>0.0480054773660403</v>
      </c>
      <c r="BX377" s="3">
        <v>0.047021188895724</v>
      </c>
      <c r="BY377" s="3">
        <v>0.0469501996109463</v>
      </c>
      <c r="BZ377" s="3">
        <v>0.0476964770843181</v>
      </c>
      <c r="CA377" s="3">
        <v>0.0473711939798399</v>
      </c>
      <c r="CB377" s="3">
        <v>0.0465220850799142</v>
      </c>
      <c r="CC377" s="3">
        <v>0.046871676414767</v>
      </c>
      <c r="CD377" s="3">
        <v>0.0477628201179257</v>
      </c>
      <c r="CE377" s="3">
        <v>0.0485566597635502</v>
      </c>
      <c r="CF377" s="3">
        <v>0.0496938951418631</v>
      </c>
      <c r="CG377" s="3">
        <v>0.0508163225294448</v>
      </c>
      <c r="CH377" s="3">
        <v>0.0512911656771572</v>
      </c>
      <c r="CI377" s="3">
        <v>0.0512496344310151</v>
      </c>
      <c r="CJ377" s="3">
        <v>0.0516985340588731</v>
      </c>
      <c r="CK377" s="3">
        <v>0.051344350668591</v>
      </c>
      <c r="CL377" s="3">
        <v>0.0516675628293504</v>
      </c>
      <c r="CM377" s="3">
        <v>0.0516874025075529</v>
      </c>
      <c r="CN377" s="3">
        <v>0.0515671970128494</v>
      </c>
      <c r="CO377" s="3">
        <v>0.0513176493437829</v>
      </c>
      <c r="CP377" s="3">
        <v>0.0518210489586704</v>
      </c>
      <c r="CQ377" s="3">
        <v>0.0511282683503775</v>
      </c>
      <c r="CR377" s="3">
        <v>0.0506813423697798</v>
      </c>
      <c r="CS377" s="3">
        <v>0.0505406474845804</v>
      </c>
      <c r="CT377" s="3">
        <v>0.0501143768058601</v>
      </c>
      <c r="CU377" s="3">
        <v>0.0504314818201854</v>
      </c>
      <c r="CV377" s="3">
        <v>0.0511261930697344</v>
      </c>
    </row>
    <row r="378" spans="1:100">
      <c r="A378" s="1" t="str">
        <f>IF($M$14="Y",'Population Definitions'!$B$11,"...")</f>
        <v>...</v>
      </c>
      <c r="B378" s="4" t="str">
        <f>IF($M$14="Y","---&gt;","...")</f>
        <v>...</v>
      </c>
      <c r="C378" s="1" t="str">
        <f>IF($M$14="Y",'Population Definitions'!$B$13,"...")</f>
        <v>...</v>
      </c>
      <c r="E378" s="2"/>
      <c r="F378" s="3"/>
      <c r="G378" s="2"/>
      <c r="H378" s="4" t="str">
        <f>IF($M$14="Y","OR","...")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IF($N$14="Y",'Population Definitions'!$B$11,"...")</f>
        <v>...</v>
      </c>
      <c r="B379" s="4" t="str">
        <f>IF($N$14="Y","---&gt;","...")</f>
        <v>...</v>
      </c>
      <c r="C379" s="1" t="str">
        <f>IF($N$14="Y",'Population Definitions'!$B$14,"...")</f>
        <v>...</v>
      </c>
      <c r="E379" s="2"/>
      <c r="F379" s="3"/>
      <c r="G379" s="2"/>
      <c r="H379" s="4" t="str">
        <f>IF($N$14="Y","OR","...")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IF($O$14="Y",'Population Definitions'!$B$11,"...")</f>
        <v>...</v>
      </c>
      <c r="B380" s="4" t="str">
        <f>IF($O$14="Y","---&gt;","...")</f>
        <v>...</v>
      </c>
      <c r="C380" s="1" t="str">
        <f>IF($O$14="Y",'Population Definitions'!$B$15,"...")</f>
        <v>...</v>
      </c>
      <c r="E380" s="2"/>
      <c r="F380" s="3"/>
      <c r="G380" s="2"/>
      <c r="H380" s="4" t="str">
        <f>IF($O$14="Y","OR","...")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IF($P$14="Y",'Population Definitions'!$B$11,"...")</f>
        <v>...</v>
      </c>
      <c r="B381" s="4" t="str">
        <f>IF($P$14="Y","---&gt;","...")</f>
        <v>...</v>
      </c>
      <c r="C381" s="1" t="str">
        <f>IF($P$14="Y",'Population Definitions'!$B$16,"...")</f>
        <v>...</v>
      </c>
      <c r="E381" s="2"/>
      <c r="F381" s="3"/>
      <c r="G381" s="2"/>
      <c r="H381" s="4" t="str">
        <f>IF($P$14="Y","OR","...")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IF($Q$14="Y",'Population Definitions'!$B$11,"...")</f>
        <v>...</v>
      </c>
      <c r="B382" s="4" t="str">
        <f>IF($Q$14="Y","---&gt;","...")</f>
        <v>...</v>
      </c>
      <c r="C382" s="1" t="str">
        <f>IF($Q$14="Y",'Population Definitions'!$B$17,"...")</f>
        <v>...</v>
      </c>
      <c r="E382" s="2"/>
      <c r="F382" s="3"/>
      <c r="G382" s="2"/>
      <c r="H382" s="4" t="str">
        <f>IF($Q$14="Y","OR","...")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IF($R$14="Y",'Population Definitions'!$B$11,"...")</f>
        <v>...</v>
      </c>
      <c r="B383" s="4" t="str">
        <f>IF($R$14="Y","---&gt;","...")</f>
        <v>...</v>
      </c>
      <c r="C383" s="1" t="str">
        <f>IF($R$14="Y",'Population Definitions'!$B$18,"...")</f>
        <v>...</v>
      </c>
      <c r="E383" s="2"/>
      <c r="F383" s="3"/>
      <c r="G383" s="2"/>
      <c r="H383" s="4" t="str">
        <f>IF($R$14="Y","OR","...")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IF($S$14="Y",'Population Definitions'!$B$11,"...")</f>
        <v>...</v>
      </c>
      <c r="B384" s="4" t="str">
        <f>IF($S$14="Y","---&gt;","...")</f>
        <v>...</v>
      </c>
      <c r="C384" s="1" t="str">
        <f>IF($S$14="Y",'Population Definitions'!$B$19,"...")</f>
        <v>...</v>
      </c>
      <c r="E384" s="2"/>
      <c r="F384" s="3"/>
      <c r="G384" s="2"/>
      <c r="H384" s="4" t="str">
        <f>IF($S$14="Y","OR","...")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IF($T$14="Y",'Population Definitions'!$B$11,"...")</f>
        <v>...</v>
      </c>
      <c r="B385" s="4" t="str">
        <f>IF($T$14="Y","---&gt;","...")</f>
        <v>...</v>
      </c>
      <c r="C385" s="1" t="str">
        <f>IF($T$14="Y",'Population Definitions'!$B$20,"...")</f>
        <v>...</v>
      </c>
      <c r="E385" s="2"/>
      <c r="F385" s="3"/>
      <c r="G385" s="2"/>
      <c r="H385" s="4" t="str">
        <f>IF($T$14="Y","OR","...")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IF($U$14="Y",'Population Definitions'!$B$11,"...")</f>
        <v>...</v>
      </c>
      <c r="B386" s="4" t="str">
        <f>IF($U$14="Y","---&gt;","...")</f>
        <v>...</v>
      </c>
      <c r="C386" s="1" t="str">
        <f>IF($U$14="Y",'Population Definitions'!$B$21,"...")</f>
        <v>...</v>
      </c>
      <c r="E386" s="2"/>
      <c r="F386" s="3"/>
      <c r="G386" s="2"/>
      <c r="H386" s="4" t="str">
        <f>IF($U$14="Y","OR","...")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IF($V$14="Y",'Population Definitions'!$B$11,"...")</f>
        <v>...</v>
      </c>
      <c r="B387" s="4" t="str">
        <f>IF($V$14="Y","---&gt;","...")</f>
        <v>...</v>
      </c>
      <c r="C387" s="1" t="str">
        <f>IF($V$14="Y",'Population Definitions'!$B$22,"...")</f>
        <v>...</v>
      </c>
      <c r="E387" s="2"/>
      <c r="F387" s="3"/>
      <c r="G387" s="2"/>
      <c r="H387" s="4" t="str">
        <f>IF($V$14="Y","OR","...")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IF($W$14="Y",'Population Definitions'!$B$11,"...")</f>
        <v>...</v>
      </c>
      <c r="B388" s="4" t="str">
        <f>IF($W$14="Y","---&gt;","...")</f>
        <v>...</v>
      </c>
      <c r="C388" s="1" t="str">
        <f>IF($W$14="Y",'Population Definitions'!$B$23,"...")</f>
        <v>...</v>
      </c>
      <c r="E388" s="2"/>
      <c r="F388" s="3"/>
      <c r="G388" s="2"/>
      <c r="H388" s="4" t="str">
        <f>IF($W$14="Y","OR","...")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IF($X$14="Y",'Population Definitions'!$B$11,"...")</f>
        <v>...</v>
      </c>
      <c r="B389" s="4" t="str">
        <f>IF($X$14="Y","---&gt;","...")</f>
        <v>...</v>
      </c>
      <c r="C389" s="1" t="str">
        <f>IF($X$14="Y",'Population Definitions'!$B$24,"...")</f>
        <v>...</v>
      </c>
      <c r="E389" s="2"/>
      <c r="F389" s="3"/>
      <c r="G389" s="2"/>
      <c r="H389" s="4" t="str">
        <f>IF($X$14="Y","OR","...")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IF($Y$14="Y",'Population Definitions'!$B$11,"...")</f>
        <v>...</v>
      </c>
      <c r="B390" s="4" t="str">
        <f>IF($Y$14="Y","---&gt;","...")</f>
        <v>...</v>
      </c>
      <c r="C390" s="1" t="str">
        <f>IF($Y$14="Y",'Population Definitions'!$B$25,"...")</f>
        <v>...</v>
      </c>
      <c r="E390" s="2"/>
      <c r="F390" s="3"/>
      <c r="G390" s="2"/>
      <c r="H390" s="4" t="str">
        <f>IF($Y$14="Y","OR","...")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IF($Z$14="Y",'Population Definitions'!$B$11,"...")</f>
        <v>...</v>
      </c>
      <c r="B391" s="4" t="str">
        <f>IF($Z$14="Y","---&gt;","...")</f>
        <v>...</v>
      </c>
      <c r="C391" s="1" t="str">
        <f>IF($Z$14="Y",'Population Definitions'!$B$26,"...")</f>
        <v>...</v>
      </c>
      <c r="E391" s="2"/>
      <c r="F391" s="3"/>
      <c r="G391" s="2"/>
      <c r="H391" s="4" t="str">
        <f>IF($Z$14="Y","OR","...")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IF($AA$14="Y",'Population Definitions'!$B$11,"...")</f>
        <v>...</v>
      </c>
      <c r="B392" s="4" t="str">
        <f>IF($AA$14="Y","---&gt;","...")</f>
        <v>...</v>
      </c>
      <c r="C392" s="1" t="str">
        <f>IF($AA$14="Y",'Population Definitions'!$B$27,"...")</f>
        <v>...</v>
      </c>
      <c r="E392" s="2"/>
      <c r="F392" s="3"/>
      <c r="G392" s="2"/>
      <c r="H392" s="4" t="str">
        <f>IF($AA$14="Y","OR","...")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IF($AB$14="Y",'Population Definitions'!$B$11,"...")</f>
        <v>...</v>
      </c>
      <c r="B393" s="4" t="str">
        <f>IF($AB$14="Y","---&gt;","...")</f>
        <v>...</v>
      </c>
      <c r="C393" s="1" t="str">
        <f>IF($AB$14="Y",'Population Definitions'!$B$28,"...")</f>
        <v>...</v>
      </c>
      <c r="E393" s="2"/>
      <c r="F393" s="3"/>
      <c r="G393" s="2"/>
      <c r="H393" s="4" t="str">
        <f>IF($AB$14="Y","OR","...")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IF($AC$14="Y",'Population Definitions'!$B$11,"...")</f>
        <v>...</v>
      </c>
      <c r="B394" s="4" t="str">
        <f>IF($AC$14="Y","---&gt;","...")</f>
        <v>...</v>
      </c>
      <c r="C394" s="1" t="str">
        <f>IF($AC$14="Y",'Population Definitions'!$B$29,"...")</f>
        <v>...</v>
      </c>
      <c r="E394" s="2"/>
      <c r="F394" s="3"/>
      <c r="G394" s="2"/>
      <c r="H394" s="4" t="str">
        <f>IF($AC$14="Y","OR","...")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IF($AD$14="Y",'Population Definitions'!$B$11,"...")</f>
        <v>...</v>
      </c>
      <c r="B395" s="4" t="str">
        <f>IF($AD$14="Y","---&gt;","...")</f>
        <v>...</v>
      </c>
      <c r="C395" s="1" t="str">
        <f>IF($AD$14="Y",'Population Definitions'!$B$30,"...")</f>
        <v>...</v>
      </c>
      <c r="E395" s="2"/>
      <c r="F395" s="3"/>
      <c r="G395" s="2"/>
      <c r="H395" s="4" t="str">
        <f>IF($AD$14="Y","OR","...")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IF($AE$14="Y",'Population Definitions'!$B$11,"...")</f>
        <v>...</v>
      </c>
      <c r="B396" s="4" t="str">
        <f>IF($AE$14="Y","---&gt;","...")</f>
        <v>...</v>
      </c>
      <c r="C396" s="1" t="str">
        <f>IF($AE$14="Y",'Population Definitions'!$B$31,"...")</f>
        <v>...</v>
      </c>
      <c r="E396" s="2"/>
      <c r="F396" s="3"/>
      <c r="G396" s="2"/>
      <c r="H396" s="4" t="str">
        <f>IF($AE$14="Y","OR","...")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IF($AF$14="Y",'Population Definitions'!$B$11,"...")</f>
        <v>...</v>
      </c>
      <c r="B397" s="4" t="str">
        <f>IF($AF$14="Y","---&gt;","...")</f>
        <v>...</v>
      </c>
      <c r="C397" s="1" t="str">
        <f>IF($AF$14="Y",'Population Definitions'!$B$32,"...")</f>
        <v>...</v>
      </c>
      <c r="E397" s="2"/>
      <c r="F397" s="3"/>
      <c r="G397" s="2"/>
      <c r="H397" s="4" t="str">
        <f>IF($AF$14="Y","OR","...")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IF($AG$14="Y",'Population Definitions'!$B$11,"...")</f>
        <v>...</v>
      </c>
      <c r="B398" s="4" t="str">
        <f>IF($AG$14="Y","---&gt;","...")</f>
        <v>...</v>
      </c>
      <c r="C398" s="1" t="str">
        <f>IF($AG$14="Y",'Population Definitions'!$B$33,"...")</f>
        <v>...</v>
      </c>
      <c r="E398" s="2"/>
      <c r="F398" s="3"/>
      <c r="G398" s="2"/>
      <c r="H398" s="4" t="str">
        <f>IF($AG$14="Y","OR","...")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IF($AH$14="Y",'Population Definitions'!$B$11,"...")</f>
        <v>...</v>
      </c>
      <c r="B399" s="4" t="str">
        <f>IF($AH$14="Y","---&gt;","...")</f>
        <v>...</v>
      </c>
      <c r="C399" s="1" t="str">
        <f>IF($AH$14="Y",'Population Definitions'!$B$34,"...")</f>
        <v>...</v>
      </c>
      <c r="E399" s="2"/>
      <c r="F399" s="3"/>
      <c r="G399" s="2"/>
      <c r="H399" s="4" t="str">
        <f>IF($AH$14="Y","OR","...")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IF($AI$14="Y",'Population Definitions'!$B$11,"...")</f>
        <v>...</v>
      </c>
      <c r="B400" s="4" t="str">
        <f>IF($AI$14="Y","---&gt;","...")</f>
        <v>...</v>
      </c>
      <c r="C400" s="1" t="str">
        <f>IF($AI$14="Y",'Population Definitions'!$B$35,"...")</f>
        <v>...</v>
      </c>
      <c r="E400" s="2"/>
      <c r="F400" s="3"/>
      <c r="G400" s="2"/>
      <c r="H400" s="4" t="str">
        <f>IF($AI$14="Y","OR","...")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IF($AJ$14="Y",'Population Definitions'!$B$11,"...")</f>
        <v>...</v>
      </c>
      <c r="B401" s="4" t="str">
        <f>IF($AJ$14="Y","---&gt;","...")</f>
        <v>...</v>
      </c>
      <c r="C401" s="1" t="str">
        <f>IF($AJ$14="Y",'Population Definitions'!$B$36,"...")</f>
        <v>...</v>
      </c>
      <c r="E401" s="2"/>
      <c r="F401" s="3"/>
      <c r="G401" s="2"/>
      <c r="H401" s="4" t="str">
        <f>IF($AJ$14="Y","OR","...")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IF($AK$14="Y",'Population Definitions'!$B$11,"...")</f>
        <v>...</v>
      </c>
      <c r="B402" s="4" t="str">
        <f>IF($AK$14="Y","---&gt;","...")</f>
        <v>...</v>
      </c>
      <c r="C402" s="1" t="str">
        <f>IF($AK$14="Y",'Population Definitions'!$B$37,"...")</f>
        <v>...</v>
      </c>
      <c r="E402" s="2"/>
      <c r="F402" s="3"/>
      <c r="G402" s="2"/>
      <c r="H402" s="4" t="str">
        <f>IF($AK$14="Y","OR","...")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IF($B$15="Y",'Population Definitions'!$B$12,"...")</f>
        <v>...</v>
      </c>
      <c r="B403" s="4" t="str">
        <f>IF($B$15="Y","---&gt;","...")</f>
        <v>...</v>
      </c>
      <c r="C403" s="1" t="str">
        <f>IF($B$15="Y",'Population Definitions'!$B$2,"...")</f>
        <v>...</v>
      </c>
      <c r="E403" s="2"/>
      <c r="F403" s="3"/>
      <c r="G403" s="2"/>
      <c r="H403" s="4" t="str">
        <f>IF($B$15="Y","OR","...")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IF($C$15="Y",'Population Definitions'!$B$12,"...")</f>
        <v>...</v>
      </c>
      <c r="B404" s="4" t="str">
        <f>IF($C$15="Y","---&gt;","...")</f>
        <v>...</v>
      </c>
      <c r="C404" s="1" t="str">
        <f>IF($C$15="Y",'Population Definitions'!$B$3,"...")</f>
        <v>...</v>
      </c>
      <c r="E404" s="2"/>
      <c r="F404" s="3"/>
      <c r="G404" s="2"/>
      <c r="H404" s="4" t="str">
        <f>IF($C$15="Y","OR","...")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IF($D$15="Y",'Population Definitions'!$B$12,"...")</f>
        <v>...</v>
      </c>
      <c r="B405" s="4" t="str">
        <f>IF($D$15="Y","---&gt;","...")</f>
        <v>...</v>
      </c>
      <c r="C405" s="1" t="str">
        <f>IF($D$15="Y",'Population Definitions'!$B$4,"...")</f>
        <v>...</v>
      </c>
      <c r="E405" s="2"/>
      <c r="F405" s="3"/>
      <c r="G405" s="2"/>
      <c r="H405" s="4" t="str">
        <f>IF($D$15="Y","OR","...")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IF($E$15="Y",'Population Definitions'!$B$12,"...")</f>
        <v>...</v>
      </c>
      <c r="B406" s="4" t="str">
        <f>IF($E$15="Y","---&gt;","...")</f>
        <v>...</v>
      </c>
      <c r="C406" s="1" t="str">
        <f>IF($E$15="Y",'Population Definitions'!$B$5,"...")</f>
        <v>...</v>
      </c>
      <c r="E406" s="2"/>
      <c r="F406" s="3"/>
      <c r="G406" s="2"/>
      <c r="H406" s="4" t="str">
        <f>IF($E$15="Y","OR","...")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IF($F$15="Y",'Population Definitions'!$B$12,"...")</f>
        <v>...</v>
      </c>
      <c r="B407" s="4" t="str">
        <f>IF($F$15="Y","---&gt;","...")</f>
        <v>...</v>
      </c>
      <c r="C407" s="1" t="str">
        <f>IF($F$15="Y",'Population Definitions'!$B$6,"...")</f>
        <v>...</v>
      </c>
      <c r="E407" s="2"/>
      <c r="F407" s="3"/>
      <c r="G407" s="2"/>
      <c r="H407" s="4" t="str">
        <f>IF($F$15="Y","OR","...")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IF($G$15="Y",'Population Definitions'!$B$12,"...")</f>
        <v>...</v>
      </c>
      <c r="B408" s="4" t="str">
        <f>IF($G$15="Y","---&gt;","...")</f>
        <v>...</v>
      </c>
      <c r="C408" s="1" t="str">
        <f>IF($G$15="Y",'Population Definitions'!$B$7,"...")</f>
        <v>...</v>
      </c>
      <c r="E408" s="2"/>
      <c r="F408" s="3"/>
      <c r="G408" s="2"/>
      <c r="H408" s="4" t="str">
        <f>IF($G$15="Y","OR","...")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IF($H$15="Y",'Population Definitions'!$B$12,"...")</f>
        <v>...</v>
      </c>
      <c r="B409" s="4" t="str">
        <f>IF($H$15="Y","---&gt;","...")</f>
        <v>...</v>
      </c>
      <c r="C409" s="1" t="str">
        <f>IF($H$15="Y",'Population Definitions'!$B$8,"...")</f>
        <v>...</v>
      </c>
      <c r="E409" s="2"/>
      <c r="F409" s="3"/>
      <c r="G409" s="2"/>
      <c r="H409" s="4" t="str">
        <f>IF($H$15="Y","OR","...")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IF($I$15="Y",'Population Definitions'!$B$12,"...")</f>
        <v>...</v>
      </c>
      <c r="B410" s="4" t="str">
        <f>IF($I$15="Y","---&gt;","...")</f>
        <v>...</v>
      </c>
      <c r="C410" s="1" t="str">
        <f>IF($I$15="Y",'Population Definitions'!$B$9,"...")</f>
        <v>...</v>
      </c>
      <c r="E410" s="2"/>
      <c r="F410" s="3"/>
      <c r="G410" s="2"/>
      <c r="H410" s="4" t="str">
        <f>IF($I$15="Y","OR","...")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IF($J$15="Y",'Population Definitions'!$B$12,"...")</f>
        <v>...</v>
      </c>
      <c r="B411" s="4" t="str">
        <f>IF($J$15="Y","---&gt;","...")</f>
        <v>...</v>
      </c>
      <c r="C411" s="1" t="str">
        <f>IF($J$15="Y",'Population Definitions'!$B$10,"...")</f>
        <v>...</v>
      </c>
      <c r="E411" s="2"/>
      <c r="F411" s="3"/>
      <c r="G411" s="2"/>
      <c r="H411" s="4" t="str">
        <f>IF($J$15="Y","OR","...")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IF($K$15="Y",'Population Definitions'!$B$12,"...")</f>
        <v>...</v>
      </c>
      <c r="B412" s="4" t="str">
        <f>IF($K$15="Y","---&gt;","...")</f>
        <v>...</v>
      </c>
      <c r="C412" s="1" t="str">
        <f>IF($K$15="Y",'Population Definitions'!$B$11,"...")</f>
        <v>...</v>
      </c>
      <c r="E412" s="2"/>
      <c r="F412" s="3"/>
      <c r="G412" s="2"/>
      <c r="H412" s="4" t="str">
        <f>IF($K$15="Y","OR","...")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IF($L$15="Y",'Population Definitions'!$B$12,"...")</f>
        <v>...</v>
      </c>
      <c r="B413" s="4" t="str">
        <f>IF($L$15="Y","---&gt;","...")</f>
        <v>...</v>
      </c>
      <c r="C413" s="1" t="str">
        <f>IF($L$15="Y",'Population Definitions'!$B$12,"...")</f>
        <v>...</v>
      </c>
      <c r="E413" s="2"/>
      <c r="F413" s="3"/>
      <c r="G413" s="2"/>
      <c r="H413" s="4" t="str">
        <f>IF($L$15="Y","OR","...")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IF($M$15="Y",'Population Definitions'!$B$12,"...")</f>
        <v>50-64F_aus</v>
      </c>
      <c r="B414" s="4" t="str">
        <f>IF($M$15="Y","---&gt;","...")</f>
        <v>---&gt;</v>
      </c>
      <c r="C414" s="1" t="str">
        <f>IF($M$15="Y",'Population Definitions'!$B$13,"...")</f>
        <v>65+F_aus</v>
      </c>
      <c r="E414" s="3" t="s">
        <v>63</v>
      </c>
      <c r="F414" s="3"/>
      <c r="G414" s="3"/>
      <c r="H414" s="4" t="str">
        <f>IF($M$15="Y","OR","...")</f>
        <v>OR</v>
      </c>
      <c r="I414" s="3">
        <v>0.0575411254592481</v>
      </c>
      <c r="J414" s="3">
        <v>0.0562937284976261</v>
      </c>
      <c r="K414" s="3">
        <v>0.0547869191382117</v>
      </c>
      <c r="L414" s="3">
        <v>0.0542545278927039</v>
      </c>
      <c r="M414" s="3">
        <v>0.0590228250258242</v>
      </c>
      <c r="N414" s="3">
        <v>0.066378424548154</v>
      </c>
      <c r="O414" s="3">
        <v>0.06525562915836659</v>
      </c>
      <c r="P414" s="3">
        <v>0.06524530418480071</v>
      </c>
      <c r="Q414" s="3">
        <v>0.0653038409470592</v>
      </c>
      <c r="R414" s="3">
        <v>0.06404703908919759</v>
      </c>
      <c r="S414" s="3">
        <v>0.0672238584202287</v>
      </c>
      <c r="T414" s="3">
        <v>0.063712607572057</v>
      </c>
      <c r="U414" s="3">
        <v>0.06380902237147699</v>
      </c>
      <c r="V414" s="3">
        <v>0.0620157097896136</v>
      </c>
      <c r="W414" s="3">
        <v>0.0599135320496796</v>
      </c>
      <c r="X414" s="3">
        <v>0.0606749415997659</v>
      </c>
      <c r="Y414" s="3">
        <v>0.0548718512429346</v>
      </c>
      <c r="Z414" s="3">
        <v>0.052948323737747</v>
      </c>
      <c r="AA414" s="3">
        <v>0.0505627197867726</v>
      </c>
      <c r="AB414" s="3">
        <v>0.0494033334244756</v>
      </c>
      <c r="AC414" s="3">
        <v>0.0503425802139037</v>
      </c>
      <c r="AD414" s="3">
        <v>0.0495758251124247</v>
      </c>
      <c r="AE414" s="3">
        <v>0.0490615958461216</v>
      </c>
      <c r="AF414" s="3">
        <v>0.0490544407725601</v>
      </c>
      <c r="AG414" s="3">
        <v>0.0484169858152046</v>
      </c>
      <c r="AH414" s="3">
        <v>0.0480744353185696</v>
      </c>
      <c r="AI414" s="3">
        <v>0.0491971077044117</v>
      </c>
      <c r="AJ414" s="3">
        <v>0.0486132552453196</v>
      </c>
      <c r="AK414" s="3">
        <v>0.0519787580503609</v>
      </c>
      <c r="AL414" s="3">
        <v>0.0528323556317103</v>
      </c>
      <c r="AM414" s="3">
        <v>0.0531452236206121</v>
      </c>
      <c r="AN414" s="3">
        <v>0.0611292692405203</v>
      </c>
      <c r="AO414" s="3">
        <v>0.0578255084511425</v>
      </c>
      <c r="AP414" s="3">
        <v>0.05637979669962</v>
      </c>
      <c r="AQ414" s="3">
        <v>0.0571418212985265</v>
      </c>
      <c r="AR414" s="3">
        <v>0.0576257996190553</v>
      </c>
      <c r="AS414" s="3">
        <v>0.0574486320782525</v>
      </c>
      <c r="AT414" s="3">
        <v>0.0585195652709442</v>
      </c>
      <c r="AU414" s="3">
        <v>0.0586783116075981</v>
      </c>
      <c r="AV414" s="3">
        <v>0.0593553129670759</v>
      </c>
      <c r="AW414" s="3">
        <v>0.0604313524511268</v>
      </c>
      <c r="AX414" s="3">
        <v>0.0607736328485874</v>
      </c>
      <c r="AY414" s="3">
        <v>0.0614049384216072</v>
      </c>
      <c r="AZ414" s="3">
        <v>0.0622727488391187</v>
      </c>
      <c r="BA414" s="3">
        <v>0.0633007286934852</v>
      </c>
      <c r="BB414" s="3">
        <v>0.06529456764407909</v>
      </c>
      <c r="BC414" s="3">
        <v>0.06571354054379221</v>
      </c>
      <c r="BD414" s="3">
        <v>0.066299984476933</v>
      </c>
      <c r="BE414" s="3">
        <v>0.0655311633713646</v>
      </c>
      <c r="BF414" s="3">
        <v>0.0636155923505197</v>
      </c>
      <c r="BG414" s="3">
        <v>0.0624559027564033</v>
      </c>
      <c r="BH414" s="3">
        <v>0.0620467217483178</v>
      </c>
      <c r="BI414" s="3">
        <v>0.062598271384026</v>
      </c>
      <c r="BJ414" s="3">
        <v>0.0642184375030741</v>
      </c>
      <c r="BK414" s="3">
        <v>0.06408219784634241</v>
      </c>
      <c r="BL414" s="3">
        <v>0.06756986135427651</v>
      </c>
      <c r="BM414" s="3">
        <v>0.0662472524689057</v>
      </c>
      <c r="BN414" s="3">
        <v>0.0632516530420731</v>
      </c>
      <c r="BO414" s="3">
        <v>0.0610912407968318</v>
      </c>
      <c r="BP414" s="3">
        <v>0.0593077696917135</v>
      </c>
      <c r="BQ414" s="3">
        <v>0.0577507807311705</v>
      </c>
      <c r="BR414" s="3">
        <v>0.0571845666820682</v>
      </c>
      <c r="BS414" s="3">
        <v>0.0568625253373827</v>
      </c>
      <c r="BT414" s="3">
        <v>0.0575719861158254</v>
      </c>
      <c r="BU414" s="3">
        <v>0.0580321503853818</v>
      </c>
      <c r="BV414" s="3">
        <v>0.0599790252626109</v>
      </c>
      <c r="BW414" s="3">
        <v>0.0610033198936557</v>
      </c>
      <c r="BX414" s="3">
        <v>0.0628025888498351</v>
      </c>
      <c r="BY414" s="3">
        <v>0.0632965788220525</v>
      </c>
      <c r="BZ414" s="3">
        <v>0.0642485289767039</v>
      </c>
      <c r="CA414" s="3">
        <v>0.0647282909717521</v>
      </c>
      <c r="CB414" s="3">
        <v>0.0649832279074363</v>
      </c>
      <c r="CC414" s="3">
        <v>0.06579292492259869</v>
      </c>
      <c r="CD414" s="3">
        <v>0.0665480612138753</v>
      </c>
      <c r="CE414" s="3">
        <v>0.0677457283284668</v>
      </c>
      <c r="CF414" s="3">
        <v>0.0681013177815861</v>
      </c>
      <c r="CG414" s="3">
        <v>0.0674056851903649</v>
      </c>
      <c r="CH414" s="3">
        <v>0.0670548484727857</v>
      </c>
      <c r="CI414" s="3">
        <v>0.06662372601065331</v>
      </c>
      <c r="CJ414" s="3">
        <v>0.0663626641855969</v>
      </c>
      <c r="CK414" s="3">
        <v>0.06489463920018181</v>
      </c>
      <c r="CL414" s="3">
        <v>0.0636213975351695</v>
      </c>
      <c r="CM414" s="3">
        <v>0.0622337341171038</v>
      </c>
      <c r="CN414" s="3">
        <v>0.061957002020337</v>
      </c>
      <c r="CO414" s="3">
        <v>0.0627146827056337</v>
      </c>
      <c r="CP414" s="3">
        <v>0.0621629563469406</v>
      </c>
      <c r="CQ414" s="3">
        <v>0.0609475381803935</v>
      </c>
      <c r="CR414" s="3">
        <v>0.061310881275431</v>
      </c>
      <c r="CS414" s="3">
        <v>0.0623387034003962</v>
      </c>
      <c r="CT414" s="3">
        <v>0.06327849426807761</v>
      </c>
      <c r="CU414" s="3">
        <v>0.0646871039627411</v>
      </c>
      <c r="CV414" s="3">
        <v>0.0660617369100647</v>
      </c>
    </row>
    <row r="415" spans="1:100">
      <c r="A415" s="1" t="str">
        <f>IF($N$15="Y",'Population Definitions'!$B$12,"...")</f>
        <v>...</v>
      </c>
      <c r="B415" s="4" t="str">
        <f>IF($N$15="Y","---&gt;","...")</f>
        <v>...</v>
      </c>
      <c r="C415" s="1" t="str">
        <f>IF($N$15="Y",'Population Definitions'!$B$14,"...")</f>
        <v>...</v>
      </c>
      <c r="E415" s="2"/>
      <c r="F415" s="3"/>
      <c r="G415" s="2"/>
      <c r="H415" s="4" t="str">
        <f>IF($N$15="Y","OR","...")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IF($O$15="Y",'Population Definitions'!$B$12,"...")</f>
        <v>...</v>
      </c>
      <c r="B416" s="4" t="str">
        <f>IF($O$15="Y","---&gt;","...")</f>
        <v>...</v>
      </c>
      <c r="C416" s="1" t="str">
        <f>IF($O$15="Y",'Population Definitions'!$B$15,"...")</f>
        <v>...</v>
      </c>
      <c r="E416" s="2"/>
      <c r="F416" s="3"/>
      <c r="G416" s="2"/>
      <c r="H416" s="4" t="str">
        <f>IF($O$15="Y","OR","...")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IF($P$15="Y",'Population Definitions'!$B$12,"...")</f>
        <v>...</v>
      </c>
      <c r="B417" s="4" t="str">
        <f>IF($P$15="Y","---&gt;","...")</f>
        <v>...</v>
      </c>
      <c r="C417" s="1" t="str">
        <f>IF($P$15="Y",'Population Definitions'!$B$16,"...")</f>
        <v>...</v>
      </c>
      <c r="E417" s="2"/>
      <c r="F417" s="3"/>
      <c r="G417" s="2"/>
      <c r="H417" s="4" t="str">
        <f>IF($P$15="Y","OR","...")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IF($Q$15="Y",'Population Definitions'!$B$12,"...")</f>
        <v>...</v>
      </c>
      <c r="B418" s="4" t="str">
        <f>IF($Q$15="Y","---&gt;","...")</f>
        <v>...</v>
      </c>
      <c r="C418" s="1" t="str">
        <f>IF($Q$15="Y",'Population Definitions'!$B$17,"...")</f>
        <v>...</v>
      </c>
      <c r="E418" s="2"/>
      <c r="F418" s="3"/>
      <c r="G418" s="2"/>
      <c r="H418" s="4" t="str">
        <f>IF($Q$15="Y","OR","...")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IF($R$15="Y",'Population Definitions'!$B$12,"...")</f>
        <v>...</v>
      </c>
      <c r="B419" s="4" t="str">
        <f>IF($R$15="Y","---&gt;","...")</f>
        <v>...</v>
      </c>
      <c r="C419" s="1" t="str">
        <f>IF($R$15="Y",'Population Definitions'!$B$18,"...")</f>
        <v>...</v>
      </c>
      <c r="E419" s="2"/>
      <c r="F419" s="3"/>
      <c r="G419" s="2"/>
      <c r="H419" s="4" t="str">
        <f>IF($R$15="Y","OR","...")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IF($S$15="Y",'Population Definitions'!$B$12,"...")</f>
        <v>...</v>
      </c>
      <c r="B420" s="4" t="str">
        <f>IF($S$15="Y","---&gt;","...")</f>
        <v>...</v>
      </c>
      <c r="C420" s="1" t="str">
        <f>IF($S$15="Y",'Population Definitions'!$B$19,"...")</f>
        <v>...</v>
      </c>
      <c r="E420" s="2"/>
      <c r="F420" s="3"/>
      <c r="G420" s="2"/>
      <c r="H420" s="4" t="str">
        <f>IF($S$15="Y","OR","...")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IF($T$15="Y",'Population Definitions'!$B$12,"...")</f>
        <v>...</v>
      </c>
      <c r="B421" s="4" t="str">
        <f>IF($T$15="Y","---&gt;","...")</f>
        <v>...</v>
      </c>
      <c r="C421" s="1" t="str">
        <f>IF($T$15="Y",'Population Definitions'!$B$20,"...")</f>
        <v>...</v>
      </c>
      <c r="E421" s="2"/>
      <c r="F421" s="3"/>
      <c r="G421" s="2"/>
      <c r="H421" s="4" t="str">
        <f>IF($T$15="Y","OR","...")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IF($U$15="Y",'Population Definitions'!$B$12,"...")</f>
        <v>...</v>
      </c>
      <c r="B422" s="4" t="str">
        <f>IF($U$15="Y","---&gt;","...")</f>
        <v>...</v>
      </c>
      <c r="C422" s="1" t="str">
        <f>IF($U$15="Y",'Population Definitions'!$B$21,"...")</f>
        <v>...</v>
      </c>
      <c r="E422" s="2"/>
      <c r="F422" s="3"/>
      <c r="G422" s="2"/>
      <c r="H422" s="4" t="str">
        <f>IF($U$15="Y","OR","...")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IF($V$15="Y",'Population Definitions'!$B$12,"...")</f>
        <v>...</v>
      </c>
      <c r="B423" s="4" t="str">
        <f>IF($V$15="Y","---&gt;","...")</f>
        <v>...</v>
      </c>
      <c r="C423" s="1" t="str">
        <f>IF($V$15="Y",'Population Definitions'!$B$22,"...")</f>
        <v>...</v>
      </c>
      <c r="E423" s="2"/>
      <c r="F423" s="3"/>
      <c r="G423" s="2"/>
      <c r="H423" s="4" t="str">
        <f>IF($V$15="Y","OR","...")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IF($W$15="Y",'Population Definitions'!$B$12,"...")</f>
        <v>...</v>
      </c>
      <c r="B424" s="4" t="str">
        <f>IF($W$15="Y","---&gt;","...")</f>
        <v>...</v>
      </c>
      <c r="C424" s="1" t="str">
        <f>IF($W$15="Y",'Population Definitions'!$B$23,"...")</f>
        <v>...</v>
      </c>
      <c r="E424" s="2"/>
      <c r="F424" s="3"/>
      <c r="G424" s="2"/>
      <c r="H424" s="4" t="str">
        <f>IF($W$15="Y","OR","...")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IF($X$15="Y",'Population Definitions'!$B$12,"...")</f>
        <v>...</v>
      </c>
      <c r="B425" s="4" t="str">
        <f>IF($X$15="Y","---&gt;","...")</f>
        <v>...</v>
      </c>
      <c r="C425" s="1" t="str">
        <f>IF($X$15="Y",'Population Definitions'!$B$24,"...")</f>
        <v>...</v>
      </c>
      <c r="E425" s="2"/>
      <c r="F425" s="3"/>
      <c r="G425" s="2"/>
      <c r="H425" s="4" t="str">
        <f>IF($X$15="Y","OR","...")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IF($Y$15="Y",'Population Definitions'!$B$12,"...")</f>
        <v>...</v>
      </c>
      <c r="B426" s="4" t="str">
        <f>IF($Y$15="Y","---&gt;","...")</f>
        <v>...</v>
      </c>
      <c r="C426" s="1" t="str">
        <f>IF($Y$15="Y",'Population Definitions'!$B$25,"...")</f>
        <v>...</v>
      </c>
      <c r="E426" s="2"/>
      <c r="F426" s="3"/>
      <c r="G426" s="2"/>
      <c r="H426" s="4" t="str">
        <f>IF($Y$15="Y","OR","...")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IF($Z$15="Y",'Population Definitions'!$B$12,"...")</f>
        <v>...</v>
      </c>
      <c r="B427" s="4" t="str">
        <f>IF($Z$15="Y","---&gt;","...")</f>
        <v>...</v>
      </c>
      <c r="C427" s="1" t="str">
        <f>IF($Z$15="Y",'Population Definitions'!$B$26,"...")</f>
        <v>...</v>
      </c>
      <c r="E427" s="2"/>
      <c r="F427" s="3"/>
      <c r="G427" s="2"/>
      <c r="H427" s="4" t="str">
        <f>IF($Z$15="Y","OR","...")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IF($AA$15="Y",'Population Definitions'!$B$12,"...")</f>
        <v>...</v>
      </c>
      <c r="B428" s="4" t="str">
        <f>IF($AA$15="Y","---&gt;","...")</f>
        <v>...</v>
      </c>
      <c r="C428" s="1" t="str">
        <f>IF($AA$15="Y",'Population Definitions'!$B$27,"...")</f>
        <v>...</v>
      </c>
      <c r="E428" s="2"/>
      <c r="F428" s="3"/>
      <c r="G428" s="2"/>
      <c r="H428" s="4" t="str">
        <f>IF($AA$15="Y","OR","...")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IF($AB$15="Y",'Population Definitions'!$B$12,"...")</f>
        <v>...</v>
      </c>
      <c r="B429" s="4" t="str">
        <f>IF($AB$15="Y","---&gt;","...")</f>
        <v>...</v>
      </c>
      <c r="C429" s="1" t="str">
        <f>IF($AB$15="Y",'Population Definitions'!$B$28,"...")</f>
        <v>...</v>
      </c>
      <c r="E429" s="2"/>
      <c r="F429" s="3"/>
      <c r="G429" s="2"/>
      <c r="H429" s="4" t="str">
        <f>IF($AB$15="Y","OR","...")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IF($AC$15="Y",'Population Definitions'!$B$12,"...")</f>
        <v>...</v>
      </c>
      <c r="B430" s="4" t="str">
        <f>IF($AC$15="Y","---&gt;","...")</f>
        <v>...</v>
      </c>
      <c r="C430" s="1" t="str">
        <f>IF($AC$15="Y",'Population Definitions'!$B$29,"...")</f>
        <v>...</v>
      </c>
      <c r="E430" s="2"/>
      <c r="F430" s="3"/>
      <c r="G430" s="2"/>
      <c r="H430" s="4" t="str">
        <f>IF($AC$15="Y","OR","...")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IF($AD$15="Y",'Population Definitions'!$B$12,"...")</f>
        <v>...</v>
      </c>
      <c r="B431" s="4" t="str">
        <f>IF($AD$15="Y","---&gt;","...")</f>
        <v>...</v>
      </c>
      <c r="C431" s="1" t="str">
        <f>IF($AD$15="Y",'Population Definitions'!$B$30,"...")</f>
        <v>...</v>
      </c>
      <c r="E431" s="2"/>
      <c r="F431" s="3"/>
      <c r="G431" s="2"/>
      <c r="H431" s="4" t="str">
        <f>IF($AD$15="Y","OR","...")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IF($AE$15="Y",'Population Definitions'!$B$12,"...")</f>
        <v>...</v>
      </c>
      <c r="B432" s="4" t="str">
        <f>IF($AE$15="Y","---&gt;","...")</f>
        <v>...</v>
      </c>
      <c r="C432" s="1" t="str">
        <f>IF($AE$15="Y",'Population Definitions'!$B$31,"...")</f>
        <v>...</v>
      </c>
      <c r="E432" s="2"/>
      <c r="F432" s="3"/>
      <c r="G432" s="2"/>
      <c r="H432" s="4" t="str">
        <f>IF($AE$15="Y","OR","...")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IF($AF$15="Y",'Population Definitions'!$B$12,"...")</f>
        <v>...</v>
      </c>
      <c r="B433" s="4" t="str">
        <f>IF($AF$15="Y","---&gt;","...")</f>
        <v>...</v>
      </c>
      <c r="C433" s="1" t="str">
        <f>IF($AF$15="Y",'Population Definitions'!$B$32,"...")</f>
        <v>...</v>
      </c>
      <c r="E433" s="2"/>
      <c r="F433" s="3"/>
      <c r="G433" s="2"/>
      <c r="H433" s="4" t="str">
        <f>IF($AF$15="Y","OR","...")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IF($AG$15="Y",'Population Definitions'!$B$12,"...")</f>
        <v>...</v>
      </c>
      <c r="B434" s="4" t="str">
        <f>IF($AG$15="Y","---&gt;","...")</f>
        <v>...</v>
      </c>
      <c r="C434" s="1" t="str">
        <f>IF($AG$15="Y",'Population Definitions'!$B$33,"...")</f>
        <v>...</v>
      </c>
      <c r="E434" s="2"/>
      <c r="F434" s="3"/>
      <c r="G434" s="2"/>
      <c r="H434" s="4" t="str">
        <f>IF($AG$15="Y","OR","...")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IF($AH$15="Y",'Population Definitions'!$B$12,"...")</f>
        <v>...</v>
      </c>
      <c r="B435" s="4" t="str">
        <f>IF($AH$15="Y","---&gt;","...")</f>
        <v>...</v>
      </c>
      <c r="C435" s="1" t="str">
        <f>IF($AH$15="Y",'Population Definitions'!$B$34,"...")</f>
        <v>...</v>
      </c>
      <c r="E435" s="2"/>
      <c r="F435" s="3"/>
      <c r="G435" s="2"/>
      <c r="H435" s="4" t="str">
        <f>IF($AH$15="Y","OR","...")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IF($AI$15="Y",'Population Definitions'!$B$12,"...")</f>
        <v>...</v>
      </c>
      <c r="B436" s="4" t="str">
        <f>IF($AI$15="Y","---&gt;","...")</f>
        <v>...</v>
      </c>
      <c r="C436" s="1" t="str">
        <f>IF($AI$15="Y",'Population Definitions'!$B$35,"...")</f>
        <v>...</v>
      </c>
      <c r="E436" s="2"/>
      <c r="F436" s="3"/>
      <c r="G436" s="2"/>
      <c r="H436" s="4" t="str">
        <f>IF($AI$15="Y","OR","...")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IF($AJ$15="Y",'Population Definitions'!$B$12,"...")</f>
        <v>...</v>
      </c>
      <c r="B437" s="4" t="str">
        <f>IF($AJ$15="Y","---&gt;","...")</f>
        <v>...</v>
      </c>
      <c r="C437" s="1" t="str">
        <f>IF($AJ$15="Y",'Population Definitions'!$B$36,"...")</f>
        <v>...</v>
      </c>
      <c r="E437" s="2"/>
      <c r="F437" s="3"/>
      <c r="G437" s="2"/>
      <c r="H437" s="4" t="str">
        <f>IF($AJ$15="Y","OR","...")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IF($AK$15="Y",'Population Definitions'!$B$12,"...")</f>
        <v>...</v>
      </c>
      <c r="B438" s="4" t="str">
        <f>IF($AK$15="Y","---&gt;","...")</f>
        <v>...</v>
      </c>
      <c r="C438" s="1" t="str">
        <f>IF($AK$15="Y",'Population Definitions'!$B$37,"...")</f>
        <v>...</v>
      </c>
      <c r="E438" s="2"/>
      <c r="F438" s="3"/>
      <c r="G438" s="2"/>
      <c r="H438" s="4" t="str">
        <f>IF($AK$15="Y","OR","...")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IF($B$16="Y",'Population Definitions'!$B$13,"...")</f>
        <v>...</v>
      </c>
      <c r="B439" s="4" t="str">
        <f>IF($B$16="Y","---&gt;","...")</f>
        <v>...</v>
      </c>
      <c r="C439" s="1" t="str">
        <f>IF($B$16="Y",'Population Definitions'!$B$2,"...")</f>
        <v>...</v>
      </c>
      <c r="E439" s="2"/>
      <c r="F439" s="3"/>
      <c r="G439" s="2"/>
      <c r="H439" s="4" t="str">
        <f>IF($B$16="Y","OR","...")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IF($C$16="Y",'Population Definitions'!$B$13,"...")</f>
        <v>...</v>
      </c>
      <c r="B440" s="4" t="str">
        <f>IF($C$16="Y","---&gt;","...")</f>
        <v>...</v>
      </c>
      <c r="C440" s="1" t="str">
        <f>IF($C$16="Y",'Population Definitions'!$B$3,"...")</f>
        <v>...</v>
      </c>
      <c r="E440" s="2"/>
      <c r="F440" s="3"/>
      <c r="G440" s="2"/>
      <c r="H440" s="4" t="str">
        <f>IF($C$16="Y","OR","...")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IF($D$16="Y",'Population Definitions'!$B$13,"...")</f>
        <v>...</v>
      </c>
      <c r="B441" s="4" t="str">
        <f>IF($D$16="Y","---&gt;","...")</f>
        <v>...</v>
      </c>
      <c r="C441" s="1" t="str">
        <f>IF($D$16="Y",'Population Definitions'!$B$4,"...")</f>
        <v>...</v>
      </c>
      <c r="E441" s="2"/>
      <c r="F441" s="3"/>
      <c r="G441" s="2"/>
      <c r="H441" s="4" t="str">
        <f>IF($D$16="Y","OR","...")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IF($E$16="Y",'Population Definitions'!$B$13,"...")</f>
        <v>...</v>
      </c>
      <c r="B442" s="4" t="str">
        <f>IF($E$16="Y","---&gt;","...")</f>
        <v>...</v>
      </c>
      <c r="C442" s="1" t="str">
        <f>IF($E$16="Y",'Population Definitions'!$B$5,"...")</f>
        <v>...</v>
      </c>
      <c r="E442" s="2"/>
      <c r="F442" s="3"/>
      <c r="G442" s="2"/>
      <c r="H442" s="4" t="str">
        <f>IF($E$16="Y","OR","...")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IF($F$16="Y",'Population Definitions'!$B$13,"...")</f>
        <v>...</v>
      </c>
      <c r="B443" s="4" t="str">
        <f>IF($F$16="Y","---&gt;","...")</f>
        <v>...</v>
      </c>
      <c r="C443" s="1" t="str">
        <f>IF($F$16="Y",'Population Definitions'!$B$6,"...")</f>
        <v>...</v>
      </c>
      <c r="E443" s="2"/>
      <c r="F443" s="3"/>
      <c r="G443" s="2"/>
      <c r="H443" s="4" t="str">
        <f>IF($F$16="Y","OR","...")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IF($G$16="Y",'Population Definitions'!$B$13,"...")</f>
        <v>...</v>
      </c>
      <c r="B444" s="4" t="str">
        <f>IF($G$16="Y","---&gt;","...")</f>
        <v>...</v>
      </c>
      <c r="C444" s="1" t="str">
        <f>IF($G$16="Y",'Population Definitions'!$B$7,"...")</f>
        <v>...</v>
      </c>
      <c r="E444" s="2"/>
      <c r="F444" s="3"/>
      <c r="G444" s="2"/>
      <c r="H444" s="4" t="str">
        <f>IF($G$16="Y","OR","...")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IF($H$16="Y",'Population Definitions'!$B$13,"...")</f>
        <v>...</v>
      </c>
      <c r="B445" s="4" t="str">
        <f>IF($H$16="Y","---&gt;","...")</f>
        <v>...</v>
      </c>
      <c r="C445" s="1" t="str">
        <f>IF($H$16="Y",'Population Definitions'!$B$8,"...")</f>
        <v>...</v>
      </c>
      <c r="E445" s="2"/>
      <c r="F445" s="3"/>
      <c r="G445" s="2"/>
      <c r="H445" s="4" t="str">
        <f>IF($H$16="Y","OR","...")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IF($I$16="Y",'Population Definitions'!$B$13,"...")</f>
        <v>...</v>
      </c>
      <c r="B446" s="4" t="str">
        <f>IF($I$16="Y","---&gt;","...")</f>
        <v>...</v>
      </c>
      <c r="C446" s="1" t="str">
        <f>IF($I$16="Y",'Population Definitions'!$B$9,"...")</f>
        <v>...</v>
      </c>
      <c r="E446" s="2"/>
      <c r="F446" s="3"/>
      <c r="G446" s="2"/>
      <c r="H446" s="4" t="str">
        <f>IF($I$16="Y","OR","...")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IF($J$16="Y",'Population Definitions'!$B$13,"...")</f>
        <v>...</v>
      </c>
      <c r="B447" s="4" t="str">
        <f>IF($J$16="Y","---&gt;","...")</f>
        <v>...</v>
      </c>
      <c r="C447" s="1" t="str">
        <f>IF($J$16="Y",'Population Definitions'!$B$10,"...")</f>
        <v>...</v>
      </c>
      <c r="E447" s="2"/>
      <c r="F447" s="3"/>
      <c r="G447" s="2"/>
      <c r="H447" s="4" t="str">
        <f>IF($J$16="Y","OR","...")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IF($K$16="Y",'Population Definitions'!$B$13,"...")</f>
        <v>...</v>
      </c>
      <c r="B448" s="4" t="str">
        <f>IF($K$16="Y","---&gt;","...")</f>
        <v>...</v>
      </c>
      <c r="C448" s="1" t="str">
        <f>IF($K$16="Y",'Population Definitions'!$B$11,"...")</f>
        <v>...</v>
      </c>
      <c r="E448" s="2"/>
      <c r="F448" s="3"/>
      <c r="G448" s="2"/>
      <c r="H448" s="4" t="str">
        <f>IF($K$16="Y","OR","...")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IF($L$16="Y",'Population Definitions'!$B$13,"...")</f>
        <v>...</v>
      </c>
      <c r="B449" s="4" t="str">
        <f>IF($L$16="Y","---&gt;","...")</f>
        <v>...</v>
      </c>
      <c r="C449" s="1" t="str">
        <f>IF($L$16="Y",'Population Definitions'!$B$12,"...")</f>
        <v>...</v>
      </c>
      <c r="E449" s="2"/>
      <c r="F449" s="3"/>
      <c r="G449" s="2"/>
      <c r="H449" s="4" t="str">
        <f>IF($L$16="Y","OR","...")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IF($M$16="Y",'Population Definitions'!$B$13,"...")</f>
        <v>...</v>
      </c>
      <c r="B450" s="4" t="str">
        <f>IF($M$16="Y","---&gt;","...")</f>
        <v>...</v>
      </c>
      <c r="C450" s="1" t="str">
        <f>IF($M$16="Y",'Population Definitions'!$B$13,"...")</f>
        <v>...</v>
      </c>
      <c r="E450" s="2"/>
      <c r="F450" s="3"/>
      <c r="G450" s="2"/>
      <c r="H450" s="4" t="str">
        <f>IF($M$16="Y","OR","...")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IF($N$16="Y",'Population Definitions'!$B$13,"...")</f>
        <v>...</v>
      </c>
      <c r="B451" s="4" t="str">
        <f>IF($N$16="Y","---&gt;","...")</f>
        <v>...</v>
      </c>
      <c r="C451" s="1" t="str">
        <f>IF($N$16="Y",'Population Definitions'!$B$14,"...")</f>
        <v>...</v>
      </c>
      <c r="E451" s="2"/>
      <c r="F451" s="3"/>
      <c r="G451" s="2"/>
      <c r="H451" s="4" t="str">
        <f>IF($N$16="Y","OR","...")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IF($O$16="Y",'Population Definitions'!$B$13,"...")</f>
        <v>...</v>
      </c>
      <c r="B452" s="4" t="str">
        <f>IF($O$16="Y","---&gt;","...")</f>
        <v>...</v>
      </c>
      <c r="C452" s="1" t="str">
        <f>IF($O$16="Y",'Population Definitions'!$B$15,"...")</f>
        <v>...</v>
      </c>
      <c r="E452" s="2"/>
      <c r="F452" s="3"/>
      <c r="G452" s="2"/>
      <c r="H452" s="4" t="str">
        <f>IF($O$16="Y","OR","...")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IF($P$16="Y",'Population Definitions'!$B$13,"...")</f>
        <v>...</v>
      </c>
      <c r="B453" s="4" t="str">
        <f>IF($P$16="Y","---&gt;","...")</f>
        <v>...</v>
      </c>
      <c r="C453" s="1" t="str">
        <f>IF($P$16="Y",'Population Definitions'!$B$16,"...")</f>
        <v>...</v>
      </c>
      <c r="E453" s="2"/>
      <c r="F453" s="3"/>
      <c r="G453" s="2"/>
      <c r="H453" s="4" t="str">
        <f>IF($P$16="Y","OR","...")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IF($Q$16="Y",'Population Definitions'!$B$13,"...")</f>
        <v>...</v>
      </c>
      <c r="B454" s="4" t="str">
        <f>IF($Q$16="Y","---&gt;","...")</f>
        <v>...</v>
      </c>
      <c r="C454" s="1" t="str">
        <f>IF($Q$16="Y",'Population Definitions'!$B$17,"...")</f>
        <v>...</v>
      </c>
      <c r="E454" s="2"/>
      <c r="F454" s="3"/>
      <c r="G454" s="2"/>
      <c r="H454" s="4" t="str">
        <f>IF($Q$16="Y","OR","...")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IF($R$16="Y",'Population Definitions'!$B$13,"...")</f>
        <v>...</v>
      </c>
      <c r="B455" s="4" t="str">
        <f>IF($R$16="Y","---&gt;","...")</f>
        <v>...</v>
      </c>
      <c r="C455" s="1" t="str">
        <f>IF($R$16="Y",'Population Definitions'!$B$18,"...")</f>
        <v>...</v>
      </c>
      <c r="E455" s="2"/>
      <c r="F455" s="3"/>
      <c r="G455" s="2"/>
      <c r="H455" s="4" t="str">
        <f>IF($R$16="Y","OR","...")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IF($S$16="Y",'Population Definitions'!$B$13,"...")</f>
        <v>...</v>
      </c>
      <c r="B456" s="4" t="str">
        <f>IF($S$16="Y","---&gt;","...")</f>
        <v>...</v>
      </c>
      <c r="C456" s="1" t="str">
        <f>IF($S$16="Y",'Population Definitions'!$B$19,"...")</f>
        <v>...</v>
      </c>
      <c r="E456" s="2"/>
      <c r="F456" s="3"/>
      <c r="G456" s="2"/>
      <c r="H456" s="4" t="str">
        <f>IF($S$16="Y","OR","...")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IF($T$16="Y",'Population Definitions'!$B$13,"...")</f>
        <v>...</v>
      </c>
      <c r="B457" s="4" t="str">
        <f>IF($T$16="Y","---&gt;","...")</f>
        <v>...</v>
      </c>
      <c r="C457" s="1" t="str">
        <f>IF($T$16="Y",'Population Definitions'!$B$20,"...")</f>
        <v>...</v>
      </c>
      <c r="E457" s="2"/>
      <c r="F457" s="3"/>
      <c r="G457" s="2"/>
      <c r="H457" s="4" t="str">
        <f>IF($T$16="Y","OR","...")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IF($U$16="Y",'Population Definitions'!$B$13,"...")</f>
        <v>...</v>
      </c>
      <c r="B458" s="4" t="str">
        <f>IF($U$16="Y","---&gt;","...")</f>
        <v>...</v>
      </c>
      <c r="C458" s="1" t="str">
        <f>IF($U$16="Y",'Population Definitions'!$B$21,"...")</f>
        <v>...</v>
      </c>
      <c r="E458" s="2"/>
      <c r="F458" s="3"/>
      <c r="G458" s="2"/>
      <c r="H458" s="4" t="str">
        <f>IF($U$16="Y","OR","...")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IF($V$16="Y",'Population Definitions'!$B$13,"...")</f>
        <v>...</v>
      </c>
      <c r="B459" s="4" t="str">
        <f>IF($V$16="Y","---&gt;","...")</f>
        <v>...</v>
      </c>
      <c r="C459" s="1" t="str">
        <f>IF($V$16="Y",'Population Definitions'!$B$22,"...")</f>
        <v>...</v>
      </c>
      <c r="E459" s="2"/>
      <c r="F459" s="3"/>
      <c r="G459" s="2"/>
      <c r="H459" s="4" t="str">
        <f>IF($V$16="Y","OR","...")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IF($W$16="Y",'Population Definitions'!$B$13,"...")</f>
        <v>...</v>
      </c>
      <c r="B460" s="4" t="str">
        <f>IF($W$16="Y","---&gt;","...")</f>
        <v>...</v>
      </c>
      <c r="C460" s="1" t="str">
        <f>IF($W$16="Y",'Population Definitions'!$B$23,"...")</f>
        <v>...</v>
      </c>
      <c r="E460" s="2"/>
      <c r="F460" s="3"/>
      <c r="G460" s="2"/>
      <c r="H460" s="4" t="str">
        <f>IF($W$16="Y","OR","...")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IF($X$16="Y",'Population Definitions'!$B$13,"...")</f>
        <v>...</v>
      </c>
      <c r="B461" s="4" t="str">
        <f>IF($X$16="Y","---&gt;","...")</f>
        <v>...</v>
      </c>
      <c r="C461" s="1" t="str">
        <f>IF($X$16="Y",'Population Definitions'!$B$24,"...")</f>
        <v>...</v>
      </c>
      <c r="E461" s="2"/>
      <c r="F461" s="3"/>
      <c r="G461" s="2"/>
      <c r="H461" s="4" t="str">
        <f>IF($X$16="Y","OR","...")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IF($Y$16="Y",'Population Definitions'!$B$13,"...")</f>
        <v>...</v>
      </c>
      <c r="B462" s="4" t="str">
        <f>IF($Y$16="Y","---&gt;","...")</f>
        <v>...</v>
      </c>
      <c r="C462" s="1" t="str">
        <f>IF($Y$16="Y",'Population Definitions'!$B$25,"...")</f>
        <v>...</v>
      </c>
      <c r="E462" s="2"/>
      <c r="F462" s="3"/>
      <c r="G462" s="2"/>
      <c r="H462" s="4" t="str">
        <f>IF($Y$16="Y","OR","...")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IF($Z$16="Y",'Population Definitions'!$B$13,"...")</f>
        <v>...</v>
      </c>
      <c r="B463" s="4" t="str">
        <f>IF($Z$16="Y","---&gt;","...")</f>
        <v>...</v>
      </c>
      <c r="C463" s="1" t="str">
        <f>IF($Z$16="Y",'Population Definitions'!$B$26,"...")</f>
        <v>...</v>
      </c>
      <c r="E463" s="2"/>
      <c r="F463" s="3"/>
      <c r="G463" s="2"/>
      <c r="H463" s="4" t="str">
        <f>IF($Z$16="Y","OR","...")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IF($AA$16="Y",'Population Definitions'!$B$13,"...")</f>
        <v>...</v>
      </c>
      <c r="B464" s="4" t="str">
        <f>IF($AA$16="Y","---&gt;","...")</f>
        <v>...</v>
      </c>
      <c r="C464" s="1" t="str">
        <f>IF($AA$16="Y",'Population Definitions'!$B$27,"...")</f>
        <v>...</v>
      </c>
      <c r="E464" s="2"/>
      <c r="F464" s="3"/>
      <c r="G464" s="2"/>
      <c r="H464" s="4" t="str">
        <f>IF($AA$16="Y","OR","...")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IF($AB$16="Y",'Population Definitions'!$B$13,"...")</f>
        <v>...</v>
      </c>
      <c r="B465" s="4" t="str">
        <f>IF($AB$16="Y","---&gt;","...")</f>
        <v>...</v>
      </c>
      <c r="C465" s="1" t="str">
        <f>IF($AB$16="Y",'Population Definitions'!$B$28,"...")</f>
        <v>...</v>
      </c>
      <c r="E465" s="2"/>
      <c r="F465" s="3"/>
      <c r="G465" s="2"/>
      <c r="H465" s="4" t="str">
        <f>IF($AB$16="Y","OR","...")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IF($AC$16="Y",'Population Definitions'!$B$13,"...")</f>
        <v>...</v>
      </c>
      <c r="B466" s="4" t="str">
        <f>IF($AC$16="Y","---&gt;","...")</f>
        <v>...</v>
      </c>
      <c r="C466" s="1" t="str">
        <f>IF($AC$16="Y",'Population Definitions'!$B$29,"...")</f>
        <v>...</v>
      </c>
      <c r="E466" s="2"/>
      <c r="F466" s="3"/>
      <c r="G466" s="2"/>
      <c r="H466" s="4" t="str">
        <f>IF($AC$16="Y","OR","...")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IF($AD$16="Y",'Population Definitions'!$B$13,"...")</f>
        <v>...</v>
      </c>
      <c r="B467" s="4" t="str">
        <f>IF($AD$16="Y","---&gt;","...")</f>
        <v>...</v>
      </c>
      <c r="C467" s="1" t="str">
        <f>IF($AD$16="Y",'Population Definitions'!$B$30,"...")</f>
        <v>...</v>
      </c>
      <c r="E467" s="2"/>
      <c r="F467" s="3"/>
      <c r="G467" s="2"/>
      <c r="H467" s="4" t="str">
        <f>IF($AD$16="Y","OR","...")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IF($AE$16="Y",'Population Definitions'!$B$13,"...")</f>
        <v>...</v>
      </c>
      <c r="B468" s="4" t="str">
        <f>IF($AE$16="Y","---&gt;","...")</f>
        <v>...</v>
      </c>
      <c r="C468" s="1" t="str">
        <f>IF($AE$16="Y",'Population Definitions'!$B$31,"...")</f>
        <v>...</v>
      </c>
      <c r="E468" s="2"/>
      <c r="F468" s="3"/>
      <c r="G468" s="2"/>
      <c r="H468" s="4" t="str">
        <f>IF($AE$16="Y","OR","...")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IF($AF$16="Y",'Population Definitions'!$B$13,"...")</f>
        <v>...</v>
      </c>
      <c r="B469" s="4" t="str">
        <f>IF($AF$16="Y","---&gt;","...")</f>
        <v>...</v>
      </c>
      <c r="C469" s="1" t="str">
        <f>IF($AF$16="Y",'Population Definitions'!$B$32,"...")</f>
        <v>...</v>
      </c>
      <c r="E469" s="2"/>
      <c r="F469" s="3"/>
      <c r="G469" s="2"/>
      <c r="H469" s="4" t="str">
        <f>IF($AF$16="Y","OR","...")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IF($AG$16="Y",'Population Definitions'!$B$13,"...")</f>
        <v>...</v>
      </c>
      <c r="B470" s="4" t="str">
        <f>IF($AG$16="Y","---&gt;","...")</f>
        <v>...</v>
      </c>
      <c r="C470" s="1" t="str">
        <f>IF($AG$16="Y",'Population Definitions'!$B$33,"...")</f>
        <v>...</v>
      </c>
      <c r="E470" s="2"/>
      <c r="F470" s="3"/>
      <c r="G470" s="2"/>
      <c r="H470" s="4" t="str">
        <f>IF($AG$16="Y","OR","...")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IF($AH$16="Y",'Population Definitions'!$B$13,"...")</f>
        <v>...</v>
      </c>
      <c r="B471" s="4" t="str">
        <f>IF($AH$16="Y","---&gt;","...")</f>
        <v>...</v>
      </c>
      <c r="C471" s="1" t="str">
        <f>IF($AH$16="Y",'Population Definitions'!$B$34,"...")</f>
        <v>...</v>
      </c>
      <c r="E471" s="2"/>
      <c r="F471" s="3"/>
      <c r="G471" s="2"/>
      <c r="H471" s="4" t="str">
        <f>IF($AH$16="Y","OR","...")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IF($AI$16="Y",'Population Definitions'!$B$13,"...")</f>
        <v>...</v>
      </c>
      <c r="B472" s="4" t="str">
        <f>IF($AI$16="Y","---&gt;","...")</f>
        <v>...</v>
      </c>
      <c r="C472" s="1" t="str">
        <f>IF($AI$16="Y",'Population Definitions'!$B$35,"...")</f>
        <v>...</v>
      </c>
      <c r="E472" s="2"/>
      <c r="F472" s="3"/>
      <c r="G472" s="2"/>
      <c r="H472" s="4" t="str">
        <f>IF($AI$16="Y","OR","...")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IF($AJ$16="Y",'Population Definitions'!$B$13,"...")</f>
        <v>...</v>
      </c>
      <c r="B473" s="4" t="str">
        <f>IF($AJ$16="Y","---&gt;","...")</f>
        <v>...</v>
      </c>
      <c r="C473" s="1" t="str">
        <f>IF($AJ$16="Y",'Population Definitions'!$B$36,"...")</f>
        <v>...</v>
      </c>
      <c r="E473" s="2"/>
      <c r="F473" s="3"/>
      <c r="G473" s="2"/>
      <c r="H473" s="4" t="str">
        <f>IF($AJ$16="Y","OR","...")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IF($AK$16="Y",'Population Definitions'!$B$13,"...")</f>
        <v>...</v>
      </c>
      <c r="B474" s="4" t="str">
        <f>IF($AK$16="Y","---&gt;","...")</f>
        <v>...</v>
      </c>
      <c r="C474" s="1" t="str">
        <f>IF($AK$16="Y",'Population Definitions'!$B$37,"...")</f>
        <v>...</v>
      </c>
      <c r="E474" s="2"/>
      <c r="F474" s="3"/>
      <c r="G474" s="2"/>
      <c r="H474" s="4" t="str">
        <f>IF($AK$16="Y","OR","...")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IF($B$17="Y",'Population Definitions'!$B$14,"...")</f>
        <v>...</v>
      </c>
      <c r="B475" s="4" t="str">
        <f>IF($B$17="Y","---&gt;","...")</f>
        <v>...</v>
      </c>
      <c r="C475" s="1" t="str">
        <f>IF($B$17="Y",'Population Definitions'!$B$2,"...")</f>
        <v>...</v>
      </c>
      <c r="E475" s="2"/>
      <c r="F475" s="3"/>
      <c r="G475" s="2"/>
      <c r="H475" s="4" t="str">
        <f>IF($B$17="Y","OR","...")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IF($C$17="Y",'Population Definitions'!$B$14,"...")</f>
        <v>...</v>
      </c>
      <c r="B476" s="4" t="str">
        <f>IF($C$17="Y","---&gt;","...")</f>
        <v>...</v>
      </c>
      <c r="C476" s="1" t="str">
        <f>IF($C$17="Y",'Population Definitions'!$B$3,"...")</f>
        <v>...</v>
      </c>
      <c r="E476" s="2"/>
      <c r="F476" s="3"/>
      <c r="G476" s="2"/>
      <c r="H476" s="4" t="str">
        <f>IF($C$17="Y","OR","...")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IF($D$17="Y",'Population Definitions'!$B$14,"...")</f>
        <v>...</v>
      </c>
      <c r="B477" s="4" t="str">
        <f>IF($D$17="Y","---&gt;","...")</f>
        <v>...</v>
      </c>
      <c r="C477" s="1" t="str">
        <f>IF($D$17="Y",'Population Definitions'!$B$4,"...")</f>
        <v>...</v>
      </c>
      <c r="E477" s="2"/>
      <c r="F477" s="3"/>
      <c r="G477" s="2"/>
      <c r="H477" s="4" t="str">
        <f>IF($D$17="Y","OR","...")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IF($E$17="Y",'Population Definitions'!$B$14,"...")</f>
        <v>...</v>
      </c>
      <c r="B478" s="4" t="str">
        <f>IF($E$17="Y","---&gt;","...")</f>
        <v>...</v>
      </c>
      <c r="C478" s="1" t="str">
        <f>IF($E$17="Y",'Population Definitions'!$B$5,"...")</f>
        <v>...</v>
      </c>
      <c r="E478" s="2"/>
      <c r="F478" s="3"/>
      <c r="G478" s="2"/>
      <c r="H478" s="4" t="str">
        <f>IF($E$17="Y","OR","...")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IF($F$17="Y",'Population Definitions'!$B$14,"...")</f>
        <v>...</v>
      </c>
      <c r="B479" s="4" t="str">
        <f>IF($F$17="Y","---&gt;","...")</f>
        <v>...</v>
      </c>
      <c r="C479" s="1" t="str">
        <f>IF($F$17="Y",'Population Definitions'!$B$6,"...")</f>
        <v>...</v>
      </c>
      <c r="E479" s="2"/>
      <c r="F479" s="3"/>
      <c r="G479" s="2"/>
      <c r="H479" s="4" t="str">
        <f>IF($F$17="Y","OR","...")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IF($G$17="Y",'Population Definitions'!$B$14,"...")</f>
        <v>...</v>
      </c>
      <c r="B480" s="4" t="str">
        <f>IF($G$17="Y","---&gt;","...")</f>
        <v>...</v>
      </c>
      <c r="C480" s="1" t="str">
        <f>IF($G$17="Y",'Population Definitions'!$B$7,"...")</f>
        <v>...</v>
      </c>
      <c r="E480" s="2"/>
      <c r="F480" s="3"/>
      <c r="G480" s="2"/>
      <c r="H480" s="4" t="str">
        <f>IF($G$17="Y","OR","...")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IF($H$17="Y",'Population Definitions'!$B$14,"...")</f>
        <v>...</v>
      </c>
      <c r="B481" s="4" t="str">
        <f>IF($H$17="Y","---&gt;","...")</f>
        <v>...</v>
      </c>
      <c r="C481" s="1" t="str">
        <f>IF($H$17="Y",'Population Definitions'!$B$8,"...")</f>
        <v>...</v>
      </c>
      <c r="E481" s="2"/>
      <c r="F481" s="3"/>
      <c r="G481" s="2"/>
      <c r="H481" s="4" t="str">
        <f>IF($H$17="Y","OR","...")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IF($I$17="Y",'Population Definitions'!$B$14,"...")</f>
        <v>...</v>
      </c>
      <c r="B482" s="4" t="str">
        <f>IF($I$17="Y","---&gt;","...")</f>
        <v>...</v>
      </c>
      <c r="C482" s="1" t="str">
        <f>IF($I$17="Y",'Population Definitions'!$B$9,"...")</f>
        <v>...</v>
      </c>
      <c r="E482" s="2"/>
      <c r="F482" s="3"/>
      <c r="G482" s="2"/>
      <c r="H482" s="4" t="str">
        <f>IF($I$17="Y","OR","...")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IF($J$17="Y",'Population Definitions'!$B$14,"...")</f>
        <v>...</v>
      </c>
      <c r="B483" s="4" t="str">
        <f>IF($J$17="Y","---&gt;","...")</f>
        <v>...</v>
      </c>
      <c r="C483" s="1" t="str">
        <f>IF($J$17="Y",'Population Definitions'!$B$10,"...")</f>
        <v>...</v>
      </c>
      <c r="E483" s="2"/>
      <c r="F483" s="3"/>
      <c r="G483" s="2"/>
      <c r="H483" s="4" t="str">
        <f>IF($J$17="Y","OR","...")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IF($K$17="Y",'Population Definitions'!$B$14,"...")</f>
        <v>...</v>
      </c>
      <c r="B484" s="4" t="str">
        <f>IF($K$17="Y","---&gt;","...")</f>
        <v>...</v>
      </c>
      <c r="C484" s="1" t="str">
        <f>IF($K$17="Y",'Population Definitions'!$B$11,"...")</f>
        <v>...</v>
      </c>
      <c r="E484" s="2"/>
      <c r="F484" s="3"/>
      <c r="G484" s="2"/>
      <c r="H484" s="4" t="str">
        <f>IF($K$17="Y","OR","...")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IF($L$17="Y",'Population Definitions'!$B$14,"...")</f>
        <v>...</v>
      </c>
      <c r="B485" s="4" t="str">
        <f>IF($L$17="Y","---&gt;","...")</f>
        <v>...</v>
      </c>
      <c r="C485" s="1" t="str">
        <f>IF($L$17="Y",'Population Definitions'!$B$12,"...")</f>
        <v>...</v>
      </c>
      <c r="E485" s="2"/>
      <c r="F485" s="3"/>
      <c r="G485" s="2"/>
      <c r="H485" s="4" t="str">
        <f>IF($L$17="Y","OR","...")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IF($M$17="Y",'Population Definitions'!$B$14,"...")</f>
        <v>...</v>
      </c>
      <c r="B486" s="4" t="str">
        <f>IF($M$17="Y","---&gt;","...")</f>
        <v>...</v>
      </c>
      <c r="C486" s="1" t="str">
        <f>IF($M$17="Y",'Population Definitions'!$B$13,"...")</f>
        <v>...</v>
      </c>
      <c r="E486" s="2"/>
      <c r="F486" s="3"/>
      <c r="G486" s="2"/>
      <c r="H486" s="4" t="str">
        <f>IF($M$17="Y","OR","...")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IF($N$17="Y",'Population Definitions'!$B$14,"...")</f>
        <v>...</v>
      </c>
      <c r="B487" s="4" t="str">
        <f>IF($N$17="Y","---&gt;","...")</f>
        <v>...</v>
      </c>
      <c r="C487" s="1" t="str">
        <f>IF($N$17="Y",'Population Definitions'!$B$14,"...")</f>
        <v>...</v>
      </c>
      <c r="E487" s="2"/>
      <c r="F487" s="3"/>
      <c r="G487" s="2"/>
      <c r="H487" s="4" t="str">
        <f>IF($N$17="Y","OR","...")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IF($O$17="Y",'Population Definitions'!$B$14,"...")</f>
        <v>0-4M_oth</v>
      </c>
      <c r="B488" s="4" t="str">
        <f>IF($O$17="Y","---&gt;","...")</f>
        <v>---&gt;</v>
      </c>
      <c r="C488" s="1" t="str">
        <f>IF($O$17="Y",'Population Definitions'!$B$15,"...")</f>
        <v>5-14M_oth</v>
      </c>
      <c r="E488" s="3" t="s">
        <v>63</v>
      </c>
      <c r="F488" s="3"/>
      <c r="G488" s="3"/>
      <c r="H488" s="4" t="str">
        <f>IF($O$17="Y","OR","...")</f>
        <v>OR</v>
      </c>
      <c r="I488" s="3">
        <v>0.20478154703602</v>
      </c>
      <c r="J488" s="3">
        <v>0.20200165289823</v>
      </c>
      <c r="K488" s="3">
        <v>0.200238292406753</v>
      </c>
      <c r="L488" s="3">
        <v>0.195595233334666</v>
      </c>
      <c r="M488" s="3">
        <v>0.194983786776337</v>
      </c>
      <c r="N488" s="3">
        <v>0.197279919501509</v>
      </c>
      <c r="O488" s="3">
        <v>0.200011308196827</v>
      </c>
      <c r="P488" s="3">
        <v>0.202949262684329</v>
      </c>
      <c r="Q488" s="3">
        <v>0.200926902740353</v>
      </c>
      <c r="R488" s="3">
        <v>0.201462406912055</v>
      </c>
      <c r="S488" s="3">
        <v>0.200103528813712</v>
      </c>
      <c r="T488" s="3">
        <v>0.197255259067119</v>
      </c>
      <c r="U488" s="3">
        <v>0.196565995610671</v>
      </c>
      <c r="V488" s="3">
        <v>0.197234247851619</v>
      </c>
      <c r="W488" s="3">
        <v>0.20141310332171</v>
      </c>
      <c r="X488" s="3">
        <v>0.202451847306938</v>
      </c>
      <c r="Y488" s="3">
        <v>0.201056181301064</v>
      </c>
      <c r="Z488" s="3">
        <v>0.202548831483862</v>
      </c>
      <c r="AA488" s="3">
        <v>0.20455075881342</v>
      </c>
      <c r="AB488" s="3">
        <v>0.206406599113884</v>
      </c>
      <c r="AC488" s="3">
        <v>0.204711728496175</v>
      </c>
      <c r="AD488" s="3">
        <v>0.203994162801488</v>
      </c>
      <c r="AE488" s="3">
        <v>0.201862079460406</v>
      </c>
      <c r="AF488" s="3">
        <v>0.203465638717769</v>
      </c>
      <c r="AG488" s="3">
        <v>0.203405361764047</v>
      </c>
      <c r="AH488" s="3">
        <v>0.202622389081204</v>
      </c>
      <c r="AI488" s="3">
        <v>0.198244880022153</v>
      </c>
      <c r="AJ488" s="3">
        <v>0.193490428429248</v>
      </c>
      <c r="AK488" s="3">
        <v>0.19116172851326</v>
      </c>
      <c r="AL488" s="3">
        <v>0.1913919851797</v>
      </c>
      <c r="AM488" s="3">
        <v>0.195560361345371</v>
      </c>
      <c r="AN488" s="3">
        <v>0.197910028629562</v>
      </c>
      <c r="AO488" s="3">
        <v>0.198658276222528</v>
      </c>
      <c r="AP488" s="3">
        <v>0.198243574676818</v>
      </c>
      <c r="AQ488" s="3">
        <v>0.200312686423798</v>
      </c>
      <c r="AR488" s="3">
        <v>0.199448457915432</v>
      </c>
      <c r="AS488" s="3">
        <v>0.199908898826949</v>
      </c>
      <c r="AT488" s="3">
        <v>0.203300330033003</v>
      </c>
      <c r="AU488" s="3">
        <v>0.202891103989171</v>
      </c>
      <c r="AV488" s="3">
        <v>0.204512713030168</v>
      </c>
      <c r="AW488" s="3">
        <v>0.209686019370012</v>
      </c>
      <c r="AX488" s="3">
        <v>0.206016504725486</v>
      </c>
      <c r="AY488" s="3">
        <v>0.202436567293799</v>
      </c>
      <c r="AZ488" s="3">
        <v>0.203390154947156</v>
      </c>
      <c r="BA488" s="3">
        <v>0.1997534300145</v>
      </c>
      <c r="BB488" s="3">
        <v>0.201738528356518</v>
      </c>
      <c r="BC488" s="3">
        <v>0.206067405319654</v>
      </c>
      <c r="BD488" s="3">
        <v>0.201969111534172</v>
      </c>
      <c r="BE488" s="3">
        <v>0.202604504010762</v>
      </c>
      <c r="BF488" s="3">
        <v>0.202687344913151</v>
      </c>
      <c r="BG488" s="3">
        <v>0.202538061026201</v>
      </c>
      <c r="BH488" s="3">
        <v>0.202139909383902</v>
      </c>
      <c r="BI488" s="3">
        <v>0.201790449464386</v>
      </c>
      <c r="BJ488" s="3">
        <v>0.20159536161123</v>
      </c>
      <c r="BK488" s="3">
        <v>0.20133591029831</v>
      </c>
      <c r="BL488" s="3">
        <v>0.201019024361994</v>
      </c>
      <c r="BM488" s="3">
        <v>0.200637129633956</v>
      </c>
      <c r="BN488" s="3">
        <v>0.200233933143619</v>
      </c>
      <c r="BO488" s="3">
        <v>0.199896290621962</v>
      </c>
      <c r="BP488" s="3">
        <v>0.199658521716687</v>
      </c>
      <c r="BQ488" s="3">
        <v>0.199539039341326</v>
      </c>
      <c r="BR488" s="3">
        <v>0.199538447252179</v>
      </c>
      <c r="BS488" s="3">
        <v>0.199672266023623</v>
      </c>
      <c r="BT488" s="3">
        <v>0.199931916582032</v>
      </c>
      <c r="BU488" s="3">
        <v>0.200284028913203</v>
      </c>
      <c r="BV488" s="3">
        <v>0.20069155662523</v>
      </c>
      <c r="BW488" s="3">
        <v>0.201111124634724</v>
      </c>
      <c r="BX488" s="3">
        <v>0.201509189460798</v>
      </c>
      <c r="BY488" s="3">
        <v>0.201872751736826</v>
      </c>
      <c r="BZ488" s="3">
        <v>0.202192995431899</v>
      </c>
      <c r="CA488" s="3">
        <v>0.202444613373731</v>
      </c>
      <c r="CB488" s="3">
        <v>0.20263174280318</v>
      </c>
      <c r="CC488" s="3">
        <v>0.202759480188403</v>
      </c>
      <c r="CD488" s="3">
        <v>0.202822031033618</v>
      </c>
      <c r="CE488" s="3">
        <v>0.202827459590209</v>
      </c>
      <c r="CF488" s="3">
        <v>0.202781261430736</v>
      </c>
      <c r="CG488" s="3">
        <v>0.202703804924096</v>
      </c>
      <c r="CH488" s="3">
        <v>0.202608131783864</v>
      </c>
      <c r="CI488" s="3">
        <v>0.202511670079478</v>
      </c>
      <c r="CJ488" s="3">
        <v>0.202406241676574</v>
      </c>
      <c r="CK488" s="3">
        <v>0.202299484020855</v>
      </c>
      <c r="CL488" s="3">
        <v>0.202185421181443</v>
      </c>
      <c r="CM488" s="3">
        <v>0.20205986226002</v>
      </c>
      <c r="CN488" s="3">
        <v>0.201928768745067</v>
      </c>
      <c r="CO488" s="3">
        <v>0.201795073809475</v>
      </c>
      <c r="CP488" s="3">
        <v>0.2016651130583</v>
      </c>
      <c r="CQ488" s="3">
        <v>0.201539197965567</v>
      </c>
      <c r="CR488" s="3">
        <v>0.201420375560153</v>
      </c>
      <c r="CS488" s="3">
        <v>0.201314587201934</v>
      </c>
      <c r="CT488" s="3">
        <v>0.201216770684316</v>
      </c>
      <c r="CU488" s="3">
        <v>0.201145078385081</v>
      </c>
      <c r="CV488" s="3">
        <v>0.2010949026384</v>
      </c>
    </row>
    <row r="489" spans="1:100">
      <c r="A489" s="1" t="str">
        <f>IF($P$17="Y",'Population Definitions'!$B$14,"...")</f>
        <v>...</v>
      </c>
      <c r="B489" s="4" t="str">
        <f>IF($P$17="Y","---&gt;","...")</f>
        <v>...</v>
      </c>
      <c r="C489" s="1" t="str">
        <f>IF($P$17="Y",'Population Definitions'!$B$16,"...")</f>
        <v>...</v>
      </c>
      <c r="E489" s="2"/>
      <c r="F489" s="3"/>
      <c r="G489" s="2"/>
      <c r="H489" s="4" t="str">
        <f>IF($P$17="Y","OR","...")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IF($Q$17="Y",'Population Definitions'!$B$14,"...")</f>
        <v>...</v>
      </c>
      <c r="B490" s="4" t="str">
        <f>IF($Q$17="Y","---&gt;","...")</f>
        <v>...</v>
      </c>
      <c r="C490" s="1" t="str">
        <f>IF($Q$17="Y",'Population Definitions'!$B$17,"...")</f>
        <v>...</v>
      </c>
      <c r="E490" s="2"/>
      <c r="F490" s="3"/>
      <c r="G490" s="2"/>
      <c r="H490" s="4" t="str">
        <f>IF($Q$17="Y","OR","...")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IF($R$17="Y",'Population Definitions'!$B$14,"...")</f>
        <v>...</v>
      </c>
      <c r="B491" s="4" t="str">
        <f>IF($R$17="Y","---&gt;","...")</f>
        <v>...</v>
      </c>
      <c r="C491" s="1" t="str">
        <f>IF($R$17="Y",'Population Definitions'!$B$18,"...")</f>
        <v>...</v>
      </c>
      <c r="E491" s="2"/>
      <c r="F491" s="3"/>
      <c r="G491" s="2"/>
      <c r="H491" s="4" t="str">
        <f>IF($R$17="Y","OR","...")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IF($S$17="Y",'Population Definitions'!$B$14,"...")</f>
        <v>...</v>
      </c>
      <c r="B492" s="4" t="str">
        <f>IF($S$17="Y","---&gt;","...")</f>
        <v>...</v>
      </c>
      <c r="C492" s="1" t="str">
        <f>IF($S$17="Y",'Population Definitions'!$B$19,"...")</f>
        <v>...</v>
      </c>
      <c r="E492" s="2"/>
      <c r="F492" s="3"/>
      <c r="G492" s="2"/>
      <c r="H492" s="4" t="str">
        <f>IF($S$17="Y","OR","...")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IF($T$17="Y",'Population Definitions'!$B$14,"...")</f>
        <v>...</v>
      </c>
      <c r="B493" s="4" t="str">
        <f>IF($T$17="Y","---&gt;","...")</f>
        <v>...</v>
      </c>
      <c r="C493" s="1" t="str">
        <f>IF($T$17="Y",'Population Definitions'!$B$20,"...")</f>
        <v>...</v>
      </c>
      <c r="E493" s="2"/>
      <c r="F493" s="3"/>
      <c r="G493" s="2"/>
      <c r="H493" s="4" t="str">
        <f>IF($T$17="Y","OR","...")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IF($U$17="Y",'Population Definitions'!$B$14,"...")</f>
        <v>...</v>
      </c>
      <c r="B494" s="4" t="str">
        <f>IF($U$17="Y","---&gt;","...")</f>
        <v>...</v>
      </c>
      <c r="C494" s="1" t="str">
        <f>IF($U$17="Y",'Population Definitions'!$B$21,"...")</f>
        <v>...</v>
      </c>
      <c r="E494" s="2"/>
      <c r="F494" s="3"/>
      <c r="G494" s="2"/>
      <c r="H494" s="4" t="str">
        <f>IF($U$17="Y","OR","...")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IF($V$17="Y",'Population Definitions'!$B$14,"...")</f>
        <v>...</v>
      </c>
      <c r="B495" s="4" t="str">
        <f>IF($V$17="Y","---&gt;","...")</f>
        <v>...</v>
      </c>
      <c r="C495" s="1" t="str">
        <f>IF($V$17="Y",'Population Definitions'!$B$22,"...")</f>
        <v>...</v>
      </c>
      <c r="E495" s="2"/>
      <c r="F495" s="3"/>
      <c r="G495" s="2"/>
      <c r="H495" s="4" t="str">
        <f>IF($V$17="Y","OR","...")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IF($W$17="Y",'Population Definitions'!$B$14,"...")</f>
        <v>...</v>
      </c>
      <c r="B496" s="4" t="str">
        <f>IF($W$17="Y","---&gt;","...")</f>
        <v>...</v>
      </c>
      <c r="C496" s="1" t="str">
        <f>IF($W$17="Y",'Population Definitions'!$B$23,"...")</f>
        <v>...</v>
      </c>
      <c r="E496" s="2"/>
      <c r="F496" s="3"/>
      <c r="G496" s="2"/>
      <c r="H496" s="4" t="str">
        <f>IF($W$17="Y","OR","...")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IF($X$17="Y",'Population Definitions'!$B$14,"...")</f>
        <v>...</v>
      </c>
      <c r="B497" s="4" t="str">
        <f>IF($X$17="Y","---&gt;","...")</f>
        <v>...</v>
      </c>
      <c r="C497" s="1" t="str">
        <f>IF($X$17="Y",'Population Definitions'!$B$24,"...")</f>
        <v>...</v>
      </c>
      <c r="E497" s="2"/>
      <c r="F497" s="3"/>
      <c r="G497" s="2"/>
      <c r="H497" s="4" t="str">
        <f>IF($X$17="Y","OR","...")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IF($Y$17="Y",'Population Definitions'!$B$14,"...")</f>
        <v>...</v>
      </c>
      <c r="B498" s="4" t="str">
        <f>IF($Y$17="Y","---&gt;","...")</f>
        <v>...</v>
      </c>
      <c r="C498" s="1" t="str">
        <f>IF($Y$17="Y",'Population Definitions'!$B$25,"...")</f>
        <v>...</v>
      </c>
      <c r="E498" s="2"/>
      <c r="F498" s="3"/>
      <c r="G498" s="2"/>
      <c r="H498" s="4" t="str">
        <f>IF($Y$17="Y","OR","...")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IF($Z$17="Y",'Population Definitions'!$B$14,"...")</f>
        <v>...</v>
      </c>
      <c r="B499" s="4" t="str">
        <f>IF($Z$17="Y","---&gt;","...")</f>
        <v>...</v>
      </c>
      <c r="C499" s="1" t="str">
        <f>IF($Z$17="Y",'Population Definitions'!$B$26,"...")</f>
        <v>...</v>
      </c>
      <c r="E499" s="2"/>
      <c r="F499" s="3"/>
      <c r="G499" s="2"/>
      <c r="H499" s="4" t="str">
        <f>IF($Z$17="Y","OR","...")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IF($AA$17="Y",'Population Definitions'!$B$14,"...")</f>
        <v>...</v>
      </c>
      <c r="B500" s="4" t="str">
        <f>IF($AA$17="Y","---&gt;","...")</f>
        <v>...</v>
      </c>
      <c r="C500" s="1" t="str">
        <f>IF($AA$17="Y",'Population Definitions'!$B$27,"...")</f>
        <v>...</v>
      </c>
      <c r="E500" s="2"/>
      <c r="F500" s="3"/>
      <c r="G500" s="2"/>
      <c r="H500" s="4" t="str">
        <f>IF($AA$17="Y","OR","...")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IF($AB$17="Y",'Population Definitions'!$B$14,"...")</f>
        <v>...</v>
      </c>
      <c r="B501" s="4" t="str">
        <f>IF($AB$17="Y","---&gt;","...")</f>
        <v>...</v>
      </c>
      <c r="C501" s="1" t="str">
        <f>IF($AB$17="Y",'Population Definitions'!$B$28,"...")</f>
        <v>...</v>
      </c>
      <c r="E501" s="2"/>
      <c r="F501" s="3"/>
      <c r="G501" s="2"/>
      <c r="H501" s="4" t="str">
        <f>IF($AB$17="Y","OR","...")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IF($AC$17="Y",'Population Definitions'!$B$14,"...")</f>
        <v>...</v>
      </c>
      <c r="B502" s="4" t="str">
        <f>IF($AC$17="Y","---&gt;","...")</f>
        <v>...</v>
      </c>
      <c r="C502" s="1" t="str">
        <f>IF($AC$17="Y",'Population Definitions'!$B$29,"...")</f>
        <v>...</v>
      </c>
      <c r="E502" s="2"/>
      <c r="F502" s="3"/>
      <c r="G502" s="2"/>
      <c r="H502" s="4" t="str">
        <f>IF($AC$17="Y","OR","...")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IF($AD$17="Y",'Population Definitions'!$B$14,"...")</f>
        <v>...</v>
      </c>
      <c r="B503" s="4" t="str">
        <f>IF($AD$17="Y","---&gt;","...")</f>
        <v>...</v>
      </c>
      <c r="C503" s="1" t="str">
        <f>IF($AD$17="Y",'Population Definitions'!$B$30,"...")</f>
        <v>...</v>
      </c>
      <c r="E503" s="2"/>
      <c r="F503" s="3"/>
      <c r="G503" s="2"/>
      <c r="H503" s="4" t="str">
        <f>IF($AD$17="Y","OR","...")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IF($AE$17="Y",'Population Definitions'!$B$14,"...")</f>
        <v>...</v>
      </c>
      <c r="B504" s="4" t="str">
        <f>IF($AE$17="Y","---&gt;","...")</f>
        <v>...</v>
      </c>
      <c r="C504" s="1" t="str">
        <f>IF($AE$17="Y",'Population Definitions'!$B$31,"...")</f>
        <v>...</v>
      </c>
      <c r="E504" s="2"/>
      <c r="F504" s="3"/>
      <c r="G504" s="2"/>
      <c r="H504" s="4" t="str">
        <f>IF($AE$17="Y","OR","...")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IF($AF$17="Y",'Population Definitions'!$B$14,"...")</f>
        <v>...</v>
      </c>
      <c r="B505" s="4" t="str">
        <f>IF($AF$17="Y","---&gt;","...")</f>
        <v>...</v>
      </c>
      <c r="C505" s="1" t="str">
        <f>IF($AF$17="Y",'Population Definitions'!$B$32,"...")</f>
        <v>...</v>
      </c>
      <c r="E505" s="2"/>
      <c r="F505" s="3"/>
      <c r="G505" s="2"/>
      <c r="H505" s="4" t="str">
        <f>IF($AF$17="Y","OR","...")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IF($AG$17="Y",'Population Definitions'!$B$14,"...")</f>
        <v>...</v>
      </c>
      <c r="B506" s="4" t="str">
        <f>IF($AG$17="Y","---&gt;","...")</f>
        <v>...</v>
      </c>
      <c r="C506" s="1" t="str">
        <f>IF($AG$17="Y",'Population Definitions'!$B$33,"...")</f>
        <v>...</v>
      </c>
      <c r="E506" s="2"/>
      <c r="F506" s="3"/>
      <c r="G506" s="2"/>
      <c r="H506" s="4" t="str">
        <f>IF($AG$17="Y","OR","...")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IF($AH$17="Y",'Population Definitions'!$B$14,"...")</f>
        <v>...</v>
      </c>
      <c r="B507" s="4" t="str">
        <f>IF($AH$17="Y","---&gt;","...")</f>
        <v>...</v>
      </c>
      <c r="C507" s="1" t="str">
        <f>IF($AH$17="Y",'Population Definitions'!$B$34,"...")</f>
        <v>...</v>
      </c>
      <c r="E507" s="2"/>
      <c r="F507" s="3"/>
      <c r="G507" s="2"/>
      <c r="H507" s="4" t="str">
        <f>IF($AH$17="Y","OR","...")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IF($AI$17="Y",'Population Definitions'!$B$14,"...")</f>
        <v>...</v>
      </c>
      <c r="B508" s="4" t="str">
        <f>IF($AI$17="Y","---&gt;","...")</f>
        <v>...</v>
      </c>
      <c r="C508" s="1" t="str">
        <f>IF($AI$17="Y",'Population Definitions'!$B$35,"...")</f>
        <v>...</v>
      </c>
      <c r="E508" s="2"/>
      <c r="F508" s="3"/>
      <c r="G508" s="2"/>
      <c r="H508" s="4" t="str">
        <f>IF($AI$17="Y","OR","...")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IF($AJ$17="Y",'Population Definitions'!$B$14,"...")</f>
        <v>...</v>
      </c>
      <c r="B509" s="4" t="str">
        <f>IF($AJ$17="Y","---&gt;","...")</f>
        <v>...</v>
      </c>
      <c r="C509" s="1" t="str">
        <f>IF($AJ$17="Y",'Population Definitions'!$B$36,"...")</f>
        <v>...</v>
      </c>
      <c r="E509" s="2"/>
      <c r="F509" s="3"/>
      <c r="G509" s="2"/>
      <c r="H509" s="4" t="str">
        <f>IF($AJ$17="Y","OR","...")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IF($AK$17="Y",'Population Definitions'!$B$14,"...")</f>
        <v>...</v>
      </c>
      <c r="B510" s="4" t="str">
        <f>IF($AK$17="Y","---&gt;","...")</f>
        <v>...</v>
      </c>
      <c r="C510" s="1" t="str">
        <f>IF($AK$17="Y",'Population Definitions'!$B$37,"...")</f>
        <v>...</v>
      </c>
      <c r="E510" s="2"/>
      <c r="F510" s="3"/>
      <c r="G510" s="2"/>
      <c r="H510" s="4" t="str">
        <f>IF($AK$17="Y","OR","...")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IF($B$18="Y",'Population Definitions'!$B$15,"...")</f>
        <v>...</v>
      </c>
      <c r="B511" s="4" t="str">
        <f>IF($B$18="Y","---&gt;","...")</f>
        <v>...</v>
      </c>
      <c r="C511" s="1" t="str">
        <f>IF($B$18="Y",'Population Definitions'!$B$2,"...")</f>
        <v>...</v>
      </c>
      <c r="E511" s="2"/>
      <c r="F511" s="3"/>
      <c r="G511" s="2"/>
      <c r="H511" s="4" t="str">
        <f>IF($B$18="Y","OR","...")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IF($C$18="Y",'Population Definitions'!$B$15,"...")</f>
        <v>...</v>
      </c>
      <c r="B512" s="4" t="str">
        <f>IF($C$18="Y","---&gt;","...")</f>
        <v>...</v>
      </c>
      <c r="C512" s="1" t="str">
        <f>IF($C$18="Y",'Population Definitions'!$B$3,"...")</f>
        <v>...</v>
      </c>
      <c r="E512" s="2"/>
      <c r="F512" s="3"/>
      <c r="G512" s="2"/>
      <c r="H512" s="4" t="str">
        <f>IF($C$18="Y","OR","...")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IF($D$18="Y",'Population Definitions'!$B$15,"...")</f>
        <v>...</v>
      </c>
      <c r="B513" s="4" t="str">
        <f>IF($D$18="Y","---&gt;","...")</f>
        <v>...</v>
      </c>
      <c r="C513" s="1" t="str">
        <f>IF($D$18="Y",'Population Definitions'!$B$4,"...")</f>
        <v>...</v>
      </c>
      <c r="E513" s="2"/>
      <c r="F513" s="3"/>
      <c r="G513" s="2"/>
      <c r="H513" s="4" t="str">
        <f>IF($D$18="Y","OR","...")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IF($E$18="Y",'Population Definitions'!$B$15,"...")</f>
        <v>...</v>
      </c>
      <c r="B514" s="4" t="str">
        <f>IF($E$18="Y","---&gt;","...")</f>
        <v>...</v>
      </c>
      <c r="C514" s="1" t="str">
        <f>IF($E$18="Y",'Population Definitions'!$B$5,"...")</f>
        <v>...</v>
      </c>
      <c r="E514" s="2"/>
      <c r="F514" s="3"/>
      <c r="G514" s="2"/>
      <c r="H514" s="4" t="str">
        <f>IF($E$18="Y","OR","...")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IF($F$18="Y",'Population Definitions'!$B$15,"...")</f>
        <v>...</v>
      </c>
      <c r="B515" s="4" t="str">
        <f>IF($F$18="Y","---&gt;","...")</f>
        <v>...</v>
      </c>
      <c r="C515" s="1" t="str">
        <f>IF($F$18="Y",'Population Definitions'!$B$6,"...")</f>
        <v>...</v>
      </c>
      <c r="E515" s="2"/>
      <c r="F515" s="3"/>
      <c r="G515" s="2"/>
      <c r="H515" s="4" t="str">
        <f>IF($F$18="Y","OR","...")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IF($G$18="Y",'Population Definitions'!$B$15,"...")</f>
        <v>...</v>
      </c>
      <c r="B516" s="4" t="str">
        <f>IF($G$18="Y","---&gt;","...")</f>
        <v>...</v>
      </c>
      <c r="C516" s="1" t="str">
        <f>IF($G$18="Y",'Population Definitions'!$B$7,"...")</f>
        <v>...</v>
      </c>
      <c r="E516" s="2"/>
      <c r="F516" s="3"/>
      <c r="G516" s="2"/>
      <c r="H516" s="4" t="str">
        <f>IF($G$18="Y","OR","...")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IF($H$18="Y",'Population Definitions'!$B$15,"...")</f>
        <v>...</v>
      </c>
      <c r="B517" s="4" t="str">
        <f>IF($H$18="Y","---&gt;","...")</f>
        <v>...</v>
      </c>
      <c r="C517" s="1" t="str">
        <f>IF($H$18="Y",'Population Definitions'!$B$8,"...")</f>
        <v>...</v>
      </c>
      <c r="E517" s="2"/>
      <c r="F517" s="3"/>
      <c r="G517" s="2"/>
      <c r="H517" s="4" t="str">
        <f>IF($H$18="Y","OR","...")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IF($I$18="Y",'Population Definitions'!$B$15,"...")</f>
        <v>...</v>
      </c>
      <c r="B518" s="4" t="str">
        <f>IF($I$18="Y","---&gt;","...")</f>
        <v>...</v>
      </c>
      <c r="C518" s="1" t="str">
        <f>IF($I$18="Y",'Population Definitions'!$B$9,"...")</f>
        <v>...</v>
      </c>
      <c r="E518" s="2"/>
      <c r="F518" s="3"/>
      <c r="G518" s="2"/>
      <c r="H518" s="4" t="str">
        <f>IF($I$18="Y","OR","...")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IF($J$18="Y",'Population Definitions'!$B$15,"...")</f>
        <v>...</v>
      </c>
      <c r="B519" s="4" t="str">
        <f>IF($J$18="Y","---&gt;","...")</f>
        <v>...</v>
      </c>
      <c r="C519" s="1" t="str">
        <f>IF($J$18="Y",'Population Definitions'!$B$10,"...")</f>
        <v>...</v>
      </c>
      <c r="E519" s="2"/>
      <c r="F519" s="3"/>
      <c r="G519" s="2"/>
      <c r="H519" s="4" t="str">
        <f>IF($J$18="Y","OR","...")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IF($K$18="Y",'Population Definitions'!$B$15,"...")</f>
        <v>...</v>
      </c>
      <c r="B520" s="4" t="str">
        <f>IF($K$18="Y","---&gt;","...")</f>
        <v>...</v>
      </c>
      <c r="C520" s="1" t="str">
        <f>IF($K$18="Y",'Population Definitions'!$B$11,"...")</f>
        <v>...</v>
      </c>
      <c r="E520" s="2"/>
      <c r="F520" s="3"/>
      <c r="G520" s="2"/>
      <c r="H520" s="4" t="str">
        <f>IF($K$18="Y","OR","...")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IF($L$18="Y",'Population Definitions'!$B$15,"...")</f>
        <v>...</v>
      </c>
      <c r="B521" s="4" t="str">
        <f>IF($L$18="Y","---&gt;","...")</f>
        <v>...</v>
      </c>
      <c r="C521" s="1" t="str">
        <f>IF($L$18="Y",'Population Definitions'!$B$12,"...")</f>
        <v>...</v>
      </c>
      <c r="E521" s="2"/>
      <c r="F521" s="3"/>
      <c r="G521" s="2"/>
      <c r="H521" s="4" t="str">
        <f>IF($L$18="Y","OR","...")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IF($M$18="Y",'Population Definitions'!$B$15,"...")</f>
        <v>...</v>
      </c>
      <c r="B522" s="4" t="str">
        <f>IF($M$18="Y","---&gt;","...")</f>
        <v>...</v>
      </c>
      <c r="C522" s="1" t="str">
        <f>IF($M$18="Y",'Population Definitions'!$B$13,"...")</f>
        <v>...</v>
      </c>
      <c r="E522" s="2"/>
      <c r="F522" s="3"/>
      <c r="G522" s="2"/>
      <c r="H522" s="4" t="str">
        <f>IF($M$18="Y","OR","...")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IF($N$18="Y",'Population Definitions'!$B$15,"...")</f>
        <v>...</v>
      </c>
      <c r="B523" s="4" t="str">
        <f>IF($N$18="Y","---&gt;","...")</f>
        <v>...</v>
      </c>
      <c r="C523" s="1" t="str">
        <f>IF($N$18="Y",'Population Definitions'!$B$14,"...")</f>
        <v>...</v>
      </c>
      <c r="E523" s="2"/>
      <c r="F523" s="3"/>
      <c r="G523" s="2"/>
      <c r="H523" s="4" t="str">
        <f>IF($N$18="Y","OR","...")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IF($O$18="Y",'Population Definitions'!$B$15,"...")</f>
        <v>...</v>
      </c>
      <c r="B524" s="4" t="str">
        <f>IF($O$18="Y","---&gt;","...")</f>
        <v>...</v>
      </c>
      <c r="C524" s="1" t="str">
        <f>IF($O$18="Y",'Population Definitions'!$B$15,"...")</f>
        <v>...</v>
      </c>
      <c r="E524" s="2"/>
      <c r="F524" s="3"/>
      <c r="G524" s="2"/>
      <c r="H524" s="4" t="str">
        <f>IF($O$18="Y","OR","...")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IF($P$18="Y",'Population Definitions'!$B$15,"...")</f>
        <v>5-14M_oth</v>
      </c>
      <c r="B525" s="4" t="str">
        <f>IF($P$18="Y","---&gt;","...")</f>
        <v>---&gt;</v>
      </c>
      <c r="C525" s="1" t="str">
        <f>IF($P$18="Y",'Population Definitions'!$B$16,"...")</f>
        <v>15-29M_oth</v>
      </c>
      <c r="E525" s="3" t="s">
        <v>63</v>
      </c>
      <c r="F525" s="3"/>
      <c r="G525" s="3"/>
      <c r="H525" s="4" t="str">
        <f>IF($P$18="Y","OR","...")</f>
        <v>OR</v>
      </c>
      <c r="I525" s="3">
        <v>0.0957467718495414</v>
      </c>
      <c r="J525" s="3">
        <v>0.097168026397445</v>
      </c>
      <c r="K525" s="3">
        <v>0.0984233977353668</v>
      </c>
      <c r="L525" s="3">
        <v>0.103550076210505</v>
      </c>
      <c r="M525" s="3">
        <v>0.105495606072556</v>
      </c>
      <c r="N525" s="3">
        <v>0.114124629171865</v>
      </c>
      <c r="O525" s="3">
        <v>0.1145292385755</v>
      </c>
      <c r="P525" s="3">
        <v>0.110594485832377</v>
      </c>
      <c r="Q525" s="3">
        <v>0.106966536076</v>
      </c>
      <c r="R525" s="3">
        <v>0.103917532574115</v>
      </c>
      <c r="S525" s="3">
        <v>0.101074444729742</v>
      </c>
      <c r="T525" s="3">
        <v>0.0994236590329961</v>
      </c>
      <c r="U525" s="3">
        <v>0.0981541019400459</v>
      </c>
      <c r="V525" s="3">
        <v>0.097885352195697</v>
      </c>
      <c r="W525" s="3">
        <v>0.09754298966538059</v>
      </c>
      <c r="X525" s="3">
        <v>0.0989379406336046</v>
      </c>
      <c r="Y525" s="3">
        <v>0.0998277035841853</v>
      </c>
      <c r="Z525" s="3">
        <v>0.100409713767337</v>
      </c>
      <c r="AA525" s="3">
        <v>0.099318603251679</v>
      </c>
      <c r="AB525" s="3">
        <v>0.09932559377870021</v>
      </c>
      <c r="AC525" s="3">
        <v>0.0995113737515767</v>
      </c>
      <c r="AD525" s="3">
        <v>0.09900079419583679</v>
      </c>
      <c r="AE525" s="3">
        <v>0.0987950953240961</v>
      </c>
      <c r="AF525" s="3">
        <v>0.10004307785113</v>
      </c>
      <c r="AG525" s="3">
        <v>0.102499513643209</v>
      </c>
      <c r="AH525" s="3">
        <v>0.103356407539799</v>
      </c>
      <c r="AI525" s="3">
        <v>0.103599258899895</v>
      </c>
      <c r="AJ525" s="3">
        <v>0.103392068963533</v>
      </c>
      <c r="AK525" s="3">
        <v>0.103490229752715</v>
      </c>
      <c r="AL525" s="3">
        <v>0.104242963888895</v>
      </c>
      <c r="AM525" s="3">
        <v>0.102335416061463</v>
      </c>
      <c r="AN525" s="3">
        <v>0.10113587516892</v>
      </c>
      <c r="AO525" s="3">
        <v>0.09962862359051761</v>
      </c>
      <c r="AP525" s="3">
        <v>0.0985722948168866</v>
      </c>
      <c r="AQ525" s="3">
        <v>0.09724941311359291</v>
      </c>
      <c r="AR525" s="3">
        <v>0.0962279723856467</v>
      </c>
      <c r="AS525" s="3">
        <v>0.0932636732488259</v>
      </c>
      <c r="AT525" s="3">
        <v>0.0921336669390195</v>
      </c>
      <c r="AU525" s="3">
        <v>0.09241514118789571</v>
      </c>
      <c r="AV525" s="3">
        <v>0.0931090807128216</v>
      </c>
      <c r="AW525" s="3">
        <v>0.095614723847885</v>
      </c>
      <c r="AX525" s="3">
        <v>0.09948095069241571</v>
      </c>
      <c r="AY525" s="3">
        <v>0.100564026724864</v>
      </c>
      <c r="AZ525" s="3">
        <v>0.101153202159258</v>
      </c>
      <c r="BA525" s="3">
        <v>0.102246714008794</v>
      </c>
      <c r="BB525" s="3">
        <v>0.102027703717938</v>
      </c>
      <c r="BC525" s="3">
        <v>0.103225381803094</v>
      </c>
      <c r="BD525" s="3">
        <v>0.104241701013392</v>
      </c>
      <c r="BE525" s="3">
        <v>0.104016081659039</v>
      </c>
      <c r="BF525" s="3">
        <v>0.103949670811997</v>
      </c>
      <c r="BG525" s="3">
        <v>0.105249828331854</v>
      </c>
      <c r="BH525" s="3">
        <v>0.10358377509711</v>
      </c>
      <c r="BI525" s="3">
        <v>0.102478032271994</v>
      </c>
      <c r="BJ525" s="3">
        <v>0.102757998803917</v>
      </c>
      <c r="BK525" s="3">
        <v>0.10104749006409</v>
      </c>
      <c r="BL525" s="3">
        <v>0.102075408021069</v>
      </c>
      <c r="BM525" s="3">
        <v>0.104041065853784</v>
      </c>
      <c r="BN525" s="3">
        <v>0.101857682255193</v>
      </c>
      <c r="BO525" s="3">
        <v>0.102053762039484</v>
      </c>
      <c r="BP525" s="3">
        <v>0.101936038397875</v>
      </c>
      <c r="BQ525" s="3">
        <v>0.101682250690425</v>
      </c>
      <c r="BR525" s="3">
        <v>0.101300705153571</v>
      </c>
      <c r="BS525" s="3">
        <v>0.100951608812233</v>
      </c>
      <c r="BT525" s="3">
        <v>0.100671409025034</v>
      </c>
      <c r="BU525" s="3">
        <v>0.100366101422163</v>
      </c>
      <c r="BV525" s="3">
        <v>0.10006240310185</v>
      </c>
      <c r="BW525" s="3">
        <v>0.0997719407277089</v>
      </c>
      <c r="BX525" s="3">
        <v>0.09953072823419019</v>
      </c>
      <c r="BY525" s="3">
        <v>0.09938499105042491</v>
      </c>
      <c r="BZ525" s="3">
        <v>0.0993510111276746</v>
      </c>
      <c r="CA525" s="3">
        <v>0.0994292792047281</v>
      </c>
      <c r="CB525" s="3">
        <v>0.0996089503387082</v>
      </c>
      <c r="CC525" s="3">
        <v>0.09988013498255791</v>
      </c>
      <c r="CD525" s="3">
        <v>0.100222470751886</v>
      </c>
      <c r="CE525" s="3">
        <v>0.100605632913275</v>
      </c>
      <c r="CF525" s="3">
        <v>0.100998581923187</v>
      </c>
      <c r="CG525" s="3">
        <v>0.101372530518248</v>
      </c>
      <c r="CH525" s="3">
        <v>0.101705013876577</v>
      </c>
      <c r="CI525" s="3">
        <v>0.101986802145232</v>
      </c>
      <c r="CJ525" s="3">
        <v>0.102212302712287</v>
      </c>
      <c r="CK525" s="3">
        <v>0.102372541408534</v>
      </c>
      <c r="CL525" s="3">
        <v>0.102471920975048</v>
      </c>
      <c r="CM525" s="3">
        <v>0.102517987459379</v>
      </c>
      <c r="CN525" s="3">
        <v>0.102515023895062</v>
      </c>
      <c r="CO525" s="3">
        <v>0.102471160060829</v>
      </c>
      <c r="CP525" s="3">
        <v>0.102394347380765</v>
      </c>
      <c r="CQ525" s="3">
        <v>0.102297270362401</v>
      </c>
      <c r="CR525" s="3">
        <v>0.102187721760442</v>
      </c>
      <c r="CS525" s="3">
        <v>0.102074262486712</v>
      </c>
      <c r="CT525" s="3">
        <v>0.101952971820884</v>
      </c>
      <c r="CU525" s="3">
        <v>0.101832148784951</v>
      </c>
      <c r="CV525" s="3">
        <v>0.101703700934353</v>
      </c>
    </row>
    <row r="526" spans="1:100">
      <c r="A526" s="1" t="str">
        <f>IF($Q$18="Y",'Population Definitions'!$B$15,"...")</f>
        <v>...</v>
      </c>
      <c r="B526" s="4" t="str">
        <f>IF($Q$18="Y","---&gt;","...")</f>
        <v>...</v>
      </c>
      <c r="C526" s="1" t="str">
        <f>IF($Q$18="Y",'Population Definitions'!$B$17,"...")</f>
        <v>...</v>
      </c>
      <c r="E526" s="2"/>
      <c r="F526" s="3"/>
      <c r="G526" s="2"/>
      <c r="H526" s="4" t="str">
        <f>IF($Q$18="Y","OR","...")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IF($R$18="Y",'Population Definitions'!$B$15,"...")</f>
        <v>...</v>
      </c>
      <c r="B527" s="4" t="str">
        <f>IF($R$18="Y","---&gt;","...")</f>
        <v>...</v>
      </c>
      <c r="C527" s="1" t="str">
        <f>IF($R$18="Y",'Population Definitions'!$B$18,"...")</f>
        <v>...</v>
      </c>
      <c r="E527" s="2"/>
      <c r="F527" s="3"/>
      <c r="G527" s="2"/>
      <c r="H527" s="4" t="str">
        <f>IF($R$18="Y","OR","...")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IF($S$18="Y",'Population Definitions'!$B$15,"...")</f>
        <v>...</v>
      </c>
      <c r="B528" s="4" t="str">
        <f>IF($S$18="Y","---&gt;","...")</f>
        <v>...</v>
      </c>
      <c r="C528" s="1" t="str">
        <f>IF($S$18="Y",'Population Definitions'!$B$19,"...")</f>
        <v>...</v>
      </c>
      <c r="E528" s="2"/>
      <c r="F528" s="3"/>
      <c r="G528" s="2"/>
      <c r="H528" s="4" t="str">
        <f>IF($S$18="Y","OR","...")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IF($T$18="Y",'Population Definitions'!$B$15,"...")</f>
        <v>...</v>
      </c>
      <c r="B529" s="4" t="str">
        <f>IF($T$18="Y","---&gt;","...")</f>
        <v>...</v>
      </c>
      <c r="C529" s="1" t="str">
        <f>IF($T$18="Y",'Population Definitions'!$B$20,"...")</f>
        <v>...</v>
      </c>
      <c r="E529" s="2"/>
      <c r="F529" s="3"/>
      <c r="G529" s="2"/>
      <c r="H529" s="4" t="str">
        <f>IF($T$18="Y","OR","...")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IF($U$18="Y",'Population Definitions'!$B$15,"...")</f>
        <v>...</v>
      </c>
      <c r="B530" s="4" t="str">
        <f>IF($U$18="Y","---&gt;","...")</f>
        <v>...</v>
      </c>
      <c r="C530" s="1" t="str">
        <f>IF($U$18="Y",'Population Definitions'!$B$21,"...")</f>
        <v>...</v>
      </c>
      <c r="E530" s="2"/>
      <c r="F530" s="3"/>
      <c r="G530" s="2"/>
      <c r="H530" s="4" t="str">
        <f>IF($U$18="Y","OR","...")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IF($V$18="Y",'Population Definitions'!$B$15,"...")</f>
        <v>...</v>
      </c>
      <c r="B531" s="4" t="str">
        <f>IF($V$18="Y","---&gt;","...")</f>
        <v>...</v>
      </c>
      <c r="C531" s="1" t="str">
        <f>IF($V$18="Y",'Population Definitions'!$B$22,"...")</f>
        <v>...</v>
      </c>
      <c r="E531" s="2"/>
      <c r="F531" s="3"/>
      <c r="G531" s="2"/>
      <c r="H531" s="4" t="str">
        <f>IF($V$18="Y","OR","...")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IF($W$18="Y",'Population Definitions'!$B$15,"...")</f>
        <v>...</v>
      </c>
      <c r="B532" s="4" t="str">
        <f>IF($W$18="Y","---&gt;","...")</f>
        <v>...</v>
      </c>
      <c r="C532" s="1" t="str">
        <f>IF($W$18="Y",'Population Definitions'!$B$23,"...")</f>
        <v>...</v>
      </c>
      <c r="E532" s="2"/>
      <c r="F532" s="3"/>
      <c r="G532" s="2"/>
      <c r="H532" s="4" t="str">
        <f>IF($W$18="Y","OR","...")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IF($X$18="Y",'Population Definitions'!$B$15,"...")</f>
        <v>...</v>
      </c>
      <c r="B533" s="4" t="str">
        <f>IF($X$18="Y","---&gt;","...")</f>
        <v>...</v>
      </c>
      <c r="C533" s="1" t="str">
        <f>IF($X$18="Y",'Population Definitions'!$B$24,"...")</f>
        <v>...</v>
      </c>
      <c r="E533" s="2"/>
      <c r="F533" s="3"/>
      <c r="G533" s="2"/>
      <c r="H533" s="4" t="str">
        <f>IF($X$18="Y","OR","...")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IF($Y$18="Y",'Population Definitions'!$B$15,"...")</f>
        <v>...</v>
      </c>
      <c r="B534" s="4" t="str">
        <f>IF($Y$18="Y","---&gt;","...")</f>
        <v>...</v>
      </c>
      <c r="C534" s="1" t="str">
        <f>IF($Y$18="Y",'Population Definitions'!$B$25,"...")</f>
        <v>...</v>
      </c>
      <c r="E534" s="2"/>
      <c r="F534" s="3"/>
      <c r="G534" s="2"/>
      <c r="H534" s="4" t="str">
        <f>IF($Y$18="Y","OR","...")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IF($Z$18="Y",'Population Definitions'!$B$15,"...")</f>
        <v>...</v>
      </c>
      <c r="B535" s="4" t="str">
        <f>IF($Z$18="Y","---&gt;","...")</f>
        <v>...</v>
      </c>
      <c r="C535" s="1" t="str">
        <f>IF($Z$18="Y",'Population Definitions'!$B$26,"...")</f>
        <v>...</v>
      </c>
      <c r="E535" s="2"/>
      <c r="F535" s="3"/>
      <c r="G535" s="2"/>
      <c r="H535" s="4" t="str">
        <f>IF($Z$18="Y","OR","...")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IF($AA$18="Y",'Population Definitions'!$B$15,"...")</f>
        <v>...</v>
      </c>
      <c r="B536" s="4" t="str">
        <f>IF($AA$18="Y","---&gt;","...")</f>
        <v>...</v>
      </c>
      <c r="C536" s="1" t="str">
        <f>IF($AA$18="Y",'Population Definitions'!$B$27,"...")</f>
        <v>...</v>
      </c>
      <c r="E536" s="2"/>
      <c r="F536" s="3"/>
      <c r="G536" s="2"/>
      <c r="H536" s="4" t="str">
        <f>IF($AA$18="Y","OR","...")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IF($AB$18="Y",'Population Definitions'!$B$15,"...")</f>
        <v>...</v>
      </c>
      <c r="B537" s="4" t="str">
        <f>IF($AB$18="Y","---&gt;","...")</f>
        <v>...</v>
      </c>
      <c r="C537" s="1" t="str">
        <f>IF($AB$18="Y",'Population Definitions'!$B$28,"...")</f>
        <v>...</v>
      </c>
      <c r="E537" s="2"/>
      <c r="F537" s="3"/>
      <c r="G537" s="2"/>
      <c r="H537" s="4" t="str">
        <f>IF($AB$18="Y","OR","...")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IF($AC$18="Y",'Population Definitions'!$B$15,"...")</f>
        <v>...</v>
      </c>
      <c r="B538" s="4" t="str">
        <f>IF($AC$18="Y","---&gt;","...")</f>
        <v>...</v>
      </c>
      <c r="C538" s="1" t="str">
        <f>IF($AC$18="Y",'Population Definitions'!$B$29,"...")</f>
        <v>...</v>
      </c>
      <c r="E538" s="2"/>
      <c r="F538" s="3"/>
      <c r="G538" s="2"/>
      <c r="H538" s="4" t="str">
        <f>IF($AC$18="Y","OR","...")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IF($AD$18="Y",'Population Definitions'!$B$15,"...")</f>
        <v>...</v>
      </c>
      <c r="B539" s="4" t="str">
        <f>IF($AD$18="Y","---&gt;","...")</f>
        <v>...</v>
      </c>
      <c r="C539" s="1" t="str">
        <f>IF($AD$18="Y",'Population Definitions'!$B$30,"...")</f>
        <v>...</v>
      </c>
      <c r="E539" s="2"/>
      <c r="F539" s="3"/>
      <c r="G539" s="2"/>
      <c r="H539" s="4" t="str">
        <f>IF($AD$18="Y","OR","...")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IF($AE$18="Y",'Population Definitions'!$B$15,"...")</f>
        <v>...</v>
      </c>
      <c r="B540" s="4" t="str">
        <f>IF($AE$18="Y","---&gt;","...")</f>
        <v>...</v>
      </c>
      <c r="C540" s="1" t="str">
        <f>IF($AE$18="Y",'Population Definitions'!$B$31,"...")</f>
        <v>...</v>
      </c>
      <c r="E540" s="2"/>
      <c r="F540" s="3"/>
      <c r="G540" s="2"/>
      <c r="H540" s="4" t="str">
        <f>IF($AE$18="Y","OR","...")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IF($AF$18="Y",'Population Definitions'!$B$15,"...")</f>
        <v>...</v>
      </c>
      <c r="B541" s="4" t="str">
        <f>IF($AF$18="Y","---&gt;","...")</f>
        <v>...</v>
      </c>
      <c r="C541" s="1" t="str">
        <f>IF($AF$18="Y",'Population Definitions'!$B$32,"...")</f>
        <v>...</v>
      </c>
      <c r="E541" s="2"/>
      <c r="F541" s="3"/>
      <c r="G541" s="2"/>
      <c r="H541" s="4" t="str">
        <f>IF($AF$18="Y","OR","...")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IF($AG$18="Y",'Population Definitions'!$B$15,"...")</f>
        <v>...</v>
      </c>
      <c r="B542" s="4" t="str">
        <f>IF($AG$18="Y","---&gt;","...")</f>
        <v>...</v>
      </c>
      <c r="C542" s="1" t="str">
        <f>IF($AG$18="Y",'Population Definitions'!$B$33,"...")</f>
        <v>...</v>
      </c>
      <c r="E542" s="2"/>
      <c r="F542" s="3"/>
      <c r="G542" s="2"/>
      <c r="H542" s="4" t="str">
        <f>IF($AG$18="Y","OR","...")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IF($AH$18="Y",'Population Definitions'!$B$15,"...")</f>
        <v>...</v>
      </c>
      <c r="B543" s="4" t="str">
        <f>IF($AH$18="Y","---&gt;","...")</f>
        <v>...</v>
      </c>
      <c r="C543" s="1" t="str">
        <f>IF($AH$18="Y",'Population Definitions'!$B$34,"...")</f>
        <v>...</v>
      </c>
      <c r="E543" s="2"/>
      <c r="F543" s="3"/>
      <c r="G543" s="2"/>
      <c r="H543" s="4" t="str">
        <f>IF($AH$18="Y","OR","...")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IF($AI$18="Y",'Population Definitions'!$B$15,"...")</f>
        <v>...</v>
      </c>
      <c r="B544" s="4" t="str">
        <f>IF($AI$18="Y","---&gt;","...")</f>
        <v>...</v>
      </c>
      <c r="C544" s="1" t="str">
        <f>IF($AI$18="Y",'Population Definitions'!$B$35,"...")</f>
        <v>...</v>
      </c>
      <c r="E544" s="2"/>
      <c r="F544" s="3"/>
      <c r="G544" s="2"/>
      <c r="H544" s="4" t="str">
        <f>IF($AI$18="Y","OR","...")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IF($AJ$18="Y",'Population Definitions'!$B$15,"...")</f>
        <v>...</v>
      </c>
      <c r="B545" s="4" t="str">
        <f>IF($AJ$18="Y","---&gt;","...")</f>
        <v>...</v>
      </c>
      <c r="C545" s="1" t="str">
        <f>IF($AJ$18="Y",'Population Definitions'!$B$36,"...")</f>
        <v>...</v>
      </c>
      <c r="E545" s="2"/>
      <c r="F545" s="3"/>
      <c r="G545" s="2"/>
      <c r="H545" s="4" t="str">
        <f>IF($AJ$18="Y","OR","...")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IF($AK$18="Y",'Population Definitions'!$B$15,"...")</f>
        <v>...</v>
      </c>
      <c r="B546" s="4" t="str">
        <f>IF($AK$18="Y","---&gt;","...")</f>
        <v>...</v>
      </c>
      <c r="C546" s="1" t="str">
        <f>IF($AK$18="Y",'Population Definitions'!$B$37,"...")</f>
        <v>...</v>
      </c>
      <c r="E546" s="2"/>
      <c r="F546" s="3"/>
      <c r="G546" s="2"/>
      <c r="H546" s="4" t="str">
        <f>IF($AK$18="Y","OR","...")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IF($B$19="Y",'Population Definitions'!$B$16,"...")</f>
        <v>...</v>
      </c>
      <c r="B547" s="4" t="str">
        <f>IF($B$19="Y","---&gt;","...")</f>
        <v>...</v>
      </c>
      <c r="C547" s="1" t="str">
        <f>IF($B$19="Y",'Population Definitions'!$B$2,"...")</f>
        <v>...</v>
      </c>
      <c r="E547" s="2"/>
      <c r="F547" s="3"/>
      <c r="G547" s="2"/>
      <c r="H547" s="4" t="str">
        <f>IF($B$19="Y","OR","...")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IF($C$19="Y",'Population Definitions'!$B$16,"...")</f>
        <v>...</v>
      </c>
      <c r="B548" s="4" t="str">
        <f>IF($C$19="Y","---&gt;","...")</f>
        <v>...</v>
      </c>
      <c r="C548" s="1" t="str">
        <f>IF($C$19="Y",'Population Definitions'!$B$3,"...")</f>
        <v>...</v>
      </c>
      <c r="E548" s="2"/>
      <c r="F548" s="3"/>
      <c r="G548" s="2"/>
      <c r="H548" s="4" t="str">
        <f>IF($C$19="Y","OR","...")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IF($D$19="Y",'Population Definitions'!$B$16,"...")</f>
        <v>...</v>
      </c>
      <c r="B549" s="4" t="str">
        <f>IF($D$19="Y","---&gt;","...")</f>
        <v>...</v>
      </c>
      <c r="C549" s="1" t="str">
        <f>IF($D$19="Y",'Population Definitions'!$B$4,"...")</f>
        <v>...</v>
      </c>
      <c r="E549" s="2"/>
      <c r="F549" s="3"/>
      <c r="G549" s="2"/>
      <c r="H549" s="4" t="str">
        <f>IF($D$19="Y","OR","...")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IF($E$19="Y",'Population Definitions'!$B$16,"...")</f>
        <v>...</v>
      </c>
      <c r="B550" s="4" t="str">
        <f>IF($E$19="Y","---&gt;","...")</f>
        <v>...</v>
      </c>
      <c r="C550" s="1" t="str">
        <f>IF($E$19="Y",'Population Definitions'!$B$5,"...")</f>
        <v>...</v>
      </c>
      <c r="E550" s="2"/>
      <c r="F550" s="3"/>
      <c r="G550" s="2"/>
      <c r="H550" s="4" t="str">
        <f>IF($E$19="Y","OR","...")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IF($F$19="Y",'Population Definitions'!$B$16,"...")</f>
        <v>...</v>
      </c>
      <c r="B551" s="4" t="str">
        <f>IF($F$19="Y","---&gt;","...")</f>
        <v>...</v>
      </c>
      <c r="C551" s="1" t="str">
        <f>IF($F$19="Y",'Population Definitions'!$B$6,"...")</f>
        <v>...</v>
      </c>
      <c r="E551" s="2"/>
      <c r="F551" s="3"/>
      <c r="G551" s="2"/>
      <c r="H551" s="4" t="str">
        <f>IF($F$19="Y","OR","...")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IF($G$19="Y",'Population Definitions'!$B$16,"...")</f>
        <v>...</v>
      </c>
      <c r="B552" s="4" t="str">
        <f>IF($G$19="Y","---&gt;","...")</f>
        <v>...</v>
      </c>
      <c r="C552" s="1" t="str">
        <f>IF($G$19="Y",'Population Definitions'!$B$7,"...")</f>
        <v>...</v>
      </c>
      <c r="E552" s="2"/>
      <c r="F552" s="3"/>
      <c r="G552" s="2"/>
      <c r="H552" s="4" t="str">
        <f>IF($G$19="Y","OR","...")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IF($H$19="Y",'Population Definitions'!$B$16,"...")</f>
        <v>...</v>
      </c>
      <c r="B553" s="4" t="str">
        <f>IF($H$19="Y","---&gt;","...")</f>
        <v>...</v>
      </c>
      <c r="C553" s="1" t="str">
        <f>IF($H$19="Y",'Population Definitions'!$B$8,"...")</f>
        <v>...</v>
      </c>
      <c r="E553" s="2"/>
      <c r="F553" s="3"/>
      <c r="G553" s="2"/>
      <c r="H553" s="4" t="str">
        <f>IF($H$19="Y","OR","...")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IF($I$19="Y",'Population Definitions'!$B$16,"...")</f>
        <v>...</v>
      </c>
      <c r="B554" s="4" t="str">
        <f>IF($I$19="Y","---&gt;","...")</f>
        <v>...</v>
      </c>
      <c r="C554" s="1" t="str">
        <f>IF($I$19="Y",'Population Definitions'!$B$9,"...")</f>
        <v>...</v>
      </c>
      <c r="E554" s="2"/>
      <c r="F554" s="3"/>
      <c r="G554" s="2"/>
      <c r="H554" s="4" t="str">
        <f>IF($I$19="Y","OR","...")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IF($J$19="Y",'Population Definitions'!$B$16,"...")</f>
        <v>...</v>
      </c>
      <c r="B555" s="4" t="str">
        <f>IF($J$19="Y","---&gt;","...")</f>
        <v>...</v>
      </c>
      <c r="C555" s="1" t="str">
        <f>IF($J$19="Y",'Population Definitions'!$B$10,"...")</f>
        <v>...</v>
      </c>
      <c r="E555" s="2"/>
      <c r="F555" s="3"/>
      <c r="G555" s="2"/>
      <c r="H555" s="4" t="str">
        <f>IF($J$19="Y","OR","...")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IF($K$19="Y",'Population Definitions'!$B$16,"...")</f>
        <v>...</v>
      </c>
      <c r="B556" s="4" t="str">
        <f>IF($K$19="Y","---&gt;","...")</f>
        <v>...</v>
      </c>
      <c r="C556" s="1" t="str">
        <f>IF($K$19="Y",'Population Definitions'!$B$11,"...")</f>
        <v>...</v>
      </c>
      <c r="E556" s="2"/>
      <c r="F556" s="3"/>
      <c r="G556" s="2"/>
      <c r="H556" s="4" t="str">
        <f>IF($K$19="Y","OR","...")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IF($L$19="Y",'Population Definitions'!$B$16,"...")</f>
        <v>...</v>
      </c>
      <c r="B557" s="4" t="str">
        <f>IF($L$19="Y","---&gt;","...")</f>
        <v>...</v>
      </c>
      <c r="C557" s="1" t="str">
        <f>IF($L$19="Y",'Population Definitions'!$B$12,"...")</f>
        <v>...</v>
      </c>
      <c r="E557" s="2"/>
      <c r="F557" s="3"/>
      <c r="G557" s="2"/>
      <c r="H557" s="4" t="str">
        <f>IF($L$19="Y","OR","...")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IF($M$19="Y",'Population Definitions'!$B$16,"...")</f>
        <v>...</v>
      </c>
      <c r="B558" s="4" t="str">
        <f>IF($M$19="Y","---&gt;","...")</f>
        <v>...</v>
      </c>
      <c r="C558" s="1" t="str">
        <f>IF($M$19="Y",'Population Definitions'!$B$13,"...")</f>
        <v>...</v>
      </c>
      <c r="E558" s="2"/>
      <c r="F558" s="3"/>
      <c r="G558" s="2"/>
      <c r="H558" s="4" t="str">
        <f>IF($M$19="Y","OR","...")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IF($N$19="Y",'Population Definitions'!$B$16,"...")</f>
        <v>...</v>
      </c>
      <c r="B559" s="4" t="str">
        <f>IF($N$19="Y","---&gt;","...")</f>
        <v>...</v>
      </c>
      <c r="C559" s="1" t="str">
        <f>IF($N$19="Y",'Population Definitions'!$B$14,"...")</f>
        <v>...</v>
      </c>
      <c r="E559" s="2"/>
      <c r="F559" s="3"/>
      <c r="G559" s="2"/>
      <c r="H559" s="4" t="str">
        <f>IF($N$19="Y","OR","...")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IF($O$19="Y",'Population Definitions'!$B$16,"...")</f>
        <v>...</v>
      </c>
      <c r="B560" s="4" t="str">
        <f>IF($O$19="Y","---&gt;","...")</f>
        <v>...</v>
      </c>
      <c r="C560" s="1" t="str">
        <f>IF($O$19="Y",'Population Definitions'!$B$15,"...")</f>
        <v>...</v>
      </c>
      <c r="E560" s="2"/>
      <c r="F560" s="3"/>
      <c r="G560" s="2"/>
      <c r="H560" s="4" t="str">
        <f>IF($O$19="Y","OR","...")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IF($P$19="Y",'Population Definitions'!$B$16,"...")</f>
        <v>...</v>
      </c>
      <c r="B561" s="4" t="str">
        <f>IF($P$19="Y","---&gt;","...")</f>
        <v>...</v>
      </c>
      <c r="C561" s="1" t="str">
        <f>IF($P$19="Y",'Population Definitions'!$B$16,"...")</f>
        <v>...</v>
      </c>
      <c r="E561" s="2"/>
      <c r="F561" s="3"/>
      <c r="G561" s="2"/>
      <c r="H561" s="4" t="str">
        <f>IF($P$19="Y","OR","...")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IF($Q$19="Y",'Population Definitions'!$B$16,"...")</f>
        <v>15-29M_oth</v>
      </c>
      <c r="B562" s="4" t="str">
        <f>IF($Q$19="Y","---&gt;","...")</f>
        <v>---&gt;</v>
      </c>
      <c r="C562" s="1" t="str">
        <f>IF($Q$19="Y",'Population Definitions'!$B$17,"...")</f>
        <v>30-49M_oth</v>
      </c>
      <c r="E562" s="3" t="s">
        <v>63</v>
      </c>
      <c r="F562" s="3"/>
      <c r="G562" s="3"/>
      <c r="H562" s="4" t="str">
        <f>IF($Q$19="Y","OR","...")</f>
        <v>OR</v>
      </c>
      <c r="I562" s="3">
        <v>0.0643327180678791</v>
      </c>
      <c r="J562" s="3">
        <v>0.0633279602764345</v>
      </c>
      <c r="K562" s="3">
        <v>0.0637564156720056</v>
      </c>
      <c r="L562" s="3">
        <v>0.0629583277778451</v>
      </c>
      <c r="M562" s="3">
        <v>0.062407989665289</v>
      </c>
      <c r="N562" s="3">
        <v>0.0654439184691562</v>
      </c>
      <c r="O562" s="3">
        <v>0.06439609309855519</v>
      </c>
      <c r="P562" s="3">
        <v>0.06507009654966669</v>
      </c>
      <c r="Q562" s="3">
        <v>0.0659218786904481</v>
      </c>
      <c r="R562" s="3">
        <v>0.067618976542418</v>
      </c>
      <c r="S562" s="3">
        <v>0.07042863559305659</v>
      </c>
      <c r="T562" s="3">
        <v>0.069159286264746</v>
      </c>
      <c r="U562" s="3">
        <v>0.0691388072839329</v>
      </c>
      <c r="V562" s="3">
        <v>0.0691031946953673</v>
      </c>
      <c r="W562" s="3">
        <v>0.0664985207560063</v>
      </c>
      <c r="X562" s="3">
        <v>0.06601815691253771</v>
      </c>
      <c r="Y562" s="3">
        <v>0.0653491439932631</v>
      </c>
      <c r="Z562" s="3">
        <v>0.06678007496035331</v>
      </c>
      <c r="AA562" s="3">
        <v>0.06896576981655581</v>
      </c>
      <c r="AB562" s="3">
        <v>0.070219209641912</v>
      </c>
      <c r="AC562" s="3">
        <v>0.07511821409854021</v>
      </c>
      <c r="AD562" s="3">
        <v>0.07312950935466669</v>
      </c>
      <c r="AE562" s="3">
        <v>0.0704994840425584</v>
      </c>
      <c r="AF562" s="3">
        <v>0.06855591957158259</v>
      </c>
      <c r="AG562" s="3">
        <v>0.0665408422785355</v>
      </c>
      <c r="AH562" s="3">
        <v>0.0651055104907587</v>
      </c>
      <c r="AI562" s="3">
        <v>0.0638101381072025</v>
      </c>
      <c r="AJ562" s="3">
        <v>0.0631254403792658</v>
      </c>
      <c r="AK562" s="3">
        <v>0.0633260742820078</v>
      </c>
      <c r="AL562" s="3">
        <v>0.0642129025878368</v>
      </c>
      <c r="AM562" s="3">
        <v>0.06655296075687631</v>
      </c>
      <c r="AN562" s="3">
        <v>0.06831130168844531</v>
      </c>
      <c r="AO562" s="3">
        <v>0.0705595658477968</v>
      </c>
      <c r="AP562" s="3">
        <v>0.0709365090047539</v>
      </c>
      <c r="AQ562" s="3">
        <v>0.0711973159417864</v>
      </c>
      <c r="AR562" s="3">
        <v>0.07170067761027291</v>
      </c>
      <c r="AS562" s="3">
        <v>0.07084726241197591</v>
      </c>
      <c r="AT562" s="3">
        <v>0.0716274383671606</v>
      </c>
      <c r="AU562" s="3">
        <v>0.07200051030467509</v>
      </c>
      <c r="AV562" s="3">
        <v>0.0734622376744884</v>
      </c>
      <c r="AW562" s="3">
        <v>0.0740147033797089</v>
      </c>
      <c r="AX562" s="3">
        <v>0.07345202345202349</v>
      </c>
      <c r="AY562" s="3">
        <v>0.0730045484593065</v>
      </c>
      <c r="AZ562" s="3">
        <v>0.0724572595864811</v>
      </c>
      <c r="BA562" s="3">
        <v>0.0723620567025032</v>
      </c>
      <c r="BB562" s="3">
        <v>0.0701607603719626</v>
      </c>
      <c r="BC562" s="3">
        <v>0.0680569671783411</v>
      </c>
      <c r="BD562" s="3">
        <v>0.0664216567303629</v>
      </c>
      <c r="BE562" s="3">
        <v>0.0665816538240785</v>
      </c>
      <c r="BF562" s="3">
        <v>0.0682910088045509</v>
      </c>
      <c r="BG562" s="3">
        <v>0.06792597059547981</v>
      </c>
      <c r="BH562" s="3">
        <v>0.0656069519615423</v>
      </c>
      <c r="BI562" s="3">
        <v>0.0659040176343038</v>
      </c>
      <c r="BJ562" s="3">
        <v>0.0677909729939473</v>
      </c>
      <c r="BK562" s="3">
        <v>0.0692913282553881</v>
      </c>
      <c r="BL562" s="3">
        <v>0.07082378651372589</v>
      </c>
      <c r="BM562" s="3">
        <v>0.07288298460447259</v>
      </c>
      <c r="BN562" s="3">
        <v>0.0731929272516663</v>
      </c>
      <c r="BO562" s="3">
        <v>0.0732340066507126</v>
      </c>
      <c r="BP562" s="3">
        <v>0.0735922226460239</v>
      </c>
      <c r="BQ562" s="3">
        <v>0.07314278200855109</v>
      </c>
      <c r="BR562" s="3">
        <v>0.0735581378630374</v>
      </c>
      <c r="BS562" s="3">
        <v>0.0740296954025792</v>
      </c>
      <c r="BT562" s="3">
        <v>0.0737502789664804</v>
      </c>
      <c r="BU562" s="3">
        <v>0.07364096779900919</v>
      </c>
      <c r="BV562" s="3">
        <v>0.07430076294589689</v>
      </c>
      <c r="BW562" s="3">
        <v>0.07329282093315451</v>
      </c>
      <c r="BX562" s="3">
        <v>0.07261495761807001</v>
      </c>
      <c r="BY562" s="3">
        <v>0.07270987608350039</v>
      </c>
      <c r="BZ562" s="3">
        <v>0.07169157489539971</v>
      </c>
      <c r="CA562" s="3">
        <v>0.0722001537693608</v>
      </c>
      <c r="CB562" s="3">
        <v>0.07318852898064961</v>
      </c>
      <c r="CC562" s="3">
        <v>0.0718524525398707</v>
      </c>
      <c r="CD562" s="3">
        <v>0.07185440683564449</v>
      </c>
      <c r="CE562" s="3">
        <v>0.0716744490154161</v>
      </c>
      <c r="CF562" s="3">
        <v>0.0714246495633071</v>
      </c>
      <c r="CG562" s="3">
        <v>0.071117298793925</v>
      </c>
      <c r="CH562" s="3">
        <v>0.0708476239891956</v>
      </c>
      <c r="CI562" s="3">
        <v>0.0706420617197264</v>
      </c>
      <c r="CJ562" s="3">
        <v>0.07044724342375321</v>
      </c>
      <c r="CK562" s="3">
        <v>0.0702797417390877</v>
      </c>
      <c r="CL562" s="3">
        <v>0.0701455774458097</v>
      </c>
      <c r="CM562" s="3">
        <v>0.0700599578349871</v>
      </c>
      <c r="CN562" s="3">
        <v>0.0700449847348962</v>
      </c>
      <c r="CO562" s="3">
        <v>0.0701046741055657</v>
      </c>
      <c r="CP562" s="3">
        <v>0.07023283451401829</v>
      </c>
      <c r="CQ562" s="3">
        <v>0.07041868873306339</v>
      </c>
      <c r="CR562" s="3">
        <v>0.0706507128363963</v>
      </c>
      <c r="CS562" s="3">
        <v>0.0709132340135539</v>
      </c>
      <c r="CT562" s="3">
        <v>0.0711887204294732</v>
      </c>
      <c r="CU562" s="3">
        <v>0.0714550983737679</v>
      </c>
      <c r="CV562" s="3">
        <v>0.0716972155081015</v>
      </c>
    </row>
    <row r="563" spans="1:100">
      <c r="A563" s="1" t="str">
        <f>IF($R$19="Y",'Population Definitions'!$B$16,"...")</f>
        <v>...</v>
      </c>
      <c r="B563" s="4" t="str">
        <f>IF($R$19="Y","---&gt;","...")</f>
        <v>...</v>
      </c>
      <c r="C563" s="1" t="str">
        <f>IF($R$19="Y",'Population Definitions'!$B$18,"...")</f>
        <v>...</v>
      </c>
      <c r="E563" s="2"/>
      <c r="F563" s="3"/>
      <c r="G563" s="2"/>
      <c r="H563" s="4" t="str">
        <f>IF($R$19="Y","OR","...")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IF($S$19="Y",'Population Definitions'!$B$16,"...")</f>
        <v>...</v>
      </c>
      <c r="B564" s="4" t="str">
        <f>IF($S$19="Y","---&gt;","...")</f>
        <v>...</v>
      </c>
      <c r="C564" s="1" t="str">
        <f>IF($S$19="Y",'Population Definitions'!$B$19,"...")</f>
        <v>...</v>
      </c>
      <c r="E564" s="2"/>
      <c r="F564" s="3"/>
      <c r="G564" s="2"/>
      <c r="H564" s="4" t="str">
        <f>IF($S$19="Y","OR","...")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IF($T$19="Y",'Population Definitions'!$B$16,"...")</f>
        <v>...</v>
      </c>
      <c r="B565" s="4" t="str">
        <f>IF($T$19="Y","---&gt;","...")</f>
        <v>...</v>
      </c>
      <c r="C565" s="1" t="str">
        <f>IF($T$19="Y",'Population Definitions'!$B$20,"...")</f>
        <v>...</v>
      </c>
      <c r="E565" s="2"/>
      <c r="F565" s="3"/>
      <c r="G565" s="2"/>
      <c r="H565" s="4" t="str">
        <f>IF($T$19="Y","OR","...")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IF($U$19="Y",'Population Definitions'!$B$16,"...")</f>
        <v>...</v>
      </c>
      <c r="B566" s="4" t="str">
        <f>IF($U$19="Y","---&gt;","...")</f>
        <v>...</v>
      </c>
      <c r="C566" s="1" t="str">
        <f>IF($U$19="Y",'Population Definitions'!$B$21,"...")</f>
        <v>...</v>
      </c>
      <c r="E566" s="2"/>
      <c r="F566" s="3"/>
      <c r="G566" s="2"/>
      <c r="H566" s="4" t="str">
        <f>IF($U$19="Y","OR","...")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IF($V$19="Y",'Population Definitions'!$B$16,"...")</f>
        <v>...</v>
      </c>
      <c r="B567" s="4" t="str">
        <f>IF($V$19="Y","---&gt;","...")</f>
        <v>...</v>
      </c>
      <c r="C567" s="1" t="str">
        <f>IF($V$19="Y",'Population Definitions'!$B$22,"...")</f>
        <v>...</v>
      </c>
      <c r="E567" s="2"/>
      <c r="F567" s="3"/>
      <c r="G567" s="2"/>
      <c r="H567" s="4" t="str">
        <f>IF($V$19="Y","OR","...")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IF($W$19="Y",'Population Definitions'!$B$16,"...")</f>
        <v>...</v>
      </c>
      <c r="B568" s="4" t="str">
        <f>IF($W$19="Y","---&gt;","...")</f>
        <v>...</v>
      </c>
      <c r="C568" s="1" t="str">
        <f>IF($W$19="Y",'Population Definitions'!$B$23,"...")</f>
        <v>...</v>
      </c>
      <c r="E568" s="2"/>
      <c r="F568" s="3"/>
      <c r="G568" s="2"/>
      <c r="H568" s="4" t="str">
        <f>IF($W$19="Y","OR","...")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IF($X$19="Y",'Population Definitions'!$B$16,"...")</f>
        <v>...</v>
      </c>
      <c r="B569" s="4" t="str">
        <f>IF($X$19="Y","---&gt;","...")</f>
        <v>...</v>
      </c>
      <c r="C569" s="1" t="str">
        <f>IF($X$19="Y",'Population Definitions'!$B$24,"...")</f>
        <v>...</v>
      </c>
      <c r="E569" s="2"/>
      <c r="F569" s="3"/>
      <c r="G569" s="2"/>
      <c r="H569" s="4" t="str">
        <f>IF($X$19="Y","OR","...")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IF($Y$19="Y",'Population Definitions'!$B$16,"...")</f>
        <v>...</v>
      </c>
      <c r="B570" s="4" t="str">
        <f>IF($Y$19="Y","---&gt;","...")</f>
        <v>...</v>
      </c>
      <c r="C570" s="1" t="str">
        <f>IF($Y$19="Y",'Population Definitions'!$B$25,"...")</f>
        <v>...</v>
      </c>
      <c r="E570" s="2"/>
      <c r="F570" s="3"/>
      <c r="G570" s="2"/>
      <c r="H570" s="4" t="str">
        <f>IF($Y$19="Y","OR","...")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IF($Z$19="Y",'Population Definitions'!$B$16,"...")</f>
        <v>...</v>
      </c>
      <c r="B571" s="4" t="str">
        <f>IF($Z$19="Y","---&gt;","...")</f>
        <v>...</v>
      </c>
      <c r="C571" s="1" t="str">
        <f>IF($Z$19="Y",'Population Definitions'!$B$26,"...")</f>
        <v>...</v>
      </c>
      <c r="E571" s="2"/>
      <c r="F571" s="3"/>
      <c r="G571" s="2"/>
      <c r="H571" s="4" t="str">
        <f>IF($Z$19="Y","OR","...")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IF($AA$19="Y",'Population Definitions'!$B$16,"...")</f>
        <v>...</v>
      </c>
      <c r="B572" s="4" t="str">
        <f>IF($AA$19="Y","---&gt;","...")</f>
        <v>...</v>
      </c>
      <c r="C572" s="1" t="str">
        <f>IF($AA$19="Y",'Population Definitions'!$B$27,"...")</f>
        <v>...</v>
      </c>
      <c r="E572" s="2"/>
      <c r="F572" s="3"/>
      <c r="G572" s="2"/>
      <c r="H572" s="4" t="str">
        <f>IF($AA$19="Y","OR","...")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IF($AB$19="Y",'Population Definitions'!$B$16,"...")</f>
        <v>...</v>
      </c>
      <c r="B573" s="4" t="str">
        <f>IF($AB$19="Y","---&gt;","...")</f>
        <v>...</v>
      </c>
      <c r="C573" s="1" t="str">
        <f>IF($AB$19="Y",'Population Definitions'!$B$28,"...")</f>
        <v>...</v>
      </c>
      <c r="E573" s="2"/>
      <c r="F573" s="3"/>
      <c r="G573" s="2"/>
      <c r="H573" s="4" t="str">
        <f>IF($AB$19="Y","OR","...")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IF($AC$19="Y",'Population Definitions'!$B$16,"...")</f>
        <v>...</v>
      </c>
      <c r="B574" s="4" t="str">
        <f>IF($AC$19="Y","---&gt;","...")</f>
        <v>...</v>
      </c>
      <c r="C574" s="1" t="str">
        <f>IF($AC$19="Y",'Population Definitions'!$B$29,"...")</f>
        <v>...</v>
      </c>
      <c r="E574" s="2"/>
      <c r="F574" s="3"/>
      <c r="G574" s="2"/>
      <c r="H574" s="4" t="str">
        <f>IF($AC$19="Y","OR","...")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IF($AD$19="Y",'Population Definitions'!$B$16,"...")</f>
        <v>...</v>
      </c>
      <c r="B575" s="4" t="str">
        <f>IF($AD$19="Y","---&gt;","...")</f>
        <v>...</v>
      </c>
      <c r="C575" s="1" t="str">
        <f>IF($AD$19="Y",'Population Definitions'!$B$30,"...")</f>
        <v>...</v>
      </c>
      <c r="E575" s="2"/>
      <c r="F575" s="3"/>
      <c r="G575" s="2"/>
      <c r="H575" s="4" t="str">
        <f>IF($AD$19="Y","OR","...")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IF($AE$19="Y",'Population Definitions'!$B$16,"...")</f>
        <v>...</v>
      </c>
      <c r="B576" s="4" t="str">
        <f>IF($AE$19="Y","---&gt;","...")</f>
        <v>...</v>
      </c>
      <c r="C576" s="1" t="str">
        <f>IF($AE$19="Y",'Population Definitions'!$B$31,"...")</f>
        <v>...</v>
      </c>
      <c r="E576" s="2"/>
      <c r="F576" s="3"/>
      <c r="G576" s="2"/>
      <c r="H576" s="4" t="str">
        <f>IF($AE$19="Y","OR","...")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IF($AF$19="Y",'Population Definitions'!$B$16,"...")</f>
        <v>...</v>
      </c>
      <c r="B577" s="4" t="str">
        <f>IF($AF$19="Y","---&gt;","...")</f>
        <v>...</v>
      </c>
      <c r="C577" s="1" t="str">
        <f>IF($AF$19="Y",'Population Definitions'!$B$32,"...")</f>
        <v>...</v>
      </c>
      <c r="E577" s="2"/>
      <c r="F577" s="3"/>
      <c r="G577" s="2"/>
      <c r="H577" s="4" t="str">
        <f>IF($AF$19="Y","OR","...")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IF($AG$19="Y",'Population Definitions'!$B$16,"...")</f>
        <v>...</v>
      </c>
      <c r="B578" s="4" t="str">
        <f>IF($AG$19="Y","---&gt;","...")</f>
        <v>...</v>
      </c>
      <c r="C578" s="1" t="str">
        <f>IF($AG$19="Y",'Population Definitions'!$B$33,"...")</f>
        <v>...</v>
      </c>
      <c r="E578" s="2"/>
      <c r="F578" s="3"/>
      <c r="G578" s="2"/>
      <c r="H578" s="4" t="str">
        <f>IF($AG$19="Y","OR","...")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IF($AH$19="Y",'Population Definitions'!$B$16,"...")</f>
        <v>...</v>
      </c>
      <c r="B579" s="4" t="str">
        <f>IF($AH$19="Y","---&gt;","...")</f>
        <v>...</v>
      </c>
      <c r="C579" s="1" t="str">
        <f>IF($AH$19="Y",'Population Definitions'!$B$34,"...")</f>
        <v>...</v>
      </c>
      <c r="E579" s="2"/>
      <c r="F579" s="3"/>
      <c r="G579" s="2"/>
      <c r="H579" s="4" t="str">
        <f>IF($AH$19="Y","OR","...")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IF($AI$19="Y",'Population Definitions'!$B$16,"...")</f>
        <v>...</v>
      </c>
      <c r="B580" s="4" t="str">
        <f>IF($AI$19="Y","---&gt;","...")</f>
        <v>...</v>
      </c>
      <c r="C580" s="1" t="str">
        <f>IF($AI$19="Y",'Population Definitions'!$B$35,"...")</f>
        <v>...</v>
      </c>
      <c r="E580" s="2"/>
      <c r="F580" s="3"/>
      <c r="G580" s="2"/>
      <c r="H580" s="4" t="str">
        <f>IF($AI$19="Y","OR","...")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IF($AJ$19="Y",'Population Definitions'!$B$16,"...")</f>
        <v>...</v>
      </c>
      <c r="B581" s="4" t="str">
        <f>IF($AJ$19="Y","---&gt;","...")</f>
        <v>...</v>
      </c>
      <c r="C581" s="1" t="str">
        <f>IF($AJ$19="Y",'Population Definitions'!$B$36,"...")</f>
        <v>...</v>
      </c>
      <c r="E581" s="2"/>
      <c r="F581" s="3"/>
      <c r="G581" s="2"/>
      <c r="H581" s="4" t="str">
        <f>IF($AJ$19="Y","OR","...")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IF($AK$19="Y",'Population Definitions'!$B$16,"...")</f>
        <v>...</v>
      </c>
      <c r="B582" s="4" t="str">
        <f>IF($AK$19="Y","---&gt;","...")</f>
        <v>...</v>
      </c>
      <c r="C582" s="1" t="str">
        <f>IF($AK$19="Y",'Population Definitions'!$B$37,"...")</f>
        <v>...</v>
      </c>
      <c r="E582" s="2"/>
      <c r="F582" s="3"/>
      <c r="G582" s="2"/>
      <c r="H582" s="4" t="str">
        <f>IF($AK$19="Y","OR","...")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IF($B$20="Y",'Population Definitions'!$B$17,"...")</f>
        <v>...</v>
      </c>
      <c r="B583" s="4" t="str">
        <f>IF($B$20="Y","---&gt;","...")</f>
        <v>...</v>
      </c>
      <c r="C583" s="1" t="str">
        <f>IF($B$20="Y",'Population Definitions'!$B$2,"...")</f>
        <v>...</v>
      </c>
      <c r="E583" s="2"/>
      <c r="F583" s="3"/>
      <c r="G583" s="2"/>
      <c r="H583" s="4" t="str">
        <f>IF($B$20="Y","OR","...")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IF($C$20="Y",'Population Definitions'!$B$17,"...")</f>
        <v>...</v>
      </c>
      <c r="B584" s="4" t="str">
        <f>IF($C$20="Y","---&gt;","...")</f>
        <v>...</v>
      </c>
      <c r="C584" s="1" t="str">
        <f>IF($C$20="Y",'Population Definitions'!$B$3,"...")</f>
        <v>...</v>
      </c>
      <c r="E584" s="2"/>
      <c r="F584" s="3"/>
      <c r="G584" s="2"/>
      <c r="H584" s="4" t="str">
        <f>IF($C$20="Y","OR","...")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IF($D$20="Y",'Population Definitions'!$B$17,"...")</f>
        <v>...</v>
      </c>
      <c r="B585" s="4" t="str">
        <f>IF($D$20="Y","---&gt;","...")</f>
        <v>...</v>
      </c>
      <c r="C585" s="1" t="str">
        <f>IF($D$20="Y",'Population Definitions'!$B$4,"...")</f>
        <v>...</v>
      </c>
      <c r="E585" s="2"/>
      <c r="F585" s="3"/>
      <c r="G585" s="2"/>
      <c r="H585" s="4" t="str">
        <f>IF($D$20="Y","OR","...")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IF($E$20="Y",'Population Definitions'!$B$17,"...")</f>
        <v>...</v>
      </c>
      <c r="B586" s="4" t="str">
        <f>IF($E$20="Y","---&gt;","...")</f>
        <v>...</v>
      </c>
      <c r="C586" s="1" t="str">
        <f>IF($E$20="Y",'Population Definitions'!$B$5,"...")</f>
        <v>...</v>
      </c>
      <c r="E586" s="2"/>
      <c r="F586" s="3"/>
      <c r="G586" s="2"/>
      <c r="H586" s="4" t="str">
        <f>IF($E$20="Y","OR","...")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IF($F$20="Y",'Population Definitions'!$B$17,"...")</f>
        <v>...</v>
      </c>
      <c r="B587" s="4" t="str">
        <f>IF($F$20="Y","---&gt;","...")</f>
        <v>...</v>
      </c>
      <c r="C587" s="1" t="str">
        <f>IF($F$20="Y",'Population Definitions'!$B$6,"...")</f>
        <v>...</v>
      </c>
      <c r="E587" s="2"/>
      <c r="F587" s="3"/>
      <c r="G587" s="2"/>
      <c r="H587" s="4" t="str">
        <f>IF($F$20="Y","OR","...")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IF($G$20="Y",'Population Definitions'!$B$17,"...")</f>
        <v>...</v>
      </c>
      <c r="B588" s="4" t="str">
        <f>IF($G$20="Y","---&gt;","...")</f>
        <v>...</v>
      </c>
      <c r="C588" s="1" t="str">
        <f>IF($G$20="Y",'Population Definitions'!$B$7,"...")</f>
        <v>...</v>
      </c>
      <c r="E588" s="2"/>
      <c r="F588" s="3"/>
      <c r="G588" s="2"/>
      <c r="H588" s="4" t="str">
        <f>IF($G$20="Y","OR","...")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IF($H$20="Y",'Population Definitions'!$B$17,"...")</f>
        <v>...</v>
      </c>
      <c r="B589" s="4" t="str">
        <f>IF($H$20="Y","---&gt;","...")</f>
        <v>...</v>
      </c>
      <c r="C589" s="1" t="str">
        <f>IF($H$20="Y",'Population Definitions'!$B$8,"...")</f>
        <v>...</v>
      </c>
      <c r="E589" s="2"/>
      <c r="F589" s="3"/>
      <c r="G589" s="2"/>
      <c r="H589" s="4" t="str">
        <f>IF($H$20="Y","OR","...")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IF($I$20="Y",'Population Definitions'!$B$17,"...")</f>
        <v>...</v>
      </c>
      <c r="B590" s="4" t="str">
        <f>IF($I$20="Y","---&gt;","...")</f>
        <v>...</v>
      </c>
      <c r="C590" s="1" t="str">
        <f>IF($I$20="Y",'Population Definitions'!$B$9,"...")</f>
        <v>...</v>
      </c>
      <c r="E590" s="2"/>
      <c r="F590" s="3"/>
      <c r="G590" s="2"/>
      <c r="H590" s="4" t="str">
        <f>IF($I$20="Y","OR","...")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IF($J$20="Y",'Population Definitions'!$B$17,"...")</f>
        <v>...</v>
      </c>
      <c r="B591" s="4" t="str">
        <f>IF($J$20="Y","---&gt;","...")</f>
        <v>...</v>
      </c>
      <c r="C591" s="1" t="str">
        <f>IF($J$20="Y",'Population Definitions'!$B$10,"...")</f>
        <v>...</v>
      </c>
      <c r="E591" s="2"/>
      <c r="F591" s="3"/>
      <c r="G591" s="2"/>
      <c r="H591" s="4" t="str">
        <f>IF($J$20="Y","OR","...")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IF($K$20="Y",'Population Definitions'!$B$17,"...")</f>
        <v>...</v>
      </c>
      <c r="B592" s="4" t="str">
        <f>IF($K$20="Y","---&gt;","...")</f>
        <v>...</v>
      </c>
      <c r="C592" s="1" t="str">
        <f>IF($K$20="Y",'Population Definitions'!$B$11,"...")</f>
        <v>...</v>
      </c>
      <c r="E592" s="2"/>
      <c r="F592" s="3"/>
      <c r="G592" s="2"/>
      <c r="H592" s="4" t="str">
        <f>IF($K$20="Y","OR","...")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IF($L$20="Y",'Population Definitions'!$B$17,"...")</f>
        <v>...</v>
      </c>
      <c r="B593" s="4" t="str">
        <f>IF($L$20="Y","---&gt;","...")</f>
        <v>...</v>
      </c>
      <c r="C593" s="1" t="str">
        <f>IF($L$20="Y",'Population Definitions'!$B$12,"...")</f>
        <v>...</v>
      </c>
      <c r="E593" s="2"/>
      <c r="F593" s="3"/>
      <c r="G593" s="2"/>
      <c r="H593" s="4" t="str">
        <f>IF($L$20="Y","OR","...")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IF($M$20="Y",'Population Definitions'!$B$17,"...")</f>
        <v>...</v>
      </c>
      <c r="B594" s="4" t="str">
        <f>IF($M$20="Y","---&gt;","...")</f>
        <v>...</v>
      </c>
      <c r="C594" s="1" t="str">
        <f>IF($M$20="Y",'Population Definitions'!$B$13,"...")</f>
        <v>...</v>
      </c>
      <c r="E594" s="2"/>
      <c r="F594" s="3"/>
      <c r="G594" s="2"/>
      <c r="H594" s="4" t="str">
        <f>IF($M$20="Y","OR","...")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IF($N$20="Y",'Population Definitions'!$B$17,"...")</f>
        <v>...</v>
      </c>
      <c r="B595" s="4" t="str">
        <f>IF($N$20="Y","---&gt;","...")</f>
        <v>...</v>
      </c>
      <c r="C595" s="1" t="str">
        <f>IF($N$20="Y",'Population Definitions'!$B$14,"...")</f>
        <v>...</v>
      </c>
      <c r="E595" s="2"/>
      <c r="F595" s="3"/>
      <c r="G595" s="2"/>
      <c r="H595" s="4" t="str">
        <f>IF($N$20="Y","OR","...")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IF($O$20="Y",'Population Definitions'!$B$17,"...")</f>
        <v>...</v>
      </c>
      <c r="B596" s="4" t="str">
        <f>IF($O$20="Y","---&gt;","...")</f>
        <v>...</v>
      </c>
      <c r="C596" s="1" t="str">
        <f>IF($O$20="Y",'Population Definitions'!$B$15,"...")</f>
        <v>...</v>
      </c>
      <c r="E596" s="2"/>
      <c r="F596" s="3"/>
      <c r="G596" s="2"/>
      <c r="H596" s="4" t="str">
        <f>IF($O$20="Y","OR","...")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IF($P$20="Y",'Population Definitions'!$B$17,"...")</f>
        <v>...</v>
      </c>
      <c r="B597" s="4" t="str">
        <f>IF($P$20="Y","---&gt;","...")</f>
        <v>...</v>
      </c>
      <c r="C597" s="1" t="str">
        <f>IF($P$20="Y",'Population Definitions'!$B$16,"...")</f>
        <v>...</v>
      </c>
      <c r="E597" s="2"/>
      <c r="F597" s="3"/>
      <c r="G597" s="2"/>
      <c r="H597" s="4" t="str">
        <f>IF($P$20="Y","OR","...")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IF($Q$20="Y",'Population Definitions'!$B$17,"...")</f>
        <v>...</v>
      </c>
      <c r="B598" s="4" t="str">
        <f>IF($Q$20="Y","---&gt;","...")</f>
        <v>...</v>
      </c>
      <c r="C598" s="1" t="str">
        <f>IF($Q$20="Y",'Population Definitions'!$B$17,"...")</f>
        <v>...</v>
      </c>
      <c r="E598" s="2"/>
      <c r="F598" s="3"/>
      <c r="G598" s="2"/>
      <c r="H598" s="4" t="str">
        <f>IF($Q$20="Y","OR","...")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IF($R$20="Y",'Population Definitions'!$B$17,"...")</f>
        <v>30-49M_oth</v>
      </c>
      <c r="B599" s="4" t="str">
        <f>IF($R$20="Y","---&gt;","...")</f>
        <v>---&gt;</v>
      </c>
      <c r="C599" s="1" t="str">
        <f>IF($R$20="Y",'Population Definitions'!$B$18,"...")</f>
        <v>50-64M_oth</v>
      </c>
      <c r="E599" s="3" t="s">
        <v>63</v>
      </c>
      <c r="F599" s="3"/>
      <c r="G599" s="3"/>
      <c r="H599" s="4" t="str">
        <f>IF($R$20="Y","OR","...")</f>
        <v>OR</v>
      </c>
      <c r="I599" s="3">
        <v>0.043365976392738</v>
      </c>
      <c r="J599" s="3">
        <v>0.0390016691326466</v>
      </c>
      <c r="K599" s="3">
        <v>0.0372135808663656</v>
      </c>
      <c r="L599" s="3">
        <v>0.0361218023812556</v>
      </c>
      <c r="M599" s="3">
        <v>0.0350225908644506</v>
      </c>
      <c r="N599" s="3">
        <v>0.0374487667351237</v>
      </c>
      <c r="O599" s="3">
        <v>0.0370778472963444</v>
      </c>
      <c r="P599" s="3">
        <v>0.0364366078207593</v>
      </c>
      <c r="Q599" s="3">
        <v>0.0364588868457298</v>
      </c>
      <c r="R599" s="3">
        <v>0.0365242023512676</v>
      </c>
      <c r="S599" s="3">
        <v>0.0375732580507837</v>
      </c>
      <c r="T599" s="3">
        <v>0.037431709360037</v>
      </c>
      <c r="U599" s="3">
        <v>0.0364667145960168</v>
      </c>
      <c r="V599" s="3">
        <v>0.0397849458325176</v>
      </c>
      <c r="W599" s="3">
        <v>0.0407304328238324</v>
      </c>
      <c r="X599" s="3">
        <v>0.0413305562801438</v>
      </c>
      <c r="Y599" s="3">
        <v>0.0484968527430743</v>
      </c>
      <c r="Z599" s="3">
        <v>0.0468734388655699</v>
      </c>
      <c r="AA599" s="3">
        <v>0.0456067352821924</v>
      </c>
      <c r="AB599" s="3">
        <v>0.0462159367290348</v>
      </c>
      <c r="AC599" s="3">
        <v>0.0462693430011495</v>
      </c>
      <c r="AD599" s="3">
        <v>0.0456296629870318</v>
      </c>
      <c r="AE599" s="3">
        <v>0.045962166206719</v>
      </c>
      <c r="AF599" s="3">
        <v>0.0456467671073375</v>
      </c>
      <c r="AG599" s="3">
        <v>0.0463346766488258</v>
      </c>
      <c r="AH599" s="3">
        <v>0.0475883246851903</v>
      </c>
      <c r="AI599" s="3">
        <v>0.0475588586143436</v>
      </c>
      <c r="AJ599" s="3">
        <v>0.0478709472226899</v>
      </c>
      <c r="AK599" s="3">
        <v>0.0486718068077819</v>
      </c>
      <c r="AL599" s="3">
        <v>0.0490363987150892</v>
      </c>
      <c r="AM599" s="3">
        <v>0.0503804628986931</v>
      </c>
      <c r="AN599" s="3">
        <v>0.0503743984321361</v>
      </c>
      <c r="AO599" s="3">
        <v>0.0497009002907613</v>
      </c>
      <c r="AP599" s="3">
        <v>0.0487272069296337</v>
      </c>
      <c r="AQ599" s="3">
        <v>0.0465980909209781</v>
      </c>
      <c r="AR599" s="3">
        <v>0.0459481866050899</v>
      </c>
      <c r="AS599" s="3">
        <v>0.0450366067308198</v>
      </c>
      <c r="AT599" s="3">
        <v>0.0455039775587487</v>
      </c>
      <c r="AU599" s="3">
        <v>0.0463891900133365</v>
      </c>
      <c r="AV599" s="3">
        <v>0.0467133797561713</v>
      </c>
      <c r="AW599" s="3">
        <v>0.0492677151786159</v>
      </c>
      <c r="AX599" s="3">
        <v>0.0488738229367984</v>
      </c>
      <c r="AY599" s="3">
        <v>0.0468785606330606</v>
      </c>
      <c r="AZ599" s="3">
        <v>0.0452667138250054</v>
      </c>
      <c r="BA599" s="3">
        <v>0.0439940966808363</v>
      </c>
      <c r="BB599" s="3">
        <v>0.0430969600673323</v>
      </c>
      <c r="BC599" s="3">
        <v>0.0421569067631016</v>
      </c>
      <c r="BD599" s="3">
        <v>0.0418878332950973</v>
      </c>
      <c r="BE599" s="3">
        <v>0.0426022013696205</v>
      </c>
      <c r="BF599" s="3">
        <v>0.0432993959482428</v>
      </c>
      <c r="BG599" s="3">
        <v>0.0452730475779251</v>
      </c>
      <c r="BH599" s="3">
        <v>0.0464704410024114</v>
      </c>
      <c r="BI599" s="3">
        <v>0.0479380720176512</v>
      </c>
      <c r="BJ599" s="3">
        <v>0.0480399678337013</v>
      </c>
      <c r="BK599" s="3">
        <v>0.0483429040979774</v>
      </c>
      <c r="BL599" s="3">
        <v>0.048640726985082</v>
      </c>
      <c r="BM599" s="3">
        <v>0.0482552793770418</v>
      </c>
      <c r="BN599" s="3">
        <v>0.0480475426522717</v>
      </c>
      <c r="BO599" s="3">
        <v>0.0484354047865371</v>
      </c>
      <c r="BP599" s="3">
        <v>0.0489848750048542</v>
      </c>
      <c r="BQ599" s="3">
        <v>0.0488140540741222</v>
      </c>
      <c r="BR599" s="3">
        <v>0.047939410241506</v>
      </c>
      <c r="BS599" s="3">
        <v>0.0479195239405771</v>
      </c>
      <c r="BT599" s="3">
        <v>0.0480247713702112</v>
      </c>
      <c r="BU599" s="3">
        <v>0.0482410252432074</v>
      </c>
      <c r="BV599" s="3">
        <v>0.047204596057134</v>
      </c>
      <c r="BW599" s="3">
        <v>0.0461587041304733</v>
      </c>
      <c r="BX599" s="3">
        <v>0.0454243833539424</v>
      </c>
      <c r="BY599" s="3">
        <v>0.0458041365298783</v>
      </c>
      <c r="BZ599" s="3">
        <v>0.0470872330967407</v>
      </c>
      <c r="CA599" s="3">
        <v>0.0470628712895833</v>
      </c>
      <c r="CB599" s="3">
        <v>0.045802122631545</v>
      </c>
      <c r="CC599" s="3">
        <v>0.0460862351890089</v>
      </c>
      <c r="CD599" s="3">
        <v>0.0473707262441101</v>
      </c>
      <c r="CE599" s="3">
        <v>0.0483859163894503</v>
      </c>
      <c r="CF599" s="3">
        <v>0.0493548425078973</v>
      </c>
      <c r="CG599" s="3">
        <v>0.050664333837432</v>
      </c>
      <c r="CH599" s="3">
        <v>0.0509000858942226</v>
      </c>
      <c r="CI599" s="3">
        <v>0.0509007226406441</v>
      </c>
      <c r="CJ599" s="3">
        <v>0.0511107763965332</v>
      </c>
      <c r="CK599" s="3">
        <v>0.0508042278786295</v>
      </c>
      <c r="CL599" s="3">
        <v>0.0510467817087194</v>
      </c>
      <c r="CM599" s="3">
        <v>0.0513101678051554</v>
      </c>
      <c r="CN599" s="3">
        <v>0.0510918732579824</v>
      </c>
      <c r="CO599" s="3">
        <v>0.0509823533375853</v>
      </c>
      <c r="CP599" s="3">
        <v>0.0513498542012883</v>
      </c>
      <c r="CQ599" s="3">
        <v>0.0506608135730744</v>
      </c>
      <c r="CR599" s="3">
        <v>0.0501883914656756</v>
      </c>
      <c r="CS599" s="3">
        <v>0.0502040649920251</v>
      </c>
      <c r="CT599" s="3">
        <v>0.04952393212487</v>
      </c>
      <c r="CU599" s="3">
        <v>0.0498151012273777</v>
      </c>
      <c r="CV599" s="3">
        <v>0.0503967893307394</v>
      </c>
    </row>
    <row r="600" spans="1:100">
      <c r="A600" s="1" t="str">
        <f>IF($S$20="Y",'Population Definitions'!$B$17,"...")</f>
        <v>...</v>
      </c>
      <c r="B600" s="4" t="str">
        <f>IF($S$20="Y","---&gt;","...")</f>
        <v>...</v>
      </c>
      <c r="C600" s="1" t="str">
        <f>IF($S$20="Y",'Population Definitions'!$B$19,"...")</f>
        <v>...</v>
      </c>
      <c r="E600" s="2"/>
      <c r="F600" s="3"/>
      <c r="G600" s="2"/>
      <c r="H600" s="4" t="str">
        <f>IF($S$20="Y","OR","...")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IF($T$20="Y",'Population Definitions'!$B$17,"...")</f>
        <v>...</v>
      </c>
      <c r="B601" s="4" t="str">
        <f>IF($T$20="Y","---&gt;","...")</f>
        <v>...</v>
      </c>
      <c r="C601" s="1" t="str">
        <f>IF($T$20="Y",'Population Definitions'!$B$20,"...")</f>
        <v>...</v>
      </c>
      <c r="E601" s="2"/>
      <c r="F601" s="3"/>
      <c r="G601" s="2"/>
      <c r="H601" s="4" t="str">
        <f>IF($T$20="Y","OR","...")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IF($U$20="Y",'Population Definitions'!$B$17,"...")</f>
        <v>...</v>
      </c>
      <c r="B602" s="4" t="str">
        <f>IF($U$20="Y","---&gt;","...")</f>
        <v>...</v>
      </c>
      <c r="C602" s="1" t="str">
        <f>IF($U$20="Y",'Population Definitions'!$B$21,"...")</f>
        <v>...</v>
      </c>
      <c r="E602" s="2"/>
      <c r="F602" s="3"/>
      <c r="G602" s="2"/>
      <c r="H602" s="4" t="str">
        <f>IF($U$20="Y","OR","...")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IF($V$20="Y",'Population Definitions'!$B$17,"...")</f>
        <v>...</v>
      </c>
      <c r="B603" s="4" t="str">
        <f>IF($V$20="Y","---&gt;","...")</f>
        <v>...</v>
      </c>
      <c r="C603" s="1" t="str">
        <f>IF($V$20="Y",'Population Definitions'!$B$22,"...")</f>
        <v>...</v>
      </c>
      <c r="E603" s="2"/>
      <c r="F603" s="3"/>
      <c r="G603" s="2"/>
      <c r="H603" s="4" t="str">
        <f>IF($V$20="Y","OR","...")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IF($W$20="Y",'Population Definitions'!$B$17,"...")</f>
        <v>...</v>
      </c>
      <c r="B604" s="4" t="str">
        <f>IF($W$20="Y","---&gt;","...")</f>
        <v>...</v>
      </c>
      <c r="C604" s="1" t="str">
        <f>IF($W$20="Y",'Population Definitions'!$B$23,"...")</f>
        <v>...</v>
      </c>
      <c r="E604" s="2"/>
      <c r="F604" s="3"/>
      <c r="G604" s="2"/>
      <c r="H604" s="4" t="str">
        <f>IF($W$20="Y","OR","...")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IF($X$20="Y",'Population Definitions'!$B$17,"...")</f>
        <v>...</v>
      </c>
      <c r="B605" s="4" t="str">
        <f>IF($X$20="Y","---&gt;","...")</f>
        <v>...</v>
      </c>
      <c r="C605" s="1" t="str">
        <f>IF($X$20="Y",'Population Definitions'!$B$24,"...")</f>
        <v>...</v>
      </c>
      <c r="E605" s="2"/>
      <c r="F605" s="3"/>
      <c r="G605" s="2"/>
      <c r="H605" s="4" t="str">
        <f>IF($X$20="Y","OR","...")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IF($Y$20="Y",'Population Definitions'!$B$17,"...")</f>
        <v>...</v>
      </c>
      <c r="B606" s="4" t="str">
        <f>IF($Y$20="Y","---&gt;","...")</f>
        <v>...</v>
      </c>
      <c r="C606" s="1" t="str">
        <f>IF($Y$20="Y",'Population Definitions'!$B$25,"...")</f>
        <v>...</v>
      </c>
      <c r="E606" s="2"/>
      <c r="F606" s="3"/>
      <c r="G606" s="2"/>
      <c r="H606" s="4" t="str">
        <f>IF($Y$20="Y","OR","...")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>
      <c r="A607" s="1" t="str">
        <f>IF($Z$20="Y",'Population Definitions'!$B$17,"...")</f>
        <v>...</v>
      </c>
      <c r="B607" s="4" t="str">
        <f>IF($Z$20="Y","---&gt;","...")</f>
        <v>...</v>
      </c>
      <c r="C607" s="1" t="str">
        <f>IF($Z$20="Y",'Population Definitions'!$B$26,"...")</f>
        <v>...</v>
      </c>
      <c r="E607" s="2"/>
      <c r="F607" s="3"/>
      <c r="G607" s="2"/>
      <c r="H607" s="4" t="str">
        <f>IF($Z$20="Y","OR","...")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>
      <c r="A608" s="1" t="str">
        <f>IF($AA$20="Y",'Population Definitions'!$B$17,"...")</f>
        <v>...</v>
      </c>
      <c r="B608" s="4" t="str">
        <f>IF($AA$20="Y","---&gt;","...")</f>
        <v>...</v>
      </c>
      <c r="C608" s="1" t="str">
        <f>IF($AA$20="Y",'Population Definitions'!$B$27,"...")</f>
        <v>...</v>
      </c>
      <c r="E608" s="2"/>
      <c r="F608" s="3"/>
      <c r="G608" s="2"/>
      <c r="H608" s="4" t="str">
        <f>IF($AA$20="Y","OR","...")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>
      <c r="A609" s="1" t="str">
        <f>IF($AB$20="Y",'Population Definitions'!$B$17,"...")</f>
        <v>...</v>
      </c>
      <c r="B609" s="4" t="str">
        <f>IF($AB$20="Y","---&gt;","...")</f>
        <v>...</v>
      </c>
      <c r="C609" s="1" t="str">
        <f>IF($AB$20="Y",'Population Definitions'!$B$28,"...")</f>
        <v>...</v>
      </c>
      <c r="E609" s="2"/>
      <c r="F609" s="3"/>
      <c r="G609" s="2"/>
      <c r="H609" s="4" t="str">
        <f>IF($AB$20="Y","OR","...")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>
      <c r="A610" s="1" t="str">
        <f>IF($AC$20="Y",'Population Definitions'!$B$17,"...")</f>
        <v>...</v>
      </c>
      <c r="B610" s="4" t="str">
        <f>IF($AC$20="Y","---&gt;","...")</f>
        <v>...</v>
      </c>
      <c r="C610" s="1" t="str">
        <f>IF($AC$20="Y",'Population Definitions'!$B$29,"...")</f>
        <v>...</v>
      </c>
      <c r="E610" s="2"/>
      <c r="F610" s="3"/>
      <c r="G610" s="2"/>
      <c r="H610" s="4" t="str">
        <f>IF($AC$20="Y","OR","...")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>
      <c r="A611" s="1" t="str">
        <f>IF($AD$20="Y",'Population Definitions'!$B$17,"...")</f>
        <v>...</v>
      </c>
      <c r="B611" s="4" t="str">
        <f>IF($AD$20="Y","---&gt;","...")</f>
        <v>...</v>
      </c>
      <c r="C611" s="1" t="str">
        <f>IF($AD$20="Y",'Population Definitions'!$B$30,"...")</f>
        <v>...</v>
      </c>
      <c r="E611" s="2"/>
      <c r="F611" s="3"/>
      <c r="G611" s="2"/>
      <c r="H611" s="4" t="str">
        <f>IF($AD$20="Y","OR","...")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>
      <c r="A612" s="1" t="str">
        <f>IF($AE$20="Y",'Population Definitions'!$B$17,"...")</f>
        <v>...</v>
      </c>
      <c r="B612" s="4" t="str">
        <f>IF($AE$20="Y","---&gt;","...")</f>
        <v>...</v>
      </c>
      <c r="C612" s="1" t="str">
        <f>IF($AE$20="Y",'Population Definitions'!$B$31,"...")</f>
        <v>...</v>
      </c>
      <c r="E612" s="2"/>
      <c r="F612" s="3"/>
      <c r="G612" s="2"/>
      <c r="H612" s="4" t="str">
        <f>IF($AE$20="Y","OR","...")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>
      <c r="A613" s="1" t="str">
        <f>IF($AF$20="Y",'Population Definitions'!$B$17,"...")</f>
        <v>...</v>
      </c>
      <c r="B613" s="4" t="str">
        <f>IF($AF$20="Y","---&gt;","...")</f>
        <v>...</v>
      </c>
      <c r="C613" s="1" t="str">
        <f>IF($AF$20="Y",'Population Definitions'!$B$32,"...")</f>
        <v>...</v>
      </c>
      <c r="E613" s="2"/>
      <c r="F613" s="3"/>
      <c r="G613" s="2"/>
      <c r="H613" s="4" t="str">
        <f>IF($AF$20="Y","OR","...")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>
      <c r="A614" s="1" t="str">
        <f>IF($AG$20="Y",'Population Definitions'!$B$17,"...")</f>
        <v>...</v>
      </c>
      <c r="B614" s="4" t="str">
        <f>IF($AG$20="Y","---&gt;","...")</f>
        <v>...</v>
      </c>
      <c r="C614" s="1" t="str">
        <f>IF($AG$20="Y",'Population Definitions'!$B$33,"...")</f>
        <v>...</v>
      </c>
      <c r="E614" s="2"/>
      <c r="F614" s="3"/>
      <c r="G614" s="2"/>
      <c r="H614" s="4" t="str">
        <f>IF($AG$20="Y","OR","...")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>
      <c r="A615" s="1" t="str">
        <f>IF($AH$20="Y",'Population Definitions'!$B$17,"...")</f>
        <v>...</v>
      </c>
      <c r="B615" s="4" t="str">
        <f>IF($AH$20="Y","---&gt;","...")</f>
        <v>...</v>
      </c>
      <c r="C615" s="1" t="str">
        <f>IF($AH$20="Y",'Population Definitions'!$B$34,"...")</f>
        <v>...</v>
      </c>
      <c r="E615" s="2"/>
      <c r="F615" s="3"/>
      <c r="G615" s="2"/>
      <c r="H615" s="4" t="str">
        <f>IF($AH$20="Y","OR","...")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>
      <c r="A616" s="1" t="str">
        <f>IF($AI$20="Y",'Population Definitions'!$B$17,"...")</f>
        <v>...</v>
      </c>
      <c r="B616" s="4" t="str">
        <f>IF($AI$20="Y","---&gt;","...")</f>
        <v>...</v>
      </c>
      <c r="C616" s="1" t="str">
        <f>IF($AI$20="Y",'Population Definitions'!$B$35,"...")</f>
        <v>...</v>
      </c>
      <c r="E616" s="2"/>
      <c r="F616" s="3"/>
      <c r="G616" s="2"/>
      <c r="H616" s="4" t="str">
        <f>IF($AI$20="Y","OR","...")</f>
        <v>...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>
      <c r="A617" s="1" t="str">
        <f>IF($AJ$20="Y",'Population Definitions'!$B$17,"...")</f>
        <v>...</v>
      </c>
      <c r="B617" s="4" t="str">
        <f>IF($AJ$20="Y","---&gt;","...")</f>
        <v>...</v>
      </c>
      <c r="C617" s="1" t="str">
        <f>IF($AJ$20="Y",'Population Definitions'!$B$36,"...")</f>
        <v>...</v>
      </c>
      <c r="E617" s="2"/>
      <c r="F617" s="3"/>
      <c r="G617" s="2"/>
      <c r="H617" s="4" t="str">
        <f>IF($AJ$20="Y","OR","...")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>
      <c r="A618" s="1" t="str">
        <f>IF($AK$20="Y",'Population Definitions'!$B$17,"...")</f>
        <v>...</v>
      </c>
      <c r="B618" s="4" t="str">
        <f>IF($AK$20="Y","---&gt;","...")</f>
        <v>...</v>
      </c>
      <c r="C618" s="1" t="str">
        <f>IF($AK$20="Y",'Population Definitions'!$B$37,"...")</f>
        <v>...</v>
      </c>
      <c r="E618" s="2"/>
      <c r="F618" s="3"/>
      <c r="G618" s="2"/>
      <c r="H618" s="4" t="str">
        <f>IF($AK$20="Y","OR","...")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>
      <c r="A619" s="1" t="str">
        <f>IF($B$21="Y",'Population Definitions'!$B$18,"...")</f>
        <v>...</v>
      </c>
      <c r="B619" s="4" t="str">
        <f>IF($B$21="Y","---&gt;","...")</f>
        <v>...</v>
      </c>
      <c r="C619" s="1" t="str">
        <f>IF($B$21="Y",'Population Definitions'!$B$2,"...")</f>
        <v>...</v>
      </c>
      <c r="E619" s="2"/>
      <c r="F619" s="3"/>
      <c r="G619" s="2"/>
      <c r="H619" s="4" t="str">
        <f>IF($B$21="Y","OR","...")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>
      <c r="A620" s="1" t="str">
        <f>IF($C$21="Y",'Population Definitions'!$B$18,"...")</f>
        <v>...</v>
      </c>
      <c r="B620" s="4" t="str">
        <f>IF($C$21="Y","---&gt;","...")</f>
        <v>...</v>
      </c>
      <c r="C620" s="1" t="str">
        <f>IF($C$21="Y",'Population Definitions'!$B$3,"...")</f>
        <v>...</v>
      </c>
      <c r="E620" s="2"/>
      <c r="F620" s="3"/>
      <c r="G620" s="2"/>
      <c r="H620" s="4" t="str">
        <f>IF($C$21="Y","OR","...")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>
      <c r="A621" s="1" t="str">
        <f>IF($D$21="Y",'Population Definitions'!$B$18,"...")</f>
        <v>...</v>
      </c>
      <c r="B621" s="4" t="str">
        <f>IF($D$21="Y","---&gt;","...")</f>
        <v>...</v>
      </c>
      <c r="C621" s="1" t="str">
        <f>IF($D$21="Y",'Population Definitions'!$B$4,"...")</f>
        <v>...</v>
      </c>
      <c r="E621" s="2"/>
      <c r="F621" s="3"/>
      <c r="G621" s="2"/>
      <c r="H621" s="4" t="str">
        <f>IF($D$21="Y","OR","...")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>
      <c r="A622" s="1" t="str">
        <f>IF($E$21="Y",'Population Definitions'!$B$18,"...")</f>
        <v>...</v>
      </c>
      <c r="B622" s="4" t="str">
        <f>IF($E$21="Y","---&gt;","...")</f>
        <v>...</v>
      </c>
      <c r="C622" s="1" t="str">
        <f>IF($E$21="Y",'Population Definitions'!$B$5,"...")</f>
        <v>...</v>
      </c>
      <c r="E622" s="2"/>
      <c r="F622" s="3"/>
      <c r="G622" s="2"/>
      <c r="H622" s="4" t="str">
        <f>IF($E$21="Y","OR","...")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>
      <c r="A623" s="1" t="str">
        <f>IF($F$21="Y",'Population Definitions'!$B$18,"...")</f>
        <v>...</v>
      </c>
      <c r="B623" s="4" t="str">
        <f>IF($F$21="Y","---&gt;","...")</f>
        <v>...</v>
      </c>
      <c r="C623" s="1" t="str">
        <f>IF($F$21="Y",'Population Definitions'!$B$6,"...")</f>
        <v>...</v>
      </c>
      <c r="E623" s="2"/>
      <c r="F623" s="3"/>
      <c r="G623" s="2"/>
      <c r="H623" s="4" t="str">
        <f>IF($F$21="Y","OR","...")</f>
        <v>...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>
      <c r="A624" s="1" t="str">
        <f>IF($G$21="Y",'Population Definitions'!$B$18,"...")</f>
        <v>...</v>
      </c>
      <c r="B624" s="4" t="str">
        <f>IF($G$21="Y","---&gt;","...")</f>
        <v>...</v>
      </c>
      <c r="C624" s="1" t="str">
        <f>IF($G$21="Y",'Population Definitions'!$B$7,"...")</f>
        <v>...</v>
      </c>
      <c r="E624" s="2"/>
      <c r="F624" s="3"/>
      <c r="G624" s="2"/>
      <c r="H624" s="4" t="str">
        <f>IF($G$21="Y","OR","...")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>
      <c r="A625" s="1" t="str">
        <f>IF($H$21="Y",'Population Definitions'!$B$18,"...")</f>
        <v>...</v>
      </c>
      <c r="B625" s="4" t="str">
        <f>IF($H$21="Y","---&gt;","...")</f>
        <v>...</v>
      </c>
      <c r="C625" s="1" t="str">
        <f>IF($H$21="Y",'Population Definitions'!$B$8,"...")</f>
        <v>...</v>
      </c>
      <c r="E625" s="2"/>
      <c r="F625" s="3"/>
      <c r="G625" s="2"/>
      <c r="H625" s="4" t="str">
        <f>IF($H$21="Y","OR","...")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>
      <c r="A626" s="1" t="str">
        <f>IF($I$21="Y",'Population Definitions'!$B$18,"...")</f>
        <v>...</v>
      </c>
      <c r="B626" s="4" t="str">
        <f>IF($I$21="Y","---&gt;","...")</f>
        <v>...</v>
      </c>
      <c r="C626" s="1" t="str">
        <f>IF($I$21="Y",'Population Definitions'!$B$9,"...")</f>
        <v>...</v>
      </c>
      <c r="E626" s="2"/>
      <c r="F626" s="3"/>
      <c r="G626" s="2"/>
      <c r="H626" s="4" t="str">
        <f>IF($I$21="Y","OR","...")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>
      <c r="A627" s="1" t="str">
        <f>IF($J$21="Y",'Population Definitions'!$B$18,"...")</f>
        <v>...</v>
      </c>
      <c r="B627" s="4" t="str">
        <f>IF($J$21="Y","---&gt;","...")</f>
        <v>...</v>
      </c>
      <c r="C627" s="1" t="str">
        <f>IF($J$21="Y",'Population Definitions'!$B$10,"...")</f>
        <v>...</v>
      </c>
      <c r="E627" s="2"/>
      <c r="F627" s="3"/>
      <c r="G627" s="2"/>
      <c r="H627" s="4" t="str">
        <f>IF($J$21="Y","OR","...")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>
      <c r="A628" s="1" t="str">
        <f>IF($K$21="Y",'Population Definitions'!$B$18,"...")</f>
        <v>...</v>
      </c>
      <c r="B628" s="4" t="str">
        <f>IF($K$21="Y","---&gt;","...")</f>
        <v>...</v>
      </c>
      <c r="C628" s="1" t="str">
        <f>IF($K$21="Y",'Population Definitions'!$B$11,"...")</f>
        <v>...</v>
      </c>
      <c r="E628" s="2"/>
      <c r="F628" s="3"/>
      <c r="G628" s="2"/>
      <c r="H628" s="4" t="str">
        <f>IF($K$21="Y","OR","...")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>
      <c r="A629" s="1" t="str">
        <f>IF($L$21="Y",'Population Definitions'!$B$18,"...")</f>
        <v>...</v>
      </c>
      <c r="B629" s="4" t="str">
        <f>IF($L$21="Y","---&gt;","...")</f>
        <v>...</v>
      </c>
      <c r="C629" s="1" t="str">
        <f>IF($L$21="Y",'Population Definitions'!$B$12,"...")</f>
        <v>...</v>
      </c>
      <c r="E629" s="2"/>
      <c r="F629" s="3"/>
      <c r="G629" s="2"/>
      <c r="H629" s="4" t="str">
        <f>IF($L$21="Y","OR","...")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>
      <c r="A630" s="1" t="str">
        <f>IF($M$21="Y",'Population Definitions'!$B$18,"...")</f>
        <v>...</v>
      </c>
      <c r="B630" s="4" t="str">
        <f>IF($M$21="Y","---&gt;","...")</f>
        <v>...</v>
      </c>
      <c r="C630" s="1" t="str">
        <f>IF($M$21="Y",'Population Definitions'!$B$13,"...")</f>
        <v>...</v>
      </c>
      <c r="E630" s="2"/>
      <c r="F630" s="3"/>
      <c r="G630" s="2"/>
      <c r="H630" s="4" t="str">
        <f>IF($M$21="Y","OR","...")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>
      <c r="A631" s="1" t="str">
        <f>IF($N$21="Y",'Population Definitions'!$B$18,"...")</f>
        <v>...</v>
      </c>
      <c r="B631" s="4" t="str">
        <f>IF($N$21="Y","---&gt;","...")</f>
        <v>...</v>
      </c>
      <c r="C631" s="1" t="str">
        <f>IF($N$21="Y",'Population Definitions'!$B$14,"...")</f>
        <v>...</v>
      </c>
      <c r="E631" s="2"/>
      <c r="F631" s="3"/>
      <c r="G631" s="2"/>
      <c r="H631" s="4" t="str">
        <f>IF($N$21="Y","OR","...")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>
      <c r="A632" s="1" t="str">
        <f>IF($O$21="Y",'Population Definitions'!$B$18,"...")</f>
        <v>...</v>
      </c>
      <c r="B632" s="4" t="str">
        <f>IF($O$21="Y","---&gt;","...")</f>
        <v>...</v>
      </c>
      <c r="C632" s="1" t="str">
        <f>IF($O$21="Y",'Population Definitions'!$B$15,"...")</f>
        <v>...</v>
      </c>
      <c r="E632" s="2"/>
      <c r="F632" s="3"/>
      <c r="G632" s="2"/>
      <c r="H632" s="4" t="str">
        <f>IF($O$21="Y","OR","...")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>
      <c r="A633" s="1" t="str">
        <f>IF($P$21="Y",'Population Definitions'!$B$18,"...")</f>
        <v>...</v>
      </c>
      <c r="B633" s="4" t="str">
        <f>IF($P$21="Y","---&gt;","...")</f>
        <v>...</v>
      </c>
      <c r="C633" s="1" t="str">
        <f>IF($P$21="Y",'Population Definitions'!$B$16,"...")</f>
        <v>...</v>
      </c>
      <c r="E633" s="2"/>
      <c r="F633" s="3"/>
      <c r="G633" s="2"/>
      <c r="H633" s="4" t="str">
        <f>IF($P$21="Y","OR","...")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>
      <c r="A634" s="1" t="str">
        <f>IF($Q$21="Y",'Population Definitions'!$B$18,"...")</f>
        <v>...</v>
      </c>
      <c r="B634" s="4" t="str">
        <f>IF($Q$21="Y","---&gt;","...")</f>
        <v>...</v>
      </c>
      <c r="C634" s="1" t="str">
        <f>IF($Q$21="Y",'Population Definitions'!$B$17,"...")</f>
        <v>...</v>
      </c>
      <c r="E634" s="2"/>
      <c r="F634" s="3"/>
      <c r="G634" s="2"/>
      <c r="H634" s="4" t="str">
        <f>IF($Q$21="Y","OR","...")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>
      <c r="A635" s="1" t="str">
        <f>IF($R$21="Y",'Population Definitions'!$B$18,"...")</f>
        <v>...</v>
      </c>
      <c r="B635" s="4" t="str">
        <f>IF($R$21="Y","---&gt;","...")</f>
        <v>...</v>
      </c>
      <c r="C635" s="1" t="str">
        <f>IF($R$21="Y",'Population Definitions'!$B$18,"...")</f>
        <v>...</v>
      </c>
      <c r="E635" s="2"/>
      <c r="F635" s="3"/>
      <c r="G635" s="2"/>
      <c r="H635" s="4" t="str">
        <f>IF($R$21="Y","OR","...")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>
      <c r="A636" s="1" t="str">
        <f>IF($S$21="Y",'Population Definitions'!$B$18,"...")</f>
        <v>50-64M_oth</v>
      </c>
      <c r="B636" s="4" t="str">
        <f>IF($S$21="Y","---&gt;","...")</f>
        <v>---&gt;</v>
      </c>
      <c r="C636" s="1" t="str">
        <f>IF($S$21="Y",'Population Definitions'!$B$19,"...")</f>
        <v>65+M_oth</v>
      </c>
      <c r="E636" s="3" t="s">
        <v>63</v>
      </c>
      <c r="F636" s="3"/>
      <c r="G636" s="3"/>
      <c r="H636" s="4" t="str">
        <f>IF($S$21="Y","OR","...")</f>
        <v>OR</v>
      </c>
      <c r="I636" s="3">
        <v>0.0521999586466741</v>
      </c>
      <c r="J636" s="3">
        <v>0.0511010058314965</v>
      </c>
      <c r="K636" s="3">
        <v>0.0485191739311111</v>
      </c>
      <c r="L636" s="3">
        <v>0.0481981824117813</v>
      </c>
      <c r="M636" s="3">
        <v>0.0536335757022642</v>
      </c>
      <c r="N636" s="3">
        <v>0.0592890491629962</v>
      </c>
      <c r="O636" s="3">
        <v>0.0601994553776073</v>
      </c>
      <c r="P636" s="3">
        <v>0.0592962563637532</v>
      </c>
      <c r="Q636" s="3">
        <v>0.0604604870280671</v>
      </c>
      <c r="R636" s="3">
        <v>0.0595551818814782</v>
      </c>
      <c r="S636" s="3">
        <v>0.0624992424281779</v>
      </c>
      <c r="T636" s="3">
        <v>0.0610458768858485</v>
      </c>
      <c r="U636" s="3">
        <v>0.0605304750720037</v>
      </c>
      <c r="V636" s="3">
        <v>0.0597002812112247</v>
      </c>
      <c r="W636" s="3">
        <v>0.0578424696541727</v>
      </c>
      <c r="X636" s="3">
        <v>0.0575214450992675</v>
      </c>
      <c r="Y636" s="3">
        <v>0.0534715990501755</v>
      </c>
      <c r="Z636" s="3">
        <v>0.0504147722000557</v>
      </c>
      <c r="AA636" s="3">
        <v>0.048894078602819</v>
      </c>
      <c r="AB636" s="3">
        <v>0.0469141367913928</v>
      </c>
      <c r="AC636" s="3">
        <v>0.048640065232536</v>
      </c>
      <c r="AD636" s="3">
        <v>0.0489669051393704</v>
      </c>
      <c r="AE636" s="3">
        <v>0.0482198613471366</v>
      </c>
      <c r="AF636" s="3">
        <v>0.0485596226656172</v>
      </c>
      <c r="AG636" s="3">
        <v>0.0484719754852755</v>
      </c>
      <c r="AH636" s="3">
        <v>0.0482163212227271</v>
      </c>
      <c r="AI636" s="3">
        <v>0.0495635943312795</v>
      </c>
      <c r="AJ636" s="3">
        <v>0.0486380750836738</v>
      </c>
      <c r="AK636" s="3">
        <v>0.0521395794067207</v>
      </c>
      <c r="AL636" s="3">
        <v>0.0531272742173839</v>
      </c>
      <c r="AM636" s="3">
        <v>0.0542408009061881</v>
      </c>
      <c r="AN636" s="3">
        <v>0.0621175282950816</v>
      </c>
      <c r="AO636" s="3">
        <v>0.0588762882194896</v>
      </c>
      <c r="AP636" s="3">
        <v>0.0570876637511762</v>
      </c>
      <c r="AQ636" s="3">
        <v>0.0574495215210313</v>
      </c>
      <c r="AR636" s="3">
        <v>0.0578707601243594</v>
      </c>
      <c r="AS636" s="3">
        <v>0.0575110916938467</v>
      </c>
      <c r="AT636" s="3">
        <v>0.057932905174262</v>
      </c>
      <c r="AU636" s="3">
        <v>0.0572594957702516</v>
      </c>
      <c r="AV636" s="3">
        <v>0.05794782747976</v>
      </c>
      <c r="AW636" s="3">
        <v>0.0595266402308427</v>
      </c>
      <c r="AX636" s="3">
        <v>0.0591425059648615</v>
      </c>
      <c r="AY636" s="3">
        <v>0.0595679956893733</v>
      </c>
      <c r="AZ636" s="3">
        <v>0.0608347194334313</v>
      </c>
      <c r="BA636" s="3">
        <v>0.06165467812697</v>
      </c>
      <c r="BB636" s="3">
        <v>0.06395130836779631</v>
      </c>
      <c r="BC636" s="3">
        <v>0.0647365424203933</v>
      </c>
      <c r="BD636" s="3">
        <v>0.0652378296617047</v>
      </c>
      <c r="BE636" s="3">
        <v>0.0645460094517126</v>
      </c>
      <c r="BF636" s="3">
        <v>0.0627190756370973</v>
      </c>
      <c r="BG636" s="3">
        <v>0.0616060516108276</v>
      </c>
      <c r="BH636" s="3">
        <v>0.0611024067144692</v>
      </c>
      <c r="BI636" s="3">
        <v>0.0613618492076538</v>
      </c>
      <c r="BJ636" s="3">
        <v>0.062662523041493</v>
      </c>
      <c r="BK636" s="3">
        <v>0.0627500903001731</v>
      </c>
      <c r="BL636" s="3">
        <v>0.06578174115735411</v>
      </c>
      <c r="BM636" s="3">
        <v>0.0646799095873055</v>
      </c>
      <c r="BN636" s="3">
        <v>0.0621317826669186</v>
      </c>
      <c r="BO636" s="3">
        <v>0.0601645594123156</v>
      </c>
      <c r="BP636" s="3">
        <v>0.0584854826832554</v>
      </c>
      <c r="BQ636" s="3">
        <v>0.0572238966517879</v>
      </c>
      <c r="BR636" s="3">
        <v>0.0558431127254117</v>
      </c>
      <c r="BS636" s="3">
        <v>0.0553084517876221</v>
      </c>
      <c r="BT636" s="3">
        <v>0.0559576366613641</v>
      </c>
      <c r="BU636" s="3">
        <v>0.0566058042499789</v>
      </c>
      <c r="BV636" s="3">
        <v>0.0589073309361637</v>
      </c>
      <c r="BW636" s="3">
        <v>0.0603586014523547</v>
      </c>
      <c r="BX636" s="3">
        <v>0.0621602950140153</v>
      </c>
      <c r="BY636" s="3">
        <v>0.062380149001341</v>
      </c>
      <c r="BZ636" s="3">
        <v>0.06289560381352489</v>
      </c>
      <c r="CA636" s="3">
        <v>0.063355821556402</v>
      </c>
      <c r="CB636" s="3">
        <v>0.06303219020269139</v>
      </c>
      <c r="CC636" s="3">
        <v>0.0631264271226936</v>
      </c>
      <c r="CD636" s="3">
        <v>0.0639328411080861</v>
      </c>
      <c r="CE636" s="3">
        <v>0.064818368769573</v>
      </c>
      <c r="CF636" s="3">
        <v>0.0647096221616849</v>
      </c>
      <c r="CG636" s="3">
        <v>0.06358637435726699</v>
      </c>
      <c r="CH636" s="3">
        <v>0.0634254342254356</v>
      </c>
      <c r="CI636" s="3">
        <v>0.0634328620595509</v>
      </c>
      <c r="CJ636" s="3">
        <v>0.0635805462525818</v>
      </c>
      <c r="CK636" s="3">
        <v>0.0621306758052967</v>
      </c>
      <c r="CL636" s="3">
        <v>0.0607210039180598</v>
      </c>
      <c r="CM636" s="3">
        <v>0.0596359281606353</v>
      </c>
      <c r="CN636" s="3">
        <v>0.0599017310463108</v>
      </c>
      <c r="CO636" s="3">
        <v>0.0613411911499812</v>
      </c>
      <c r="CP636" s="3">
        <v>0.0611484649938485</v>
      </c>
      <c r="CQ636" s="3">
        <v>0.0594171157834077</v>
      </c>
      <c r="CR636" s="3">
        <v>0.0596937262795827</v>
      </c>
      <c r="CS636" s="3">
        <v>0.0612107583816173</v>
      </c>
      <c r="CT636" s="3">
        <v>0.0624208078448438</v>
      </c>
      <c r="CU636" s="3">
        <v>0.0636449367462634</v>
      </c>
      <c r="CV636" s="3">
        <v>0.0652734935986265</v>
      </c>
    </row>
    <row r="637" spans="1:100">
      <c r="A637" s="1" t="str">
        <f>IF($T$21="Y",'Population Definitions'!$B$18,"...")</f>
        <v>...</v>
      </c>
      <c r="B637" s="4" t="str">
        <f>IF($T$21="Y","---&gt;","...")</f>
        <v>...</v>
      </c>
      <c r="C637" s="1" t="str">
        <f>IF($T$21="Y",'Population Definitions'!$B$20,"...")</f>
        <v>...</v>
      </c>
      <c r="E637" s="2"/>
      <c r="F637" s="3"/>
      <c r="G637" s="2"/>
      <c r="H637" s="4" t="str">
        <f>IF($T$21="Y","OR","...")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>
      <c r="A638" s="1" t="str">
        <f>IF($U$21="Y",'Population Definitions'!$B$18,"...")</f>
        <v>...</v>
      </c>
      <c r="B638" s="4" t="str">
        <f>IF($U$21="Y","---&gt;","...")</f>
        <v>...</v>
      </c>
      <c r="C638" s="1" t="str">
        <f>IF($U$21="Y",'Population Definitions'!$B$21,"...")</f>
        <v>...</v>
      </c>
      <c r="E638" s="2"/>
      <c r="F638" s="3"/>
      <c r="G638" s="2"/>
      <c r="H638" s="4" t="str">
        <f>IF($U$21="Y","OR","...")</f>
        <v>...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>
      <c r="A639" s="1" t="str">
        <f>IF($V$21="Y",'Population Definitions'!$B$18,"...")</f>
        <v>...</v>
      </c>
      <c r="B639" s="4" t="str">
        <f>IF($V$21="Y","---&gt;","...")</f>
        <v>...</v>
      </c>
      <c r="C639" s="1" t="str">
        <f>IF($V$21="Y",'Population Definitions'!$B$22,"...")</f>
        <v>...</v>
      </c>
      <c r="E639" s="2"/>
      <c r="F639" s="3"/>
      <c r="G639" s="2"/>
      <c r="H639" s="4" t="str">
        <f>IF($V$21="Y","OR","...")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>
      <c r="A640" s="1" t="str">
        <f>IF($W$21="Y",'Population Definitions'!$B$18,"...")</f>
        <v>...</v>
      </c>
      <c r="B640" s="4" t="str">
        <f>IF($W$21="Y","---&gt;","...")</f>
        <v>...</v>
      </c>
      <c r="C640" s="1" t="str">
        <f>IF($W$21="Y",'Population Definitions'!$B$23,"...")</f>
        <v>...</v>
      </c>
      <c r="E640" s="2"/>
      <c r="F640" s="3"/>
      <c r="G640" s="2"/>
      <c r="H640" s="4" t="str">
        <f>IF($W$21="Y","OR","...")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>
      <c r="A641" s="1" t="str">
        <f>IF($X$21="Y",'Population Definitions'!$B$18,"...")</f>
        <v>...</v>
      </c>
      <c r="B641" s="4" t="str">
        <f>IF($X$21="Y","---&gt;","...")</f>
        <v>...</v>
      </c>
      <c r="C641" s="1" t="str">
        <f>IF($X$21="Y",'Population Definitions'!$B$24,"...")</f>
        <v>...</v>
      </c>
      <c r="E641" s="2"/>
      <c r="F641" s="3"/>
      <c r="G641" s="2"/>
      <c r="H641" s="4" t="str">
        <f>IF($X$21="Y","OR","...")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>
      <c r="A642" s="1" t="str">
        <f>IF($Y$21="Y",'Population Definitions'!$B$18,"...")</f>
        <v>...</v>
      </c>
      <c r="B642" s="4" t="str">
        <f>IF($Y$21="Y","---&gt;","...")</f>
        <v>...</v>
      </c>
      <c r="C642" s="1" t="str">
        <f>IF($Y$21="Y",'Population Definitions'!$B$25,"...")</f>
        <v>...</v>
      </c>
      <c r="E642" s="2"/>
      <c r="F642" s="3"/>
      <c r="G642" s="2"/>
      <c r="H642" s="4" t="str">
        <f>IF($Y$21="Y","OR","...")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>
      <c r="A643" s="1" t="str">
        <f>IF($Z$21="Y",'Population Definitions'!$B$18,"...")</f>
        <v>...</v>
      </c>
      <c r="B643" s="4" t="str">
        <f>IF($Z$21="Y","---&gt;","...")</f>
        <v>...</v>
      </c>
      <c r="C643" s="1" t="str">
        <f>IF($Z$21="Y",'Population Definitions'!$B$26,"...")</f>
        <v>...</v>
      </c>
      <c r="E643" s="2"/>
      <c r="F643" s="3"/>
      <c r="G643" s="2"/>
      <c r="H643" s="4" t="str">
        <f>IF($Z$21="Y","OR","...")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>
      <c r="A644" s="1" t="str">
        <f>IF($AA$21="Y",'Population Definitions'!$B$18,"...")</f>
        <v>...</v>
      </c>
      <c r="B644" s="4" t="str">
        <f>IF($AA$21="Y","---&gt;","...")</f>
        <v>...</v>
      </c>
      <c r="C644" s="1" t="str">
        <f>IF($AA$21="Y",'Population Definitions'!$B$27,"...")</f>
        <v>...</v>
      </c>
      <c r="E644" s="2"/>
      <c r="F644" s="3"/>
      <c r="G644" s="2"/>
      <c r="H644" s="4" t="str">
        <f>IF($AA$21="Y","OR","...")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>
      <c r="A645" s="1" t="str">
        <f>IF($AB$21="Y",'Population Definitions'!$B$18,"...")</f>
        <v>...</v>
      </c>
      <c r="B645" s="4" t="str">
        <f>IF($AB$21="Y","---&gt;","...")</f>
        <v>...</v>
      </c>
      <c r="C645" s="1" t="str">
        <f>IF($AB$21="Y",'Population Definitions'!$B$28,"...")</f>
        <v>...</v>
      </c>
      <c r="E645" s="2"/>
      <c r="F645" s="3"/>
      <c r="G645" s="2"/>
      <c r="H645" s="4" t="str">
        <f>IF($AB$21="Y","OR","...")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>
      <c r="A646" s="1" t="str">
        <f>IF($AC$21="Y",'Population Definitions'!$B$18,"...")</f>
        <v>...</v>
      </c>
      <c r="B646" s="4" t="str">
        <f>IF($AC$21="Y","---&gt;","...")</f>
        <v>...</v>
      </c>
      <c r="C646" s="1" t="str">
        <f>IF($AC$21="Y",'Population Definitions'!$B$29,"...")</f>
        <v>...</v>
      </c>
      <c r="E646" s="2"/>
      <c r="F646" s="3"/>
      <c r="G646" s="2"/>
      <c r="H646" s="4" t="str">
        <f>IF($AC$21="Y","OR","...")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>
      <c r="A647" s="1" t="str">
        <f>IF($AD$21="Y",'Population Definitions'!$B$18,"...")</f>
        <v>...</v>
      </c>
      <c r="B647" s="4" t="str">
        <f>IF($AD$21="Y","---&gt;","...")</f>
        <v>...</v>
      </c>
      <c r="C647" s="1" t="str">
        <f>IF($AD$21="Y",'Population Definitions'!$B$30,"...")</f>
        <v>...</v>
      </c>
      <c r="E647" s="2"/>
      <c r="F647" s="3"/>
      <c r="G647" s="2"/>
      <c r="H647" s="4" t="str">
        <f>IF($AD$21="Y","OR","...")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>
      <c r="A648" s="1" t="str">
        <f>IF($AE$21="Y",'Population Definitions'!$B$18,"...")</f>
        <v>...</v>
      </c>
      <c r="B648" s="4" t="str">
        <f>IF($AE$21="Y","---&gt;","...")</f>
        <v>...</v>
      </c>
      <c r="C648" s="1" t="str">
        <f>IF($AE$21="Y",'Population Definitions'!$B$31,"...")</f>
        <v>...</v>
      </c>
      <c r="E648" s="2"/>
      <c r="F648" s="3"/>
      <c r="G648" s="2"/>
      <c r="H648" s="4" t="str">
        <f>IF($AE$21="Y","OR","...")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>
      <c r="A649" s="1" t="str">
        <f>IF($AF$21="Y",'Population Definitions'!$B$18,"...")</f>
        <v>...</v>
      </c>
      <c r="B649" s="4" t="str">
        <f>IF($AF$21="Y","---&gt;","...")</f>
        <v>...</v>
      </c>
      <c r="C649" s="1" t="str">
        <f>IF($AF$21="Y",'Population Definitions'!$B$32,"...")</f>
        <v>...</v>
      </c>
      <c r="E649" s="2"/>
      <c r="F649" s="3"/>
      <c r="G649" s="2"/>
      <c r="H649" s="4" t="str">
        <f>IF($AF$21="Y","OR","...")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>
      <c r="A650" s="1" t="str">
        <f>IF($AG$21="Y",'Population Definitions'!$B$18,"...")</f>
        <v>...</v>
      </c>
      <c r="B650" s="4" t="str">
        <f>IF($AG$21="Y","---&gt;","...")</f>
        <v>...</v>
      </c>
      <c r="C650" s="1" t="str">
        <f>IF($AG$21="Y",'Population Definitions'!$B$33,"...")</f>
        <v>...</v>
      </c>
      <c r="E650" s="2"/>
      <c r="F650" s="3"/>
      <c r="G650" s="2"/>
      <c r="H650" s="4" t="str">
        <f>IF($AG$21="Y","OR","...")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>
      <c r="A651" s="1" t="str">
        <f>IF($AH$21="Y",'Population Definitions'!$B$18,"...")</f>
        <v>...</v>
      </c>
      <c r="B651" s="4" t="str">
        <f>IF($AH$21="Y","---&gt;","...")</f>
        <v>...</v>
      </c>
      <c r="C651" s="1" t="str">
        <f>IF($AH$21="Y",'Population Definitions'!$B$34,"...")</f>
        <v>...</v>
      </c>
      <c r="E651" s="2"/>
      <c r="F651" s="3"/>
      <c r="G651" s="2"/>
      <c r="H651" s="4" t="str">
        <f>IF($AH$21="Y","OR","...")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>
      <c r="A652" s="1" t="str">
        <f>IF($AI$21="Y",'Population Definitions'!$B$18,"...")</f>
        <v>...</v>
      </c>
      <c r="B652" s="4" t="str">
        <f>IF($AI$21="Y","---&gt;","...")</f>
        <v>...</v>
      </c>
      <c r="C652" s="1" t="str">
        <f>IF($AI$21="Y",'Population Definitions'!$B$35,"...")</f>
        <v>...</v>
      </c>
      <c r="E652" s="2"/>
      <c r="F652" s="3"/>
      <c r="G652" s="2"/>
      <c r="H652" s="4" t="str">
        <f>IF($AI$21="Y","OR","...")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>
      <c r="A653" s="1" t="str">
        <f>IF($AJ$21="Y",'Population Definitions'!$B$18,"...")</f>
        <v>...</v>
      </c>
      <c r="B653" s="4" t="str">
        <f>IF($AJ$21="Y","---&gt;","...")</f>
        <v>...</v>
      </c>
      <c r="C653" s="1" t="str">
        <f>IF($AJ$21="Y",'Population Definitions'!$B$36,"...")</f>
        <v>...</v>
      </c>
      <c r="E653" s="2"/>
      <c r="F653" s="3"/>
      <c r="G653" s="2"/>
      <c r="H653" s="4" t="str">
        <f>IF($AJ$21="Y","OR","...")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>
      <c r="A654" s="1" t="str">
        <f>IF($AK$21="Y",'Population Definitions'!$B$18,"...")</f>
        <v>...</v>
      </c>
      <c r="B654" s="4" t="str">
        <f>IF($AK$21="Y","---&gt;","...")</f>
        <v>...</v>
      </c>
      <c r="C654" s="1" t="str">
        <f>IF($AK$21="Y",'Population Definitions'!$B$37,"...")</f>
        <v>...</v>
      </c>
      <c r="E654" s="2"/>
      <c r="F654" s="3"/>
      <c r="G654" s="2"/>
      <c r="H654" s="4" t="str">
        <f>IF($AK$21="Y","OR","...")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>
      <c r="A655" s="1" t="str">
        <f>IF($B$22="Y",'Population Definitions'!$B$19,"...")</f>
        <v>...</v>
      </c>
      <c r="B655" s="4" t="str">
        <f>IF($B$22="Y","---&gt;","...")</f>
        <v>...</v>
      </c>
      <c r="C655" s="1" t="str">
        <f>IF($B$22="Y",'Population Definitions'!$B$2,"...")</f>
        <v>...</v>
      </c>
      <c r="E655" s="2"/>
      <c r="F655" s="3"/>
      <c r="G655" s="2"/>
      <c r="H655" s="4" t="str">
        <f>IF($B$22="Y","OR","...")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>
      <c r="A656" s="1" t="str">
        <f>IF($C$22="Y",'Population Definitions'!$B$19,"...")</f>
        <v>...</v>
      </c>
      <c r="B656" s="4" t="str">
        <f>IF($C$22="Y","---&gt;","...")</f>
        <v>...</v>
      </c>
      <c r="C656" s="1" t="str">
        <f>IF($C$22="Y",'Population Definitions'!$B$3,"...")</f>
        <v>...</v>
      </c>
      <c r="E656" s="2"/>
      <c r="F656" s="3"/>
      <c r="G656" s="2"/>
      <c r="H656" s="4" t="str">
        <f>IF($C$22="Y","OR","...")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>
      <c r="A657" s="1" t="str">
        <f>IF($D$22="Y",'Population Definitions'!$B$19,"...")</f>
        <v>...</v>
      </c>
      <c r="B657" s="4" t="str">
        <f>IF($D$22="Y","---&gt;","...")</f>
        <v>...</v>
      </c>
      <c r="C657" s="1" t="str">
        <f>IF($D$22="Y",'Population Definitions'!$B$4,"...")</f>
        <v>...</v>
      </c>
      <c r="E657" s="2"/>
      <c r="F657" s="3"/>
      <c r="G657" s="2"/>
      <c r="H657" s="4" t="str">
        <f>IF($D$22="Y","OR","...")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>
      <c r="A658" s="1" t="str">
        <f>IF($E$22="Y",'Population Definitions'!$B$19,"...")</f>
        <v>...</v>
      </c>
      <c r="B658" s="4" t="str">
        <f>IF($E$22="Y","---&gt;","...")</f>
        <v>...</v>
      </c>
      <c r="C658" s="1" t="str">
        <f>IF($E$22="Y",'Population Definitions'!$B$5,"...")</f>
        <v>...</v>
      </c>
      <c r="E658" s="2"/>
      <c r="F658" s="3"/>
      <c r="G658" s="2"/>
      <c r="H658" s="4" t="str">
        <f>IF($E$22="Y","OR","...")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>
      <c r="A659" s="1" t="str">
        <f>IF($F$22="Y",'Population Definitions'!$B$19,"...")</f>
        <v>...</v>
      </c>
      <c r="B659" s="4" t="str">
        <f>IF($F$22="Y","---&gt;","...")</f>
        <v>...</v>
      </c>
      <c r="C659" s="1" t="str">
        <f>IF($F$22="Y",'Population Definitions'!$B$6,"...")</f>
        <v>...</v>
      </c>
      <c r="E659" s="2"/>
      <c r="F659" s="3"/>
      <c r="G659" s="2"/>
      <c r="H659" s="4" t="str">
        <f>IF($F$22="Y","OR","...")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>
      <c r="A660" s="1" t="str">
        <f>IF($G$22="Y",'Population Definitions'!$B$19,"...")</f>
        <v>...</v>
      </c>
      <c r="B660" s="4" t="str">
        <f>IF($G$22="Y","---&gt;","...")</f>
        <v>...</v>
      </c>
      <c r="C660" s="1" t="str">
        <f>IF($G$22="Y",'Population Definitions'!$B$7,"...")</f>
        <v>...</v>
      </c>
      <c r="E660" s="2"/>
      <c r="F660" s="3"/>
      <c r="G660" s="2"/>
      <c r="H660" s="4" t="str">
        <f>IF($G$22="Y","OR","...")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>
      <c r="A661" s="1" t="str">
        <f>IF($H$22="Y",'Population Definitions'!$B$19,"...")</f>
        <v>...</v>
      </c>
      <c r="B661" s="4" t="str">
        <f>IF($H$22="Y","---&gt;","...")</f>
        <v>...</v>
      </c>
      <c r="C661" s="1" t="str">
        <f>IF($H$22="Y",'Population Definitions'!$B$8,"...")</f>
        <v>...</v>
      </c>
      <c r="E661" s="2"/>
      <c r="F661" s="3"/>
      <c r="G661" s="2"/>
      <c r="H661" s="4" t="str">
        <f>IF($H$22="Y","OR","...")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>
      <c r="A662" s="1" t="str">
        <f>IF($I$22="Y",'Population Definitions'!$B$19,"...")</f>
        <v>...</v>
      </c>
      <c r="B662" s="4" t="str">
        <f>IF($I$22="Y","---&gt;","...")</f>
        <v>...</v>
      </c>
      <c r="C662" s="1" t="str">
        <f>IF($I$22="Y",'Population Definitions'!$B$9,"...")</f>
        <v>...</v>
      </c>
      <c r="E662" s="2"/>
      <c r="F662" s="3"/>
      <c r="G662" s="2"/>
      <c r="H662" s="4" t="str">
        <f>IF($I$22="Y","OR","...")</f>
        <v>...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>
      <c r="A663" s="1" t="str">
        <f>IF($J$22="Y",'Population Definitions'!$B$19,"...")</f>
        <v>...</v>
      </c>
      <c r="B663" s="4" t="str">
        <f>IF($J$22="Y","---&gt;","...")</f>
        <v>...</v>
      </c>
      <c r="C663" s="1" t="str">
        <f>IF($J$22="Y",'Population Definitions'!$B$10,"...")</f>
        <v>...</v>
      </c>
      <c r="E663" s="2"/>
      <c r="F663" s="3"/>
      <c r="G663" s="2"/>
      <c r="H663" s="4" t="str">
        <f>IF($J$22="Y","OR","...")</f>
        <v>...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>
      <c r="A664" s="1" t="str">
        <f>IF($K$22="Y",'Population Definitions'!$B$19,"...")</f>
        <v>...</v>
      </c>
      <c r="B664" s="4" t="str">
        <f>IF($K$22="Y","---&gt;","...")</f>
        <v>...</v>
      </c>
      <c r="C664" s="1" t="str">
        <f>IF($K$22="Y",'Population Definitions'!$B$11,"...")</f>
        <v>...</v>
      </c>
      <c r="E664" s="2"/>
      <c r="F664" s="3"/>
      <c r="G664" s="2"/>
      <c r="H664" s="4" t="str">
        <f>IF($K$22="Y","OR","...")</f>
        <v>...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>
      <c r="A665" s="1" t="str">
        <f>IF($L$22="Y",'Population Definitions'!$B$19,"...")</f>
        <v>...</v>
      </c>
      <c r="B665" s="4" t="str">
        <f>IF($L$22="Y","---&gt;","...")</f>
        <v>...</v>
      </c>
      <c r="C665" s="1" t="str">
        <f>IF($L$22="Y",'Population Definitions'!$B$12,"...")</f>
        <v>...</v>
      </c>
      <c r="E665" s="2"/>
      <c r="F665" s="3"/>
      <c r="G665" s="2"/>
      <c r="H665" s="4" t="str">
        <f>IF($L$22="Y","OR","...")</f>
        <v>...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>
      <c r="A666" s="1" t="str">
        <f>IF($M$22="Y",'Population Definitions'!$B$19,"...")</f>
        <v>...</v>
      </c>
      <c r="B666" s="4" t="str">
        <f>IF($M$22="Y","---&gt;","...")</f>
        <v>...</v>
      </c>
      <c r="C666" s="1" t="str">
        <f>IF($M$22="Y",'Population Definitions'!$B$13,"...")</f>
        <v>...</v>
      </c>
      <c r="E666" s="2"/>
      <c r="F666" s="3"/>
      <c r="G666" s="2"/>
      <c r="H666" s="4" t="str">
        <f>IF($M$22="Y","OR","...")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>
      <c r="A667" s="1" t="str">
        <f>IF($N$22="Y",'Population Definitions'!$B$19,"...")</f>
        <v>...</v>
      </c>
      <c r="B667" s="4" t="str">
        <f>IF($N$22="Y","---&gt;","...")</f>
        <v>...</v>
      </c>
      <c r="C667" s="1" t="str">
        <f>IF($N$22="Y",'Population Definitions'!$B$14,"...")</f>
        <v>...</v>
      </c>
      <c r="E667" s="2"/>
      <c r="F667" s="3"/>
      <c r="G667" s="2"/>
      <c r="H667" s="4" t="str">
        <f>IF($N$22="Y","OR","...")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>
      <c r="A668" s="1" t="str">
        <f>IF($O$22="Y",'Population Definitions'!$B$19,"...")</f>
        <v>...</v>
      </c>
      <c r="B668" s="4" t="str">
        <f>IF($O$22="Y","---&gt;","...")</f>
        <v>...</v>
      </c>
      <c r="C668" s="1" t="str">
        <f>IF($O$22="Y",'Population Definitions'!$B$15,"...")</f>
        <v>...</v>
      </c>
      <c r="E668" s="2"/>
      <c r="F668" s="3"/>
      <c r="G668" s="2"/>
      <c r="H668" s="4" t="str">
        <f>IF($O$22="Y","OR","...")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>
      <c r="A669" s="1" t="str">
        <f>IF($P$22="Y",'Population Definitions'!$B$19,"...")</f>
        <v>...</v>
      </c>
      <c r="B669" s="4" t="str">
        <f>IF($P$22="Y","---&gt;","...")</f>
        <v>...</v>
      </c>
      <c r="C669" s="1" t="str">
        <f>IF($P$22="Y",'Population Definitions'!$B$16,"...")</f>
        <v>...</v>
      </c>
      <c r="E669" s="2"/>
      <c r="F669" s="3"/>
      <c r="G669" s="2"/>
      <c r="H669" s="4" t="str">
        <f>IF($P$22="Y","OR","...")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>
      <c r="A670" s="1" t="str">
        <f>IF($Q$22="Y",'Population Definitions'!$B$19,"...")</f>
        <v>...</v>
      </c>
      <c r="B670" s="4" t="str">
        <f>IF($Q$22="Y","---&gt;","...")</f>
        <v>...</v>
      </c>
      <c r="C670" s="1" t="str">
        <f>IF($Q$22="Y",'Population Definitions'!$B$17,"...")</f>
        <v>...</v>
      </c>
      <c r="E670" s="2"/>
      <c r="F670" s="3"/>
      <c r="G670" s="2"/>
      <c r="H670" s="4" t="str">
        <f>IF($Q$22="Y","OR","...")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>
      <c r="A671" s="1" t="str">
        <f>IF($R$22="Y",'Population Definitions'!$B$19,"...")</f>
        <v>...</v>
      </c>
      <c r="B671" s="4" t="str">
        <f>IF($R$22="Y","---&gt;","...")</f>
        <v>...</v>
      </c>
      <c r="C671" s="1" t="str">
        <f>IF($R$22="Y",'Population Definitions'!$B$18,"...")</f>
        <v>...</v>
      </c>
      <c r="E671" s="2"/>
      <c r="F671" s="3"/>
      <c r="G671" s="2"/>
      <c r="H671" s="4" t="str">
        <f>IF($R$22="Y","OR","...")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>
      <c r="A672" s="1" t="str">
        <f>IF($S$22="Y",'Population Definitions'!$B$19,"...")</f>
        <v>...</v>
      </c>
      <c r="B672" s="4" t="str">
        <f>IF($S$22="Y","---&gt;","...")</f>
        <v>...</v>
      </c>
      <c r="C672" s="1" t="str">
        <f>IF($S$22="Y",'Population Definitions'!$B$19,"...")</f>
        <v>...</v>
      </c>
      <c r="E672" s="2"/>
      <c r="F672" s="3"/>
      <c r="G672" s="2"/>
      <c r="H672" s="4" t="str">
        <f>IF($S$22="Y","OR","...")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>
      <c r="A673" s="1" t="str">
        <f>IF($T$22="Y",'Population Definitions'!$B$19,"...")</f>
        <v>...</v>
      </c>
      <c r="B673" s="4" t="str">
        <f>IF($T$22="Y","---&gt;","...")</f>
        <v>...</v>
      </c>
      <c r="C673" s="1" t="str">
        <f>IF($T$22="Y",'Population Definitions'!$B$20,"...")</f>
        <v>...</v>
      </c>
      <c r="E673" s="2"/>
      <c r="F673" s="3"/>
      <c r="G673" s="2"/>
      <c r="H673" s="4" t="str">
        <f>IF($T$22="Y","OR","...")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>
      <c r="A674" s="1" t="str">
        <f>IF($U$22="Y",'Population Definitions'!$B$19,"...")</f>
        <v>...</v>
      </c>
      <c r="B674" s="4" t="str">
        <f>IF($U$22="Y","---&gt;","...")</f>
        <v>...</v>
      </c>
      <c r="C674" s="1" t="str">
        <f>IF($U$22="Y",'Population Definitions'!$B$21,"...")</f>
        <v>...</v>
      </c>
      <c r="E674" s="2"/>
      <c r="F674" s="3"/>
      <c r="G674" s="2"/>
      <c r="H674" s="4" t="str">
        <f>IF($U$22="Y","OR","...")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>
      <c r="A675" s="1" t="str">
        <f>IF($V$22="Y",'Population Definitions'!$B$19,"...")</f>
        <v>...</v>
      </c>
      <c r="B675" s="4" t="str">
        <f>IF($V$22="Y","---&gt;","...")</f>
        <v>...</v>
      </c>
      <c r="C675" s="1" t="str">
        <f>IF($V$22="Y",'Population Definitions'!$B$22,"...")</f>
        <v>...</v>
      </c>
      <c r="E675" s="2"/>
      <c r="F675" s="3"/>
      <c r="G675" s="2"/>
      <c r="H675" s="4" t="str">
        <f>IF($V$22="Y","OR","...")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>
      <c r="A676" s="1" t="str">
        <f>IF($W$22="Y",'Population Definitions'!$B$19,"...")</f>
        <v>...</v>
      </c>
      <c r="B676" s="4" t="str">
        <f>IF($W$22="Y","---&gt;","...")</f>
        <v>...</v>
      </c>
      <c r="C676" s="1" t="str">
        <f>IF($W$22="Y",'Population Definitions'!$B$23,"...")</f>
        <v>...</v>
      </c>
      <c r="E676" s="2"/>
      <c r="F676" s="3"/>
      <c r="G676" s="2"/>
      <c r="H676" s="4" t="str">
        <f>IF($W$22="Y","OR","...")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>
      <c r="A677" s="1" t="str">
        <f>IF($X$22="Y",'Population Definitions'!$B$19,"...")</f>
        <v>...</v>
      </c>
      <c r="B677" s="4" t="str">
        <f>IF($X$22="Y","---&gt;","...")</f>
        <v>...</v>
      </c>
      <c r="C677" s="1" t="str">
        <f>IF($X$22="Y",'Population Definitions'!$B$24,"...")</f>
        <v>...</v>
      </c>
      <c r="E677" s="2"/>
      <c r="F677" s="3"/>
      <c r="G677" s="2"/>
      <c r="H677" s="4" t="str">
        <f>IF($X$22="Y","OR","...")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>
      <c r="A678" s="1" t="str">
        <f>IF($Y$22="Y",'Population Definitions'!$B$19,"...")</f>
        <v>...</v>
      </c>
      <c r="B678" s="4" t="str">
        <f>IF($Y$22="Y","---&gt;","...")</f>
        <v>...</v>
      </c>
      <c r="C678" s="1" t="str">
        <f>IF($Y$22="Y",'Population Definitions'!$B$25,"...")</f>
        <v>...</v>
      </c>
      <c r="E678" s="2"/>
      <c r="F678" s="3"/>
      <c r="G678" s="2"/>
      <c r="H678" s="4" t="str">
        <f>IF($Y$22="Y","OR","...")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>
      <c r="A679" s="1" t="str">
        <f>IF($Z$22="Y",'Population Definitions'!$B$19,"...")</f>
        <v>...</v>
      </c>
      <c r="B679" s="4" t="str">
        <f>IF($Z$22="Y","---&gt;","...")</f>
        <v>...</v>
      </c>
      <c r="C679" s="1" t="str">
        <f>IF($Z$22="Y",'Population Definitions'!$B$26,"...")</f>
        <v>...</v>
      </c>
      <c r="E679" s="2"/>
      <c r="F679" s="3"/>
      <c r="G679" s="2"/>
      <c r="H679" s="4" t="str">
        <f>IF($Z$22="Y","OR","...")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>
      <c r="A680" s="1" t="str">
        <f>IF($AA$22="Y",'Population Definitions'!$B$19,"...")</f>
        <v>...</v>
      </c>
      <c r="B680" s="4" t="str">
        <f>IF($AA$22="Y","---&gt;","...")</f>
        <v>...</v>
      </c>
      <c r="C680" s="1" t="str">
        <f>IF($AA$22="Y",'Population Definitions'!$B$27,"...")</f>
        <v>...</v>
      </c>
      <c r="E680" s="2"/>
      <c r="F680" s="3"/>
      <c r="G680" s="2"/>
      <c r="H680" s="4" t="str">
        <f>IF($AA$22="Y","OR","...")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>
      <c r="A681" s="1" t="str">
        <f>IF($AB$22="Y",'Population Definitions'!$B$19,"...")</f>
        <v>...</v>
      </c>
      <c r="B681" s="4" t="str">
        <f>IF($AB$22="Y","---&gt;","...")</f>
        <v>...</v>
      </c>
      <c r="C681" s="1" t="str">
        <f>IF($AB$22="Y",'Population Definitions'!$B$28,"...")</f>
        <v>...</v>
      </c>
      <c r="E681" s="2"/>
      <c r="F681" s="3"/>
      <c r="G681" s="2"/>
      <c r="H681" s="4" t="str">
        <f>IF($AB$22="Y","OR","...")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>
      <c r="A682" s="1" t="str">
        <f>IF($AC$22="Y",'Population Definitions'!$B$19,"...")</f>
        <v>...</v>
      </c>
      <c r="B682" s="4" t="str">
        <f>IF($AC$22="Y","---&gt;","...")</f>
        <v>...</v>
      </c>
      <c r="C682" s="1" t="str">
        <f>IF($AC$22="Y",'Population Definitions'!$B$29,"...")</f>
        <v>...</v>
      </c>
      <c r="E682" s="2"/>
      <c r="F682" s="3"/>
      <c r="G682" s="2"/>
      <c r="H682" s="4" t="str">
        <f>IF($AC$22="Y","OR","...")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>
      <c r="A683" s="1" t="str">
        <f>IF($AD$22="Y",'Population Definitions'!$B$19,"...")</f>
        <v>...</v>
      </c>
      <c r="B683" s="4" t="str">
        <f>IF($AD$22="Y","---&gt;","...")</f>
        <v>...</v>
      </c>
      <c r="C683" s="1" t="str">
        <f>IF($AD$22="Y",'Population Definitions'!$B$30,"...")</f>
        <v>...</v>
      </c>
      <c r="E683" s="2"/>
      <c r="F683" s="3"/>
      <c r="G683" s="2"/>
      <c r="H683" s="4" t="str">
        <f>IF($AD$22="Y","OR","...")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>
      <c r="A684" s="1" t="str">
        <f>IF($AE$22="Y",'Population Definitions'!$B$19,"...")</f>
        <v>...</v>
      </c>
      <c r="B684" s="4" t="str">
        <f>IF($AE$22="Y","---&gt;","...")</f>
        <v>...</v>
      </c>
      <c r="C684" s="1" t="str">
        <f>IF($AE$22="Y",'Population Definitions'!$B$31,"...")</f>
        <v>...</v>
      </c>
      <c r="E684" s="2"/>
      <c r="F684" s="3"/>
      <c r="G684" s="2"/>
      <c r="H684" s="4" t="str">
        <f>IF($AE$22="Y","OR","...")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>
      <c r="A685" s="1" t="str">
        <f>IF($AF$22="Y",'Population Definitions'!$B$19,"...")</f>
        <v>...</v>
      </c>
      <c r="B685" s="4" t="str">
        <f>IF($AF$22="Y","---&gt;","...")</f>
        <v>...</v>
      </c>
      <c r="C685" s="1" t="str">
        <f>IF($AF$22="Y",'Population Definitions'!$B$32,"...")</f>
        <v>...</v>
      </c>
      <c r="E685" s="2"/>
      <c r="F685" s="3"/>
      <c r="G685" s="2"/>
      <c r="H685" s="4" t="str">
        <f>IF($AF$22="Y","OR","...")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>
      <c r="A686" s="1" t="str">
        <f>IF($AG$22="Y",'Population Definitions'!$B$19,"...")</f>
        <v>...</v>
      </c>
      <c r="B686" s="4" t="str">
        <f>IF($AG$22="Y","---&gt;","...")</f>
        <v>...</v>
      </c>
      <c r="C686" s="1" t="str">
        <f>IF($AG$22="Y",'Population Definitions'!$B$33,"...")</f>
        <v>...</v>
      </c>
      <c r="E686" s="2"/>
      <c r="F686" s="3"/>
      <c r="G686" s="2"/>
      <c r="H686" s="4" t="str">
        <f>IF($AG$22="Y","OR","...")</f>
        <v>...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0">
      <c r="A687" s="1" t="str">
        <f>IF($AH$22="Y",'Population Definitions'!$B$19,"...")</f>
        <v>...</v>
      </c>
      <c r="B687" s="4" t="str">
        <f>IF($AH$22="Y","---&gt;","...")</f>
        <v>...</v>
      </c>
      <c r="C687" s="1" t="str">
        <f>IF($AH$22="Y",'Population Definitions'!$B$34,"...")</f>
        <v>...</v>
      </c>
      <c r="E687" s="2"/>
      <c r="F687" s="3"/>
      <c r="G687" s="2"/>
      <c r="H687" s="4" t="str">
        <f>IF($AH$22="Y","OR","...")</f>
        <v>...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0">
      <c r="A688" s="1" t="str">
        <f>IF($AI$22="Y",'Population Definitions'!$B$19,"...")</f>
        <v>...</v>
      </c>
      <c r="B688" s="4" t="str">
        <f>IF($AI$22="Y","---&gt;","...")</f>
        <v>...</v>
      </c>
      <c r="C688" s="1" t="str">
        <f>IF($AI$22="Y",'Population Definitions'!$B$35,"...")</f>
        <v>...</v>
      </c>
      <c r="E688" s="2"/>
      <c r="F688" s="3"/>
      <c r="G688" s="2"/>
      <c r="H688" s="4" t="str">
        <f>IF($AI$22="Y","OR","...")</f>
        <v>...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>
      <c r="A689" s="1" t="str">
        <f>IF($AJ$22="Y",'Population Definitions'!$B$19,"...")</f>
        <v>...</v>
      </c>
      <c r="B689" s="4" t="str">
        <f>IF($AJ$22="Y","---&gt;","...")</f>
        <v>...</v>
      </c>
      <c r="C689" s="1" t="str">
        <f>IF($AJ$22="Y",'Population Definitions'!$B$36,"...")</f>
        <v>...</v>
      </c>
      <c r="E689" s="2"/>
      <c r="F689" s="3"/>
      <c r="G689" s="2"/>
      <c r="H689" s="4" t="str">
        <f>IF($AJ$22="Y","OR","...")</f>
        <v>...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>
      <c r="A690" s="1" t="str">
        <f>IF($AK$22="Y",'Population Definitions'!$B$19,"...")</f>
        <v>...</v>
      </c>
      <c r="B690" s="4" t="str">
        <f>IF($AK$22="Y","---&gt;","...")</f>
        <v>...</v>
      </c>
      <c r="C690" s="1" t="str">
        <f>IF($AK$22="Y",'Population Definitions'!$B$37,"...")</f>
        <v>...</v>
      </c>
      <c r="E690" s="2"/>
      <c r="F690" s="3"/>
      <c r="G690" s="2"/>
      <c r="H690" s="4" t="str">
        <f>IF($AK$22="Y","OR","...")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>
      <c r="A691" s="1" t="str">
        <f>IF($B$23="Y",'Population Definitions'!$B$20,"...")</f>
        <v>...</v>
      </c>
      <c r="B691" s="4" t="str">
        <f>IF($B$23="Y","---&gt;","...")</f>
        <v>...</v>
      </c>
      <c r="C691" s="1" t="str">
        <f>IF($B$23="Y",'Population Definitions'!$B$2,"...")</f>
        <v>...</v>
      </c>
      <c r="E691" s="2"/>
      <c r="F691" s="3"/>
      <c r="G691" s="2"/>
      <c r="H691" s="4" t="str">
        <f>IF($B$23="Y","OR","...")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>
      <c r="A692" s="1" t="str">
        <f>IF($C$23="Y",'Population Definitions'!$B$20,"...")</f>
        <v>...</v>
      </c>
      <c r="B692" s="4" t="str">
        <f>IF($C$23="Y","---&gt;","...")</f>
        <v>...</v>
      </c>
      <c r="C692" s="1" t="str">
        <f>IF($C$23="Y",'Population Definitions'!$B$3,"...")</f>
        <v>...</v>
      </c>
      <c r="E692" s="2"/>
      <c r="F692" s="3"/>
      <c r="G692" s="2"/>
      <c r="H692" s="4" t="str">
        <f>IF($C$23="Y","OR","...")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>
      <c r="A693" s="1" t="str">
        <f>IF($D$23="Y",'Population Definitions'!$B$20,"...")</f>
        <v>...</v>
      </c>
      <c r="B693" s="4" t="str">
        <f>IF($D$23="Y","---&gt;","...")</f>
        <v>...</v>
      </c>
      <c r="C693" s="1" t="str">
        <f>IF($D$23="Y",'Population Definitions'!$B$4,"...")</f>
        <v>...</v>
      </c>
      <c r="E693" s="2"/>
      <c r="F693" s="3"/>
      <c r="G693" s="2"/>
      <c r="H693" s="4" t="str">
        <f>IF($D$23="Y","OR","...")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>
      <c r="A694" s="1" t="str">
        <f>IF($E$23="Y",'Population Definitions'!$B$20,"...")</f>
        <v>...</v>
      </c>
      <c r="B694" s="4" t="str">
        <f>IF($E$23="Y","---&gt;","...")</f>
        <v>...</v>
      </c>
      <c r="C694" s="1" t="str">
        <f>IF($E$23="Y",'Population Definitions'!$B$5,"...")</f>
        <v>...</v>
      </c>
      <c r="E694" s="2"/>
      <c r="F694" s="3"/>
      <c r="G694" s="2"/>
      <c r="H694" s="4" t="str">
        <f>IF($E$23="Y","OR","...")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>
      <c r="A695" s="1" t="str">
        <f>IF($F$23="Y",'Population Definitions'!$B$20,"...")</f>
        <v>...</v>
      </c>
      <c r="B695" s="4" t="str">
        <f>IF($F$23="Y","---&gt;","...")</f>
        <v>...</v>
      </c>
      <c r="C695" s="1" t="str">
        <f>IF($F$23="Y",'Population Definitions'!$B$6,"...")</f>
        <v>...</v>
      </c>
      <c r="E695" s="2"/>
      <c r="F695" s="3"/>
      <c r="G695" s="2"/>
      <c r="H695" s="4" t="str">
        <f>IF($F$23="Y","OR","...")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>
      <c r="A696" s="1" t="str">
        <f>IF($G$23="Y",'Population Definitions'!$B$20,"...")</f>
        <v>...</v>
      </c>
      <c r="B696" s="4" t="str">
        <f>IF($G$23="Y","---&gt;","...")</f>
        <v>...</v>
      </c>
      <c r="C696" s="1" t="str">
        <f>IF($G$23="Y",'Population Definitions'!$B$7,"...")</f>
        <v>...</v>
      </c>
      <c r="E696" s="2"/>
      <c r="F696" s="3"/>
      <c r="G696" s="2"/>
      <c r="H696" s="4" t="str">
        <f>IF($G$23="Y","OR","...")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>
      <c r="A697" s="1" t="str">
        <f>IF($H$23="Y",'Population Definitions'!$B$20,"...")</f>
        <v>...</v>
      </c>
      <c r="B697" s="4" t="str">
        <f>IF($H$23="Y","---&gt;","...")</f>
        <v>...</v>
      </c>
      <c r="C697" s="1" t="str">
        <f>IF($H$23="Y",'Population Definitions'!$B$8,"...")</f>
        <v>...</v>
      </c>
      <c r="E697" s="2"/>
      <c r="F697" s="3"/>
      <c r="G697" s="2"/>
      <c r="H697" s="4" t="str">
        <f>IF($H$23="Y","OR","...")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>
      <c r="A698" s="1" t="str">
        <f>IF($I$23="Y",'Population Definitions'!$B$20,"...")</f>
        <v>...</v>
      </c>
      <c r="B698" s="4" t="str">
        <f>IF($I$23="Y","---&gt;","...")</f>
        <v>...</v>
      </c>
      <c r="C698" s="1" t="str">
        <f>IF($I$23="Y",'Population Definitions'!$B$9,"...")</f>
        <v>...</v>
      </c>
      <c r="E698" s="2"/>
      <c r="F698" s="3"/>
      <c r="G698" s="2"/>
      <c r="H698" s="4" t="str">
        <f>IF($I$23="Y","OR","...")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>
      <c r="A699" s="1" t="str">
        <f>IF($J$23="Y",'Population Definitions'!$B$20,"...")</f>
        <v>...</v>
      </c>
      <c r="B699" s="4" t="str">
        <f>IF($J$23="Y","---&gt;","...")</f>
        <v>...</v>
      </c>
      <c r="C699" s="1" t="str">
        <f>IF($J$23="Y",'Population Definitions'!$B$10,"...")</f>
        <v>...</v>
      </c>
      <c r="E699" s="2"/>
      <c r="F699" s="3"/>
      <c r="G699" s="2"/>
      <c r="H699" s="4" t="str">
        <f>IF($J$23="Y","OR","...")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>
      <c r="A700" s="1" t="str">
        <f>IF($K$23="Y",'Population Definitions'!$B$20,"...")</f>
        <v>...</v>
      </c>
      <c r="B700" s="4" t="str">
        <f>IF($K$23="Y","---&gt;","...")</f>
        <v>...</v>
      </c>
      <c r="C700" s="1" t="str">
        <f>IF($K$23="Y",'Population Definitions'!$B$11,"...")</f>
        <v>...</v>
      </c>
      <c r="E700" s="2"/>
      <c r="F700" s="3"/>
      <c r="G700" s="2"/>
      <c r="H700" s="4" t="str">
        <f>IF($K$23="Y","OR","...")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>
      <c r="A701" s="1" t="str">
        <f>IF($L$23="Y",'Population Definitions'!$B$20,"...")</f>
        <v>...</v>
      </c>
      <c r="B701" s="4" t="str">
        <f>IF($L$23="Y","---&gt;","...")</f>
        <v>...</v>
      </c>
      <c r="C701" s="1" t="str">
        <f>IF($L$23="Y",'Population Definitions'!$B$12,"...")</f>
        <v>...</v>
      </c>
      <c r="E701" s="2"/>
      <c r="F701" s="3"/>
      <c r="G701" s="2"/>
      <c r="H701" s="4" t="str">
        <f>IF($L$23="Y","OR","...")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>
      <c r="A702" s="1" t="str">
        <f>IF($M$23="Y",'Population Definitions'!$B$20,"...")</f>
        <v>...</v>
      </c>
      <c r="B702" s="4" t="str">
        <f>IF($M$23="Y","---&gt;","...")</f>
        <v>...</v>
      </c>
      <c r="C702" s="1" t="str">
        <f>IF($M$23="Y",'Population Definitions'!$B$13,"...")</f>
        <v>...</v>
      </c>
      <c r="E702" s="2"/>
      <c r="F702" s="3"/>
      <c r="G702" s="2"/>
      <c r="H702" s="4" t="str">
        <f>IF($M$23="Y","OR","...")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>
      <c r="A703" s="1" t="str">
        <f>IF($N$23="Y",'Population Definitions'!$B$20,"...")</f>
        <v>...</v>
      </c>
      <c r="B703" s="4" t="str">
        <f>IF($N$23="Y","---&gt;","...")</f>
        <v>...</v>
      </c>
      <c r="C703" s="1" t="str">
        <f>IF($N$23="Y",'Population Definitions'!$B$14,"...")</f>
        <v>...</v>
      </c>
      <c r="E703" s="2"/>
      <c r="F703" s="3"/>
      <c r="G703" s="2"/>
      <c r="H703" s="4" t="str">
        <f>IF($N$23="Y","OR","...")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>
      <c r="A704" s="1" t="str">
        <f>IF($O$23="Y",'Population Definitions'!$B$20,"...")</f>
        <v>...</v>
      </c>
      <c r="B704" s="4" t="str">
        <f>IF($O$23="Y","---&gt;","...")</f>
        <v>...</v>
      </c>
      <c r="C704" s="1" t="str">
        <f>IF($O$23="Y",'Population Definitions'!$B$15,"...")</f>
        <v>...</v>
      </c>
      <c r="E704" s="2"/>
      <c r="F704" s="3"/>
      <c r="G704" s="2"/>
      <c r="H704" s="4" t="str">
        <f>IF($O$23="Y","OR","...")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>
      <c r="A705" s="1" t="str">
        <f>IF($P$23="Y",'Population Definitions'!$B$20,"...")</f>
        <v>...</v>
      </c>
      <c r="B705" s="4" t="str">
        <f>IF($P$23="Y","---&gt;","...")</f>
        <v>...</v>
      </c>
      <c r="C705" s="1" t="str">
        <f>IF($P$23="Y",'Population Definitions'!$B$16,"...")</f>
        <v>...</v>
      </c>
      <c r="E705" s="2"/>
      <c r="F705" s="3"/>
      <c r="G705" s="2"/>
      <c r="H705" s="4" t="str">
        <f>IF($P$23="Y","OR","...")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>
      <c r="A706" s="1" t="str">
        <f>IF($Q$23="Y",'Population Definitions'!$B$20,"...")</f>
        <v>...</v>
      </c>
      <c r="B706" s="4" t="str">
        <f>IF($Q$23="Y","---&gt;","...")</f>
        <v>...</v>
      </c>
      <c r="C706" s="1" t="str">
        <f>IF($Q$23="Y",'Population Definitions'!$B$17,"...")</f>
        <v>...</v>
      </c>
      <c r="E706" s="2"/>
      <c r="F706" s="3"/>
      <c r="G706" s="2"/>
      <c r="H706" s="4" t="str">
        <f>IF($Q$23="Y","OR","...")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>
      <c r="A707" s="1" t="str">
        <f>IF($R$23="Y",'Population Definitions'!$B$20,"...")</f>
        <v>...</v>
      </c>
      <c r="B707" s="4" t="str">
        <f>IF($R$23="Y","---&gt;","...")</f>
        <v>...</v>
      </c>
      <c r="C707" s="1" t="str">
        <f>IF($R$23="Y",'Population Definitions'!$B$18,"...")</f>
        <v>...</v>
      </c>
      <c r="E707" s="2"/>
      <c r="F707" s="3"/>
      <c r="G707" s="2"/>
      <c r="H707" s="4" t="str">
        <f>IF($R$23="Y","OR","...")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>
      <c r="A708" s="1" t="str">
        <f>IF($S$23="Y",'Population Definitions'!$B$20,"...")</f>
        <v>...</v>
      </c>
      <c r="B708" s="4" t="str">
        <f>IF($S$23="Y","---&gt;","...")</f>
        <v>...</v>
      </c>
      <c r="C708" s="1" t="str">
        <f>IF($S$23="Y",'Population Definitions'!$B$19,"...")</f>
        <v>...</v>
      </c>
      <c r="E708" s="2"/>
      <c r="F708" s="3"/>
      <c r="G708" s="2"/>
      <c r="H708" s="4" t="str">
        <f>IF($S$23="Y","OR","...")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>
      <c r="A709" s="1" t="str">
        <f>IF($T$23="Y",'Population Definitions'!$B$20,"...")</f>
        <v>...</v>
      </c>
      <c r="B709" s="4" t="str">
        <f>IF($T$23="Y","---&gt;","...")</f>
        <v>...</v>
      </c>
      <c r="C709" s="1" t="str">
        <f>IF($T$23="Y",'Population Definitions'!$B$20,"...")</f>
        <v>...</v>
      </c>
      <c r="E709" s="2"/>
      <c r="F709" s="3"/>
      <c r="G709" s="2"/>
      <c r="H709" s="4" t="str">
        <f>IF($T$23="Y","OR","...")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>
      <c r="A710" s="1" t="str">
        <f>IF($U$23="Y",'Population Definitions'!$B$20,"...")</f>
        <v>0-4F_oth</v>
      </c>
      <c r="B710" s="4" t="str">
        <f>IF($U$23="Y","---&gt;","...")</f>
        <v>---&gt;</v>
      </c>
      <c r="C710" s="1" t="str">
        <f>IF($U$23="Y",'Population Definitions'!$B$21,"...")</f>
        <v>5-14F_oth</v>
      </c>
      <c r="E710" s="3" t="s">
        <v>63</v>
      </c>
      <c r="F710" s="3"/>
      <c r="G710" s="3"/>
      <c r="H710" s="4" t="str">
        <f>IF($U$23="Y","OR","...")</f>
        <v>OR</v>
      </c>
      <c r="I710" s="3">
        <v>0.205620929470408</v>
      </c>
      <c r="J710" s="3">
        <v>0.202223220704529</v>
      </c>
      <c r="K710" s="3">
        <v>0.200468802123627</v>
      </c>
      <c r="L710" s="3">
        <v>0.196310258267888</v>
      </c>
      <c r="M710" s="3">
        <v>0.193799497678192</v>
      </c>
      <c r="N710" s="3">
        <v>0.197419467254772</v>
      </c>
      <c r="O710" s="3">
        <v>0.199528385909257</v>
      </c>
      <c r="P710" s="3">
        <v>0.201696135421713</v>
      </c>
      <c r="Q710" s="3">
        <v>0.201103736942695</v>
      </c>
      <c r="R710" s="3">
        <v>0.20263901202667</v>
      </c>
      <c r="S710" s="3">
        <v>0.199480846634395</v>
      </c>
      <c r="T710" s="3">
        <v>0.197153378828901</v>
      </c>
      <c r="U710" s="3">
        <v>0.197354895744909</v>
      </c>
      <c r="V710" s="3">
        <v>0.197489266974082</v>
      </c>
      <c r="W710" s="3">
        <v>0.201241627806378</v>
      </c>
      <c r="X710" s="3">
        <v>0.202812590596499</v>
      </c>
      <c r="Y710" s="3">
        <v>0.201122249843734</v>
      </c>
      <c r="Z710" s="3">
        <v>0.202897259314892</v>
      </c>
      <c r="AA710" s="3">
        <v>0.204207984134092</v>
      </c>
      <c r="AB710" s="3">
        <v>0.206419412302804</v>
      </c>
      <c r="AC710" s="3">
        <v>0.204192700485248</v>
      </c>
      <c r="AD710" s="3">
        <v>0.203732646721407</v>
      </c>
      <c r="AE710" s="3">
        <v>0.201740075249119</v>
      </c>
      <c r="AF710" s="3">
        <v>0.20341298583716</v>
      </c>
      <c r="AG710" s="3">
        <v>0.204530980775012</v>
      </c>
      <c r="AH710" s="3">
        <v>0.203154968012666</v>
      </c>
      <c r="AI710" s="3">
        <v>0.198905856698017</v>
      </c>
      <c r="AJ710" s="3">
        <v>0.19413190450119</v>
      </c>
      <c r="AK710" s="3">
        <v>0.191104584887068</v>
      </c>
      <c r="AL710" s="3">
        <v>0.190591237035382</v>
      </c>
      <c r="AM710" s="3">
        <v>0.195762268790007</v>
      </c>
      <c r="AN710" s="3">
        <v>0.197357054173766</v>
      </c>
      <c r="AO710" s="3">
        <v>0.199118036807117</v>
      </c>
      <c r="AP710" s="3">
        <v>0.198391175062539</v>
      </c>
      <c r="AQ710" s="3">
        <v>0.200696326292316</v>
      </c>
      <c r="AR710" s="3">
        <v>0.199697165826858</v>
      </c>
      <c r="AS710" s="3">
        <v>0.199849033540412</v>
      </c>
      <c r="AT710" s="3">
        <v>0.203111486212834</v>
      </c>
      <c r="AU710" s="3">
        <v>0.203555899578616</v>
      </c>
      <c r="AV710" s="3">
        <v>0.204723897997951</v>
      </c>
      <c r="AW710" s="3">
        <v>0.20984928263363</v>
      </c>
      <c r="AX710" s="3">
        <v>0.20585675663141</v>
      </c>
      <c r="AY710" s="3">
        <v>0.202119302861616</v>
      </c>
      <c r="AZ710" s="3">
        <v>0.201903877096251</v>
      </c>
      <c r="BA710" s="3">
        <v>0.199526963609089</v>
      </c>
      <c r="BB710" s="3">
        <v>0.201718637971456</v>
      </c>
      <c r="BC710" s="3">
        <v>0.206860689047916</v>
      </c>
      <c r="BD710" s="3">
        <v>0.202148563711798</v>
      </c>
      <c r="BE710" s="3">
        <v>0.202774285166801</v>
      </c>
      <c r="BF710" s="3">
        <v>0.202849589871379</v>
      </c>
      <c r="BG710" s="3">
        <v>0.202689763968262</v>
      </c>
      <c r="BH710" s="3">
        <v>0.202289174765346</v>
      </c>
      <c r="BI710" s="3">
        <v>0.201932224773014</v>
      </c>
      <c r="BJ710" s="3">
        <v>0.201732639831419</v>
      </c>
      <c r="BK710" s="3">
        <v>0.201466115433878</v>
      </c>
      <c r="BL710" s="3">
        <v>0.201143995106611</v>
      </c>
      <c r="BM710" s="3">
        <v>0.200760192194771</v>
      </c>
      <c r="BN710" s="3">
        <v>0.200358330879727</v>
      </c>
      <c r="BO710" s="3">
        <v>0.200019626817189</v>
      </c>
      <c r="BP710" s="3">
        <v>0.199780640745674</v>
      </c>
      <c r="BQ710" s="3">
        <v>0.199658272262611</v>
      </c>
      <c r="BR710" s="3">
        <v>0.199657049221533</v>
      </c>
      <c r="BS710" s="3">
        <v>0.199787261567652</v>
      </c>
      <c r="BT710" s="3">
        <v>0.200047765081349</v>
      </c>
      <c r="BU710" s="3">
        <v>0.200395655107655</v>
      </c>
      <c r="BV710" s="3">
        <v>0.20080259606885</v>
      </c>
      <c r="BW710" s="3">
        <v>0.201224191783826</v>
      </c>
      <c r="BX710" s="3">
        <v>0.201623366441057</v>
      </c>
      <c r="BY710" s="3">
        <v>0.201984040607068</v>
      </c>
      <c r="BZ710" s="3">
        <v>0.202302190846678</v>
      </c>
      <c r="CA710" s="3">
        <v>0.202555230543779</v>
      </c>
      <c r="CB710" s="3">
        <v>0.202742164668059</v>
      </c>
      <c r="CC710" s="3">
        <v>0.202865356541786</v>
      </c>
      <c r="CD710" s="3">
        <v>0.202927420254006</v>
      </c>
      <c r="CE710" s="3">
        <v>0.202932025208434</v>
      </c>
      <c r="CF710" s="3">
        <v>0.202887956557862</v>
      </c>
      <c r="CG710" s="3">
        <v>0.202812089808037</v>
      </c>
      <c r="CH710" s="3">
        <v>0.202713812023119</v>
      </c>
      <c r="CI710" s="3">
        <v>0.202616523679734</v>
      </c>
      <c r="CJ710" s="3">
        <v>0.202512517505105</v>
      </c>
      <c r="CK710" s="3">
        <v>0.202404127088632</v>
      </c>
      <c r="CL710" s="3">
        <v>0.202290978604046</v>
      </c>
      <c r="CM710" s="3">
        <v>0.202165913558442</v>
      </c>
      <c r="CN710" s="3">
        <v>0.202031586122544</v>
      </c>
      <c r="CO710" s="3">
        <v>0.201903280877605</v>
      </c>
      <c r="CP710" s="3">
        <v>0.201770974878435</v>
      </c>
      <c r="CQ710" s="3">
        <v>0.201644456030549</v>
      </c>
      <c r="CR710" s="3">
        <v>0.201523573488573</v>
      </c>
      <c r="CS710" s="3">
        <v>0.201415282251934</v>
      </c>
      <c r="CT710" s="3">
        <v>0.201320215874629</v>
      </c>
      <c r="CU710" s="3">
        <v>0.201244692351598</v>
      </c>
      <c r="CV710" s="3">
        <v>0.201195783887567</v>
      </c>
    </row>
    <row r="711" spans="1:100">
      <c r="A711" s="1" t="str">
        <f>IF($V$23="Y",'Population Definitions'!$B$20,"...")</f>
        <v>...</v>
      </c>
      <c r="B711" s="4" t="str">
        <f>IF($V$23="Y","---&gt;","...")</f>
        <v>...</v>
      </c>
      <c r="C711" s="1" t="str">
        <f>IF($V$23="Y",'Population Definitions'!$B$22,"...")</f>
        <v>...</v>
      </c>
      <c r="E711" s="2"/>
      <c r="F711" s="3"/>
      <c r="G711" s="2"/>
      <c r="H711" s="4" t="str">
        <f>IF($V$23="Y","OR","...")</f>
        <v>...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>
      <c r="A712" s="1" t="str">
        <f>IF($W$23="Y",'Population Definitions'!$B$20,"...")</f>
        <v>...</v>
      </c>
      <c r="B712" s="4" t="str">
        <f>IF($W$23="Y","---&gt;","...")</f>
        <v>...</v>
      </c>
      <c r="C712" s="1" t="str">
        <f>IF($W$23="Y",'Population Definitions'!$B$23,"...")</f>
        <v>...</v>
      </c>
      <c r="E712" s="2"/>
      <c r="F712" s="3"/>
      <c r="G712" s="2"/>
      <c r="H712" s="4" t="str">
        <f>IF($W$23="Y","OR","...")</f>
        <v>...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>
      <c r="A713" s="1" t="str">
        <f>IF($X$23="Y",'Population Definitions'!$B$20,"...")</f>
        <v>...</v>
      </c>
      <c r="B713" s="4" t="str">
        <f>IF($X$23="Y","---&gt;","...")</f>
        <v>...</v>
      </c>
      <c r="C713" s="1" t="str">
        <f>IF($X$23="Y",'Population Definitions'!$B$24,"...")</f>
        <v>...</v>
      </c>
      <c r="E713" s="2"/>
      <c r="F713" s="3"/>
      <c r="G713" s="2"/>
      <c r="H713" s="4" t="str">
        <f>IF($X$23="Y","OR","...")</f>
        <v>...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>
      <c r="A714" s="1" t="str">
        <f>IF($Y$23="Y",'Population Definitions'!$B$20,"...")</f>
        <v>...</v>
      </c>
      <c r="B714" s="4" t="str">
        <f>IF($Y$23="Y","---&gt;","...")</f>
        <v>...</v>
      </c>
      <c r="C714" s="1" t="str">
        <f>IF($Y$23="Y",'Population Definitions'!$B$25,"...")</f>
        <v>...</v>
      </c>
      <c r="E714" s="2"/>
      <c r="F714" s="3"/>
      <c r="G714" s="2"/>
      <c r="H714" s="4" t="str">
        <f>IF($Y$23="Y","OR","...")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>
      <c r="A715" s="1" t="str">
        <f>IF($Z$23="Y",'Population Definitions'!$B$20,"...")</f>
        <v>...</v>
      </c>
      <c r="B715" s="4" t="str">
        <f>IF($Z$23="Y","---&gt;","...")</f>
        <v>...</v>
      </c>
      <c r="C715" s="1" t="str">
        <f>IF($Z$23="Y",'Population Definitions'!$B$26,"...")</f>
        <v>...</v>
      </c>
      <c r="E715" s="2"/>
      <c r="F715" s="3"/>
      <c r="G715" s="2"/>
      <c r="H715" s="4" t="str">
        <f>IF($Z$23="Y","OR","...")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>
      <c r="A716" s="1" t="str">
        <f>IF($AA$23="Y",'Population Definitions'!$B$20,"...")</f>
        <v>...</v>
      </c>
      <c r="B716" s="4" t="str">
        <f>IF($AA$23="Y","---&gt;","...")</f>
        <v>...</v>
      </c>
      <c r="C716" s="1" t="str">
        <f>IF($AA$23="Y",'Population Definitions'!$B$27,"...")</f>
        <v>...</v>
      </c>
      <c r="E716" s="2"/>
      <c r="F716" s="3"/>
      <c r="G716" s="2"/>
      <c r="H716" s="4" t="str">
        <f>IF($AA$23="Y","OR","...")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>
      <c r="A717" s="1" t="str">
        <f>IF($AB$23="Y",'Population Definitions'!$B$20,"...")</f>
        <v>...</v>
      </c>
      <c r="B717" s="4" t="str">
        <f>IF($AB$23="Y","---&gt;","...")</f>
        <v>...</v>
      </c>
      <c r="C717" s="1" t="str">
        <f>IF($AB$23="Y",'Population Definitions'!$B$28,"...")</f>
        <v>...</v>
      </c>
      <c r="E717" s="2"/>
      <c r="F717" s="3"/>
      <c r="G717" s="2"/>
      <c r="H717" s="4" t="str">
        <f>IF($AB$23="Y","OR","...")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>
      <c r="A718" s="1" t="str">
        <f>IF($AC$23="Y",'Population Definitions'!$B$20,"...")</f>
        <v>...</v>
      </c>
      <c r="B718" s="4" t="str">
        <f>IF($AC$23="Y","---&gt;","...")</f>
        <v>...</v>
      </c>
      <c r="C718" s="1" t="str">
        <f>IF($AC$23="Y",'Population Definitions'!$B$29,"...")</f>
        <v>...</v>
      </c>
      <c r="E718" s="2"/>
      <c r="F718" s="3"/>
      <c r="G718" s="2"/>
      <c r="H718" s="4" t="str">
        <f>IF($AC$23="Y","OR","...")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>
      <c r="A719" s="1" t="str">
        <f>IF($AD$23="Y",'Population Definitions'!$B$20,"...")</f>
        <v>...</v>
      </c>
      <c r="B719" s="4" t="str">
        <f>IF($AD$23="Y","---&gt;","...")</f>
        <v>...</v>
      </c>
      <c r="C719" s="1" t="str">
        <f>IF($AD$23="Y",'Population Definitions'!$B$30,"...")</f>
        <v>...</v>
      </c>
      <c r="E719" s="2"/>
      <c r="F719" s="3"/>
      <c r="G719" s="2"/>
      <c r="H719" s="4" t="str">
        <f>IF($AD$23="Y","OR","...")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>
      <c r="A720" s="1" t="str">
        <f>IF($AE$23="Y",'Population Definitions'!$B$20,"...")</f>
        <v>...</v>
      </c>
      <c r="B720" s="4" t="str">
        <f>IF($AE$23="Y","---&gt;","...")</f>
        <v>...</v>
      </c>
      <c r="C720" s="1" t="str">
        <f>IF($AE$23="Y",'Population Definitions'!$B$31,"...")</f>
        <v>...</v>
      </c>
      <c r="E720" s="2"/>
      <c r="F720" s="3"/>
      <c r="G720" s="2"/>
      <c r="H720" s="4" t="str">
        <f>IF($AE$23="Y","OR","...")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>
      <c r="A721" s="1" t="str">
        <f>IF($AF$23="Y",'Population Definitions'!$B$20,"...")</f>
        <v>...</v>
      </c>
      <c r="B721" s="4" t="str">
        <f>IF($AF$23="Y","---&gt;","...")</f>
        <v>...</v>
      </c>
      <c r="C721" s="1" t="str">
        <f>IF($AF$23="Y",'Population Definitions'!$B$32,"...")</f>
        <v>...</v>
      </c>
      <c r="E721" s="2"/>
      <c r="F721" s="3"/>
      <c r="G721" s="2"/>
      <c r="H721" s="4" t="str">
        <f>IF($AF$23="Y","OR","...")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>
      <c r="A722" s="1" t="str">
        <f>IF($AG$23="Y",'Population Definitions'!$B$20,"...")</f>
        <v>...</v>
      </c>
      <c r="B722" s="4" t="str">
        <f>IF($AG$23="Y","---&gt;","...")</f>
        <v>...</v>
      </c>
      <c r="C722" s="1" t="str">
        <f>IF($AG$23="Y",'Population Definitions'!$B$33,"...")</f>
        <v>...</v>
      </c>
      <c r="E722" s="2"/>
      <c r="F722" s="3"/>
      <c r="G722" s="2"/>
      <c r="H722" s="4" t="str">
        <f>IF($AG$23="Y","OR","...")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>
      <c r="A723" s="1" t="str">
        <f>IF($AH$23="Y",'Population Definitions'!$B$20,"...")</f>
        <v>...</v>
      </c>
      <c r="B723" s="4" t="str">
        <f>IF($AH$23="Y","---&gt;","...")</f>
        <v>...</v>
      </c>
      <c r="C723" s="1" t="str">
        <f>IF($AH$23="Y",'Population Definitions'!$B$34,"...")</f>
        <v>...</v>
      </c>
      <c r="E723" s="2"/>
      <c r="F723" s="3"/>
      <c r="G723" s="2"/>
      <c r="H723" s="4" t="str">
        <f>IF($AH$23="Y","OR","...")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>
      <c r="A724" s="1" t="str">
        <f>IF($AI$23="Y",'Population Definitions'!$B$20,"...")</f>
        <v>...</v>
      </c>
      <c r="B724" s="4" t="str">
        <f>IF($AI$23="Y","---&gt;","...")</f>
        <v>...</v>
      </c>
      <c r="C724" s="1" t="str">
        <f>IF($AI$23="Y",'Population Definitions'!$B$35,"...")</f>
        <v>...</v>
      </c>
      <c r="E724" s="2"/>
      <c r="F724" s="3"/>
      <c r="G724" s="2"/>
      <c r="H724" s="4" t="str">
        <f>IF($AI$23="Y","OR","...")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>
      <c r="A725" s="1" t="str">
        <f>IF($AJ$23="Y",'Population Definitions'!$B$20,"...")</f>
        <v>...</v>
      </c>
      <c r="B725" s="4" t="str">
        <f>IF($AJ$23="Y","---&gt;","...")</f>
        <v>...</v>
      </c>
      <c r="C725" s="1" t="str">
        <f>IF($AJ$23="Y",'Population Definitions'!$B$36,"...")</f>
        <v>...</v>
      </c>
      <c r="E725" s="2"/>
      <c r="F725" s="3"/>
      <c r="G725" s="2"/>
      <c r="H725" s="4" t="str">
        <f>IF($AJ$23="Y","OR","...")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>
      <c r="A726" s="1" t="str">
        <f>IF($AK$23="Y",'Population Definitions'!$B$20,"...")</f>
        <v>...</v>
      </c>
      <c r="B726" s="4" t="str">
        <f>IF($AK$23="Y","---&gt;","...")</f>
        <v>...</v>
      </c>
      <c r="C726" s="1" t="str">
        <f>IF($AK$23="Y",'Population Definitions'!$B$37,"...")</f>
        <v>...</v>
      </c>
      <c r="E726" s="2"/>
      <c r="F726" s="3"/>
      <c r="G726" s="2"/>
      <c r="H726" s="4" t="str">
        <f>IF($AK$23="Y","OR","...")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>
      <c r="A727" s="1" t="str">
        <f>IF($B$24="Y",'Population Definitions'!$B$21,"...")</f>
        <v>...</v>
      </c>
      <c r="B727" s="4" t="str">
        <f>IF($B$24="Y","---&gt;","...")</f>
        <v>...</v>
      </c>
      <c r="C727" s="1" t="str">
        <f>IF($B$24="Y",'Population Definitions'!$B$2,"...")</f>
        <v>...</v>
      </c>
      <c r="E727" s="2"/>
      <c r="F727" s="3"/>
      <c r="G727" s="2"/>
      <c r="H727" s="4" t="str">
        <f>IF($B$24="Y","OR","...")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>
      <c r="A728" s="1" t="str">
        <f>IF($C$24="Y",'Population Definitions'!$B$21,"...")</f>
        <v>...</v>
      </c>
      <c r="B728" s="4" t="str">
        <f>IF($C$24="Y","---&gt;","...")</f>
        <v>...</v>
      </c>
      <c r="C728" s="1" t="str">
        <f>IF($C$24="Y",'Population Definitions'!$B$3,"...")</f>
        <v>...</v>
      </c>
      <c r="E728" s="2"/>
      <c r="F728" s="3"/>
      <c r="G728" s="2"/>
      <c r="H728" s="4" t="str">
        <f>IF($C$24="Y","OR","...")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>
      <c r="A729" s="1" t="str">
        <f>IF($D$24="Y",'Population Definitions'!$B$21,"...")</f>
        <v>...</v>
      </c>
      <c r="B729" s="4" t="str">
        <f>IF($D$24="Y","---&gt;","...")</f>
        <v>...</v>
      </c>
      <c r="C729" s="1" t="str">
        <f>IF($D$24="Y",'Population Definitions'!$B$4,"...")</f>
        <v>...</v>
      </c>
      <c r="E729" s="2"/>
      <c r="F729" s="3"/>
      <c r="G729" s="2"/>
      <c r="H729" s="4" t="str">
        <f>IF($D$24="Y","OR","...")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>
      <c r="A730" s="1" t="str">
        <f>IF($E$24="Y",'Population Definitions'!$B$21,"...")</f>
        <v>...</v>
      </c>
      <c r="B730" s="4" t="str">
        <f>IF($E$24="Y","---&gt;","...")</f>
        <v>...</v>
      </c>
      <c r="C730" s="1" t="str">
        <f>IF($E$24="Y",'Population Definitions'!$B$5,"...")</f>
        <v>...</v>
      </c>
      <c r="E730" s="2"/>
      <c r="F730" s="3"/>
      <c r="G730" s="2"/>
      <c r="H730" s="4" t="str">
        <f>IF($E$24="Y","OR","...")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>
      <c r="A731" s="1" t="str">
        <f>IF($F$24="Y",'Population Definitions'!$B$21,"...")</f>
        <v>...</v>
      </c>
      <c r="B731" s="4" t="str">
        <f>IF($F$24="Y","---&gt;","...")</f>
        <v>...</v>
      </c>
      <c r="C731" s="1" t="str">
        <f>IF($F$24="Y",'Population Definitions'!$B$6,"...")</f>
        <v>...</v>
      </c>
      <c r="E731" s="2"/>
      <c r="F731" s="3"/>
      <c r="G731" s="2"/>
      <c r="H731" s="4" t="str">
        <f>IF($F$24="Y","OR","...")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>
      <c r="A732" s="1" t="str">
        <f>IF($G$24="Y",'Population Definitions'!$B$21,"...")</f>
        <v>...</v>
      </c>
      <c r="B732" s="4" t="str">
        <f>IF($G$24="Y","---&gt;","...")</f>
        <v>...</v>
      </c>
      <c r="C732" s="1" t="str">
        <f>IF($G$24="Y",'Population Definitions'!$B$7,"...")</f>
        <v>...</v>
      </c>
      <c r="E732" s="2"/>
      <c r="F732" s="3"/>
      <c r="G732" s="2"/>
      <c r="H732" s="4" t="str">
        <f>IF($G$24="Y","OR","...")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>
      <c r="A733" s="1" t="str">
        <f>IF($H$24="Y",'Population Definitions'!$B$21,"...")</f>
        <v>...</v>
      </c>
      <c r="B733" s="4" t="str">
        <f>IF($H$24="Y","---&gt;","...")</f>
        <v>...</v>
      </c>
      <c r="C733" s="1" t="str">
        <f>IF($H$24="Y",'Population Definitions'!$B$8,"...")</f>
        <v>...</v>
      </c>
      <c r="E733" s="2"/>
      <c r="F733" s="3"/>
      <c r="G733" s="2"/>
      <c r="H733" s="4" t="str">
        <f>IF($H$24="Y","OR","...")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>
      <c r="A734" s="1" t="str">
        <f>IF($I$24="Y",'Population Definitions'!$B$21,"...")</f>
        <v>...</v>
      </c>
      <c r="B734" s="4" t="str">
        <f>IF($I$24="Y","---&gt;","...")</f>
        <v>...</v>
      </c>
      <c r="C734" s="1" t="str">
        <f>IF($I$24="Y",'Population Definitions'!$B$9,"...")</f>
        <v>...</v>
      </c>
      <c r="E734" s="2"/>
      <c r="F734" s="3"/>
      <c r="G734" s="2"/>
      <c r="H734" s="4" t="str">
        <f>IF($I$24="Y","OR","...")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>
      <c r="A735" s="1" t="str">
        <f>IF($J$24="Y",'Population Definitions'!$B$21,"...")</f>
        <v>...</v>
      </c>
      <c r="B735" s="4" t="str">
        <f>IF($J$24="Y","---&gt;","...")</f>
        <v>...</v>
      </c>
      <c r="C735" s="1" t="str">
        <f>IF($J$24="Y",'Population Definitions'!$B$10,"...")</f>
        <v>...</v>
      </c>
      <c r="E735" s="2"/>
      <c r="F735" s="3"/>
      <c r="G735" s="2"/>
      <c r="H735" s="4" t="str">
        <f>IF($J$24="Y","OR","...")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>
      <c r="A736" s="1" t="str">
        <f>IF($K$24="Y",'Population Definitions'!$B$21,"...")</f>
        <v>...</v>
      </c>
      <c r="B736" s="4" t="str">
        <f>IF($K$24="Y","---&gt;","...")</f>
        <v>...</v>
      </c>
      <c r="C736" s="1" t="str">
        <f>IF($K$24="Y",'Population Definitions'!$B$11,"...")</f>
        <v>...</v>
      </c>
      <c r="E736" s="2"/>
      <c r="F736" s="3"/>
      <c r="G736" s="2"/>
      <c r="H736" s="4" t="str">
        <f>IF($K$24="Y","OR","...")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>
      <c r="A737" s="1" t="str">
        <f>IF($L$24="Y",'Population Definitions'!$B$21,"...")</f>
        <v>...</v>
      </c>
      <c r="B737" s="4" t="str">
        <f>IF($L$24="Y","---&gt;","...")</f>
        <v>...</v>
      </c>
      <c r="C737" s="1" t="str">
        <f>IF($L$24="Y",'Population Definitions'!$B$12,"...")</f>
        <v>...</v>
      </c>
      <c r="E737" s="2"/>
      <c r="F737" s="3"/>
      <c r="G737" s="2"/>
      <c r="H737" s="4" t="str">
        <f>IF($L$24="Y","OR","...")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>
      <c r="A738" s="1" t="str">
        <f>IF($M$24="Y",'Population Definitions'!$B$21,"...")</f>
        <v>...</v>
      </c>
      <c r="B738" s="4" t="str">
        <f>IF($M$24="Y","---&gt;","...")</f>
        <v>...</v>
      </c>
      <c r="C738" s="1" t="str">
        <f>IF($M$24="Y",'Population Definitions'!$B$13,"...")</f>
        <v>...</v>
      </c>
      <c r="E738" s="2"/>
      <c r="F738" s="3"/>
      <c r="G738" s="2"/>
      <c r="H738" s="4" t="str">
        <f>IF($M$24="Y","OR","...")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>
      <c r="A739" s="1" t="str">
        <f>IF($N$24="Y",'Population Definitions'!$B$21,"...")</f>
        <v>...</v>
      </c>
      <c r="B739" s="4" t="str">
        <f>IF($N$24="Y","---&gt;","...")</f>
        <v>...</v>
      </c>
      <c r="C739" s="1" t="str">
        <f>IF($N$24="Y",'Population Definitions'!$B$14,"...")</f>
        <v>...</v>
      </c>
      <c r="E739" s="2"/>
      <c r="F739" s="3"/>
      <c r="G739" s="2"/>
      <c r="H739" s="4" t="str">
        <f>IF($N$24="Y","OR","...")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>
      <c r="A740" s="1" t="str">
        <f>IF($O$24="Y",'Population Definitions'!$B$21,"...")</f>
        <v>...</v>
      </c>
      <c r="B740" s="4" t="str">
        <f>IF($O$24="Y","---&gt;","...")</f>
        <v>...</v>
      </c>
      <c r="C740" s="1" t="str">
        <f>IF($O$24="Y",'Population Definitions'!$B$15,"...")</f>
        <v>...</v>
      </c>
      <c r="E740" s="2"/>
      <c r="F740" s="3"/>
      <c r="G740" s="2"/>
      <c r="H740" s="4" t="str">
        <f>IF($O$24="Y","OR","...")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>
      <c r="A741" s="1" t="str">
        <f>IF($P$24="Y",'Population Definitions'!$B$21,"...")</f>
        <v>...</v>
      </c>
      <c r="B741" s="4" t="str">
        <f>IF($P$24="Y","---&gt;","...")</f>
        <v>...</v>
      </c>
      <c r="C741" s="1" t="str">
        <f>IF($P$24="Y",'Population Definitions'!$B$16,"...")</f>
        <v>...</v>
      </c>
      <c r="E741" s="2"/>
      <c r="F741" s="3"/>
      <c r="G741" s="2"/>
      <c r="H741" s="4" t="str">
        <f>IF($P$24="Y","OR","...")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>
      <c r="A742" s="1" t="str">
        <f>IF($Q$24="Y",'Population Definitions'!$B$21,"...")</f>
        <v>...</v>
      </c>
      <c r="B742" s="4" t="str">
        <f>IF($Q$24="Y","---&gt;","...")</f>
        <v>...</v>
      </c>
      <c r="C742" s="1" t="str">
        <f>IF($Q$24="Y",'Population Definitions'!$B$17,"...")</f>
        <v>...</v>
      </c>
      <c r="E742" s="2"/>
      <c r="F742" s="3"/>
      <c r="G742" s="2"/>
      <c r="H742" s="4" t="str">
        <f>IF($Q$24="Y","OR","...")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>
      <c r="A743" s="1" t="str">
        <f>IF($R$24="Y",'Population Definitions'!$B$21,"...")</f>
        <v>...</v>
      </c>
      <c r="B743" s="4" t="str">
        <f>IF($R$24="Y","---&gt;","...")</f>
        <v>...</v>
      </c>
      <c r="C743" s="1" t="str">
        <f>IF($R$24="Y",'Population Definitions'!$B$18,"...")</f>
        <v>...</v>
      </c>
      <c r="E743" s="2"/>
      <c r="F743" s="3"/>
      <c r="G743" s="2"/>
      <c r="H743" s="4" t="str">
        <f>IF($R$24="Y","OR","...")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>
      <c r="A744" s="1" t="str">
        <f>IF($S$24="Y",'Population Definitions'!$B$21,"...")</f>
        <v>...</v>
      </c>
      <c r="B744" s="4" t="str">
        <f>IF($S$24="Y","---&gt;","...")</f>
        <v>...</v>
      </c>
      <c r="C744" s="1" t="str">
        <f>IF($S$24="Y",'Population Definitions'!$B$19,"...")</f>
        <v>...</v>
      </c>
      <c r="E744" s="2"/>
      <c r="F744" s="3"/>
      <c r="G744" s="2"/>
      <c r="H744" s="4" t="str">
        <f>IF($S$24="Y","OR","...")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>
      <c r="A745" s="1" t="str">
        <f>IF($T$24="Y",'Population Definitions'!$B$21,"...")</f>
        <v>...</v>
      </c>
      <c r="B745" s="4" t="str">
        <f>IF($T$24="Y","---&gt;","...")</f>
        <v>...</v>
      </c>
      <c r="C745" s="1" t="str">
        <f>IF($T$24="Y",'Population Definitions'!$B$20,"...")</f>
        <v>...</v>
      </c>
      <c r="E745" s="2"/>
      <c r="F745" s="3"/>
      <c r="G745" s="2"/>
      <c r="H745" s="4" t="str">
        <f>IF($T$24="Y","OR","...")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>
      <c r="A746" s="1" t="str">
        <f>IF($U$24="Y",'Population Definitions'!$B$21,"...")</f>
        <v>...</v>
      </c>
      <c r="B746" s="4" t="str">
        <f>IF($U$24="Y","---&gt;","...")</f>
        <v>...</v>
      </c>
      <c r="C746" s="1" t="str">
        <f>IF($U$24="Y",'Population Definitions'!$B$21,"...")</f>
        <v>...</v>
      </c>
      <c r="E746" s="2"/>
      <c r="F746" s="3"/>
      <c r="G746" s="2"/>
      <c r="H746" s="4" t="str">
        <f>IF($U$24="Y","OR","...")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>
      <c r="A747" s="1" t="str">
        <f>IF($V$24="Y",'Population Definitions'!$B$21,"...")</f>
        <v>5-14F_oth</v>
      </c>
      <c r="B747" s="4" t="str">
        <f>IF($V$24="Y","---&gt;","...")</f>
        <v>---&gt;</v>
      </c>
      <c r="C747" s="1" t="str">
        <f>IF($V$24="Y",'Population Definitions'!$B$22,"...")</f>
        <v>15-29F_oth</v>
      </c>
      <c r="E747" s="3" t="s">
        <v>63</v>
      </c>
      <c r="F747" s="3"/>
      <c r="G747" s="3"/>
      <c r="H747" s="4" t="str">
        <f>IF($V$24="Y","OR","...")</f>
        <v>OR</v>
      </c>
      <c r="I747" s="3">
        <v>0.09563555626040759</v>
      </c>
      <c r="J747" s="3">
        <v>0.09679720255388739</v>
      </c>
      <c r="K747" s="3">
        <v>0.0984303071048966</v>
      </c>
      <c r="L747" s="3">
        <v>0.103811440269616</v>
      </c>
      <c r="M747" s="3">
        <v>0.105565565645905</v>
      </c>
      <c r="N747" s="3">
        <v>0.115053734645071</v>
      </c>
      <c r="O747" s="3">
        <v>0.115347134526625</v>
      </c>
      <c r="P747" s="3">
        <v>0.110833038071332</v>
      </c>
      <c r="Q747" s="3">
        <v>0.106943471452842</v>
      </c>
      <c r="R747" s="3">
        <v>0.104237580739579</v>
      </c>
      <c r="S747" s="3">
        <v>0.101147730741101</v>
      </c>
      <c r="T747" s="3">
        <v>0.0990116899872291</v>
      </c>
      <c r="U747" s="3">
        <v>0.09814713135126529</v>
      </c>
      <c r="V747" s="3">
        <v>0.09754768832848371</v>
      </c>
      <c r="W747" s="3">
        <v>0.0971010185393439</v>
      </c>
      <c r="X747" s="3">
        <v>0.0990248224130198</v>
      </c>
      <c r="Y747" s="3">
        <v>0.09924322637977651</v>
      </c>
      <c r="Z747" s="3">
        <v>0.100142175082935</v>
      </c>
      <c r="AA747" s="3">
        <v>0.099581542373119</v>
      </c>
      <c r="AB747" s="3">
        <v>0.100165405366932</v>
      </c>
      <c r="AC747" s="3">
        <v>0.09975808583495741</v>
      </c>
      <c r="AD747" s="3">
        <v>0.0990509176855959</v>
      </c>
      <c r="AE747" s="3">
        <v>0.0994992250364633</v>
      </c>
      <c r="AF747" s="3">
        <v>0.100433568880403</v>
      </c>
      <c r="AG747" s="3">
        <v>0.102173870099637</v>
      </c>
      <c r="AH747" s="3">
        <v>0.10320904364776</v>
      </c>
      <c r="AI747" s="3">
        <v>0.103304127296155</v>
      </c>
      <c r="AJ747" s="3">
        <v>0.103203458875108</v>
      </c>
      <c r="AK747" s="3">
        <v>0.10312835674779</v>
      </c>
      <c r="AL747" s="3">
        <v>0.103845532456895</v>
      </c>
      <c r="AM747" s="3">
        <v>0.101837506742063</v>
      </c>
      <c r="AN747" s="3">
        <v>0.101219085467664</v>
      </c>
      <c r="AO747" s="3">
        <v>0.0994033517592349</v>
      </c>
      <c r="AP747" s="3">
        <v>0.0987334992437566</v>
      </c>
      <c r="AQ747" s="3">
        <v>0.0979739838366821</v>
      </c>
      <c r="AR747" s="3">
        <v>0.09614983549316131</v>
      </c>
      <c r="AS747" s="3">
        <v>0.0936062670971915</v>
      </c>
      <c r="AT747" s="3">
        <v>0.0925521638720096</v>
      </c>
      <c r="AU747" s="3">
        <v>0.09180797291560649</v>
      </c>
      <c r="AV747" s="3">
        <v>0.0923216537797098</v>
      </c>
      <c r="AW747" s="3">
        <v>0.0953969496127126</v>
      </c>
      <c r="AX747" s="3">
        <v>0.09867529462617119</v>
      </c>
      <c r="AY747" s="3">
        <v>0.100443480320086</v>
      </c>
      <c r="AZ747" s="3">
        <v>0.100873171426653</v>
      </c>
      <c r="BA747" s="3">
        <v>0.102716639275063</v>
      </c>
      <c r="BB747" s="3">
        <v>0.102299620729309</v>
      </c>
      <c r="BC747" s="3">
        <v>0.103705438220336</v>
      </c>
      <c r="BD747" s="3">
        <v>0.103945751407209</v>
      </c>
      <c r="BE747" s="3">
        <v>0.103945161732846</v>
      </c>
      <c r="BF747" s="3">
        <v>0.103431035791727</v>
      </c>
      <c r="BG747" s="3">
        <v>0.105114527575676</v>
      </c>
      <c r="BH747" s="3">
        <v>0.103367052156782</v>
      </c>
      <c r="BI747" s="3">
        <v>0.102285361942912</v>
      </c>
      <c r="BJ747" s="3">
        <v>0.102086561350091</v>
      </c>
      <c r="BK747" s="3">
        <v>0.101042369758955</v>
      </c>
      <c r="BL747" s="3">
        <v>0.102179001065192</v>
      </c>
      <c r="BM747" s="3">
        <v>0.104518917048614</v>
      </c>
      <c r="BN747" s="3">
        <v>0.102015356430284</v>
      </c>
      <c r="BO747" s="3">
        <v>0.102203859256361</v>
      </c>
      <c r="BP747" s="3">
        <v>0.102079183680871</v>
      </c>
      <c r="BQ747" s="3">
        <v>0.101820447526684</v>
      </c>
      <c r="BR747" s="3">
        <v>0.101434983596422</v>
      </c>
      <c r="BS747" s="3">
        <v>0.101081081725155</v>
      </c>
      <c r="BT747" s="3">
        <v>0.100798664353757</v>
      </c>
      <c r="BU747" s="3">
        <v>0.100491115582688</v>
      </c>
      <c r="BV747" s="3">
        <v>0.100183416830216</v>
      </c>
      <c r="BW747" s="3">
        <v>0.0998916079277417</v>
      </c>
      <c r="BX747" s="3">
        <v>0.09964993562034399</v>
      </c>
      <c r="BY747" s="3">
        <v>0.09950300682581401</v>
      </c>
      <c r="BZ747" s="3">
        <v>0.0994678993485856</v>
      </c>
      <c r="CA747" s="3">
        <v>0.0995440609926591</v>
      </c>
      <c r="CB747" s="3">
        <v>0.09972315094413341</v>
      </c>
      <c r="CC747" s="3">
        <v>0.0999915114736581</v>
      </c>
      <c r="CD747" s="3">
        <v>0.100332894036826</v>
      </c>
      <c r="CE747" s="3">
        <v>0.100713452194418</v>
      </c>
      <c r="CF747" s="3">
        <v>0.101106258507944</v>
      </c>
      <c r="CG747" s="3">
        <v>0.101480776104579</v>
      </c>
      <c r="CH747" s="3">
        <v>0.101813844405054</v>
      </c>
      <c r="CI747" s="3">
        <v>0.102094455629002</v>
      </c>
      <c r="CJ747" s="3">
        <v>0.102319726765431</v>
      </c>
      <c r="CK747" s="3">
        <v>0.102479692639496</v>
      </c>
      <c r="CL747" s="3">
        <v>0.102579078533986</v>
      </c>
      <c r="CM747" s="3">
        <v>0.102622682401391</v>
      </c>
      <c r="CN747" s="3">
        <v>0.102618409076791</v>
      </c>
      <c r="CO747" s="3">
        <v>0.102574325800717</v>
      </c>
      <c r="CP747" s="3">
        <v>0.102498023962452</v>
      </c>
      <c r="CQ747" s="3">
        <v>0.102400768641906</v>
      </c>
      <c r="CR747" s="3">
        <v>0.10229021653093</v>
      </c>
      <c r="CS747" s="3">
        <v>0.102176336295137</v>
      </c>
      <c r="CT747" s="3">
        <v>0.102056387580403</v>
      </c>
      <c r="CU747" s="3">
        <v>0.101933587333552</v>
      </c>
      <c r="CV747" s="3">
        <v>0.101807361868573</v>
      </c>
    </row>
    <row r="748" spans="1:100">
      <c r="A748" s="1" t="str">
        <f>IF($W$24="Y",'Population Definitions'!$B$21,"...")</f>
        <v>...</v>
      </c>
      <c r="B748" s="4" t="str">
        <f>IF($W$24="Y","---&gt;","...")</f>
        <v>...</v>
      </c>
      <c r="C748" s="1" t="str">
        <f>IF($W$24="Y",'Population Definitions'!$B$23,"...")</f>
        <v>...</v>
      </c>
      <c r="E748" s="2"/>
      <c r="F748" s="3"/>
      <c r="G748" s="2"/>
      <c r="H748" s="4" t="str">
        <f>IF($W$24="Y","OR","...")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>
      <c r="A749" s="1" t="str">
        <f>IF($X$24="Y",'Population Definitions'!$B$21,"...")</f>
        <v>...</v>
      </c>
      <c r="B749" s="4" t="str">
        <f>IF($X$24="Y","---&gt;","...")</f>
        <v>...</v>
      </c>
      <c r="C749" s="1" t="str">
        <f>IF($X$24="Y",'Population Definitions'!$B$24,"...")</f>
        <v>...</v>
      </c>
      <c r="E749" s="2"/>
      <c r="F749" s="3"/>
      <c r="G749" s="2"/>
      <c r="H749" s="4" t="str">
        <f>IF($X$24="Y","OR","...")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>
      <c r="A750" s="1" t="str">
        <f>IF($Y$24="Y",'Population Definitions'!$B$21,"...")</f>
        <v>...</v>
      </c>
      <c r="B750" s="4" t="str">
        <f>IF($Y$24="Y","---&gt;","...")</f>
        <v>...</v>
      </c>
      <c r="C750" s="1" t="str">
        <f>IF($Y$24="Y",'Population Definitions'!$B$25,"...")</f>
        <v>...</v>
      </c>
      <c r="E750" s="2"/>
      <c r="F750" s="3"/>
      <c r="G750" s="2"/>
      <c r="H750" s="4" t="str">
        <f>IF($Y$24="Y","OR","...")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>
      <c r="A751" s="1" t="str">
        <f>IF($Z$24="Y",'Population Definitions'!$B$21,"...")</f>
        <v>...</v>
      </c>
      <c r="B751" s="4" t="str">
        <f>IF($Z$24="Y","---&gt;","...")</f>
        <v>...</v>
      </c>
      <c r="C751" s="1" t="str">
        <f>IF($Z$24="Y",'Population Definitions'!$B$26,"...")</f>
        <v>...</v>
      </c>
      <c r="E751" s="2"/>
      <c r="F751" s="3"/>
      <c r="G751" s="2"/>
      <c r="H751" s="4" t="str">
        <f>IF($Z$24="Y","OR","...")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>
      <c r="A752" s="1" t="str">
        <f>IF($AA$24="Y",'Population Definitions'!$B$21,"...")</f>
        <v>...</v>
      </c>
      <c r="B752" s="4" t="str">
        <f>IF($AA$24="Y","---&gt;","...")</f>
        <v>...</v>
      </c>
      <c r="C752" s="1" t="str">
        <f>IF($AA$24="Y",'Population Definitions'!$B$27,"...")</f>
        <v>...</v>
      </c>
      <c r="E752" s="2"/>
      <c r="F752" s="3"/>
      <c r="G752" s="2"/>
      <c r="H752" s="4" t="str">
        <f>IF($AA$24="Y","OR","...")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>
      <c r="A753" s="1" t="str">
        <f>IF($AB$24="Y",'Population Definitions'!$B$21,"...")</f>
        <v>...</v>
      </c>
      <c r="B753" s="4" t="str">
        <f>IF($AB$24="Y","---&gt;","...")</f>
        <v>...</v>
      </c>
      <c r="C753" s="1" t="str">
        <f>IF($AB$24="Y",'Population Definitions'!$B$28,"...")</f>
        <v>...</v>
      </c>
      <c r="E753" s="2"/>
      <c r="F753" s="3"/>
      <c r="G753" s="2"/>
      <c r="H753" s="4" t="str">
        <f>IF($AB$24="Y","OR","...")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>
      <c r="A754" s="1" t="str">
        <f>IF($AC$24="Y",'Population Definitions'!$B$21,"...")</f>
        <v>...</v>
      </c>
      <c r="B754" s="4" t="str">
        <f>IF($AC$24="Y","---&gt;","...")</f>
        <v>...</v>
      </c>
      <c r="C754" s="1" t="str">
        <f>IF($AC$24="Y",'Population Definitions'!$B$29,"...")</f>
        <v>...</v>
      </c>
      <c r="E754" s="2"/>
      <c r="F754" s="3"/>
      <c r="G754" s="2"/>
      <c r="H754" s="4" t="str">
        <f>IF($AC$24="Y","OR","...")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>
      <c r="A755" s="1" t="str">
        <f>IF($AD$24="Y",'Population Definitions'!$B$21,"...")</f>
        <v>...</v>
      </c>
      <c r="B755" s="4" t="str">
        <f>IF($AD$24="Y","---&gt;","...")</f>
        <v>...</v>
      </c>
      <c r="C755" s="1" t="str">
        <f>IF($AD$24="Y",'Population Definitions'!$B$30,"...")</f>
        <v>...</v>
      </c>
      <c r="E755" s="2"/>
      <c r="F755" s="3"/>
      <c r="G755" s="2"/>
      <c r="H755" s="4" t="str">
        <f>IF($AD$24="Y","OR","...")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>
      <c r="A756" s="1" t="str">
        <f>IF($AE$24="Y",'Population Definitions'!$B$21,"...")</f>
        <v>...</v>
      </c>
      <c r="B756" s="4" t="str">
        <f>IF($AE$24="Y","---&gt;","...")</f>
        <v>...</v>
      </c>
      <c r="C756" s="1" t="str">
        <f>IF($AE$24="Y",'Population Definitions'!$B$31,"...")</f>
        <v>...</v>
      </c>
      <c r="E756" s="2"/>
      <c r="F756" s="3"/>
      <c r="G756" s="2"/>
      <c r="H756" s="4" t="str">
        <f>IF($AE$24="Y","OR","...")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>
      <c r="A757" s="1" t="str">
        <f>IF($AF$24="Y",'Population Definitions'!$B$21,"...")</f>
        <v>...</v>
      </c>
      <c r="B757" s="4" t="str">
        <f>IF($AF$24="Y","---&gt;","...")</f>
        <v>...</v>
      </c>
      <c r="C757" s="1" t="str">
        <f>IF($AF$24="Y",'Population Definitions'!$B$32,"...")</f>
        <v>...</v>
      </c>
      <c r="E757" s="2"/>
      <c r="F757" s="3"/>
      <c r="G757" s="2"/>
      <c r="H757" s="4" t="str">
        <f>IF($AF$24="Y","OR","...")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>
      <c r="A758" s="1" t="str">
        <f>IF($AG$24="Y",'Population Definitions'!$B$21,"...")</f>
        <v>...</v>
      </c>
      <c r="B758" s="4" t="str">
        <f>IF($AG$24="Y","---&gt;","...")</f>
        <v>...</v>
      </c>
      <c r="C758" s="1" t="str">
        <f>IF($AG$24="Y",'Population Definitions'!$B$33,"...")</f>
        <v>...</v>
      </c>
      <c r="E758" s="2"/>
      <c r="F758" s="3"/>
      <c r="G758" s="2"/>
      <c r="H758" s="4" t="str">
        <f>IF($AG$24="Y","OR","...")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>
      <c r="A759" s="1" t="str">
        <f>IF($AH$24="Y",'Population Definitions'!$B$21,"...")</f>
        <v>...</v>
      </c>
      <c r="B759" s="4" t="str">
        <f>IF($AH$24="Y","---&gt;","...")</f>
        <v>...</v>
      </c>
      <c r="C759" s="1" t="str">
        <f>IF($AH$24="Y",'Population Definitions'!$B$34,"...")</f>
        <v>...</v>
      </c>
      <c r="E759" s="2"/>
      <c r="F759" s="3"/>
      <c r="G759" s="2"/>
      <c r="H759" s="4" t="str">
        <f>IF($AH$24="Y","OR","...")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>
      <c r="A760" s="1" t="str">
        <f>IF($AI$24="Y",'Population Definitions'!$B$21,"...")</f>
        <v>...</v>
      </c>
      <c r="B760" s="4" t="str">
        <f>IF($AI$24="Y","---&gt;","...")</f>
        <v>...</v>
      </c>
      <c r="C760" s="1" t="str">
        <f>IF($AI$24="Y",'Population Definitions'!$B$35,"...")</f>
        <v>...</v>
      </c>
      <c r="E760" s="2"/>
      <c r="F760" s="3"/>
      <c r="G760" s="2"/>
      <c r="H760" s="4" t="str">
        <f>IF($AI$24="Y","OR","...")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>
      <c r="A761" s="1" t="str">
        <f>IF($AJ$24="Y",'Population Definitions'!$B$21,"...")</f>
        <v>...</v>
      </c>
      <c r="B761" s="4" t="str">
        <f>IF($AJ$24="Y","---&gt;","...")</f>
        <v>...</v>
      </c>
      <c r="C761" s="1" t="str">
        <f>IF($AJ$24="Y",'Population Definitions'!$B$36,"...")</f>
        <v>...</v>
      </c>
      <c r="E761" s="2"/>
      <c r="F761" s="3"/>
      <c r="G761" s="2"/>
      <c r="H761" s="4" t="str">
        <f>IF($AJ$24="Y","OR","...")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>
      <c r="A762" s="1" t="str">
        <f>IF($AK$24="Y",'Population Definitions'!$B$21,"...")</f>
        <v>...</v>
      </c>
      <c r="B762" s="4" t="str">
        <f>IF($AK$24="Y","---&gt;","...")</f>
        <v>...</v>
      </c>
      <c r="C762" s="1" t="str">
        <f>IF($AK$24="Y",'Population Definitions'!$B$37,"...")</f>
        <v>...</v>
      </c>
      <c r="E762" s="2"/>
      <c r="F762" s="3"/>
      <c r="G762" s="2"/>
      <c r="H762" s="4" t="str">
        <f>IF($AK$24="Y","OR","...")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>
      <c r="A763" s="1" t="str">
        <f>IF($B$25="Y",'Population Definitions'!$B$22,"...")</f>
        <v>...</v>
      </c>
      <c r="B763" s="4" t="str">
        <f>IF($B$25="Y","---&gt;","...")</f>
        <v>...</v>
      </c>
      <c r="C763" s="1" t="str">
        <f>IF($B$25="Y",'Population Definitions'!$B$2,"...")</f>
        <v>...</v>
      </c>
      <c r="E763" s="2"/>
      <c r="F763" s="3"/>
      <c r="G763" s="2"/>
      <c r="H763" s="4" t="str">
        <f>IF($B$25="Y","OR","...")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>
      <c r="A764" s="1" t="str">
        <f>IF($C$25="Y",'Population Definitions'!$B$22,"...")</f>
        <v>...</v>
      </c>
      <c r="B764" s="4" t="str">
        <f>IF($C$25="Y","---&gt;","...")</f>
        <v>...</v>
      </c>
      <c r="C764" s="1" t="str">
        <f>IF($C$25="Y",'Population Definitions'!$B$3,"...")</f>
        <v>...</v>
      </c>
      <c r="E764" s="2"/>
      <c r="F764" s="3"/>
      <c r="G764" s="2"/>
      <c r="H764" s="4" t="str">
        <f>IF($C$25="Y","OR","...")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>
      <c r="A765" s="1" t="str">
        <f>IF($D$25="Y",'Population Definitions'!$B$22,"...")</f>
        <v>...</v>
      </c>
      <c r="B765" s="4" t="str">
        <f>IF($D$25="Y","---&gt;","...")</f>
        <v>...</v>
      </c>
      <c r="C765" s="1" t="str">
        <f>IF($D$25="Y",'Population Definitions'!$B$4,"...")</f>
        <v>...</v>
      </c>
      <c r="E765" s="2"/>
      <c r="F765" s="3"/>
      <c r="G765" s="2"/>
      <c r="H765" s="4" t="str">
        <f>IF($D$25="Y","OR","...")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>
      <c r="A766" s="1" t="str">
        <f>IF($E$25="Y",'Population Definitions'!$B$22,"...")</f>
        <v>...</v>
      </c>
      <c r="B766" s="4" t="str">
        <f>IF($E$25="Y","---&gt;","...")</f>
        <v>...</v>
      </c>
      <c r="C766" s="1" t="str">
        <f>IF($E$25="Y",'Population Definitions'!$B$5,"...")</f>
        <v>...</v>
      </c>
      <c r="E766" s="2"/>
      <c r="F766" s="3"/>
      <c r="G766" s="2"/>
      <c r="H766" s="4" t="str">
        <f>IF($E$25="Y","OR","...")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>
      <c r="A767" s="1" t="str">
        <f>IF($F$25="Y",'Population Definitions'!$B$22,"...")</f>
        <v>...</v>
      </c>
      <c r="B767" s="4" t="str">
        <f>IF($F$25="Y","---&gt;","...")</f>
        <v>...</v>
      </c>
      <c r="C767" s="1" t="str">
        <f>IF($F$25="Y",'Population Definitions'!$B$6,"...")</f>
        <v>...</v>
      </c>
      <c r="E767" s="2"/>
      <c r="F767" s="3"/>
      <c r="G767" s="2"/>
      <c r="H767" s="4" t="str">
        <f>IF($F$25="Y","OR","...")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>
      <c r="A768" s="1" t="str">
        <f>IF($G$25="Y",'Population Definitions'!$B$22,"...")</f>
        <v>...</v>
      </c>
      <c r="B768" s="4" t="str">
        <f>IF($G$25="Y","---&gt;","...")</f>
        <v>...</v>
      </c>
      <c r="C768" s="1" t="str">
        <f>IF($G$25="Y",'Population Definitions'!$B$7,"...")</f>
        <v>...</v>
      </c>
      <c r="E768" s="2"/>
      <c r="F768" s="3"/>
      <c r="G768" s="2"/>
      <c r="H768" s="4" t="str">
        <f>IF($G$25="Y","OR","...")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>
      <c r="A769" s="1" t="str">
        <f>IF($H$25="Y",'Population Definitions'!$B$22,"...")</f>
        <v>...</v>
      </c>
      <c r="B769" s="4" t="str">
        <f>IF($H$25="Y","---&gt;","...")</f>
        <v>...</v>
      </c>
      <c r="C769" s="1" t="str">
        <f>IF($H$25="Y",'Population Definitions'!$B$8,"...")</f>
        <v>...</v>
      </c>
      <c r="E769" s="2"/>
      <c r="F769" s="3"/>
      <c r="G769" s="2"/>
      <c r="H769" s="4" t="str">
        <f>IF($H$25="Y","OR","...")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>
      <c r="A770" s="1" t="str">
        <f>IF($I$25="Y",'Population Definitions'!$B$22,"...")</f>
        <v>...</v>
      </c>
      <c r="B770" s="4" t="str">
        <f>IF($I$25="Y","---&gt;","...")</f>
        <v>...</v>
      </c>
      <c r="C770" s="1" t="str">
        <f>IF($I$25="Y",'Population Definitions'!$B$9,"...")</f>
        <v>...</v>
      </c>
      <c r="E770" s="2"/>
      <c r="F770" s="3"/>
      <c r="G770" s="2"/>
      <c r="H770" s="4" t="str">
        <f>IF($I$25="Y","OR","...")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>
      <c r="A771" s="1" t="str">
        <f>IF($J$25="Y",'Population Definitions'!$B$22,"...")</f>
        <v>...</v>
      </c>
      <c r="B771" s="4" t="str">
        <f>IF($J$25="Y","---&gt;","...")</f>
        <v>...</v>
      </c>
      <c r="C771" s="1" t="str">
        <f>IF($J$25="Y",'Population Definitions'!$B$10,"...")</f>
        <v>...</v>
      </c>
      <c r="E771" s="2"/>
      <c r="F771" s="3"/>
      <c r="G771" s="2"/>
      <c r="H771" s="4" t="str">
        <f>IF($J$25="Y","OR","...")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>
      <c r="A772" s="1" t="str">
        <f>IF($K$25="Y",'Population Definitions'!$B$22,"...")</f>
        <v>...</v>
      </c>
      <c r="B772" s="4" t="str">
        <f>IF($K$25="Y","---&gt;","...")</f>
        <v>...</v>
      </c>
      <c r="C772" s="1" t="str">
        <f>IF($K$25="Y",'Population Definitions'!$B$11,"...")</f>
        <v>...</v>
      </c>
      <c r="E772" s="2"/>
      <c r="F772" s="3"/>
      <c r="G772" s="2"/>
      <c r="H772" s="4" t="str">
        <f>IF($K$25="Y","OR","...")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>
      <c r="A773" s="1" t="str">
        <f>IF($L$25="Y",'Population Definitions'!$B$22,"...")</f>
        <v>...</v>
      </c>
      <c r="B773" s="4" t="str">
        <f>IF($L$25="Y","---&gt;","...")</f>
        <v>...</v>
      </c>
      <c r="C773" s="1" t="str">
        <f>IF($L$25="Y",'Population Definitions'!$B$12,"...")</f>
        <v>...</v>
      </c>
      <c r="E773" s="2"/>
      <c r="F773" s="3"/>
      <c r="G773" s="2"/>
      <c r="H773" s="4" t="str">
        <f>IF($L$25="Y","OR","...")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>
      <c r="A774" s="1" t="str">
        <f>IF($M$25="Y",'Population Definitions'!$B$22,"...")</f>
        <v>...</v>
      </c>
      <c r="B774" s="4" t="str">
        <f>IF($M$25="Y","---&gt;","...")</f>
        <v>...</v>
      </c>
      <c r="C774" s="1" t="str">
        <f>IF($M$25="Y",'Population Definitions'!$B$13,"...")</f>
        <v>...</v>
      </c>
      <c r="E774" s="2"/>
      <c r="F774" s="3"/>
      <c r="G774" s="2"/>
      <c r="H774" s="4" t="str">
        <f>IF($M$25="Y","OR","...")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>
      <c r="A775" s="1" t="str">
        <f>IF($N$25="Y",'Population Definitions'!$B$22,"...")</f>
        <v>...</v>
      </c>
      <c r="B775" s="4" t="str">
        <f>IF($N$25="Y","---&gt;","...")</f>
        <v>...</v>
      </c>
      <c r="C775" s="1" t="str">
        <f>IF($N$25="Y",'Population Definitions'!$B$14,"...")</f>
        <v>...</v>
      </c>
      <c r="E775" s="2"/>
      <c r="F775" s="3"/>
      <c r="G775" s="2"/>
      <c r="H775" s="4" t="str">
        <f>IF($N$25="Y","OR","...")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>
      <c r="A776" s="1" t="str">
        <f>IF($O$25="Y",'Population Definitions'!$B$22,"...")</f>
        <v>...</v>
      </c>
      <c r="B776" s="4" t="str">
        <f>IF($O$25="Y","---&gt;","...")</f>
        <v>...</v>
      </c>
      <c r="C776" s="1" t="str">
        <f>IF($O$25="Y",'Population Definitions'!$B$15,"...")</f>
        <v>...</v>
      </c>
      <c r="E776" s="2"/>
      <c r="F776" s="3"/>
      <c r="G776" s="2"/>
      <c r="H776" s="4" t="str">
        <f>IF($O$25="Y","OR","...")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>
      <c r="A777" s="1" t="str">
        <f>IF($P$25="Y",'Population Definitions'!$B$22,"...")</f>
        <v>...</v>
      </c>
      <c r="B777" s="4" t="str">
        <f>IF($P$25="Y","---&gt;","...")</f>
        <v>...</v>
      </c>
      <c r="C777" s="1" t="str">
        <f>IF($P$25="Y",'Population Definitions'!$B$16,"...")</f>
        <v>...</v>
      </c>
      <c r="E777" s="2"/>
      <c r="F777" s="3"/>
      <c r="G777" s="2"/>
      <c r="H777" s="4" t="str">
        <f>IF($P$25="Y","OR","...")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>
      <c r="A778" s="1" t="str">
        <f>IF($Q$25="Y",'Population Definitions'!$B$22,"...")</f>
        <v>...</v>
      </c>
      <c r="B778" s="4" t="str">
        <f>IF($Q$25="Y","---&gt;","...")</f>
        <v>...</v>
      </c>
      <c r="C778" s="1" t="str">
        <f>IF($Q$25="Y",'Population Definitions'!$B$17,"...")</f>
        <v>...</v>
      </c>
      <c r="E778" s="2"/>
      <c r="F778" s="3"/>
      <c r="G778" s="2"/>
      <c r="H778" s="4" t="str">
        <f>IF($Q$25="Y","OR","...")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>
      <c r="A779" s="1" t="str">
        <f>IF($R$25="Y",'Population Definitions'!$B$22,"...")</f>
        <v>...</v>
      </c>
      <c r="B779" s="4" t="str">
        <f>IF($R$25="Y","---&gt;","...")</f>
        <v>...</v>
      </c>
      <c r="C779" s="1" t="str">
        <f>IF($R$25="Y",'Population Definitions'!$B$18,"...")</f>
        <v>...</v>
      </c>
      <c r="E779" s="2"/>
      <c r="F779" s="3"/>
      <c r="G779" s="2"/>
      <c r="H779" s="4" t="str">
        <f>IF($R$25="Y","OR","...")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>
      <c r="A780" s="1" t="str">
        <f>IF($S$25="Y",'Population Definitions'!$B$22,"...")</f>
        <v>...</v>
      </c>
      <c r="B780" s="4" t="str">
        <f>IF($S$25="Y","---&gt;","...")</f>
        <v>...</v>
      </c>
      <c r="C780" s="1" t="str">
        <f>IF($S$25="Y",'Population Definitions'!$B$19,"...")</f>
        <v>...</v>
      </c>
      <c r="E780" s="2"/>
      <c r="F780" s="3"/>
      <c r="G780" s="2"/>
      <c r="H780" s="4" t="str">
        <f>IF($S$25="Y","OR","...")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>
      <c r="A781" s="1" t="str">
        <f>IF($T$25="Y",'Population Definitions'!$B$22,"...")</f>
        <v>...</v>
      </c>
      <c r="B781" s="4" t="str">
        <f>IF($T$25="Y","---&gt;","...")</f>
        <v>...</v>
      </c>
      <c r="C781" s="1" t="str">
        <f>IF($T$25="Y",'Population Definitions'!$B$20,"...")</f>
        <v>...</v>
      </c>
      <c r="E781" s="2"/>
      <c r="F781" s="3"/>
      <c r="G781" s="2"/>
      <c r="H781" s="4" t="str">
        <f>IF($T$25="Y","OR","...")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>
      <c r="A782" s="1" t="str">
        <f>IF($U$25="Y",'Population Definitions'!$B$22,"...")</f>
        <v>...</v>
      </c>
      <c r="B782" s="4" t="str">
        <f>IF($U$25="Y","---&gt;","...")</f>
        <v>...</v>
      </c>
      <c r="C782" s="1" t="str">
        <f>IF($U$25="Y",'Population Definitions'!$B$21,"...")</f>
        <v>...</v>
      </c>
      <c r="E782" s="2"/>
      <c r="F782" s="3"/>
      <c r="G782" s="2"/>
      <c r="H782" s="4" t="str">
        <f>IF($U$25="Y","OR","...")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>
      <c r="A783" s="1" t="str">
        <f>IF($V$25="Y",'Population Definitions'!$B$22,"...")</f>
        <v>...</v>
      </c>
      <c r="B783" s="4" t="str">
        <f>IF($V$25="Y","---&gt;","...")</f>
        <v>...</v>
      </c>
      <c r="C783" s="1" t="str">
        <f>IF($V$25="Y",'Population Definitions'!$B$22,"...")</f>
        <v>...</v>
      </c>
      <c r="E783" s="2"/>
      <c r="F783" s="3"/>
      <c r="G783" s="2"/>
      <c r="H783" s="4" t="str">
        <f>IF($V$25="Y","OR","...")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>
      <c r="A784" s="1" t="str">
        <f>IF($W$25="Y",'Population Definitions'!$B$22,"...")</f>
        <v>15-29F_oth</v>
      </c>
      <c r="B784" s="4" t="str">
        <f>IF($W$25="Y","---&gt;","...")</f>
        <v>---&gt;</v>
      </c>
      <c r="C784" s="1" t="str">
        <f>IF($W$25="Y",'Population Definitions'!$B$23,"...")</f>
        <v>30-49F_oth</v>
      </c>
      <c r="E784" s="3" t="s">
        <v>63</v>
      </c>
      <c r="F784" s="3"/>
      <c r="G784" s="3"/>
      <c r="H784" s="4" t="str">
        <f>IF($W$25="Y","OR","...")</f>
        <v>OR</v>
      </c>
      <c r="I784" s="3">
        <v>0.065047183263182</v>
      </c>
      <c r="J784" s="3">
        <v>0.0635480270326879</v>
      </c>
      <c r="K784" s="3">
        <v>0.064888145655569</v>
      </c>
      <c r="L784" s="3">
        <v>0.0642380618251886</v>
      </c>
      <c r="M784" s="3">
        <v>0.06421773069633591</v>
      </c>
      <c r="N784" s="3">
        <v>0.0660116667067743</v>
      </c>
      <c r="O784" s="3">
        <v>0.0655306539743287</v>
      </c>
      <c r="P784" s="3">
        <v>0.06623385781568759</v>
      </c>
      <c r="Q784" s="3">
        <v>0.06704241191354821</v>
      </c>
      <c r="R784" s="3">
        <v>0.068638699275565</v>
      </c>
      <c r="S784" s="3">
        <v>0.071926002781347</v>
      </c>
      <c r="T784" s="3">
        <v>0.07056420563425859</v>
      </c>
      <c r="U784" s="3">
        <v>0.07092483277005231</v>
      </c>
      <c r="V784" s="3">
        <v>0.0707045282252271</v>
      </c>
      <c r="W784" s="3">
        <v>0.0687171687382766</v>
      </c>
      <c r="X784" s="3">
        <v>0.0681528535087237</v>
      </c>
      <c r="Y784" s="3">
        <v>0.0672987406173929</v>
      </c>
      <c r="Z784" s="3">
        <v>0.0686814994407304</v>
      </c>
      <c r="AA784" s="3">
        <v>0.07146260600269889</v>
      </c>
      <c r="AB784" s="3">
        <v>0.0725865753181584</v>
      </c>
      <c r="AC784" s="3">
        <v>0.0779659097117076</v>
      </c>
      <c r="AD784" s="3">
        <v>0.0764101345755018</v>
      </c>
      <c r="AE784" s="3">
        <v>0.07336933041016171</v>
      </c>
      <c r="AF784" s="3">
        <v>0.07100684771473249</v>
      </c>
      <c r="AG784" s="3">
        <v>0.068854810818426</v>
      </c>
      <c r="AH784" s="3">
        <v>0.06704243576799029</v>
      </c>
      <c r="AI784" s="3">
        <v>0.0660369267535872</v>
      </c>
      <c r="AJ784" s="3">
        <v>0.0654094300743905</v>
      </c>
      <c r="AK784" s="3">
        <v>0.0657868452822012</v>
      </c>
      <c r="AL784" s="3">
        <v>0.06644165969987741</v>
      </c>
      <c r="AM784" s="3">
        <v>0.0684066125796039</v>
      </c>
      <c r="AN784" s="3">
        <v>0.0697903542996334</v>
      </c>
      <c r="AO784" s="3">
        <v>0.0721877320735375</v>
      </c>
      <c r="AP784" s="3">
        <v>0.0728722478003855</v>
      </c>
      <c r="AQ784" s="3">
        <v>0.073688853197744</v>
      </c>
      <c r="AR784" s="3">
        <v>0.07433811825884069</v>
      </c>
      <c r="AS784" s="3">
        <v>0.0738278131669409</v>
      </c>
      <c r="AT784" s="3">
        <v>0.0748270589913608</v>
      </c>
      <c r="AU784" s="3">
        <v>0.0754713360211228</v>
      </c>
      <c r="AV784" s="3">
        <v>0.0771482820746249</v>
      </c>
      <c r="AW784" s="3">
        <v>0.0781840627504397</v>
      </c>
      <c r="AX784" s="3">
        <v>0.078145176272174</v>
      </c>
      <c r="AY784" s="3">
        <v>0.0771580889638933</v>
      </c>
      <c r="AZ784" s="3">
        <v>0.07604079338903889</v>
      </c>
      <c r="BA784" s="3">
        <v>0.0753759634821685</v>
      </c>
      <c r="BB784" s="3">
        <v>0.07307892829933391</v>
      </c>
      <c r="BC784" s="3">
        <v>0.0711061702388486</v>
      </c>
      <c r="BD784" s="3">
        <v>0.0690211978436605</v>
      </c>
      <c r="BE784" s="3">
        <v>0.0684783841841857</v>
      </c>
      <c r="BF784" s="3">
        <v>0.0693648774314008</v>
      </c>
      <c r="BG784" s="3">
        <v>0.0685253517922907</v>
      </c>
      <c r="BH784" s="3">
        <v>0.0668288705331382</v>
      </c>
      <c r="BI784" s="3">
        <v>0.0672578198825204</v>
      </c>
      <c r="BJ784" s="3">
        <v>0.06856904513422291</v>
      </c>
      <c r="BK784" s="3">
        <v>0.0697675466773636</v>
      </c>
      <c r="BL784" s="3">
        <v>0.0716005625393648</v>
      </c>
      <c r="BM784" s="3">
        <v>0.07339633843882459</v>
      </c>
      <c r="BN784" s="3">
        <v>0.0740698429949453</v>
      </c>
      <c r="BO784" s="3">
        <v>0.0740276547124936</v>
      </c>
      <c r="BP784" s="3">
        <v>0.0747754143758099</v>
      </c>
      <c r="BQ784" s="3">
        <v>0.07422978304693589</v>
      </c>
      <c r="BR784" s="3">
        <v>0.0747863781880653</v>
      </c>
      <c r="BS784" s="3">
        <v>0.074868550628845</v>
      </c>
      <c r="BT784" s="3">
        <v>0.0747317491182645</v>
      </c>
      <c r="BU784" s="3">
        <v>0.0743807702200551</v>
      </c>
      <c r="BV784" s="3">
        <v>0.075267097795258</v>
      </c>
      <c r="BW784" s="3">
        <v>0.0742227793451604</v>
      </c>
      <c r="BX784" s="3">
        <v>0.07356370755248109</v>
      </c>
      <c r="BY784" s="3">
        <v>0.0733966362057735</v>
      </c>
      <c r="BZ784" s="3">
        <v>0.0727564061252414</v>
      </c>
      <c r="CA784" s="3">
        <v>0.07332183210801919</v>
      </c>
      <c r="CB784" s="3">
        <v>0.07451622855649311</v>
      </c>
      <c r="CC784" s="3">
        <v>0.0729910623531827</v>
      </c>
      <c r="CD784" s="3">
        <v>0.07298364727855031</v>
      </c>
      <c r="CE784" s="3">
        <v>0.07279614614124461</v>
      </c>
      <c r="CF784" s="3">
        <v>0.07253841007834839</v>
      </c>
      <c r="CG784" s="3">
        <v>0.072223000928401</v>
      </c>
      <c r="CH784" s="3">
        <v>0.07194520222636459</v>
      </c>
      <c r="CI784" s="3">
        <v>0.0717317509415944</v>
      </c>
      <c r="CJ784" s="3">
        <v>0.0715279653687515</v>
      </c>
      <c r="CK784" s="3">
        <v>0.07135185400741539</v>
      </c>
      <c r="CL784" s="3">
        <v>0.0712112292743988</v>
      </c>
      <c r="CM784" s="3">
        <v>0.0711206862188922</v>
      </c>
      <c r="CN784" s="3">
        <v>0.0711007399004415</v>
      </c>
      <c r="CO784" s="3">
        <v>0.0711538212640708</v>
      </c>
      <c r="CP784" s="3">
        <v>0.07127602541404029</v>
      </c>
      <c r="CQ784" s="3">
        <v>0.0714571183117414</v>
      </c>
      <c r="CR784" s="3">
        <v>0.0716833114483065</v>
      </c>
      <c r="CS784" s="3">
        <v>0.0719434232689586</v>
      </c>
      <c r="CT784" s="3">
        <v>0.0722139095517389</v>
      </c>
      <c r="CU784" s="3">
        <v>0.07247887692439479</v>
      </c>
      <c r="CV784" s="3">
        <v>0.0727182265942954</v>
      </c>
    </row>
    <row r="785" spans="1:100">
      <c r="A785" s="1" t="str">
        <f>IF($X$25="Y",'Population Definitions'!$B$22,"...")</f>
        <v>...</v>
      </c>
      <c r="B785" s="4" t="str">
        <f>IF($X$25="Y","---&gt;","...")</f>
        <v>...</v>
      </c>
      <c r="C785" s="1" t="str">
        <f>IF($X$25="Y",'Population Definitions'!$B$24,"...")</f>
        <v>...</v>
      </c>
      <c r="E785" s="2"/>
      <c r="F785" s="3"/>
      <c r="G785" s="2"/>
      <c r="H785" s="4" t="str">
        <f>IF($X$25="Y","OR","...")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>
      <c r="A786" s="1" t="str">
        <f>IF($Y$25="Y",'Population Definitions'!$B$22,"...")</f>
        <v>...</v>
      </c>
      <c r="B786" s="4" t="str">
        <f>IF($Y$25="Y","---&gt;","...")</f>
        <v>...</v>
      </c>
      <c r="C786" s="1" t="str">
        <f>IF($Y$25="Y",'Population Definitions'!$B$25,"...")</f>
        <v>...</v>
      </c>
      <c r="E786" s="2"/>
      <c r="F786" s="3"/>
      <c r="G786" s="2"/>
      <c r="H786" s="4" t="str">
        <f>IF($Y$25="Y","OR","...")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>
      <c r="A787" s="1" t="str">
        <f>IF($Z$25="Y",'Population Definitions'!$B$22,"...")</f>
        <v>...</v>
      </c>
      <c r="B787" s="4" t="str">
        <f>IF($Z$25="Y","---&gt;","...")</f>
        <v>...</v>
      </c>
      <c r="C787" s="1" t="str">
        <f>IF($Z$25="Y",'Population Definitions'!$B$26,"...")</f>
        <v>...</v>
      </c>
      <c r="E787" s="2"/>
      <c r="F787" s="3"/>
      <c r="G787" s="2"/>
      <c r="H787" s="4" t="str">
        <f>IF($Z$25="Y","OR","...")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>
      <c r="A788" s="1" t="str">
        <f>IF($AA$25="Y",'Population Definitions'!$B$22,"...")</f>
        <v>...</v>
      </c>
      <c r="B788" s="4" t="str">
        <f>IF($AA$25="Y","---&gt;","...")</f>
        <v>...</v>
      </c>
      <c r="C788" s="1" t="str">
        <f>IF($AA$25="Y",'Population Definitions'!$B$27,"...")</f>
        <v>...</v>
      </c>
      <c r="E788" s="2"/>
      <c r="F788" s="3"/>
      <c r="G788" s="2"/>
      <c r="H788" s="4" t="str">
        <f>IF($AA$25="Y","OR","...")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>
      <c r="A789" s="1" t="str">
        <f>IF($AB$25="Y",'Population Definitions'!$B$22,"...")</f>
        <v>...</v>
      </c>
      <c r="B789" s="4" t="str">
        <f>IF($AB$25="Y","---&gt;","...")</f>
        <v>...</v>
      </c>
      <c r="C789" s="1" t="str">
        <f>IF($AB$25="Y",'Population Definitions'!$B$28,"...")</f>
        <v>...</v>
      </c>
      <c r="E789" s="2"/>
      <c r="F789" s="3"/>
      <c r="G789" s="2"/>
      <c r="H789" s="4" t="str">
        <f>IF($AB$25="Y","OR","...")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>
      <c r="A790" s="1" t="str">
        <f>IF($AC$25="Y",'Population Definitions'!$B$22,"...")</f>
        <v>...</v>
      </c>
      <c r="B790" s="4" t="str">
        <f>IF($AC$25="Y","---&gt;","...")</f>
        <v>...</v>
      </c>
      <c r="C790" s="1" t="str">
        <f>IF($AC$25="Y",'Population Definitions'!$B$29,"...")</f>
        <v>...</v>
      </c>
      <c r="E790" s="2"/>
      <c r="F790" s="3"/>
      <c r="G790" s="2"/>
      <c r="H790" s="4" t="str">
        <f>IF($AC$25="Y","OR","...")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>
      <c r="A791" s="1" t="str">
        <f>IF($AD$25="Y",'Population Definitions'!$B$22,"...")</f>
        <v>...</v>
      </c>
      <c r="B791" s="4" t="str">
        <f>IF($AD$25="Y","---&gt;","...")</f>
        <v>...</v>
      </c>
      <c r="C791" s="1" t="str">
        <f>IF($AD$25="Y",'Population Definitions'!$B$30,"...")</f>
        <v>...</v>
      </c>
      <c r="E791" s="2"/>
      <c r="F791" s="3"/>
      <c r="G791" s="2"/>
      <c r="H791" s="4" t="str">
        <f>IF($AD$25="Y","OR","...")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>
      <c r="A792" s="1" t="str">
        <f>IF($AE$25="Y",'Population Definitions'!$B$22,"...")</f>
        <v>...</v>
      </c>
      <c r="B792" s="4" t="str">
        <f>IF($AE$25="Y","---&gt;","...")</f>
        <v>...</v>
      </c>
      <c r="C792" s="1" t="str">
        <f>IF($AE$25="Y",'Population Definitions'!$B$31,"...")</f>
        <v>...</v>
      </c>
      <c r="E792" s="2"/>
      <c r="F792" s="3"/>
      <c r="G792" s="2"/>
      <c r="H792" s="4" t="str">
        <f>IF($AE$25="Y","OR","...")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>
      <c r="A793" s="1" t="str">
        <f>IF($AF$25="Y",'Population Definitions'!$B$22,"...")</f>
        <v>...</v>
      </c>
      <c r="B793" s="4" t="str">
        <f>IF($AF$25="Y","---&gt;","...")</f>
        <v>...</v>
      </c>
      <c r="C793" s="1" t="str">
        <f>IF($AF$25="Y",'Population Definitions'!$B$32,"...")</f>
        <v>...</v>
      </c>
      <c r="E793" s="2"/>
      <c r="F793" s="3"/>
      <c r="G793" s="2"/>
      <c r="H793" s="4" t="str">
        <f>IF($AF$25="Y","OR","...")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>
      <c r="A794" s="1" t="str">
        <f>IF($AG$25="Y",'Population Definitions'!$B$22,"...")</f>
        <v>...</v>
      </c>
      <c r="B794" s="4" t="str">
        <f>IF($AG$25="Y","---&gt;","...")</f>
        <v>...</v>
      </c>
      <c r="C794" s="1" t="str">
        <f>IF($AG$25="Y",'Population Definitions'!$B$33,"...")</f>
        <v>...</v>
      </c>
      <c r="E794" s="2"/>
      <c r="F794" s="3"/>
      <c r="G794" s="2"/>
      <c r="H794" s="4" t="str">
        <f>IF($AG$25="Y","OR","...")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>
      <c r="A795" s="1" t="str">
        <f>IF($AH$25="Y",'Population Definitions'!$B$22,"...")</f>
        <v>...</v>
      </c>
      <c r="B795" s="4" t="str">
        <f>IF($AH$25="Y","---&gt;","...")</f>
        <v>...</v>
      </c>
      <c r="C795" s="1" t="str">
        <f>IF($AH$25="Y",'Population Definitions'!$B$34,"...")</f>
        <v>...</v>
      </c>
      <c r="E795" s="2"/>
      <c r="F795" s="3"/>
      <c r="G795" s="2"/>
      <c r="H795" s="4" t="str">
        <f>IF($AH$25="Y","OR","...")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>
      <c r="A796" s="1" t="str">
        <f>IF($AI$25="Y",'Population Definitions'!$B$22,"...")</f>
        <v>...</v>
      </c>
      <c r="B796" s="4" t="str">
        <f>IF($AI$25="Y","---&gt;","...")</f>
        <v>...</v>
      </c>
      <c r="C796" s="1" t="str">
        <f>IF($AI$25="Y",'Population Definitions'!$B$35,"...")</f>
        <v>...</v>
      </c>
      <c r="E796" s="2"/>
      <c r="F796" s="3"/>
      <c r="G796" s="2"/>
      <c r="H796" s="4" t="str">
        <f>IF($AI$25="Y","OR","...")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>
      <c r="A797" s="1" t="str">
        <f>IF($AJ$25="Y",'Population Definitions'!$B$22,"...")</f>
        <v>...</v>
      </c>
      <c r="B797" s="4" t="str">
        <f>IF($AJ$25="Y","---&gt;","...")</f>
        <v>...</v>
      </c>
      <c r="C797" s="1" t="str">
        <f>IF($AJ$25="Y",'Population Definitions'!$B$36,"...")</f>
        <v>...</v>
      </c>
      <c r="E797" s="2"/>
      <c r="F797" s="3"/>
      <c r="G797" s="2"/>
      <c r="H797" s="4" t="str">
        <f>IF($AJ$25="Y","OR","...")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>
      <c r="A798" s="1" t="str">
        <f>IF($AK$25="Y",'Population Definitions'!$B$22,"...")</f>
        <v>...</v>
      </c>
      <c r="B798" s="4" t="str">
        <f>IF($AK$25="Y","---&gt;","...")</f>
        <v>...</v>
      </c>
      <c r="C798" s="1" t="str">
        <f>IF($AK$25="Y",'Population Definitions'!$B$37,"...")</f>
        <v>...</v>
      </c>
      <c r="E798" s="2"/>
      <c r="F798" s="3"/>
      <c r="G798" s="2"/>
      <c r="H798" s="4" t="str">
        <f>IF($AK$25="Y","OR","...")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>
      <c r="A799" s="1" t="str">
        <f>IF($B$26="Y",'Population Definitions'!$B$23,"...")</f>
        <v>...</v>
      </c>
      <c r="B799" s="4" t="str">
        <f>IF($B$26="Y","---&gt;","...")</f>
        <v>...</v>
      </c>
      <c r="C799" s="1" t="str">
        <f>IF($B$26="Y",'Population Definitions'!$B$2,"...")</f>
        <v>...</v>
      </c>
      <c r="E799" s="2"/>
      <c r="F799" s="3"/>
      <c r="G799" s="2"/>
      <c r="H799" s="4" t="str">
        <f>IF($B$26="Y","OR","...")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>
      <c r="A800" s="1" t="str">
        <f>IF($C$26="Y",'Population Definitions'!$B$23,"...")</f>
        <v>...</v>
      </c>
      <c r="B800" s="4" t="str">
        <f>IF($C$26="Y","---&gt;","...")</f>
        <v>...</v>
      </c>
      <c r="C800" s="1" t="str">
        <f>IF($C$26="Y",'Population Definitions'!$B$3,"...")</f>
        <v>...</v>
      </c>
      <c r="E800" s="2"/>
      <c r="F800" s="3"/>
      <c r="G800" s="2"/>
      <c r="H800" s="4" t="str">
        <f>IF($C$26="Y","OR","...")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>
      <c r="A801" s="1" t="str">
        <f>IF($D$26="Y",'Population Definitions'!$B$23,"...")</f>
        <v>...</v>
      </c>
      <c r="B801" s="4" t="str">
        <f>IF($D$26="Y","---&gt;","...")</f>
        <v>...</v>
      </c>
      <c r="C801" s="1" t="str">
        <f>IF($D$26="Y",'Population Definitions'!$B$4,"...")</f>
        <v>...</v>
      </c>
      <c r="E801" s="2"/>
      <c r="F801" s="3"/>
      <c r="G801" s="2"/>
      <c r="H801" s="4" t="str">
        <f>IF($D$26="Y","OR","...")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>
      <c r="A802" s="1" t="str">
        <f>IF($E$26="Y",'Population Definitions'!$B$23,"...")</f>
        <v>...</v>
      </c>
      <c r="B802" s="4" t="str">
        <f>IF($E$26="Y","---&gt;","...")</f>
        <v>...</v>
      </c>
      <c r="C802" s="1" t="str">
        <f>IF($E$26="Y",'Population Definitions'!$B$5,"...")</f>
        <v>...</v>
      </c>
      <c r="E802" s="2"/>
      <c r="F802" s="3"/>
      <c r="G802" s="2"/>
      <c r="H802" s="4" t="str">
        <f>IF($E$26="Y","OR","...")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>
      <c r="A803" s="1" t="str">
        <f>IF($F$26="Y",'Population Definitions'!$B$23,"...")</f>
        <v>...</v>
      </c>
      <c r="B803" s="4" t="str">
        <f>IF($F$26="Y","---&gt;","...")</f>
        <v>...</v>
      </c>
      <c r="C803" s="1" t="str">
        <f>IF($F$26="Y",'Population Definitions'!$B$6,"...")</f>
        <v>...</v>
      </c>
      <c r="E803" s="2"/>
      <c r="F803" s="3"/>
      <c r="G803" s="2"/>
      <c r="H803" s="4" t="str">
        <f>IF($F$26="Y","OR","...")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>
      <c r="A804" s="1" t="str">
        <f>IF($G$26="Y",'Population Definitions'!$B$23,"...")</f>
        <v>...</v>
      </c>
      <c r="B804" s="4" t="str">
        <f>IF($G$26="Y","---&gt;","...")</f>
        <v>...</v>
      </c>
      <c r="C804" s="1" t="str">
        <f>IF($G$26="Y",'Population Definitions'!$B$7,"...")</f>
        <v>...</v>
      </c>
      <c r="E804" s="2"/>
      <c r="F804" s="3"/>
      <c r="G804" s="2"/>
      <c r="H804" s="4" t="str">
        <f>IF($G$26="Y","OR","...")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>
      <c r="A805" s="1" t="str">
        <f>IF($H$26="Y",'Population Definitions'!$B$23,"...")</f>
        <v>...</v>
      </c>
      <c r="B805" s="4" t="str">
        <f>IF($H$26="Y","---&gt;","...")</f>
        <v>...</v>
      </c>
      <c r="C805" s="1" t="str">
        <f>IF($H$26="Y",'Population Definitions'!$B$8,"...")</f>
        <v>...</v>
      </c>
      <c r="E805" s="2"/>
      <c r="F805" s="3"/>
      <c r="G805" s="2"/>
      <c r="H805" s="4" t="str">
        <f>IF($H$26="Y","OR","...")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>
      <c r="A806" s="1" t="str">
        <f>IF($I$26="Y",'Population Definitions'!$B$23,"...")</f>
        <v>...</v>
      </c>
      <c r="B806" s="4" t="str">
        <f>IF($I$26="Y","---&gt;","...")</f>
        <v>...</v>
      </c>
      <c r="C806" s="1" t="str">
        <f>IF($I$26="Y",'Population Definitions'!$B$9,"...")</f>
        <v>...</v>
      </c>
      <c r="E806" s="2"/>
      <c r="F806" s="3"/>
      <c r="G806" s="2"/>
      <c r="H806" s="4" t="str">
        <f>IF($I$26="Y","OR","...")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>
      <c r="A807" s="1" t="str">
        <f>IF($J$26="Y",'Population Definitions'!$B$23,"...")</f>
        <v>...</v>
      </c>
      <c r="B807" s="4" t="str">
        <f>IF($J$26="Y","---&gt;","...")</f>
        <v>...</v>
      </c>
      <c r="C807" s="1" t="str">
        <f>IF($J$26="Y",'Population Definitions'!$B$10,"...")</f>
        <v>...</v>
      </c>
      <c r="E807" s="2"/>
      <c r="F807" s="3"/>
      <c r="G807" s="2"/>
      <c r="H807" s="4" t="str">
        <f>IF($J$26="Y","OR","...")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>
      <c r="A808" s="1" t="str">
        <f>IF($K$26="Y",'Population Definitions'!$B$23,"...")</f>
        <v>...</v>
      </c>
      <c r="B808" s="4" t="str">
        <f>IF($K$26="Y","---&gt;","...")</f>
        <v>...</v>
      </c>
      <c r="C808" s="1" t="str">
        <f>IF($K$26="Y",'Population Definitions'!$B$11,"...")</f>
        <v>...</v>
      </c>
      <c r="E808" s="2"/>
      <c r="F808" s="3"/>
      <c r="G808" s="2"/>
      <c r="H808" s="4" t="str">
        <f>IF($K$26="Y","OR","...")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>
      <c r="A809" s="1" t="str">
        <f>IF($L$26="Y",'Population Definitions'!$B$23,"...")</f>
        <v>...</v>
      </c>
      <c r="B809" s="4" t="str">
        <f>IF($L$26="Y","---&gt;","...")</f>
        <v>...</v>
      </c>
      <c r="C809" s="1" t="str">
        <f>IF($L$26="Y",'Population Definitions'!$B$12,"...")</f>
        <v>...</v>
      </c>
      <c r="E809" s="2"/>
      <c r="F809" s="3"/>
      <c r="G809" s="2"/>
      <c r="H809" s="4" t="str">
        <f>IF($L$26="Y","OR","...")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>
      <c r="A810" s="1" t="str">
        <f>IF($M$26="Y",'Population Definitions'!$B$23,"...")</f>
        <v>...</v>
      </c>
      <c r="B810" s="4" t="str">
        <f>IF($M$26="Y","---&gt;","...")</f>
        <v>...</v>
      </c>
      <c r="C810" s="1" t="str">
        <f>IF($M$26="Y",'Population Definitions'!$B$13,"...")</f>
        <v>...</v>
      </c>
      <c r="E810" s="2"/>
      <c r="F810" s="3"/>
      <c r="G810" s="2"/>
      <c r="H810" s="4" t="str">
        <f>IF($M$26="Y","OR","...")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>
      <c r="A811" s="1" t="str">
        <f>IF($N$26="Y",'Population Definitions'!$B$23,"...")</f>
        <v>...</v>
      </c>
      <c r="B811" s="4" t="str">
        <f>IF($N$26="Y","---&gt;","...")</f>
        <v>...</v>
      </c>
      <c r="C811" s="1" t="str">
        <f>IF($N$26="Y",'Population Definitions'!$B$14,"...")</f>
        <v>...</v>
      </c>
      <c r="E811" s="2"/>
      <c r="F811" s="3"/>
      <c r="G811" s="2"/>
      <c r="H811" s="4" t="str">
        <f>IF($N$26="Y","OR","...")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>
      <c r="A812" s="1" t="str">
        <f>IF($O$26="Y",'Population Definitions'!$B$23,"...")</f>
        <v>...</v>
      </c>
      <c r="B812" s="4" t="str">
        <f>IF($O$26="Y","---&gt;","...")</f>
        <v>...</v>
      </c>
      <c r="C812" s="1" t="str">
        <f>IF($O$26="Y",'Population Definitions'!$B$15,"...")</f>
        <v>...</v>
      </c>
      <c r="E812" s="2"/>
      <c r="F812" s="3"/>
      <c r="G812" s="2"/>
      <c r="H812" s="4" t="str">
        <f>IF($O$26="Y","OR","...")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>
      <c r="A813" s="1" t="str">
        <f>IF($P$26="Y",'Population Definitions'!$B$23,"...")</f>
        <v>...</v>
      </c>
      <c r="B813" s="4" t="str">
        <f>IF($P$26="Y","---&gt;","...")</f>
        <v>...</v>
      </c>
      <c r="C813" s="1" t="str">
        <f>IF($P$26="Y",'Population Definitions'!$B$16,"...")</f>
        <v>...</v>
      </c>
      <c r="E813" s="2"/>
      <c r="F813" s="3"/>
      <c r="G813" s="2"/>
      <c r="H813" s="4" t="str">
        <f>IF($P$26="Y","OR","...")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>
      <c r="A814" s="1" t="str">
        <f>IF($Q$26="Y",'Population Definitions'!$B$23,"...")</f>
        <v>...</v>
      </c>
      <c r="B814" s="4" t="str">
        <f>IF($Q$26="Y","---&gt;","...")</f>
        <v>...</v>
      </c>
      <c r="C814" s="1" t="str">
        <f>IF($Q$26="Y",'Population Definitions'!$B$17,"...")</f>
        <v>...</v>
      </c>
      <c r="E814" s="2"/>
      <c r="F814" s="3"/>
      <c r="G814" s="2"/>
      <c r="H814" s="4" t="str">
        <f>IF($Q$26="Y","OR","...")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>
      <c r="A815" s="1" t="str">
        <f>IF($R$26="Y",'Population Definitions'!$B$23,"...")</f>
        <v>...</v>
      </c>
      <c r="B815" s="4" t="str">
        <f>IF($R$26="Y","---&gt;","...")</f>
        <v>...</v>
      </c>
      <c r="C815" s="1" t="str">
        <f>IF($R$26="Y",'Population Definitions'!$B$18,"...")</f>
        <v>...</v>
      </c>
      <c r="E815" s="2"/>
      <c r="F815" s="3"/>
      <c r="G815" s="2"/>
      <c r="H815" s="4" t="str">
        <f>IF($R$26="Y","OR","...")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>
      <c r="A816" s="1" t="str">
        <f>IF($S$26="Y",'Population Definitions'!$B$23,"...")</f>
        <v>...</v>
      </c>
      <c r="B816" s="4" t="str">
        <f>IF($S$26="Y","---&gt;","...")</f>
        <v>...</v>
      </c>
      <c r="C816" s="1" t="str">
        <f>IF($S$26="Y",'Population Definitions'!$B$19,"...")</f>
        <v>...</v>
      </c>
      <c r="E816" s="2"/>
      <c r="F816" s="3"/>
      <c r="G816" s="2"/>
      <c r="H816" s="4" t="str">
        <f>IF($S$26="Y","OR","...")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>
      <c r="A817" s="1" t="str">
        <f>IF($T$26="Y",'Population Definitions'!$B$23,"...")</f>
        <v>...</v>
      </c>
      <c r="B817" s="4" t="str">
        <f>IF($T$26="Y","---&gt;","...")</f>
        <v>...</v>
      </c>
      <c r="C817" s="1" t="str">
        <f>IF($T$26="Y",'Population Definitions'!$B$20,"...")</f>
        <v>...</v>
      </c>
      <c r="E817" s="2"/>
      <c r="F817" s="3"/>
      <c r="G817" s="2"/>
      <c r="H817" s="4" t="str">
        <f>IF($T$26="Y","OR","...")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>
      <c r="A818" s="1" t="str">
        <f>IF($U$26="Y",'Population Definitions'!$B$23,"...")</f>
        <v>...</v>
      </c>
      <c r="B818" s="4" t="str">
        <f>IF($U$26="Y","---&gt;","...")</f>
        <v>...</v>
      </c>
      <c r="C818" s="1" t="str">
        <f>IF($U$26="Y",'Population Definitions'!$B$21,"...")</f>
        <v>...</v>
      </c>
      <c r="E818" s="2"/>
      <c r="F818" s="3"/>
      <c r="G818" s="2"/>
      <c r="H818" s="4" t="str">
        <f>IF($U$26="Y","OR","...")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>
      <c r="A819" s="1" t="str">
        <f>IF($V$26="Y",'Population Definitions'!$B$23,"...")</f>
        <v>...</v>
      </c>
      <c r="B819" s="4" t="str">
        <f>IF($V$26="Y","---&gt;","...")</f>
        <v>...</v>
      </c>
      <c r="C819" s="1" t="str">
        <f>IF($V$26="Y",'Population Definitions'!$B$22,"...")</f>
        <v>...</v>
      </c>
      <c r="E819" s="2"/>
      <c r="F819" s="3"/>
      <c r="G819" s="2"/>
      <c r="H819" s="4" t="str">
        <f>IF($V$26="Y","OR","...")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>
      <c r="A820" s="1" t="str">
        <f>IF($W$26="Y",'Population Definitions'!$B$23,"...")</f>
        <v>...</v>
      </c>
      <c r="B820" s="4" t="str">
        <f>IF($W$26="Y","---&gt;","...")</f>
        <v>...</v>
      </c>
      <c r="C820" s="1" t="str">
        <f>IF($W$26="Y",'Population Definitions'!$B$23,"...")</f>
        <v>...</v>
      </c>
      <c r="E820" s="2"/>
      <c r="F820" s="3"/>
      <c r="G820" s="2"/>
      <c r="H820" s="4" t="str">
        <f>IF($W$26="Y","OR","...")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>
      <c r="A821" s="1" t="str">
        <f>IF($X$26="Y",'Population Definitions'!$B$23,"...")</f>
        <v>30-49F_oth</v>
      </c>
      <c r="B821" s="4" t="str">
        <f>IF($X$26="Y","---&gt;","...")</f>
        <v>---&gt;</v>
      </c>
      <c r="C821" s="1" t="str">
        <f>IF($X$26="Y",'Population Definitions'!$B$24,"...")</f>
        <v>50-64F_oth</v>
      </c>
      <c r="E821" s="3" t="s">
        <v>63</v>
      </c>
      <c r="F821" s="3"/>
      <c r="G821" s="3"/>
      <c r="H821" s="4" t="str">
        <f>IF($X$26="Y","OR","...")</f>
        <v>OR</v>
      </c>
      <c r="I821" s="3">
        <v>0.0436999639379733</v>
      </c>
      <c r="J821" s="3">
        <v>0.0381447690532423</v>
      </c>
      <c r="K821" s="3">
        <v>0.0368809915391494</v>
      </c>
      <c r="L821" s="3">
        <v>0.0354527276766779</v>
      </c>
      <c r="M821" s="3">
        <v>0.0346153789536337</v>
      </c>
      <c r="N821" s="3">
        <v>0.0369979568377813</v>
      </c>
      <c r="O821" s="3">
        <v>0.0361709233755396</v>
      </c>
      <c r="P821" s="3">
        <v>0.0356820064604667</v>
      </c>
      <c r="Q821" s="3">
        <v>0.0355564500319273</v>
      </c>
      <c r="R821" s="3">
        <v>0.0349715570564185</v>
      </c>
      <c r="S821" s="3">
        <v>0.0364126792094017</v>
      </c>
      <c r="T821" s="3">
        <v>0.0358975173657308</v>
      </c>
      <c r="U821" s="3">
        <v>0.0351376131146321</v>
      </c>
      <c r="V821" s="3">
        <v>0.0384005453583431</v>
      </c>
      <c r="W821" s="3">
        <v>0.0395451816943807</v>
      </c>
      <c r="X821" s="3">
        <v>0.0399086226605797</v>
      </c>
      <c r="Y821" s="3">
        <v>0.0465586663247284</v>
      </c>
      <c r="Z821" s="3">
        <v>0.0454323774338966</v>
      </c>
      <c r="AA821" s="3">
        <v>0.0447089621573232</v>
      </c>
      <c r="AB821" s="3">
        <v>0.0456047039391255</v>
      </c>
      <c r="AC821" s="3">
        <v>0.0461257069517461</v>
      </c>
      <c r="AD821" s="3">
        <v>0.0452551392919267</v>
      </c>
      <c r="AE821" s="3">
        <v>0.0456936667520841</v>
      </c>
      <c r="AF821" s="3">
        <v>0.0455792353417995</v>
      </c>
      <c r="AG821" s="3">
        <v>0.0464053742078169</v>
      </c>
      <c r="AH821" s="3">
        <v>0.0472087284227664</v>
      </c>
      <c r="AI821" s="3">
        <v>0.0475697148389631</v>
      </c>
      <c r="AJ821" s="3">
        <v>0.0483037452263733</v>
      </c>
      <c r="AK821" s="3">
        <v>0.0489075478748004</v>
      </c>
      <c r="AL821" s="3">
        <v>0.049553560598832</v>
      </c>
      <c r="AM821" s="3">
        <v>0.0507717583499419</v>
      </c>
      <c r="AN821" s="3">
        <v>0.0505116292117996</v>
      </c>
      <c r="AO821" s="3">
        <v>0.0502496028007707</v>
      </c>
      <c r="AP821" s="3">
        <v>0.0492111359449421</v>
      </c>
      <c r="AQ821" s="3">
        <v>0.0472940363694751</v>
      </c>
      <c r="AR821" s="3">
        <v>0.0466224100389205</v>
      </c>
      <c r="AS821" s="3">
        <v>0.0460168152214454</v>
      </c>
      <c r="AT821" s="3">
        <v>0.0464769426019745</v>
      </c>
      <c r="AU821" s="3">
        <v>0.0474314436810693</v>
      </c>
      <c r="AV821" s="3">
        <v>0.047307917193336</v>
      </c>
      <c r="AW821" s="3">
        <v>0.0501170697038776</v>
      </c>
      <c r="AX821" s="3">
        <v>0.0492668301225919</v>
      </c>
      <c r="AY821" s="3">
        <v>0.0469494352922833</v>
      </c>
      <c r="AZ821" s="3">
        <v>0.045218093448656</v>
      </c>
      <c r="BA821" s="3">
        <v>0.0439142045888512</v>
      </c>
      <c r="BB821" s="3">
        <v>0.0428590630559399</v>
      </c>
      <c r="BC821" s="3">
        <v>0.0426593296591213</v>
      </c>
      <c r="BD821" s="3">
        <v>0.0426434098967323</v>
      </c>
      <c r="BE821" s="3">
        <v>0.0434850077450064</v>
      </c>
      <c r="BF821" s="3">
        <v>0.044095020893576</v>
      </c>
      <c r="BG821" s="3">
        <v>0.0458589495470164</v>
      </c>
      <c r="BH821" s="3">
        <v>0.0467997223424947</v>
      </c>
      <c r="BI821" s="3">
        <v>0.0483474299172073</v>
      </c>
      <c r="BJ821" s="3">
        <v>0.0487223236550017</v>
      </c>
      <c r="BK821" s="3">
        <v>0.0494113221305067</v>
      </c>
      <c r="BL821" s="3">
        <v>0.049722128035129</v>
      </c>
      <c r="BM821" s="3">
        <v>0.0497557594876207</v>
      </c>
      <c r="BN821" s="3">
        <v>0.0501235389215221</v>
      </c>
      <c r="BO821" s="3">
        <v>0.0504544740302069</v>
      </c>
      <c r="BP821" s="3">
        <v>0.0512087079125791</v>
      </c>
      <c r="BQ821" s="3">
        <v>0.0513220953271589</v>
      </c>
      <c r="BR821" s="3">
        <v>0.050713920795482</v>
      </c>
      <c r="BS821" s="3">
        <v>0.0504583987108558</v>
      </c>
      <c r="BT821" s="3">
        <v>0.0501754512896574</v>
      </c>
      <c r="BU821" s="3">
        <v>0.0500276405867637</v>
      </c>
      <c r="BV821" s="3">
        <v>0.0489620379543448</v>
      </c>
      <c r="BW821" s="3">
        <v>0.0480054773660403</v>
      </c>
      <c r="BX821" s="3">
        <v>0.047021188895724</v>
      </c>
      <c r="BY821" s="3">
        <v>0.0469501996109463</v>
      </c>
      <c r="BZ821" s="3">
        <v>0.0476964770843181</v>
      </c>
      <c r="CA821" s="3">
        <v>0.0473711939798399</v>
      </c>
      <c r="CB821" s="3">
        <v>0.0465220850799142</v>
      </c>
      <c r="CC821" s="3">
        <v>0.046871676414767</v>
      </c>
      <c r="CD821" s="3">
        <v>0.0477628201179257</v>
      </c>
      <c r="CE821" s="3">
        <v>0.0485566597635502</v>
      </c>
      <c r="CF821" s="3">
        <v>0.0496938951418631</v>
      </c>
      <c r="CG821" s="3">
        <v>0.0508163225294448</v>
      </c>
      <c r="CH821" s="3">
        <v>0.0512911656771572</v>
      </c>
      <c r="CI821" s="3">
        <v>0.0512496344310151</v>
      </c>
      <c r="CJ821" s="3">
        <v>0.0516985340588731</v>
      </c>
      <c r="CK821" s="3">
        <v>0.051344350668591</v>
      </c>
      <c r="CL821" s="3">
        <v>0.0516675628293504</v>
      </c>
      <c r="CM821" s="3">
        <v>0.0516874025075529</v>
      </c>
      <c r="CN821" s="3">
        <v>0.0515671970128494</v>
      </c>
      <c r="CO821" s="3">
        <v>0.0513176493437829</v>
      </c>
      <c r="CP821" s="3">
        <v>0.0518210489586704</v>
      </c>
      <c r="CQ821" s="3">
        <v>0.0511282683503775</v>
      </c>
      <c r="CR821" s="3">
        <v>0.0506813423697798</v>
      </c>
      <c r="CS821" s="3">
        <v>0.0505406474845804</v>
      </c>
      <c r="CT821" s="3">
        <v>0.0501143768058601</v>
      </c>
      <c r="CU821" s="3">
        <v>0.0504314818201854</v>
      </c>
      <c r="CV821" s="3">
        <v>0.0511261930697344</v>
      </c>
    </row>
    <row r="822" spans="1:100">
      <c r="A822" s="1" t="str">
        <f>IF($Y$26="Y",'Population Definitions'!$B$23,"...")</f>
        <v>...</v>
      </c>
      <c r="B822" s="4" t="str">
        <f>IF($Y$26="Y","---&gt;","...")</f>
        <v>...</v>
      </c>
      <c r="C822" s="1" t="str">
        <f>IF($Y$26="Y",'Population Definitions'!$B$25,"...")</f>
        <v>...</v>
      </c>
      <c r="E822" s="2"/>
      <c r="F822" s="3"/>
      <c r="G822" s="2"/>
      <c r="H822" s="4" t="str">
        <f>IF($Y$26="Y","OR","...")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>
      <c r="A823" s="1" t="str">
        <f>IF($Z$26="Y",'Population Definitions'!$B$23,"...")</f>
        <v>...</v>
      </c>
      <c r="B823" s="4" t="str">
        <f>IF($Z$26="Y","---&gt;","...")</f>
        <v>...</v>
      </c>
      <c r="C823" s="1" t="str">
        <f>IF($Z$26="Y",'Population Definitions'!$B$26,"...")</f>
        <v>...</v>
      </c>
      <c r="E823" s="2"/>
      <c r="F823" s="3"/>
      <c r="G823" s="2"/>
      <c r="H823" s="4" t="str">
        <f>IF($Z$26="Y","OR","...")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>
      <c r="A824" s="1" t="str">
        <f>IF($AA$26="Y",'Population Definitions'!$B$23,"...")</f>
        <v>...</v>
      </c>
      <c r="B824" s="4" t="str">
        <f>IF($AA$26="Y","---&gt;","...")</f>
        <v>...</v>
      </c>
      <c r="C824" s="1" t="str">
        <f>IF($AA$26="Y",'Population Definitions'!$B$27,"...")</f>
        <v>...</v>
      </c>
      <c r="E824" s="2"/>
      <c r="F824" s="3"/>
      <c r="G824" s="2"/>
      <c r="H824" s="4" t="str">
        <f>IF($AA$26="Y","OR","...")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>
      <c r="A825" s="1" t="str">
        <f>IF($AB$26="Y",'Population Definitions'!$B$23,"...")</f>
        <v>...</v>
      </c>
      <c r="B825" s="4" t="str">
        <f>IF($AB$26="Y","---&gt;","...")</f>
        <v>...</v>
      </c>
      <c r="C825" s="1" t="str">
        <f>IF($AB$26="Y",'Population Definitions'!$B$28,"...")</f>
        <v>...</v>
      </c>
      <c r="E825" s="2"/>
      <c r="F825" s="3"/>
      <c r="G825" s="2"/>
      <c r="H825" s="4" t="str">
        <f>IF($AB$26="Y","OR","...")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>
      <c r="A826" s="1" t="str">
        <f>IF($AC$26="Y",'Population Definitions'!$B$23,"...")</f>
        <v>...</v>
      </c>
      <c r="B826" s="4" t="str">
        <f>IF($AC$26="Y","---&gt;","...")</f>
        <v>...</v>
      </c>
      <c r="C826" s="1" t="str">
        <f>IF($AC$26="Y",'Population Definitions'!$B$29,"...")</f>
        <v>...</v>
      </c>
      <c r="E826" s="2"/>
      <c r="F826" s="3"/>
      <c r="G826" s="2"/>
      <c r="H826" s="4" t="str">
        <f>IF($AC$26="Y","OR","...")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>
      <c r="A827" s="1" t="str">
        <f>IF($AD$26="Y",'Population Definitions'!$B$23,"...")</f>
        <v>...</v>
      </c>
      <c r="B827" s="4" t="str">
        <f>IF($AD$26="Y","---&gt;","...")</f>
        <v>...</v>
      </c>
      <c r="C827" s="1" t="str">
        <f>IF($AD$26="Y",'Population Definitions'!$B$30,"...")</f>
        <v>...</v>
      </c>
      <c r="E827" s="2"/>
      <c r="F827" s="3"/>
      <c r="G827" s="2"/>
      <c r="H827" s="4" t="str">
        <f>IF($AD$26="Y","OR","...")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>
      <c r="A828" s="1" t="str">
        <f>IF($AE$26="Y",'Population Definitions'!$B$23,"...")</f>
        <v>...</v>
      </c>
      <c r="B828" s="4" t="str">
        <f>IF($AE$26="Y","---&gt;","...")</f>
        <v>...</v>
      </c>
      <c r="C828" s="1" t="str">
        <f>IF($AE$26="Y",'Population Definitions'!$B$31,"...")</f>
        <v>...</v>
      </c>
      <c r="E828" s="2"/>
      <c r="F828" s="3"/>
      <c r="G828" s="2"/>
      <c r="H828" s="4" t="str">
        <f>IF($AE$26="Y","OR","...")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>
      <c r="A829" s="1" t="str">
        <f>IF($AF$26="Y",'Population Definitions'!$B$23,"...")</f>
        <v>...</v>
      </c>
      <c r="B829" s="4" t="str">
        <f>IF($AF$26="Y","---&gt;","...")</f>
        <v>...</v>
      </c>
      <c r="C829" s="1" t="str">
        <f>IF($AF$26="Y",'Population Definitions'!$B$32,"...")</f>
        <v>...</v>
      </c>
      <c r="E829" s="2"/>
      <c r="F829" s="3"/>
      <c r="G829" s="2"/>
      <c r="H829" s="4" t="str">
        <f>IF($AF$26="Y","OR","...")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>
      <c r="A830" s="1" t="str">
        <f>IF($AG$26="Y",'Population Definitions'!$B$23,"...")</f>
        <v>...</v>
      </c>
      <c r="B830" s="4" t="str">
        <f>IF($AG$26="Y","---&gt;","...")</f>
        <v>...</v>
      </c>
      <c r="C830" s="1" t="str">
        <f>IF($AG$26="Y",'Population Definitions'!$B$33,"...")</f>
        <v>...</v>
      </c>
      <c r="E830" s="2"/>
      <c r="F830" s="3"/>
      <c r="G830" s="2"/>
      <c r="H830" s="4" t="str">
        <f>IF($AG$26="Y","OR","...")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>
      <c r="A831" s="1" t="str">
        <f>IF($AH$26="Y",'Population Definitions'!$B$23,"...")</f>
        <v>...</v>
      </c>
      <c r="B831" s="4" t="str">
        <f>IF($AH$26="Y","---&gt;","...")</f>
        <v>...</v>
      </c>
      <c r="C831" s="1" t="str">
        <f>IF($AH$26="Y",'Population Definitions'!$B$34,"...")</f>
        <v>...</v>
      </c>
      <c r="E831" s="2"/>
      <c r="F831" s="3"/>
      <c r="G831" s="2"/>
      <c r="H831" s="4" t="str">
        <f>IF($AH$26="Y","OR","...")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>
      <c r="A832" s="1" t="str">
        <f>IF($AI$26="Y",'Population Definitions'!$B$23,"...")</f>
        <v>...</v>
      </c>
      <c r="B832" s="4" t="str">
        <f>IF($AI$26="Y","---&gt;","...")</f>
        <v>...</v>
      </c>
      <c r="C832" s="1" t="str">
        <f>IF($AI$26="Y",'Population Definitions'!$B$35,"...")</f>
        <v>...</v>
      </c>
      <c r="E832" s="2"/>
      <c r="F832" s="3"/>
      <c r="G832" s="2"/>
      <c r="H832" s="4" t="str">
        <f>IF($AI$26="Y","OR","...")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>
      <c r="A833" s="1" t="str">
        <f>IF($AJ$26="Y",'Population Definitions'!$B$23,"...")</f>
        <v>...</v>
      </c>
      <c r="B833" s="4" t="str">
        <f>IF($AJ$26="Y","---&gt;","...")</f>
        <v>...</v>
      </c>
      <c r="C833" s="1" t="str">
        <f>IF($AJ$26="Y",'Population Definitions'!$B$36,"...")</f>
        <v>...</v>
      </c>
      <c r="E833" s="2"/>
      <c r="F833" s="3"/>
      <c r="G833" s="2"/>
      <c r="H833" s="4" t="str">
        <f>IF($AJ$26="Y","OR","...")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>
      <c r="A834" s="1" t="str">
        <f>IF($AK$26="Y",'Population Definitions'!$B$23,"...")</f>
        <v>...</v>
      </c>
      <c r="B834" s="4" t="str">
        <f>IF($AK$26="Y","---&gt;","...")</f>
        <v>...</v>
      </c>
      <c r="C834" s="1" t="str">
        <f>IF($AK$26="Y",'Population Definitions'!$B$37,"...")</f>
        <v>...</v>
      </c>
      <c r="E834" s="2"/>
      <c r="F834" s="3"/>
      <c r="G834" s="2"/>
      <c r="H834" s="4" t="str">
        <f>IF($AK$26="Y","OR","...")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>
      <c r="A835" s="1" t="str">
        <f>IF($B$27="Y",'Population Definitions'!$B$24,"...")</f>
        <v>...</v>
      </c>
      <c r="B835" s="4" t="str">
        <f>IF($B$27="Y","---&gt;","...")</f>
        <v>...</v>
      </c>
      <c r="C835" s="1" t="str">
        <f>IF($B$27="Y",'Population Definitions'!$B$2,"...")</f>
        <v>...</v>
      </c>
      <c r="E835" s="2"/>
      <c r="F835" s="3"/>
      <c r="G835" s="2"/>
      <c r="H835" s="4" t="str">
        <f>IF($B$27="Y","OR","...")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>
      <c r="A836" s="1" t="str">
        <f>IF($C$27="Y",'Population Definitions'!$B$24,"...")</f>
        <v>...</v>
      </c>
      <c r="B836" s="4" t="str">
        <f>IF($C$27="Y","---&gt;","...")</f>
        <v>...</v>
      </c>
      <c r="C836" s="1" t="str">
        <f>IF($C$27="Y",'Population Definitions'!$B$3,"...")</f>
        <v>...</v>
      </c>
      <c r="E836" s="2"/>
      <c r="F836" s="3"/>
      <c r="G836" s="2"/>
      <c r="H836" s="4" t="str">
        <f>IF($C$27="Y","OR","...")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>
      <c r="A837" s="1" t="str">
        <f>IF($D$27="Y",'Population Definitions'!$B$24,"...")</f>
        <v>...</v>
      </c>
      <c r="B837" s="4" t="str">
        <f>IF($D$27="Y","---&gt;","...")</f>
        <v>...</v>
      </c>
      <c r="C837" s="1" t="str">
        <f>IF($D$27="Y",'Population Definitions'!$B$4,"...")</f>
        <v>...</v>
      </c>
      <c r="E837" s="2"/>
      <c r="F837" s="3"/>
      <c r="G837" s="2"/>
      <c r="H837" s="4" t="str">
        <f>IF($D$27="Y","OR","...")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>
      <c r="A838" s="1" t="str">
        <f>IF($E$27="Y",'Population Definitions'!$B$24,"...")</f>
        <v>...</v>
      </c>
      <c r="B838" s="4" t="str">
        <f>IF($E$27="Y","---&gt;","...")</f>
        <v>...</v>
      </c>
      <c r="C838" s="1" t="str">
        <f>IF($E$27="Y",'Population Definitions'!$B$5,"...")</f>
        <v>...</v>
      </c>
      <c r="E838" s="2"/>
      <c r="F838" s="3"/>
      <c r="G838" s="2"/>
      <c r="H838" s="4" t="str">
        <f>IF($E$27="Y","OR","...")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>
      <c r="A839" s="1" t="str">
        <f>IF($F$27="Y",'Population Definitions'!$B$24,"...")</f>
        <v>...</v>
      </c>
      <c r="B839" s="4" t="str">
        <f>IF($F$27="Y","---&gt;","...")</f>
        <v>...</v>
      </c>
      <c r="C839" s="1" t="str">
        <f>IF($F$27="Y",'Population Definitions'!$B$6,"...")</f>
        <v>...</v>
      </c>
      <c r="E839" s="2"/>
      <c r="F839" s="3"/>
      <c r="G839" s="2"/>
      <c r="H839" s="4" t="str">
        <f>IF($F$27="Y","OR","...")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>
      <c r="A840" s="1" t="str">
        <f>IF($G$27="Y",'Population Definitions'!$B$24,"...")</f>
        <v>...</v>
      </c>
      <c r="B840" s="4" t="str">
        <f>IF($G$27="Y","---&gt;","...")</f>
        <v>...</v>
      </c>
      <c r="C840" s="1" t="str">
        <f>IF($G$27="Y",'Population Definitions'!$B$7,"...")</f>
        <v>...</v>
      </c>
      <c r="E840" s="2"/>
      <c r="F840" s="3"/>
      <c r="G840" s="2"/>
      <c r="H840" s="4" t="str">
        <f>IF($G$27="Y","OR","...")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>
      <c r="A841" s="1" t="str">
        <f>IF($H$27="Y",'Population Definitions'!$B$24,"...")</f>
        <v>...</v>
      </c>
      <c r="B841" s="4" t="str">
        <f>IF($H$27="Y","---&gt;","...")</f>
        <v>...</v>
      </c>
      <c r="C841" s="1" t="str">
        <f>IF($H$27="Y",'Population Definitions'!$B$8,"...")</f>
        <v>...</v>
      </c>
      <c r="E841" s="2"/>
      <c r="F841" s="3"/>
      <c r="G841" s="2"/>
      <c r="H841" s="4" t="str">
        <f>IF($H$27="Y","OR","...")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>
      <c r="A842" s="1" t="str">
        <f>IF($I$27="Y",'Population Definitions'!$B$24,"...")</f>
        <v>...</v>
      </c>
      <c r="B842" s="4" t="str">
        <f>IF($I$27="Y","---&gt;","...")</f>
        <v>...</v>
      </c>
      <c r="C842" s="1" t="str">
        <f>IF($I$27="Y",'Population Definitions'!$B$9,"...")</f>
        <v>...</v>
      </c>
      <c r="E842" s="2"/>
      <c r="F842" s="3"/>
      <c r="G842" s="2"/>
      <c r="H842" s="4" t="str">
        <f>IF($I$27="Y","OR","...")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>
      <c r="A843" s="1" t="str">
        <f>IF($J$27="Y",'Population Definitions'!$B$24,"...")</f>
        <v>...</v>
      </c>
      <c r="B843" s="4" t="str">
        <f>IF($J$27="Y","---&gt;","...")</f>
        <v>...</v>
      </c>
      <c r="C843" s="1" t="str">
        <f>IF($J$27="Y",'Population Definitions'!$B$10,"...")</f>
        <v>...</v>
      </c>
      <c r="E843" s="2"/>
      <c r="F843" s="3"/>
      <c r="G843" s="2"/>
      <c r="H843" s="4" t="str">
        <f>IF($J$27="Y","OR","...")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>
      <c r="A844" s="1" t="str">
        <f>IF($K$27="Y",'Population Definitions'!$B$24,"...")</f>
        <v>...</v>
      </c>
      <c r="B844" s="4" t="str">
        <f>IF($K$27="Y","---&gt;","...")</f>
        <v>...</v>
      </c>
      <c r="C844" s="1" t="str">
        <f>IF($K$27="Y",'Population Definitions'!$B$11,"...")</f>
        <v>...</v>
      </c>
      <c r="E844" s="2"/>
      <c r="F844" s="3"/>
      <c r="G844" s="2"/>
      <c r="H844" s="4" t="str">
        <f>IF($K$27="Y","OR","...")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>
      <c r="A845" s="1" t="str">
        <f>IF($L$27="Y",'Population Definitions'!$B$24,"...")</f>
        <v>...</v>
      </c>
      <c r="B845" s="4" t="str">
        <f>IF($L$27="Y","---&gt;","...")</f>
        <v>...</v>
      </c>
      <c r="C845" s="1" t="str">
        <f>IF($L$27="Y",'Population Definitions'!$B$12,"...")</f>
        <v>...</v>
      </c>
      <c r="E845" s="2"/>
      <c r="F845" s="3"/>
      <c r="G845" s="2"/>
      <c r="H845" s="4" t="str">
        <f>IF($L$27="Y","OR","...")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>
      <c r="A846" s="1" t="str">
        <f>IF($M$27="Y",'Population Definitions'!$B$24,"...")</f>
        <v>...</v>
      </c>
      <c r="B846" s="4" t="str">
        <f>IF($M$27="Y","---&gt;","...")</f>
        <v>...</v>
      </c>
      <c r="C846" s="1" t="str">
        <f>IF($M$27="Y",'Population Definitions'!$B$13,"...")</f>
        <v>...</v>
      </c>
      <c r="E846" s="2"/>
      <c r="F846" s="3"/>
      <c r="G846" s="2"/>
      <c r="H846" s="4" t="str">
        <f>IF($M$27="Y","OR","...")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>
      <c r="A847" s="1" t="str">
        <f>IF($N$27="Y",'Population Definitions'!$B$24,"...")</f>
        <v>...</v>
      </c>
      <c r="B847" s="4" t="str">
        <f>IF($N$27="Y","---&gt;","...")</f>
        <v>...</v>
      </c>
      <c r="C847" s="1" t="str">
        <f>IF($N$27="Y",'Population Definitions'!$B$14,"...")</f>
        <v>...</v>
      </c>
      <c r="E847" s="2"/>
      <c r="F847" s="3"/>
      <c r="G847" s="2"/>
      <c r="H847" s="4" t="str">
        <f>IF($N$27="Y","OR","...")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>
      <c r="A848" s="1" t="str">
        <f>IF($O$27="Y",'Population Definitions'!$B$24,"...")</f>
        <v>...</v>
      </c>
      <c r="B848" s="4" t="str">
        <f>IF($O$27="Y","---&gt;","...")</f>
        <v>...</v>
      </c>
      <c r="C848" s="1" t="str">
        <f>IF($O$27="Y",'Population Definitions'!$B$15,"...")</f>
        <v>...</v>
      </c>
      <c r="E848" s="2"/>
      <c r="F848" s="3"/>
      <c r="G848" s="2"/>
      <c r="H848" s="4" t="str">
        <f>IF($O$27="Y","OR","...")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>
      <c r="A849" s="1" t="str">
        <f>IF($P$27="Y",'Population Definitions'!$B$24,"...")</f>
        <v>...</v>
      </c>
      <c r="B849" s="4" t="str">
        <f>IF($P$27="Y","---&gt;","...")</f>
        <v>...</v>
      </c>
      <c r="C849" s="1" t="str">
        <f>IF($P$27="Y",'Population Definitions'!$B$16,"...")</f>
        <v>...</v>
      </c>
      <c r="E849" s="2"/>
      <c r="F849" s="3"/>
      <c r="G849" s="2"/>
      <c r="H849" s="4" t="str">
        <f>IF($P$27="Y","OR","...")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>
      <c r="A850" s="1" t="str">
        <f>IF($Q$27="Y",'Population Definitions'!$B$24,"...")</f>
        <v>...</v>
      </c>
      <c r="B850" s="4" t="str">
        <f>IF($Q$27="Y","---&gt;","...")</f>
        <v>...</v>
      </c>
      <c r="C850" s="1" t="str">
        <f>IF($Q$27="Y",'Population Definitions'!$B$17,"...")</f>
        <v>...</v>
      </c>
      <c r="E850" s="2"/>
      <c r="F850" s="3"/>
      <c r="G850" s="2"/>
      <c r="H850" s="4" t="str">
        <f>IF($Q$27="Y","OR","...")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>
      <c r="A851" s="1" t="str">
        <f>IF($R$27="Y",'Population Definitions'!$B$24,"...")</f>
        <v>...</v>
      </c>
      <c r="B851" s="4" t="str">
        <f>IF($R$27="Y","---&gt;","...")</f>
        <v>...</v>
      </c>
      <c r="C851" s="1" t="str">
        <f>IF($R$27="Y",'Population Definitions'!$B$18,"...")</f>
        <v>...</v>
      </c>
      <c r="E851" s="2"/>
      <c r="F851" s="3"/>
      <c r="G851" s="2"/>
      <c r="H851" s="4" t="str">
        <f>IF($R$27="Y","OR","...")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>
      <c r="A852" s="1" t="str">
        <f>IF($S$27="Y",'Population Definitions'!$B$24,"...")</f>
        <v>...</v>
      </c>
      <c r="B852" s="4" t="str">
        <f>IF($S$27="Y","---&gt;","...")</f>
        <v>...</v>
      </c>
      <c r="C852" s="1" t="str">
        <f>IF($S$27="Y",'Population Definitions'!$B$19,"...")</f>
        <v>...</v>
      </c>
      <c r="E852" s="2"/>
      <c r="F852" s="3"/>
      <c r="G852" s="2"/>
      <c r="H852" s="4" t="str">
        <f>IF($S$27="Y","OR","...")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>
      <c r="A853" s="1" t="str">
        <f>IF($T$27="Y",'Population Definitions'!$B$24,"...")</f>
        <v>...</v>
      </c>
      <c r="B853" s="4" t="str">
        <f>IF($T$27="Y","---&gt;","...")</f>
        <v>...</v>
      </c>
      <c r="C853" s="1" t="str">
        <f>IF($T$27="Y",'Population Definitions'!$B$20,"...")</f>
        <v>...</v>
      </c>
      <c r="E853" s="2"/>
      <c r="F853" s="3"/>
      <c r="G853" s="2"/>
      <c r="H853" s="4" t="str">
        <f>IF($T$27="Y","OR","...")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>
      <c r="A854" s="1" t="str">
        <f>IF($U$27="Y",'Population Definitions'!$B$24,"...")</f>
        <v>...</v>
      </c>
      <c r="B854" s="4" t="str">
        <f>IF($U$27="Y","---&gt;","...")</f>
        <v>...</v>
      </c>
      <c r="C854" s="1" t="str">
        <f>IF($U$27="Y",'Population Definitions'!$B$21,"...")</f>
        <v>...</v>
      </c>
      <c r="E854" s="2"/>
      <c r="F854" s="3"/>
      <c r="G854" s="2"/>
      <c r="H854" s="4" t="str">
        <f>IF($U$27="Y","OR","...")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>
      <c r="A855" s="1" t="str">
        <f>IF($V$27="Y",'Population Definitions'!$B$24,"...")</f>
        <v>...</v>
      </c>
      <c r="B855" s="4" t="str">
        <f>IF($V$27="Y","---&gt;","...")</f>
        <v>...</v>
      </c>
      <c r="C855" s="1" t="str">
        <f>IF($V$27="Y",'Population Definitions'!$B$22,"...")</f>
        <v>...</v>
      </c>
      <c r="E855" s="2"/>
      <c r="F855" s="3"/>
      <c r="G855" s="2"/>
      <c r="H855" s="4" t="str">
        <f>IF($V$27="Y","OR","...")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>
      <c r="A856" s="1" t="str">
        <f>IF($W$27="Y",'Population Definitions'!$B$24,"...")</f>
        <v>...</v>
      </c>
      <c r="B856" s="4" t="str">
        <f>IF($W$27="Y","---&gt;","...")</f>
        <v>...</v>
      </c>
      <c r="C856" s="1" t="str">
        <f>IF($W$27="Y",'Population Definitions'!$B$23,"...")</f>
        <v>...</v>
      </c>
      <c r="E856" s="2"/>
      <c r="F856" s="3"/>
      <c r="G856" s="2"/>
      <c r="H856" s="4" t="str">
        <f>IF($W$27="Y","OR","...")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>
      <c r="A857" s="1" t="str">
        <f>IF($X$27="Y",'Population Definitions'!$B$24,"...")</f>
        <v>...</v>
      </c>
      <c r="B857" s="4" t="str">
        <f>IF($X$27="Y","---&gt;","...")</f>
        <v>...</v>
      </c>
      <c r="C857" s="1" t="str">
        <f>IF($X$27="Y",'Population Definitions'!$B$24,"...")</f>
        <v>...</v>
      </c>
      <c r="E857" s="2"/>
      <c r="F857" s="3"/>
      <c r="G857" s="2"/>
      <c r="H857" s="4" t="str">
        <f>IF($X$27="Y","OR","...")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>
      <c r="A858" s="1" t="str">
        <f>IF($Y$27="Y",'Population Definitions'!$B$24,"...")</f>
        <v>50-64F_oth</v>
      </c>
      <c r="B858" s="4" t="str">
        <f>IF($Y$27="Y","---&gt;","...")</f>
        <v>---&gt;</v>
      </c>
      <c r="C858" s="1" t="str">
        <f>IF($Y$27="Y",'Population Definitions'!$B$25,"...")</f>
        <v>65+F_oth</v>
      </c>
      <c r="E858" s="3" t="s">
        <v>63</v>
      </c>
      <c r="F858" s="3"/>
      <c r="G858" s="3"/>
      <c r="H858" s="4" t="str">
        <f>IF($Y$27="Y","OR","...")</f>
        <v>OR</v>
      </c>
      <c r="I858" s="3">
        <v>0.0575411254592481</v>
      </c>
      <c r="J858" s="3">
        <v>0.0562937284976261</v>
      </c>
      <c r="K858" s="3">
        <v>0.0547869191382117</v>
      </c>
      <c r="L858" s="3">
        <v>0.0542545278927039</v>
      </c>
      <c r="M858" s="3">
        <v>0.0590228250258242</v>
      </c>
      <c r="N858" s="3">
        <v>0.066378424548154</v>
      </c>
      <c r="O858" s="3">
        <v>0.06525562915836659</v>
      </c>
      <c r="P858" s="3">
        <v>0.06524530418480071</v>
      </c>
      <c r="Q858" s="3">
        <v>0.0653038409470592</v>
      </c>
      <c r="R858" s="3">
        <v>0.06404703908919759</v>
      </c>
      <c r="S858" s="3">
        <v>0.0672238584202287</v>
      </c>
      <c r="T858" s="3">
        <v>0.063712607572057</v>
      </c>
      <c r="U858" s="3">
        <v>0.06380902237147699</v>
      </c>
      <c r="V858" s="3">
        <v>0.0620157097896136</v>
      </c>
      <c r="W858" s="3">
        <v>0.0599135320496796</v>
      </c>
      <c r="X858" s="3">
        <v>0.0606749415997659</v>
      </c>
      <c r="Y858" s="3">
        <v>0.0548718512429346</v>
      </c>
      <c r="Z858" s="3">
        <v>0.052948323737747</v>
      </c>
      <c r="AA858" s="3">
        <v>0.0505627197867726</v>
      </c>
      <c r="AB858" s="3">
        <v>0.0494033334244756</v>
      </c>
      <c r="AC858" s="3">
        <v>0.0503425802139037</v>
      </c>
      <c r="AD858" s="3">
        <v>0.0495758251124247</v>
      </c>
      <c r="AE858" s="3">
        <v>0.0490615958461216</v>
      </c>
      <c r="AF858" s="3">
        <v>0.0490544407725601</v>
      </c>
      <c r="AG858" s="3">
        <v>0.0484169858152046</v>
      </c>
      <c r="AH858" s="3">
        <v>0.0480744353185696</v>
      </c>
      <c r="AI858" s="3">
        <v>0.0491971077044117</v>
      </c>
      <c r="AJ858" s="3">
        <v>0.0486132552453196</v>
      </c>
      <c r="AK858" s="3">
        <v>0.0519787580503609</v>
      </c>
      <c r="AL858" s="3">
        <v>0.0528323556317103</v>
      </c>
      <c r="AM858" s="3">
        <v>0.0531452236206121</v>
      </c>
      <c r="AN858" s="3">
        <v>0.0611292692405203</v>
      </c>
      <c r="AO858" s="3">
        <v>0.0578255084511425</v>
      </c>
      <c r="AP858" s="3">
        <v>0.05637979669962</v>
      </c>
      <c r="AQ858" s="3">
        <v>0.0571418212985265</v>
      </c>
      <c r="AR858" s="3">
        <v>0.0576257996190553</v>
      </c>
      <c r="AS858" s="3">
        <v>0.0574486320782525</v>
      </c>
      <c r="AT858" s="3">
        <v>0.0585195652709442</v>
      </c>
      <c r="AU858" s="3">
        <v>0.0586783116075981</v>
      </c>
      <c r="AV858" s="3">
        <v>0.0593553129670759</v>
      </c>
      <c r="AW858" s="3">
        <v>0.0604313524511268</v>
      </c>
      <c r="AX858" s="3">
        <v>0.0607736328485874</v>
      </c>
      <c r="AY858" s="3">
        <v>0.0614049384216072</v>
      </c>
      <c r="AZ858" s="3">
        <v>0.0622727488391187</v>
      </c>
      <c r="BA858" s="3">
        <v>0.0633007286934852</v>
      </c>
      <c r="BB858" s="3">
        <v>0.06529456764407909</v>
      </c>
      <c r="BC858" s="3">
        <v>0.06571354054379221</v>
      </c>
      <c r="BD858" s="3">
        <v>0.066299984476933</v>
      </c>
      <c r="BE858" s="3">
        <v>0.0655311633713646</v>
      </c>
      <c r="BF858" s="3">
        <v>0.0636155923505197</v>
      </c>
      <c r="BG858" s="3">
        <v>0.0624559027564033</v>
      </c>
      <c r="BH858" s="3">
        <v>0.0620467217483178</v>
      </c>
      <c r="BI858" s="3">
        <v>0.062598271384026</v>
      </c>
      <c r="BJ858" s="3">
        <v>0.0642184375030741</v>
      </c>
      <c r="BK858" s="3">
        <v>0.06408219784634241</v>
      </c>
      <c r="BL858" s="3">
        <v>0.06756986135427651</v>
      </c>
      <c r="BM858" s="3">
        <v>0.0662472524689057</v>
      </c>
      <c r="BN858" s="3">
        <v>0.0632516530420731</v>
      </c>
      <c r="BO858" s="3">
        <v>0.0610912407968318</v>
      </c>
      <c r="BP858" s="3">
        <v>0.0593077696917135</v>
      </c>
      <c r="BQ858" s="3">
        <v>0.0577507807311705</v>
      </c>
      <c r="BR858" s="3">
        <v>0.0571845666820682</v>
      </c>
      <c r="BS858" s="3">
        <v>0.0568625253373827</v>
      </c>
      <c r="BT858" s="3">
        <v>0.0575719861158254</v>
      </c>
      <c r="BU858" s="3">
        <v>0.0580321503853818</v>
      </c>
      <c r="BV858" s="3">
        <v>0.0599790252626109</v>
      </c>
      <c r="BW858" s="3">
        <v>0.0610033198936557</v>
      </c>
      <c r="BX858" s="3">
        <v>0.0628025888498351</v>
      </c>
      <c r="BY858" s="3">
        <v>0.0632965788220525</v>
      </c>
      <c r="BZ858" s="3">
        <v>0.0642485289767039</v>
      </c>
      <c r="CA858" s="3">
        <v>0.0647282909717521</v>
      </c>
      <c r="CB858" s="3">
        <v>0.0649832279074363</v>
      </c>
      <c r="CC858" s="3">
        <v>0.06579292492259869</v>
      </c>
      <c r="CD858" s="3">
        <v>0.0665480612138753</v>
      </c>
      <c r="CE858" s="3">
        <v>0.0677457283284668</v>
      </c>
      <c r="CF858" s="3">
        <v>0.0681013177815861</v>
      </c>
      <c r="CG858" s="3">
        <v>0.0674056851903649</v>
      </c>
      <c r="CH858" s="3">
        <v>0.0670548484727857</v>
      </c>
      <c r="CI858" s="3">
        <v>0.06662372601065331</v>
      </c>
      <c r="CJ858" s="3">
        <v>0.0663626641855969</v>
      </c>
      <c r="CK858" s="3">
        <v>0.06489463920018181</v>
      </c>
      <c r="CL858" s="3">
        <v>0.0636213975351695</v>
      </c>
      <c r="CM858" s="3">
        <v>0.0622337341171038</v>
      </c>
      <c r="CN858" s="3">
        <v>0.061957002020337</v>
      </c>
      <c r="CO858" s="3">
        <v>0.0627146827056337</v>
      </c>
      <c r="CP858" s="3">
        <v>0.0621629563469406</v>
      </c>
      <c r="CQ858" s="3">
        <v>0.0609475381803935</v>
      </c>
      <c r="CR858" s="3">
        <v>0.061310881275431</v>
      </c>
      <c r="CS858" s="3">
        <v>0.0623387034003962</v>
      </c>
      <c r="CT858" s="3">
        <v>0.06327849426807761</v>
      </c>
      <c r="CU858" s="3">
        <v>0.0646871039627411</v>
      </c>
      <c r="CV858" s="3">
        <v>0.0660617369100647</v>
      </c>
    </row>
    <row r="859" spans="1:100">
      <c r="A859" s="1" t="str">
        <f>IF($Z$27="Y",'Population Definitions'!$B$24,"...")</f>
        <v>...</v>
      </c>
      <c r="B859" s="4" t="str">
        <f>IF($Z$27="Y","---&gt;","...")</f>
        <v>...</v>
      </c>
      <c r="C859" s="1" t="str">
        <f>IF($Z$27="Y",'Population Definitions'!$B$26,"...")</f>
        <v>...</v>
      </c>
      <c r="E859" s="2"/>
      <c r="F859" s="3"/>
      <c r="G859" s="2"/>
      <c r="H859" s="4" t="str">
        <f>IF($Z$27="Y","OR","...")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>
      <c r="A860" s="1" t="str">
        <f>IF($AA$27="Y",'Population Definitions'!$B$24,"...")</f>
        <v>...</v>
      </c>
      <c r="B860" s="4" t="str">
        <f>IF($AA$27="Y","---&gt;","...")</f>
        <v>...</v>
      </c>
      <c r="C860" s="1" t="str">
        <f>IF($AA$27="Y",'Population Definitions'!$B$27,"...")</f>
        <v>...</v>
      </c>
      <c r="E860" s="2"/>
      <c r="F860" s="3"/>
      <c r="G860" s="2"/>
      <c r="H860" s="4" t="str">
        <f>IF($AA$27="Y","OR","...")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>
      <c r="A861" s="1" t="str">
        <f>IF($AB$27="Y",'Population Definitions'!$B$24,"...")</f>
        <v>...</v>
      </c>
      <c r="B861" s="4" t="str">
        <f>IF($AB$27="Y","---&gt;","...")</f>
        <v>...</v>
      </c>
      <c r="C861" s="1" t="str">
        <f>IF($AB$27="Y",'Population Definitions'!$B$28,"...")</f>
        <v>...</v>
      </c>
      <c r="E861" s="2"/>
      <c r="F861" s="3"/>
      <c r="G861" s="2"/>
      <c r="H861" s="4" t="str">
        <f>IF($AB$27="Y","OR","...")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>
      <c r="A862" s="1" t="str">
        <f>IF($AC$27="Y",'Population Definitions'!$B$24,"...")</f>
        <v>...</v>
      </c>
      <c r="B862" s="4" t="str">
        <f>IF($AC$27="Y","---&gt;","...")</f>
        <v>...</v>
      </c>
      <c r="C862" s="1" t="str">
        <f>IF($AC$27="Y",'Population Definitions'!$B$29,"...")</f>
        <v>...</v>
      </c>
      <c r="E862" s="2"/>
      <c r="F862" s="3"/>
      <c r="G862" s="2"/>
      <c r="H862" s="4" t="str">
        <f>IF($AC$27="Y","OR","...")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>
      <c r="A863" s="1" t="str">
        <f>IF($AD$27="Y",'Population Definitions'!$B$24,"...")</f>
        <v>...</v>
      </c>
      <c r="B863" s="4" t="str">
        <f>IF($AD$27="Y","---&gt;","...")</f>
        <v>...</v>
      </c>
      <c r="C863" s="1" t="str">
        <f>IF($AD$27="Y",'Population Definitions'!$B$30,"...")</f>
        <v>...</v>
      </c>
      <c r="E863" s="2"/>
      <c r="F863" s="3"/>
      <c r="G863" s="2"/>
      <c r="H863" s="4" t="str">
        <f>IF($AD$27="Y","OR","...")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>
      <c r="A864" s="1" t="str">
        <f>IF($AE$27="Y",'Population Definitions'!$B$24,"...")</f>
        <v>...</v>
      </c>
      <c r="B864" s="4" t="str">
        <f>IF($AE$27="Y","---&gt;","...")</f>
        <v>...</v>
      </c>
      <c r="C864" s="1" t="str">
        <f>IF($AE$27="Y",'Population Definitions'!$B$31,"...")</f>
        <v>...</v>
      </c>
      <c r="E864" s="2"/>
      <c r="F864" s="3"/>
      <c r="G864" s="2"/>
      <c r="H864" s="4" t="str">
        <f>IF($AE$27="Y","OR","...")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>
      <c r="A865" s="1" t="str">
        <f>IF($AF$27="Y",'Population Definitions'!$B$24,"...")</f>
        <v>...</v>
      </c>
      <c r="B865" s="4" t="str">
        <f>IF($AF$27="Y","---&gt;","...")</f>
        <v>...</v>
      </c>
      <c r="C865" s="1" t="str">
        <f>IF($AF$27="Y",'Population Definitions'!$B$32,"...")</f>
        <v>...</v>
      </c>
      <c r="E865" s="2"/>
      <c r="F865" s="3"/>
      <c r="G865" s="2"/>
      <c r="H865" s="4" t="str">
        <f>IF($AF$27="Y","OR","...")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>
      <c r="A866" s="1" t="str">
        <f>IF($AG$27="Y",'Population Definitions'!$B$24,"...")</f>
        <v>...</v>
      </c>
      <c r="B866" s="4" t="str">
        <f>IF($AG$27="Y","---&gt;","...")</f>
        <v>...</v>
      </c>
      <c r="C866" s="1" t="str">
        <f>IF($AG$27="Y",'Population Definitions'!$B$33,"...")</f>
        <v>...</v>
      </c>
      <c r="E866" s="2"/>
      <c r="F866" s="3"/>
      <c r="G866" s="2"/>
      <c r="H866" s="4" t="str">
        <f>IF($AG$27="Y","OR","...")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>
      <c r="A867" s="1" t="str">
        <f>IF($AH$27="Y",'Population Definitions'!$B$24,"...")</f>
        <v>...</v>
      </c>
      <c r="B867" s="4" t="str">
        <f>IF($AH$27="Y","---&gt;","...")</f>
        <v>...</v>
      </c>
      <c r="C867" s="1" t="str">
        <f>IF($AH$27="Y",'Population Definitions'!$B$34,"...")</f>
        <v>...</v>
      </c>
      <c r="E867" s="2"/>
      <c r="F867" s="3"/>
      <c r="G867" s="2"/>
      <c r="H867" s="4" t="str">
        <f>IF($AH$27="Y","OR","...")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>
      <c r="A868" s="1" t="str">
        <f>IF($AI$27="Y",'Population Definitions'!$B$24,"...")</f>
        <v>...</v>
      </c>
      <c r="B868" s="4" t="str">
        <f>IF($AI$27="Y","---&gt;","...")</f>
        <v>...</v>
      </c>
      <c r="C868" s="1" t="str">
        <f>IF($AI$27="Y",'Population Definitions'!$B$35,"...")</f>
        <v>...</v>
      </c>
      <c r="E868" s="2"/>
      <c r="F868" s="3"/>
      <c r="G868" s="2"/>
      <c r="H868" s="4" t="str">
        <f>IF($AI$27="Y","OR","...")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>
      <c r="A869" s="1" t="str">
        <f>IF($AJ$27="Y",'Population Definitions'!$B$24,"...")</f>
        <v>...</v>
      </c>
      <c r="B869" s="4" t="str">
        <f>IF($AJ$27="Y","---&gt;","...")</f>
        <v>...</v>
      </c>
      <c r="C869" s="1" t="str">
        <f>IF($AJ$27="Y",'Population Definitions'!$B$36,"...")</f>
        <v>...</v>
      </c>
      <c r="E869" s="2"/>
      <c r="F869" s="3"/>
      <c r="G869" s="2"/>
      <c r="H869" s="4" t="str">
        <f>IF($AJ$27="Y","OR","...")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>
      <c r="A870" s="1" t="str">
        <f>IF($AK$27="Y",'Population Definitions'!$B$24,"...")</f>
        <v>...</v>
      </c>
      <c r="B870" s="4" t="str">
        <f>IF($AK$27="Y","---&gt;","...")</f>
        <v>...</v>
      </c>
      <c r="C870" s="1" t="str">
        <f>IF($AK$27="Y",'Population Definitions'!$B$37,"...")</f>
        <v>...</v>
      </c>
      <c r="E870" s="2"/>
      <c r="F870" s="3"/>
      <c r="G870" s="2"/>
      <c r="H870" s="4" t="str">
        <f>IF($AK$27="Y","OR","...")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>
      <c r="A871" s="1" t="str">
        <f>IF($B$28="Y",'Population Definitions'!$B$25,"...")</f>
        <v>...</v>
      </c>
      <c r="B871" s="4" t="str">
        <f>IF($B$28="Y","---&gt;","...")</f>
        <v>...</v>
      </c>
      <c r="C871" s="1" t="str">
        <f>IF($B$28="Y",'Population Definitions'!$B$2,"...")</f>
        <v>...</v>
      </c>
      <c r="E871" s="2"/>
      <c r="F871" s="3"/>
      <c r="G871" s="2"/>
      <c r="H871" s="4" t="str">
        <f>IF($B$28="Y","OR","...")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>
      <c r="A872" s="1" t="str">
        <f>IF($C$28="Y",'Population Definitions'!$B$25,"...")</f>
        <v>...</v>
      </c>
      <c r="B872" s="4" t="str">
        <f>IF($C$28="Y","---&gt;","...")</f>
        <v>...</v>
      </c>
      <c r="C872" s="1" t="str">
        <f>IF($C$28="Y",'Population Definitions'!$B$3,"...")</f>
        <v>...</v>
      </c>
      <c r="E872" s="2"/>
      <c r="F872" s="3"/>
      <c r="G872" s="2"/>
      <c r="H872" s="4" t="str">
        <f>IF($C$28="Y","OR","...")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>
      <c r="A873" s="1" t="str">
        <f>IF($D$28="Y",'Population Definitions'!$B$25,"...")</f>
        <v>...</v>
      </c>
      <c r="B873" s="4" t="str">
        <f>IF($D$28="Y","---&gt;","...")</f>
        <v>...</v>
      </c>
      <c r="C873" s="1" t="str">
        <f>IF($D$28="Y",'Population Definitions'!$B$4,"...")</f>
        <v>...</v>
      </c>
      <c r="E873" s="2"/>
      <c r="F873" s="3"/>
      <c r="G873" s="2"/>
      <c r="H873" s="4" t="str">
        <f>IF($D$28="Y","OR","...")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>
      <c r="A874" s="1" t="str">
        <f>IF($E$28="Y",'Population Definitions'!$B$25,"...")</f>
        <v>...</v>
      </c>
      <c r="B874" s="4" t="str">
        <f>IF($E$28="Y","---&gt;","...")</f>
        <v>...</v>
      </c>
      <c r="C874" s="1" t="str">
        <f>IF($E$28="Y",'Population Definitions'!$B$5,"...")</f>
        <v>...</v>
      </c>
      <c r="E874" s="2"/>
      <c r="F874" s="3"/>
      <c r="G874" s="2"/>
      <c r="H874" s="4" t="str">
        <f>IF($E$28="Y","OR","...")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>
      <c r="A875" s="1" t="str">
        <f>IF($F$28="Y",'Population Definitions'!$B$25,"...")</f>
        <v>...</v>
      </c>
      <c r="B875" s="4" t="str">
        <f>IF($F$28="Y","---&gt;","...")</f>
        <v>...</v>
      </c>
      <c r="C875" s="1" t="str">
        <f>IF($F$28="Y",'Population Definitions'!$B$6,"...")</f>
        <v>...</v>
      </c>
      <c r="E875" s="2"/>
      <c r="F875" s="3"/>
      <c r="G875" s="2"/>
      <c r="H875" s="4" t="str">
        <f>IF($F$28="Y","OR","...")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>
      <c r="A876" s="1" t="str">
        <f>IF($G$28="Y",'Population Definitions'!$B$25,"...")</f>
        <v>...</v>
      </c>
      <c r="B876" s="4" t="str">
        <f>IF($G$28="Y","---&gt;","...")</f>
        <v>...</v>
      </c>
      <c r="C876" s="1" t="str">
        <f>IF($G$28="Y",'Population Definitions'!$B$7,"...")</f>
        <v>...</v>
      </c>
      <c r="E876" s="2"/>
      <c r="F876" s="3"/>
      <c r="G876" s="2"/>
      <c r="H876" s="4" t="str">
        <f>IF($G$28="Y","OR","...")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>
      <c r="A877" s="1" t="str">
        <f>IF($H$28="Y",'Population Definitions'!$B$25,"...")</f>
        <v>...</v>
      </c>
      <c r="B877" s="4" t="str">
        <f>IF($H$28="Y","---&gt;","...")</f>
        <v>...</v>
      </c>
      <c r="C877" s="1" t="str">
        <f>IF($H$28="Y",'Population Definitions'!$B$8,"...")</f>
        <v>...</v>
      </c>
      <c r="E877" s="2"/>
      <c r="F877" s="3"/>
      <c r="G877" s="2"/>
      <c r="H877" s="4" t="str">
        <f>IF($H$28="Y","OR","...")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>
      <c r="A878" s="1" t="str">
        <f>IF($I$28="Y",'Population Definitions'!$B$25,"...")</f>
        <v>...</v>
      </c>
      <c r="B878" s="4" t="str">
        <f>IF($I$28="Y","---&gt;","...")</f>
        <v>...</v>
      </c>
      <c r="C878" s="1" t="str">
        <f>IF($I$28="Y",'Population Definitions'!$B$9,"...")</f>
        <v>...</v>
      </c>
      <c r="E878" s="2"/>
      <c r="F878" s="3"/>
      <c r="G878" s="2"/>
      <c r="H878" s="4" t="str">
        <f>IF($I$28="Y","OR","...")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>
      <c r="A879" s="1" t="str">
        <f>IF($J$28="Y",'Population Definitions'!$B$25,"...")</f>
        <v>...</v>
      </c>
      <c r="B879" s="4" t="str">
        <f>IF($J$28="Y","---&gt;","...")</f>
        <v>...</v>
      </c>
      <c r="C879" s="1" t="str">
        <f>IF($J$28="Y",'Population Definitions'!$B$10,"...")</f>
        <v>...</v>
      </c>
      <c r="E879" s="2"/>
      <c r="F879" s="3"/>
      <c r="G879" s="2"/>
      <c r="H879" s="4" t="str">
        <f>IF($J$28="Y","OR","...")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>
      <c r="A880" s="1" t="str">
        <f>IF($K$28="Y",'Population Definitions'!$B$25,"...")</f>
        <v>...</v>
      </c>
      <c r="B880" s="4" t="str">
        <f>IF($K$28="Y","---&gt;","...")</f>
        <v>...</v>
      </c>
      <c r="C880" s="1" t="str">
        <f>IF($K$28="Y",'Population Definitions'!$B$11,"...")</f>
        <v>...</v>
      </c>
      <c r="E880" s="2"/>
      <c r="F880" s="3"/>
      <c r="G880" s="2"/>
      <c r="H880" s="4" t="str">
        <f>IF($K$28="Y","OR","...")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>
      <c r="A881" s="1" t="str">
        <f>IF($L$28="Y",'Population Definitions'!$B$25,"...")</f>
        <v>...</v>
      </c>
      <c r="B881" s="4" t="str">
        <f>IF($L$28="Y","---&gt;","...")</f>
        <v>...</v>
      </c>
      <c r="C881" s="1" t="str">
        <f>IF($L$28="Y",'Population Definitions'!$B$12,"...")</f>
        <v>...</v>
      </c>
      <c r="E881" s="2"/>
      <c r="F881" s="3"/>
      <c r="G881" s="2"/>
      <c r="H881" s="4" t="str">
        <f>IF($L$28="Y","OR","...")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>
      <c r="A882" s="1" t="str">
        <f>IF($M$28="Y",'Population Definitions'!$B$25,"...")</f>
        <v>...</v>
      </c>
      <c r="B882" s="4" t="str">
        <f>IF($M$28="Y","---&gt;","...")</f>
        <v>...</v>
      </c>
      <c r="C882" s="1" t="str">
        <f>IF($M$28="Y",'Population Definitions'!$B$13,"...")</f>
        <v>...</v>
      </c>
      <c r="E882" s="2"/>
      <c r="F882" s="3"/>
      <c r="G882" s="2"/>
      <c r="H882" s="4" t="str">
        <f>IF($M$28="Y","OR","...")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>
      <c r="A883" s="1" t="str">
        <f>IF($N$28="Y",'Population Definitions'!$B$25,"...")</f>
        <v>...</v>
      </c>
      <c r="B883" s="4" t="str">
        <f>IF($N$28="Y","---&gt;","...")</f>
        <v>...</v>
      </c>
      <c r="C883" s="1" t="str">
        <f>IF($N$28="Y",'Population Definitions'!$B$14,"...")</f>
        <v>...</v>
      </c>
      <c r="E883" s="2"/>
      <c r="F883" s="3"/>
      <c r="G883" s="2"/>
      <c r="H883" s="4" t="str">
        <f>IF($N$28="Y","OR","...")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>
      <c r="A884" s="1" t="str">
        <f>IF($O$28="Y",'Population Definitions'!$B$25,"...")</f>
        <v>...</v>
      </c>
      <c r="B884" s="4" t="str">
        <f>IF($O$28="Y","---&gt;","...")</f>
        <v>...</v>
      </c>
      <c r="C884" s="1" t="str">
        <f>IF($O$28="Y",'Population Definitions'!$B$15,"...")</f>
        <v>...</v>
      </c>
      <c r="E884" s="2"/>
      <c r="F884" s="3"/>
      <c r="G884" s="2"/>
      <c r="H884" s="4" t="str">
        <f>IF($O$28="Y","OR","...")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0">
      <c r="A885" s="1" t="str">
        <f>IF($P$28="Y",'Population Definitions'!$B$25,"...")</f>
        <v>...</v>
      </c>
      <c r="B885" s="4" t="str">
        <f>IF($P$28="Y","---&gt;","...")</f>
        <v>...</v>
      </c>
      <c r="C885" s="1" t="str">
        <f>IF($P$28="Y",'Population Definitions'!$B$16,"...")</f>
        <v>...</v>
      </c>
      <c r="E885" s="2"/>
      <c r="F885" s="3"/>
      <c r="G885" s="2"/>
      <c r="H885" s="4" t="str">
        <f>IF($P$28="Y","OR","...")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0">
      <c r="A886" s="1" t="str">
        <f>IF($Q$28="Y",'Population Definitions'!$B$25,"...")</f>
        <v>...</v>
      </c>
      <c r="B886" s="4" t="str">
        <f>IF($Q$28="Y","---&gt;","...")</f>
        <v>...</v>
      </c>
      <c r="C886" s="1" t="str">
        <f>IF($Q$28="Y",'Population Definitions'!$B$17,"...")</f>
        <v>...</v>
      </c>
      <c r="E886" s="2"/>
      <c r="F886" s="3"/>
      <c r="G886" s="2"/>
      <c r="H886" s="4" t="str">
        <f>IF($Q$28="Y","OR","...")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0">
      <c r="A887" s="1" t="str">
        <f>IF($R$28="Y",'Population Definitions'!$B$25,"...")</f>
        <v>...</v>
      </c>
      <c r="B887" s="4" t="str">
        <f>IF($R$28="Y","---&gt;","...")</f>
        <v>...</v>
      </c>
      <c r="C887" s="1" t="str">
        <f>IF($R$28="Y",'Population Definitions'!$B$18,"...")</f>
        <v>...</v>
      </c>
      <c r="E887" s="2"/>
      <c r="F887" s="3"/>
      <c r="G887" s="2"/>
      <c r="H887" s="4" t="str">
        <f>IF($R$28="Y","OR","...")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0">
      <c r="A888" s="1" t="str">
        <f>IF($S$28="Y",'Population Definitions'!$B$25,"...")</f>
        <v>...</v>
      </c>
      <c r="B888" s="4" t="str">
        <f>IF($S$28="Y","---&gt;","...")</f>
        <v>...</v>
      </c>
      <c r="C888" s="1" t="str">
        <f>IF($S$28="Y",'Population Definitions'!$B$19,"...")</f>
        <v>...</v>
      </c>
      <c r="E888" s="2"/>
      <c r="F888" s="3"/>
      <c r="G888" s="2"/>
      <c r="H888" s="4" t="str">
        <f>IF($S$28="Y","OR","...")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0">
      <c r="A889" s="1" t="str">
        <f>IF($T$28="Y",'Population Definitions'!$B$25,"...")</f>
        <v>...</v>
      </c>
      <c r="B889" s="4" t="str">
        <f>IF($T$28="Y","---&gt;","...")</f>
        <v>...</v>
      </c>
      <c r="C889" s="1" t="str">
        <f>IF($T$28="Y",'Population Definitions'!$B$20,"...")</f>
        <v>...</v>
      </c>
      <c r="E889" s="2"/>
      <c r="F889" s="3"/>
      <c r="G889" s="2"/>
      <c r="H889" s="4" t="str">
        <f>IF($T$28="Y","OR","...")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0">
      <c r="A890" s="1" t="str">
        <f>IF($U$28="Y",'Population Definitions'!$B$25,"...")</f>
        <v>...</v>
      </c>
      <c r="B890" s="4" t="str">
        <f>IF($U$28="Y","---&gt;","...")</f>
        <v>...</v>
      </c>
      <c r="C890" s="1" t="str">
        <f>IF($U$28="Y",'Population Definitions'!$B$21,"...")</f>
        <v>...</v>
      </c>
      <c r="E890" s="2"/>
      <c r="F890" s="3"/>
      <c r="G890" s="2"/>
      <c r="H890" s="4" t="str">
        <f>IF($U$28="Y","OR","...")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>
      <c r="A891" s="1" t="str">
        <f>IF($V$28="Y",'Population Definitions'!$B$25,"...")</f>
        <v>...</v>
      </c>
      <c r="B891" s="4" t="str">
        <f>IF($V$28="Y","---&gt;","...")</f>
        <v>...</v>
      </c>
      <c r="C891" s="1" t="str">
        <f>IF($V$28="Y",'Population Definitions'!$B$22,"...")</f>
        <v>...</v>
      </c>
      <c r="E891" s="2"/>
      <c r="F891" s="3"/>
      <c r="G891" s="2"/>
      <c r="H891" s="4" t="str">
        <f>IF($V$28="Y","OR","...")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>
      <c r="A892" s="1" t="str">
        <f>IF($W$28="Y",'Population Definitions'!$B$25,"...")</f>
        <v>...</v>
      </c>
      <c r="B892" s="4" t="str">
        <f>IF($W$28="Y","---&gt;","...")</f>
        <v>...</v>
      </c>
      <c r="C892" s="1" t="str">
        <f>IF($W$28="Y",'Population Definitions'!$B$23,"...")</f>
        <v>...</v>
      </c>
      <c r="E892" s="2"/>
      <c r="F892" s="3"/>
      <c r="G892" s="2"/>
      <c r="H892" s="4" t="str">
        <f>IF($W$28="Y","OR","...")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>
      <c r="A893" s="1" t="str">
        <f>IF($X$28="Y",'Population Definitions'!$B$25,"...")</f>
        <v>...</v>
      </c>
      <c r="B893" s="4" t="str">
        <f>IF($X$28="Y","---&gt;","...")</f>
        <v>...</v>
      </c>
      <c r="C893" s="1" t="str">
        <f>IF($X$28="Y",'Population Definitions'!$B$24,"...")</f>
        <v>...</v>
      </c>
      <c r="E893" s="2"/>
      <c r="F893" s="3"/>
      <c r="G893" s="2"/>
      <c r="H893" s="4" t="str">
        <f>IF($X$28="Y","OR","...")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>
      <c r="A894" s="1" t="str">
        <f>IF($Y$28="Y",'Population Definitions'!$B$25,"...")</f>
        <v>...</v>
      </c>
      <c r="B894" s="4" t="str">
        <f>IF($Y$28="Y","---&gt;","...")</f>
        <v>...</v>
      </c>
      <c r="C894" s="1" t="str">
        <f>IF($Y$28="Y",'Population Definitions'!$B$25,"...")</f>
        <v>...</v>
      </c>
      <c r="E894" s="2"/>
      <c r="F894" s="3"/>
      <c r="G894" s="2"/>
      <c r="H894" s="4" t="str">
        <f>IF($Y$28="Y","OR","...")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>
      <c r="A895" s="1" t="str">
        <f>IF($Z$28="Y",'Population Definitions'!$B$25,"...")</f>
        <v>...</v>
      </c>
      <c r="B895" s="4" t="str">
        <f>IF($Z$28="Y","---&gt;","...")</f>
        <v>...</v>
      </c>
      <c r="C895" s="1" t="str">
        <f>IF($Z$28="Y",'Population Definitions'!$B$26,"...")</f>
        <v>...</v>
      </c>
      <c r="E895" s="2"/>
      <c r="F895" s="3"/>
      <c r="G895" s="2"/>
      <c r="H895" s="4" t="str">
        <f>IF($Z$28="Y","OR","...")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>
      <c r="A896" s="1" t="str">
        <f>IF($AA$28="Y",'Population Definitions'!$B$25,"...")</f>
        <v>...</v>
      </c>
      <c r="B896" s="4" t="str">
        <f>IF($AA$28="Y","---&gt;","...")</f>
        <v>...</v>
      </c>
      <c r="C896" s="1" t="str">
        <f>IF($AA$28="Y",'Population Definitions'!$B$27,"...")</f>
        <v>...</v>
      </c>
      <c r="E896" s="2"/>
      <c r="F896" s="3"/>
      <c r="G896" s="2"/>
      <c r="H896" s="4" t="str">
        <f>IF($AA$28="Y","OR","...")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>
      <c r="A897" s="1" t="str">
        <f>IF($AB$28="Y",'Population Definitions'!$B$25,"...")</f>
        <v>...</v>
      </c>
      <c r="B897" s="4" t="str">
        <f>IF($AB$28="Y","---&gt;","...")</f>
        <v>...</v>
      </c>
      <c r="C897" s="1" t="str">
        <f>IF($AB$28="Y",'Population Definitions'!$B$28,"...")</f>
        <v>...</v>
      </c>
      <c r="E897" s="2"/>
      <c r="F897" s="3"/>
      <c r="G897" s="2"/>
      <c r="H897" s="4" t="str">
        <f>IF($AB$28="Y","OR","...")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>
      <c r="A898" s="1" t="str">
        <f>IF($AC$28="Y",'Population Definitions'!$B$25,"...")</f>
        <v>...</v>
      </c>
      <c r="B898" s="4" t="str">
        <f>IF($AC$28="Y","---&gt;","...")</f>
        <v>...</v>
      </c>
      <c r="C898" s="1" t="str">
        <f>IF($AC$28="Y",'Population Definitions'!$B$29,"...")</f>
        <v>...</v>
      </c>
      <c r="E898" s="2"/>
      <c r="F898" s="3"/>
      <c r="G898" s="2"/>
      <c r="H898" s="4" t="str">
        <f>IF($AC$28="Y","OR","...")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>
      <c r="A899" s="1" t="str">
        <f>IF($AD$28="Y",'Population Definitions'!$B$25,"...")</f>
        <v>...</v>
      </c>
      <c r="B899" s="4" t="str">
        <f>IF($AD$28="Y","---&gt;","...")</f>
        <v>...</v>
      </c>
      <c r="C899" s="1" t="str">
        <f>IF($AD$28="Y",'Population Definitions'!$B$30,"...")</f>
        <v>...</v>
      </c>
      <c r="E899" s="2"/>
      <c r="F899" s="3"/>
      <c r="G899" s="2"/>
      <c r="H899" s="4" t="str">
        <f>IF($AD$28="Y","OR","...")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>
      <c r="A900" s="1" t="str">
        <f>IF($AE$28="Y",'Population Definitions'!$B$25,"...")</f>
        <v>...</v>
      </c>
      <c r="B900" s="4" t="str">
        <f>IF($AE$28="Y","---&gt;","...")</f>
        <v>...</v>
      </c>
      <c r="C900" s="1" t="str">
        <f>IF($AE$28="Y",'Population Definitions'!$B$31,"...")</f>
        <v>...</v>
      </c>
      <c r="E900" s="2"/>
      <c r="F900" s="3"/>
      <c r="G900" s="2"/>
      <c r="H900" s="4" t="str">
        <f>IF($AE$28="Y","OR","...")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>
      <c r="A901" s="1" t="str">
        <f>IF($AF$28="Y",'Population Definitions'!$B$25,"...")</f>
        <v>...</v>
      </c>
      <c r="B901" s="4" t="str">
        <f>IF($AF$28="Y","---&gt;","...")</f>
        <v>...</v>
      </c>
      <c r="C901" s="1" t="str">
        <f>IF($AF$28="Y",'Population Definitions'!$B$32,"...")</f>
        <v>...</v>
      </c>
      <c r="E901" s="2"/>
      <c r="F901" s="3"/>
      <c r="G901" s="2"/>
      <c r="H901" s="4" t="str">
        <f>IF($AF$28="Y","OR","...")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>
      <c r="A902" s="1" t="str">
        <f>IF($AG$28="Y",'Population Definitions'!$B$25,"...")</f>
        <v>...</v>
      </c>
      <c r="B902" s="4" t="str">
        <f>IF($AG$28="Y","---&gt;","...")</f>
        <v>...</v>
      </c>
      <c r="C902" s="1" t="str">
        <f>IF($AG$28="Y",'Population Definitions'!$B$33,"...")</f>
        <v>...</v>
      </c>
      <c r="E902" s="2"/>
      <c r="F902" s="3"/>
      <c r="G902" s="2"/>
      <c r="H902" s="4" t="str">
        <f>IF($AG$28="Y","OR","...")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>
      <c r="A903" s="1" t="str">
        <f>IF($AH$28="Y",'Population Definitions'!$B$25,"...")</f>
        <v>...</v>
      </c>
      <c r="B903" s="4" t="str">
        <f>IF($AH$28="Y","---&gt;","...")</f>
        <v>...</v>
      </c>
      <c r="C903" s="1" t="str">
        <f>IF($AH$28="Y",'Population Definitions'!$B$34,"...")</f>
        <v>...</v>
      </c>
      <c r="E903" s="2"/>
      <c r="F903" s="3"/>
      <c r="G903" s="2"/>
      <c r="H903" s="4" t="str">
        <f>IF($AH$28="Y","OR","...")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>
      <c r="A904" s="1" t="str">
        <f>IF($AI$28="Y",'Population Definitions'!$B$25,"...")</f>
        <v>...</v>
      </c>
      <c r="B904" s="4" t="str">
        <f>IF($AI$28="Y","---&gt;","...")</f>
        <v>...</v>
      </c>
      <c r="C904" s="1" t="str">
        <f>IF($AI$28="Y",'Population Definitions'!$B$35,"...")</f>
        <v>...</v>
      </c>
      <c r="E904" s="2"/>
      <c r="F904" s="3"/>
      <c r="G904" s="2"/>
      <c r="H904" s="4" t="str">
        <f>IF($AI$28="Y","OR","...")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>
      <c r="A905" s="1" t="str">
        <f>IF($AJ$28="Y",'Population Definitions'!$B$25,"...")</f>
        <v>...</v>
      </c>
      <c r="B905" s="4" t="str">
        <f>IF($AJ$28="Y","---&gt;","...")</f>
        <v>...</v>
      </c>
      <c r="C905" s="1" t="str">
        <f>IF($AJ$28="Y",'Population Definitions'!$B$36,"...")</f>
        <v>...</v>
      </c>
      <c r="E905" s="2"/>
      <c r="F905" s="3"/>
      <c r="G905" s="2"/>
      <c r="H905" s="4" t="str">
        <f>IF($AJ$28="Y","OR","...")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>
      <c r="A906" s="1" t="str">
        <f>IF($AK$28="Y",'Population Definitions'!$B$25,"...")</f>
        <v>...</v>
      </c>
      <c r="B906" s="4" t="str">
        <f>IF($AK$28="Y","---&gt;","...")</f>
        <v>...</v>
      </c>
      <c r="C906" s="1" t="str">
        <f>IF($AK$28="Y",'Population Definitions'!$B$37,"...")</f>
        <v>...</v>
      </c>
      <c r="E906" s="2"/>
      <c r="F906" s="3"/>
      <c r="G906" s="2"/>
      <c r="H906" s="4" t="str">
        <f>IF($AK$28="Y","OR","...")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>
      <c r="A907" s="1" t="str">
        <f>IF($B$29="Y",'Population Definitions'!$B$26,"...")</f>
        <v>...</v>
      </c>
      <c r="B907" s="4" t="str">
        <f>IF($B$29="Y","---&gt;","...")</f>
        <v>...</v>
      </c>
      <c r="C907" s="1" t="str">
        <f>IF($B$29="Y",'Population Definitions'!$B$2,"...")</f>
        <v>...</v>
      </c>
      <c r="E907" s="2"/>
      <c r="F907" s="3"/>
      <c r="G907" s="2"/>
      <c r="H907" s="4" t="str">
        <f>IF($B$29="Y","OR","...")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>
      <c r="A908" s="1" t="str">
        <f>IF($C$29="Y",'Population Definitions'!$B$26,"...")</f>
        <v>...</v>
      </c>
      <c r="B908" s="4" t="str">
        <f>IF($C$29="Y","---&gt;","...")</f>
        <v>...</v>
      </c>
      <c r="C908" s="1" t="str">
        <f>IF($C$29="Y",'Population Definitions'!$B$3,"...")</f>
        <v>...</v>
      </c>
      <c r="E908" s="2"/>
      <c r="F908" s="3"/>
      <c r="G908" s="2"/>
      <c r="H908" s="4" t="str">
        <f>IF($C$29="Y","OR","...")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>
      <c r="A909" s="1" t="str">
        <f>IF($D$29="Y",'Population Definitions'!$B$26,"...")</f>
        <v>...</v>
      </c>
      <c r="B909" s="4" t="str">
        <f>IF($D$29="Y","---&gt;","...")</f>
        <v>...</v>
      </c>
      <c r="C909" s="1" t="str">
        <f>IF($D$29="Y",'Population Definitions'!$B$4,"...")</f>
        <v>...</v>
      </c>
      <c r="E909" s="2"/>
      <c r="F909" s="3"/>
      <c r="G909" s="2"/>
      <c r="H909" s="4" t="str">
        <f>IF($D$29="Y","OR","...")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>
      <c r="A910" s="1" t="str">
        <f>IF($E$29="Y",'Population Definitions'!$B$26,"...")</f>
        <v>...</v>
      </c>
      <c r="B910" s="4" t="str">
        <f>IF($E$29="Y","---&gt;","...")</f>
        <v>...</v>
      </c>
      <c r="C910" s="1" t="str">
        <f>IF($E$29="Y",'Population Definitions'!$B$5,"...")</f>
        <v>...</v>
      </c>
      <c r="E910" s="2"/>
      <c r="F910" s="3"/>
      <c r="G910" s="2"/>
      <c r="H910" s="4" t="str">
        <f>IF($E$29="Y","OR","...")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>
      <c r="A911" s="1" t="str">
        <f>IF($F$29="Y",'Population Definitions'!$B$26,"...")</f>
        <v>...</v>
      </c>
      <c r="B911" s="4" t="str">
        <f>IF($F$29="Y","---&gt;","...")</f>
        <v>...</v>
      </c>
      <c r="C911" s="1" t="str">
        <f>IF($F$29="Y",'Population Definitions'!$B$6,"...")</f>
        <v>...</v>
      </c>
      <c r="E911" s="2"/>
      <c r="F911" s="3"/>
      <c r="G911" s="2"/>
      <c r="H911" s="4" t="str">
        <f>IF($F$29="Y","OR","...")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>
      <c r="A912" s="1" t="str">
        <f>IF($G$29="Y",'Population Definitions'!$B$26,"...")</f>
        <v>...</v>
      </c>
      <c r="B912" s="4" t="str">
        <f>IF($G$29="Y","---&gt;","...")</f>
        <v>...</v>
      </c>
      <c r="C912" s="1" t="str">
        <f>IF($G$29="Y",'Population Definitions'!$B$7,"...")</f>
        <v>...</v>
      </c>
      <c r="E912" s="2"/>
      <c r="F912" s="3"/>
      <c r="G912" s="2"/>
      <c r="H912" s="4" t="str">
        <f>IF($G$29="Y","OR","...")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>
      <c r="A913" s="1" t="str">
        <f>IF($H$29="Y",'Population Definitions'!$B$26,"...")</f>
        <v>...</v>
      </c>
      <c r="B913" s="4" t="str">
        <f>IF($H$29="Y","---&gt;","...")</f>
        <v>...</v>
      </c>
      <c r="C913" s="1" t="str">
        <f>IF($H$29="Y",'Population Definitions'!$B$8,"...")</f>
        <v>...</v>
      </c>
      <c r="E913" s="2"/>
      <c r="F913" s="3"/>
      <c r="G913" s="2"/>
      <c r="H913" s="4" t="str">
        <f>IF($H$29="Y","OR","...")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>
      <c r="A914" s="1" t="str">
        <f>IF($I$29="Y",'Population Definitions'!$B$26,"...")</f>
        <v>...</v>
      </c>
      <c r="B914" s="4" t="str">
        <f>IF($I$29="Y","---&gt;","...")</f>
        <v>...</v>
      </c>
      <c r="C914" s="1" t="str">
        <f>IF($I$29="Y",'Population Definitions'!$B$9,"...")</f>
        <v>...</v>
      </c>
      <c r="E914" s="2"/>
      <c r="F914" s="3"/>
      <c r="G914" s="2"/>
      <c r="H914" s="4" t="str">
        <f>IF($I$29="Y","OR","...")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>
      <c r="A915" s="1" t="str">
        <f>IF($J$29="Y",'Population Definitions'!$B$26,"...")</f>
        <v>...</v>
      </c>
      <c r="B915" s="4" t="str">
        <f>IF($J$29="Y","---&gt;","...")</f>
        <v>...</v>
      </c>
      <c r="C915" s="1" t="str">
        <f>IF($J$29="Y",'Population Definitions'!$B$10,"...")</f>
        <v>...</v>
      </c>
      <c r="E915" s="2"/>
      <c r="F915" s="3"/>
      <c r="G915" s="2"/>
      <c r="H915" s="4" t="str">
        <f>IF($J$29="Y","OR","...")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>
      <c r="A916" s="1" t="str">
        <f>IF($K$29="Y",'Population Definitions'!$B$26,"...")</f>
        <v>...</v>
      </c>
      <c r="B916" s="4" t="str">
        <f>IF($K$29="Y","---&gt;","...")</f>
        <v>...</v>
      </c>
      <c r="C916" s="1" t="str">
        <f>IF($K$29="Y",'Population Definitions'!$B$11,"...")</f>
        <v>...</v>
      </c>
      <c r="E916" s="2"/>
      <c r="F916" s="3"/>
      <c r="G916" s="2"/>
      <c r="H916" s="4" t="str">
        <f>IF($K$29="Y","OR","...")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>
      <c r="A917" s="1" t="str">
        <f>IF($L$29="Y",'Population Definitions'!$B$26,"...")</f>
        <v>...</v>
      </c>
      <c r="B917" s="4" t="str">
        <f>IF($L$29="Y","---&gt;","...")</f>
        <v>...</v>
      </c>
      <c r="C917" s="1" t="str">
        <f>IF($L$29="Y",'Population Definitions'!$B$12,"...")</f>
        <v>...</v>
      </c>
      <c r="E917" s="2"/>
      <c r="F917" s="3"/>
      <c r="G917" s="2"/>
      <c r="H917" s="4" t="str">
        <f>IF($L$29="Y","OR","...")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>
      <c r="A918" s="1" t="str">
        <f>IF($M$29="Y",'Population Definitions'!$B$26,"...")</f>
        <v>...</v>
      </c>
      <c r="B918" s="4" t="str">
        <f>IF($M$29="Y","---&gt;","...")</f>
        <v>...</v>
      </c>
      <c r="C918" s="1" t="str">
        <f>IF($M$29="Y",'Population Definitions'!$B$13,"...")</f>
        <v>...</v>
      </c>
      <c r="E918" s="2"/>
      <c r="F918" s="3"/>
      <c r="G918" s="2"/>
      <c r="H918" s="4" t="str">
        <f>IF($M$29="Y","OR","...")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>
      <c r="A919" s="1" t="str">
        <f>IF($N$29="Y",'Population Definitions'!$B$26,"...")</f>
        <v>...</v>
      </c>
      <c r="B919" s="4" t="str">
        <f>IF($N$29="Y","---&gt;","...")</f>
        <v>...</v>
      </c>
      <c r="C919" s="1" t="str">
        <f>IF($N$29="Y",'Population Definitions'!$B$14,"...")</f>
        <v>...</v>
      </c>
      <c r="E919" s="2"/>
      <c r="F919" s="3"/>
      <c r="G919" s="2"/>
      <c r="H919" s="4" t="str">
        <f>IF($N$29="Y","OR","...")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>
      <c r="A920" s="1" t="str">
        <f>IF($O$29="Y",'Population Definitions'!$B$26,"...")</f>
        <v>...</v>
      </c>
      <c r="B920" s="4" t="str">
        <f>IF($O$29="Y","---&gt;","...")</f>
        <v>...</v>
      </c>
      <c r="C920" s="1" t="str">
        <f>IF($O$29="Y",'Population Definitions'!$B$15,"...")</f>
        <v>...</v>
      </c>
      <c r="E920" s="2"/>
      <c r="F920" s="3"/>
      <c r="G920" s="2"/>
      <c r="H920" s="4" t="str">
        <f>IF($O$29="Y","OR","...")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>
      <c r="A921" s="1" t="str">
        <f>IF($P$29="Y",'Population Definitions'!$B$26,"...")</f>
        <v>...</v>
      </c>
      <c r="B921" s="4" t="str">
        <f>IF($P$29="Y","---&gt;","...")</f>
        <v>...</v>
      </c>
      <c r="C921" s="1" t="str">
        <f>IF($P$29="Y",'Population Definitions'!$B$16,"...")</f>
        <v>...</v>
      </c>
      <c r="E921" s="2"/>
      <c r="F921" s="3"/>
      <c r="G921" s="2"/>
      <c r="H921" s="4" t="str">
        <f>IF($P$29="Y","OR","...")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>
      <c r="A922" s="1" t="str">
        <f>IF($Q$29="Y",'Population Definitions'!$B$26,"...")</f>
        <v>...</v>
      </c>
      <c r="B922" s="4" t="str">
        <f>IF($Q$29="Y","---&gt;","...")</f>
        <v>...</v>
      </c>
      <c r="C922" s="1" t="str">
        <f>IF($Q$29="Y",'Population Definitions'!$B$17,"...")</f>
        <v>...</v>
      </c>
      <c r="E922" s="2"/>
      <c r="F922" s="3"/>
      <c r="G922" s="2"/>
      <c r="H922" s="4" t="str">
        <f>IF($Q$29="Y","OR","...")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>
      <c r="A923" s="1" t="str">
        <f>IF($R$29="Y",'Population Definitions'!$B$26,"...")</f>
        <v>...</v>
      </c>
      <c r="B923" s="4" t="str">
        <f>IF($R$29="Y","---&gt;","...")</f>
        <v>...</v>
      </c>
      <c r="C923" s="1" t="str">
        <f>IF($R$29="Y",'Population Definitions'!$B$18,"...")</f>
        <v>...</v>
      </c>
      <c r="E923" s="2"/>
      <c r="F923" s="3"/>
      <c r="G923" s="2"/>
      <c r="H923" s="4" t="str">
        <f>IF($R$29="Y","OR","...")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>
      <c r="A924" s="1" t="str">
        <f>IF($S$29="Y",'Population Definitions'!$B$26,"...")</f>
        <v>...</v>
      </c>
      <c r="B924" s="4" t="str">
        <f>IF($S$29="Y","---&gt;","...")</f>
        <v>...</v>
      </c>
      <c r="C924" s="1" t="str">
        <f>IF($S$29="Y",'Population Definitions'!$B$19,"...")</f>
        <v>...</v>
      </c>
      <c r="E924" s="2"/>
      <c r="F924" s="3"/>
      <c r="G924" s="2"/>
      <c r="H924" s="4" t="str">
        <f>IF($S$29="Y","OR","...")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>
      <c r="A925" s="1" t="str">
        <f>IF($T$29="Y",'Population Definitions'!$B$26,"...")</f>
        <v>...</v>
      </c>
      <c r="B925" s="4" t="str">
        <f>IF($T$29="Y","---&gt;","...")</f>
        <v>...</v>
      </c>
      <c r="C925" s="1" t="str">
        <f>IF($T$29="Y",'Population Definitions'!$B$20,"...")</f>
        <v>...</v>
      </c>
      <c r="E925" s="2"/>
      <c r="F925" s="3"/>
      <c r="G925" s="2"/>
      <c r="H925" s="4" t="str">
        <f>IF($T$29="Y","OR","...")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>
      <c r="A926" s="1" t="str">
        <f>IF($U$29="Y",'Population Definitions'!$B$26,"...")</f>
        <v>...</v>
      </c>
      <c r="B926" s="4" t="str">
        <f>IF($U$29="Y","---&gt;","...")</f>
        <v>...</v>
      </c>
      <c r="C926" s="1" t="str">
        <f>IF($U$29="Y",'Population Definitions'!$B$21,"...")</f>
        <v>...</v>
      </c>
      <c r="E926" s="2"/>
      <c r="F926" s="3"/>
      <c r="G926" s="2"/>
      <c r="H926" s="4" t="str">
        <f>IF($U$29="Y","OR","...")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>
      <c r="A927" s="1" t="str">
        <f>IF($V$29="Y",'Population Definitions'!$B$26,"...")</f>
        <v>...</v>
      </c>
      <c r="B927" s="4" t="str">
        <f>IF($V$29="Y","---&gt;","...")</f>
        <v>...</v>
      </c>
      <c r="C927" s="1" t="str">
        <f>IF($V$29="Y",'Population Definitions'!$B$22,"...")</f>
        <v>...</v>
      </c>
      <c r="E927" s="2"/>
      <c r="F927" s="3"/>
      <c r="G927" s="2"/>
      <c r="H927" s="4" t="str">
        <f>IF($V$29="Y","OR","...")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>
      <c r="A928" s="1" t="str">
        <f>IF($W$29="Y",'Population Definitions'!$B$26,"...")</f>
        <v>...</v>
      </c>
      <c r="B928" s="4" t="str">
        <f>IF($W$29="Y","---&gt;","...")</f>
        <v>...</v>
      </c>
      <c r="C928" s="1" t="str">
        <f>IF($W$29="Y",'Population Definitions'!$B$23,"...")</f>
        <v>...</v>
      </c>
      <c r="E928" s="2"/>
      <c r="F928" s="3"/>
      <c r="G928" s="2"/>
      <c r="H928" s="4" t="str">
        <f>IF($W$29="Y","OR","...")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>
      <c r="A929" s="1" t="str">
        <f>IF($X$29="Y",'Population Definitions'!$B$26,"...")</f>
        <v>...</v>
      </c>
      <c r="B929" s="4" t="str">
        <f>IF($X$29="Y","---&gt;","...")</f>
        <v>...</v>
      </c>
      <c r="C929" s="1" t="str">
        <f>IF($X$29="Y",'Population Definitions'!$B$24,"...")</f>
        <v>...</v>
      </c>
      <c r="E929" s="2"/>
      <c r="F929" s="3"/>
      <c r="G929" s="2"/>
      <c r="H929" s="4" t="str">
        <f>IF($X$29="Y","OR","...")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>
      <c r="A930" s="1" t="str">
        <f>IF($Y$29="Y",'Population Definitions'!$B$26,"...")</f>
        <v>...</v>
      </c>
      <c r="B930" s="4" t="str">
        <f>IF($Y$29="Y","---&gt;","...")</f>
        <v>...</v>
      </c>
      <c r="C930" s="1" t="str">
        <f>IF($Y$29="Y",'Population Definitions'!$B$25,"...")</f>
        <v>...</v>
      </c>
      <c r="E930" s="2"/>
      <c r="F930" s="3"/>
      <c r="G930" s="2"/>
      <c r="H930" s="4" t="str">
        <f>IF($Y$29="Y","OR","...")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>
      <c r="A931" s="1" t="str">
        <f>IF($Z$29="Y",'Population Definitions'!$B$26,"...")</f>
        <v>...</v>
      </c>
      <c r="B931" s="4" t="str">
        <f>IF($Z$29="Y","---&gt;","...")</f>
        <v>...</v>
      </c>
      <c r="C931" s="1" t="str">
        <f>IF($Z$29="Y",'Population Definitions'!$B$26,"...")</f>
        <v>...</v>
      </c>
      <c r="E931" s="2"/>
      <c r="F931" s="3"/>
      <c r="G931" s="2"/>
      <c r="H931" s="4" t="str">
        <f>IF($Z$29="Y","OR","...")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>
      <c r="A932" s="1" t="str">
        <f>IF($AA$29="Y",'Population Definitions'!$B$26,"...")</f>
        <v>0-4M_fns</v>
      </c>
      <c r="B932" s="4" t="str">
        <f>IF($AA$29="Y","---&gt;","...")</f>
        <v>---&gt;</v>
      </c>
      <c r="C932" s="1" t="str">
        <f>IF($AA$29="Y",'Population Definitions'!$B$27,"...")</f>
        <v>5-14M_fns</v>
      </c>
      <c r="E932" s="3" t="s">
        <v>63</v>
      </c>
      <c r="F932" s="3"/>
      <c r="G932" s="3"/>
      <c r="H932" s="4" t="str">
        <f>IF($AA$29="Y","OR","...")</f>
        <v>OR</v>
      </c>
      <c r="I932" s="3">
        <v>0.2160949242156704</v>
      </c>
      <c r="J932" s="3">
        <v>0.2139351015792358</v>
      </c>
      <c r="K932" s="3">
        <v>0.2145487349156134</v>
      </c>
      <c r="L932" s="3">
        <v>0.2101104837155991</v>
      </c>
      <c r="M932" s="3">
        <v>0.2077172408189971</v>
      </c>
      <c r="N932" s="3">
        <v>0.2103059970819297</v>
      </c>
      <c r="O932" s="3">
        <v>0.2070454454574276</v>
      </c>
      <c r="P932" s="3">
        <v>0.2061936918446946</v>
      </c>
      <c r="Q932" s="3">
        <v>0.20656926619802</v>
      </c>
      <c r="R932" s="3">
        <v>0.2053756584398584</v>
      </c>
      <c r="S932" s="3">
        <v>0.2024381410298517</v>
      </c>
      <c r="T932" s="3">
        <v>0.2002105171165001</v>
      </c>
      <c r="U932" s="3">
        <v>0.1995984377974767</v>
      </c>
      <c r="V932" s="3">
        <v>0.1975990743270749</v>
      </c>
      <c r="W932" s="3">
        <v>0.1975716339995217</v>
      </c>
      <c r="X932" s="3">
        <v>0.1960170447718829</v>
      </c>
      <c r="Y932" s="3">
        <v>0.1958038088015584</v>
      </c>
      <c r="Z932" s="3">
        <v>0.1944714522249944</v>
      </c>
      <c r="AA932" s="3">
        <v>0.1930696904644255</v>
      </c>
      <c r="AB932" s="3">
        <v>0.1918717061447141</v>
      </c>
      <c r="AC932" s="3">
        <v>0.1901016357593891</v>
      </c>
      <c r="AD932" s="3">
        <v>0.188563669651292</v>
      </c>
      <c r="AE932" s="3">
        <v>0.1880695893496049</v>
      </c>
      <c r="AF932" s="3">
        <v>0.1871234344850751</v>
      </c>
      <c r="AG932" s="3">
        <v>0.1857405311544726</v>
      </c>
      <c r="AH932" s="3">
        <v>0.1846869462701553</v>
      </c>
      <c r="AI932" s="3">
        <v>0.1839712876237297</v>
      </c>
      <c r="AJ932" s="3">
        <v>0.1840258877638462</v>
      </c>
      <c r="AK932" s="3">
        <v>0.184179450260361</v>
      </c>
      <c r="AL932" s="3">
        <v>0.1829886555371035</v>
      </c>
      <c r="AM932" s="3">
        <v>0.1822135954876679</v>
      </c>
      <c r="AN932" s="3">
        <v>0.2052677806547825</v>
      </c>
      <c r="AO932" s="3">
        <v>0.2091572683387304</v>
      </c>
      <c r="AP932" s="3">
        <v>0.207637592313432</v>
      </c>
      <c r="AQ932" s="3">
        <v>0.208155423857127</v>
      </c>
      <c r="AR932" s="3">
        <v>0.2054474121648494</v>
      </c>
      <c r="AS932" s="3">
        <v>0.2069533117420115</v>
      </c>
      <c r="AT932" s="3">
        <v>0.2102605224705638</v>
      </c>
      <c r="AU932" s="3">
        <v>0.2096990598693673</v>
      </c>
      <c r="AV932" s="3">
        <v>0.2117024150644813</v>
      </c>
      <c r="AW932" s="3">
        <v>0.2093965526815101</v>
      </c>
      <c r="AX932" s="3">
        <v>0.2071751474522905</v>
      </c>
      <c r="AY932" s="3">
        <v>0.203083831119716</v>
      </c>
      <c r="AZ932" s="3">
        <v>0.2016636026226006</v>
      </c>
      <c r="BA932" s="3">
        <v>0.1921782022708743</v>
      </c>
      <c r="BB932" s="3">
        <v>0.1865092328479636</v>
      </c>
      <c r="BC932" s="3">
        <v>0.2005620467823411</v>
      </c>
      <c r="BD932" s="3">
        <v>0.2014048574326149</v>
      </c>
      <c r="BE932" s="3">
        <v>0.2017176343600675</v>
      </c>
      <c r="BF932" s="3">
        <v>0.2020154661316717</v>
      </c>
      <c r="BG932" s="3">
        <v>0.2024730870125854</v>
      </c>
      <c r="BH932" s="3">
        <v>0.2028614954683195</v>
      </c>
      <c r="BI932" s="3">
        <v>0.2033521707622949</v>
      </c>
      <c r="BJ932" s="3">
        <v>0.2038148064106498</v>
      </c>
      <c r="BK932" s="3">
        <v>0.2042440040861462</v>
      </c>
      <c r="BL932" s="3">
        <v>0.20464328152831</v>
      </c>
      <c r="BM932" s="3">
        <v>0.204863535634205</v>
      </c>
      <c r="BN932" s="3">
        <v>0.2051988893260872</v>
      </c>
      <c r="BO932" s="3">
        <v>0.2056291278850458</v>
      </c>
      <c r="BP932" s="3">
        <v>0.2060494926340606</v>
      </c>
      <c r="BQ932" s="3">
        <v>0.2064977293541469</v>
      </c>
      <c r="BR932" s="3">
        <v>0.2069553815138735</v>
      </c>
      <c r="BS932" s="3">
        <v>0.2074341720150241</v>
      </c>
      <c r="BT932" s="3">
        <v>0.2078875812469917</v>
      </c>
      <c r="BU932" s="3">
        <v>0.2083179680097904</v>
      </c>
      <c r="BV932" s="3">
        <v>0.2086650423003613</v>
      </c>
      <c r="BW932" s="3">
        <v>0.2088884145885408</v>
      </c>
      <c r="BX932" s="3">
        <v>0.2090817841828612</v>
      </c>
      <c r="BY932" s="3">
        <v>0.2092006280528304</v>
      </c>
      <c r="BZ932" s="3">
        <v>0.2092783226031797</v>
      </c>
      <c r="CA932" s="3">
        <v>0.2093150531396546</v>
      </c>
      <c r="CB932" s="3">
        <v>0.2093059363012275</v>
      </c>
      <c r="CC932" s="3">
        <v>0.2092801017808616</v>
      </c>
      <c r="CD932" s="3">
        <v>0.2092587951034286</v>
      </c>
      <c r="CE932" s="3">
        <v>0.2091636695830928</v>
      </c>
      <c r="CF932" s="3">
        <v>0.2089724313361235</v>
      </c>
      <c r="CG932" s="3">
        <v>0.2087553067938769</v>
      </c>
      <c r="CH932" s="3">
        <v>0.2085861948730661</v>
      </c>
      <c r="CI932" s="3">
        <v>0.2083883888978362</v>
      </c>
      <c r="CJ932" s="3">
        <v>0.2081717205615448</v>
      </c>
      <c r="CK932" s="3">
        <v>0.207958428391654</v>
      </c>
      <c r="CL932" s="3">
        <v>0.207836828633292</v>
      </c>
      <c r="CM932" s="3">
        <v>0.2077563021391804</v>
      </c>
      <c r="CN932" s="3">
        <v>0.2077239798756453</v>
      </c>
      <c r="CO932" s="3">
        <v>0.2076976529537473</v>
      </c>
      <c r="CP932" s="3">
        <v>0.2076116978111345</v>
      </c>
      <c r="CQ932" s="3">
        <v>0.2075506676741232</v>
      </c>
      <c r="CR932" s="3">
        <v>0.2075866073025582</v>
      </c>
      <c r="CS932" s="3">
        <v>0.2076347819623083</v>
      </c>
      <c r="CT932" s="3">
        <v>0.207677890804134</v>
      </c>
      <c r="CU932" s="3">
        <v>0.2076946470259853</v>
      </c>
      <c r="CV932" s="3"/>
    </row>
    <row r="933" spans="1:100">
      <c r="A933" s="1" t="str">
        <f>IF($AB$29="Y",'Population Definitions'!$B$26,"...")</f>
        <v>...</v>
      </c>
      <c r="B933" s="4" t="str">
        <f>IF($AB$29="Y","---&gt;","...")</f>
        <v>...</v>
      </c>
      <c r="C933" s="1" t="str">
        <f>IF($AB$29="Y",'Population Definitions'!$B$28,"...")</f>
        <v>...</v>
      </c>
      <c r="E933" s="2"/>
      <c r="F933" s="3"/>
      <c r="G933" s="2"/>
      <c r="H933" s="4" t="str">
        <f>IF($AB$29="Y","OR","...")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>
      <c r="A934" s="1" t="str">
        <f>IF($AC$29="Y",'Population Definitions'!$B$26,"...")</f>
        <v>...</v>
      </c>
      <c r="B934" s="4" t="str">
        <f>IF($AC$29="Y","---&gt;","...")</f>
        <v>...</v>
      </c>
      <c r="C934" s="1" t="str">
        <f>IF($AC$29="Y",'Population Definitions'!$B$29,"...")</f>
        <v>...</v>
      </c>
      <c r="E934" s="2"/>
      <c r="F934" s="3"/>
      <c r="G934" s="2"/>
      <c r="H934" s="4" t="str">
        <f>IF($AC$29="Y","OR","...")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>
      <c r="A935" s="1" t="str">
        <f>IF($AD$29="Y",'Population Definitions'!$B$26,"...")</f>
        <v>...</v>
      </c>
      <c r="B935" s="4" t="str">
        <f>IF($AD$29="Y","---&gt;","...")</f>
        <v>...</v>
      </c>
      <c r="C935" s="1" t="str">
        <f>IF($AD$29="Y",'Population Definitions'!$B$30,"...")</f>
        <v>...</v>
      </c>
      <c r="E935" s="2"/>
      <c r="F935" s="3"/>
      <c r="G935" s="2"/>
      <c r="H935" s="4" t="str">
        <f>IF($AD$29="Y","OR","...")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>
      <c r="A936" s="1" t="str">
        <f>IF($AE$29="Y",'Population Definitions'!$B$26,"...")</f>
        <v>...</v>
      </c>
      <c r="B936" s="4" t="str">
        <f>IF($AE$29="Y","---&gt;","...")</f>
        <v>...</v>
      </c>
      <c r="C936" s="1" t="str">
        <f>IF($AE$29="Y",'Population Definitions'!$B$31,"...")</f>
        <v>...</v>
      </c>
      <c r="E936" s="2"/>
      <c r="F936" s="3"/>
      <c r="G936" s="2"/>
      <c r="H936" s="4" t="str">
        <f>IF($AE$29="Y","OR","...")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>
      <c r="A937" s="1" t="str">
        <f>IF($AF$29="Y",'Population Definitions'!$B$26,"...")</f>
        <v>...</v>
      </c>
      <c r="B937" s="4" t="str">
        <f>IF($AF$29="Y","---&gt;","...")</f>
        <v>...</v>
      </c>
      <c r="C937" s="1" t="str">
        <f>IF($AF$29="Y",'Population Definitions'!$B$32,"...")</f>
        <v>...</v>
      </c>
      <c r="E937" s="2"/>
      <c r="F937" s="3"/>
      <c r="G937" s="2"/>
      <c r="H937" s="4" t="str">
        <f>IF($AF$29="Y","OR","...")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>
      <c r="A938" s="1" t="str">
        <f>IF($AG$29="Y",'Population Definitions'!$B$26,"...")</f>
        <v>...</v>
      </c>
      <c r="B938" s="4" t="str">
        <f>IF($AG$29="Y","---&gt;","...")</f>
        <v>...</v>
      </c>
      <c r="C938" s="1" t="str">
        <f>IF($AG$29="Y",'Population Definitions'!$B$33,"...")</f>
        <v>...</v>
      </c>
      <c r="E938" s="2"/>
      <c r="F938" s="3"/>
      <c r="G938" s="2"/>
      <c r="H938" s="4" t="str">
        <f>IF($AG$29="Y","OR","...")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>
      <c r="A939" s="1" t="str">
        <f>IF($AH$29="Y",'Population Definitions'!$B$26,"...")</f>
        <v>...</v>
      </c>
      <c r="B939" s="4" t="str">
        <f>IF($AH$29="Y","---&gt;","...")</f>
        <v>...</v>
      </c>
      <c r="C939" s="1" t="str">
        <f>IF($AH$29="Y",'Population Definitions'!$B$34,"...")</f>
        <v>...</v>
      </c>
      <c r="E939" s="2"/>
      <c r="F939" s="3"/>
      <c r="G939" s="2"/>
      <c r="H939" s="4" t="str">
        <f>IF($AH$29="Y","OR","...")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>
      <c r="A940" s="1" t="str">
        <f>IF($AI$29="Y",'Population Definitions'!$B$26,"...")</f>
        <v>...</v>
      </c>
      <c r="B940" s="4" t="str">
        <f>IF($AI$29="Y","---&gt;","...")</f>
        <v>...</v>
      </c>
      <c r="C940" s="1" t="str">
        <f>IF($AI$29="Y",'Population Definitions'!$B$35,"...")</f>
        <v>...</v>
      </c>
      <c r="E940" s="2"/>
      <c r="F940" s="3"/>
      <c r="G940" s="2"/>
      <c r="H940" s="4" t="str">
        <f>IF($AI$29="Y","OR","...")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>
      <c r="A941" s="1" t="str">
        <f>IF($AJ$29="Y",'Population Definitions'!$B$26,"...")</f>
        <v>...</v>
      </c>
      <c r="B941" s="4" t="str">
        <f>IF($AJ$29="Y","---&gt;","...")</f>
        <v>...</v>
      </c>
      <c r="C941" s="1" t="str">
        <f>IF($AJ$29="Y",'Population Definitions'!$B$36,"...")</f>
        <v>...</v>
      </c>
      <c r="E941" s="2"/>
      <c r="F941" s="3"/>
      <c r="G941" s="2"/>
      <c r="H941" s="4" t="str">
        <f>IF($AJ$29="Y","OR","...")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>
      <c r="A942" s="1" t="str">
        <f>IF($AK$29="Y",'Population Definitions'!$B$26,"...")</f>
        <v>...</v>
      </c>
      <c r="B942" s="4" t="str">
        <f>IF($AK$29="Y","---&gt;","...")</f>
        <v>...</v>
      </c>
      <c r="C942" s="1" t="str">
        <f>IF($AK$29="Y",'Population Definitions'!$B$37,"...")</f>
        <v>...</v>
      </c>
      <c r="E942" s="2"/>
      <c r="F942" s="3"/>
      <c r="G942" s="2"/>
      <c r="H942" s="4" t="str">
        <f>IF($AK$29="Y","OR","...")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>
      <c r="A943" s="1" t="str">
        <f>IF($B$30="Y",'Population Definitions'!$B$27,"...")</f>
        <v>...</v>
      </c>
      <c r="B943" s="4" t="str">
        <f>IF($B$30="Y","---&gt;","...")</f>
        <v>...</v>
      </c>
      <c r="C943" s="1" t="str">
        <f>IF($B$30="Y",'Population Definitions'!$B$2,"...")</f>
        <v>...</v>
      </c>
      <c r="E943" s="2"/>
      <c r="F943" s="3"/>
      <c r="G943" s="2"/>
      <c r="H943" s="4" t="str">
        <f>IF($B$30="Y","OR","...")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>
      <c r="A944" s="1" t="str">
        <f>IF($C$30="Y",'Population Definitions'!$B$27,"...")</f>
        <v>...</v>
      </c>
      <c r="B944" s="4" t="str">
        <f>IF($C$30="Y","---&gt;","...")</f>
        <v>...</v>
      </c>
      <c r="C944" s="1" t="str">
        <f>IF($C$30="Y",'Population Definitions'!$B$3,"...")</f>
        <v>...</v>
      </c>
      <c r="E944" s="2"/>
      <c r="F944" s="3"/>
      <c r="G944" s="2"/>
      <c r="H944" s="4" t="str">
        <f>IF($C$30="Y","OR","...")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>
      <c r="A945" s="1" t="str">
        <f>IF($D$30="Y",'Population Definitions'!$B$27,"...")</f>
        <v>...</v>
      </c>
      <c r="B945" s="4" t="str">
        <f>IF($D$30="Y","---&gt;","...")</f>
        <v>...</v>
      </c>
      <c r="C945" s="1" t="str">
        <f>IF($D$30="Y",'Population Definitions'!$B$4,"...")</f>
        <v>...</v>
      </c>
      <c r="E945" s="2"/>
      <c r="F945" s="3"/>
      <c r="G945" s="2"/>
      <c r="H945" s="4" t="str">
        <f>IF($D$30="Y","OR","...")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>
      <c r="A946" s="1" t="str">
        <f>IF($E$30="Y",'Population Definitions'!$B$27,"...")</f>
        <v>...</v>
      </c>
      <c r="B946" s="4" t="str">
        <f>IF($E$30="Y","---&gt;","...")</f>
        <v>...</v>
      </c>
      <c r="C946" s="1" t="str">
        <f>IF($E$30="Y",'Population Definitions'!$B$5,"...")</f>
        <v>...</v>
      </c>
      <c r="E946" s="2"/>
      <c r="F946" s="3"/>
      <c r="G946" s="2"/>
      <c r="H946" s="4" t="str">
        <f>IF($E$30="Y","OR","...")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>
      <c r="A947" s="1" t="str">
        <f>IF($F$30="Y",'Population Definitions'!$B$27,"...")</f>
        <v>...</v>
      </c>
      <c r="B947" s="4" t="str">
        <f>IF($F$30="Y","---&gt;","...")</f>
        <v>...</v>
      </c>
      <c r="C947" s="1" t="str">
        <f>IF($F$30="Y",'Population Definitions'!$B$6,"...")</f>
        <v>...</v>
      </c>
      <c r="E947" s="2"/>
      <c r="F947" s="3"/>
      <c r="G947" s="2"/>
      <c r="H947" s="4" t="str">
        <f>IF($F$30="Y","OR","...")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>
      <c r="A948" s="1" t="str">
        <f>IF($G$30="Y",'Population Definitions'!$B$27,"...")</f>
        <v>...</v>
      </c>
      <c r="B948" s="4" t="str">
        <f>IF($G$30="Y","---&gt;","...")</f>
        <v>...</v>
      </c>
      <c r="C948" s="1" t="str">
        <f>IF($G$30="Y",'Population Definitions'!$B$7,"...")</f>
        <v>...</v>
      </c>
      <c r="E948" s="2"/>
      <c r="F948" s="3"/>
      <c r="G948" s="2"/>
      <c r="H948" s="4" t="str">
        <f>IF($G$30="Y","OR","...")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>
      <c r="A949" s="1" t="str">
        <f>IF($H$30="Y",'Population Definitions'!$B$27,"...")</f>
        <v>...</v>
      </c>
      <c r="B949" s="4" t="str">
        <f>IF($H$30="Y","---&gt;","...")</f>
        <v>...</v>
      </c>
      <c r="C949" s="1" t="str">
        <f>IF($H$30="Y",'Population Definitions'!$B$8,"...")</f>
        <v>...</v>
      </c>
      <c r="E949" s="2"/>
      <c r="F949" s="3"/>
      <c r="G949" s="2"/>
      <c r="H949" s="4" t="str">
        <f>IF($H$30="Y","OR","...")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>
      <c r="A950" s="1" t="str">
        <f>IF($I$30="Y",'Population Definitions'!$B$27,"...")</f>
        <v>...</v>
      </c>
      <c r="B950" s="4" t="str">
        <f>IF($I$30="Y","---&gt;","...")</f>
        <v>...</v>
      </c>
      <c r="C950" s="1" t="str">
        <f>IF($I$30="Y",'Population Definitions'!$B$9,"...")</f>
        <v>...</v>
      </c>
      <c r="E950" s="2"/>
      <c r="F950" s="3"/>
      <c r="G950" s="2"/>
      <c r="H950" s="4" t="str">
        <f>IF($I$30="Y","OR","...")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>
      <c r="A951" s="1" t="str">
        <f>IF($J$30="Y",'Population Definitions'!$B$27,"...")</f>
        <v>...</v>
      </c>
      <c r="B951" s="4" t="str">
        <f>IF($J$30="Y","---&gt;","...")</f>
        <v>...</v>
      </c>
      <c r="C951" s="1" t="str">
        <f>IF($J$30="Y",'Population Definitions'!$B$10,"...")</f>
        <v>...</v>
      </c>
      <c r="E951" s="2"/>
      <c r="F951" s="3"/>
      <c r="G951" s="2"/>
      <c r="H951" s="4" t="str">
        <f>IF($J$30="Y","OR","...")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>
      <c r="A952" s="1" t="str">
        <f>IF($K$30="Y",'Population Definitions'!$B$27,"...")</f>
        <v>...</v>
      </c>
      <c r="B952" s="4" t="str">
        <f>IF($K$30="Y","---&gt;","...")</f>
        <v>...</v>
      </c>
      <c r="C952" s="1" t="str">
        <f>IF($K$30="Y",'Population Definitions'!$B$11,"...")</f>
        <v>...</v>
      </c>
      <c r="E952" s="2"/>
      <c r="F952" s="3"/>
      <c r="G952" s="2"/>
      <c r="H952" s="4" t="str">
        <f>IF($K$30="Y","OR","...")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>
      <c r="A953" s="1" t="str">
        <f>IF($L$30="Y",'Population Definitions'!$B$27,"...")</f>
        <v>...</v>
      </c>
      <c r="B953" s="4" t="str">
        <f>IF($L$30="Y","---&gt;","...")</f>
        <v>...</v>
      </c>
      <c r="C953" s="1" t="str">
        <f>IF($L$30="Y",'Population Definitions'!$B$12,"...")</f>
        <v>...</v>
      </c>
      <c r="E953" s="2"/>
      <c r="F953" s="3"/>
      <c r="G953" s="2"/>
      <c r="H953" s="4" t="str">
        <f>IF($L$30="Y","OR","...")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>
      <c r="A954" s="1" t="str">
        <f>IF($M$30="Y",'Population Definitions'!$B$27,"...")</f>
        <v>...</v>
      </c>
      <c r="B954" s="4" t="str">
        <f>IF($M$30="Y","---&gt;","...")</f>
        <v>...</v>
      </c>
      <c r="C954" s="1" t="str">
        <f>IF($M$30="Y",'Population Definitions'!$B$13,"...")</f>
        <v>...</v>
      </c>
      <c r="E954" s="2"/>
      <c r="F954" s="3"/>
      <c r="G954" s="2"/>
      <c r="H954" s="4" t="str">
        <f>IF($M$30="Y","OR","...")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>
      <c r="A955" s="1" t="str">
        <f>IF($N$30="Y",'Population Definitions'!$B$27,"...")</f>
        <v>...</v>
      </c>
      <c r="B955" s="4" t="str">
        <f>IF($N$30="Y","---&gt;","...")</f>
        <v>...</v>
      </c>
      <c r="C955" s="1" t="str">
        <f>IF($N$30="Y",'Population Definitions'!$B$14,"...")</f>
        <v>...</v>
      </c>
      <c r="E955" s="2"/>
      <c r="F955" s="3"/>
      <c r="G955" s="2"/>
      <c r="H955" s="4" t="str">
        <f>IF($N$30="Y","OR","...")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>
      <c r="A956" s="1" t="str">
        <f>IF($O$30="Y",'Population Definitions'!$B$27,"...")</f>
        <v>...</v>
      </c>
      <c r="B956" s="4" t="str">
        <f>IF($O$30="Y","---&gt;","...")</f>
        <v>...</v>
      </c>
      <c r="C956" s="1" t="str">
        <f>IF($O$30="Y",'Population Definitions'!$B$15,"...")</f>
        <v>...</v>
      </c>
      <c r="E956" s="2"/>
      <c r="F956" s="3"/>
      <c r="G956" s="2"/>
      <c r="H956" s="4" t="str">
        <f>IF($O$30="Y","OR","...")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>
      <c r="A957" s="1" t="str">
        <f>IF($P$30="Y",'Population Definitions'!$B$27,"...")</f>
        <v>...</v>
      </c>
      <c r="B957" s="4" t="str">
        <f>IF($P$30="Y","---&gt;","...")</f>
        <v>...</v>
      </c>
      <c r="C957" s="1" t="str">
        <f>IF($P$30="Y",'Population Definitions'!$B$16,"...")</f>
        <v>...</v>
      </c>
      <c r="E957" s="2"/>
      <c r="F957" s="3"/>
      <c r="G957" s="2"/>
      <c r="H957" s="4" t="str">
        <f>IF($P$30="Y","OR","...")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>
      <c r="A958" s="1" t="str">
        <f>IF($Q$30="Y",'Population Definitions'!$B$27,"...")</f>
        <v>...</v>
      </c>
      <c r="B958" s="4" t="str">
        <f>IF($Q$30="Y","---&gt;","...")</f>
        <v>...</v>
      </c>
      <c r="C958" s="1" t="str">
        <f>IF($Q$30="Y",'Population Definitions'!$B$17,"...")</f>
        <v>...</v>
      </c>
      <c r="E958" s="2"/>
      <c r="F958" s="3"/>
      <c r="G958" s="2"/>
      <c r="H958" s="4" t="str">
        <f>IF($Q$30="Y","OR","...")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>
      <c r="A959" s="1" t="str">
        <f>IF($R$30="Y",'Population Definitions'!$B$27,"...")</f>
        <v>...</v>
      </c>
      <c r="B959" s="4" t="str">
        <f>IF($R$30="Y","---&gt;","...")</f>
        <v>...</v>
      </c>
      <c r="C959" s="1" t="str">
        <f>IF($R$30="Y",'Population Definitions'!$B$18,"...")</f>
        <v>...</v>
      </c>
      <c r="E959" s="2"/>
      <c r="F959" s="3"/>
      <c r="G959" s="2"/>
      <c r="H959" s="4" t="str">
        <f>IF($R$30="Y","OR","...")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>
      <c r="A960" s="1" t="str">
        <f>IF($S$30="Y",'Population Definitions'!$B$27,"...")</f>
        <v>...</v>
      </c>
      <c r="B960" s="4" t="str">
        <f>IF($S$30="Y","---&gt;","...")</f>
        <v>...</v>
      </c>
      <c r="C960" s="1" t="str">
        <f>IF($S$30="Y",'Population Definitions'!$B$19,"...")</f>
        <v>...</v>
      </c>
      <c r="E960" s="2"/>
      <c r="F960" s="3"/>
      <c r="G960" s="2"/>
      <c r="H960" s="4" t="str">
        <f>IF($S$30="Y","OR","...")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>
      <c r="A961" s="1" t="str">
        <f>IF($T$30="Y",'Population Definitions'!$B$27,"...")</f>
        <v>...</v>
      </c>
      <c r="B961" s="4" t="str">
        <f>IF($T$30="Y","---&gt;","...")</f>
        <v>...</v>
      </c>
      <c r="C961" s="1" t="str">
        <f>IF($T$30="Y",'Population Definitions'!$B$20,"...")</f>
        <v>...</v>
      </c>
      <c r="E961" s="2"/>
      <c r="F961" s="3"/>
      <c r="G961" s="2"/>
      <c r="H961" s="4" t="str">
        <f>IF($T$30="Y","OR","...")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>
      <c r="A962" s="1" t="str">
        <f>IF($U$30="Y",'Population Definitions'!$B$27,"...")</f>
        <v>...</v>
      </c>
      <c r="B962" s="4" t="str">
        <f>IF($U$30="Y","---&gt;","...")</f>
        <v>...</v>
      </c>
      <c r="C962" s="1" t="str">
        <f>IF($U$30="Y",'Population Definitions'!$B$21,"...")</f>
        <v>...</v>
      </c>
      <c r="E962" s="2"/>
      <c r="F962" s="3"/>
      <c r="G962" s="2"/>
      <c r="H962" s="4" t="str">
        <f>IF($U$30="Y","OR","...")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>
      <c r="A963" s="1" t="str">
        <f>IF($V$30="Y",'Population Definitions'!$B$27,"...")</f>
        <v>...</v>
      </c>
      <c r="B963" s="4" t="str">
        <f>IF($V$30="Y","---&gt;","...")</f>
        <v>...</v>
      </c>
      <c r="C963" s="1" t="str">
        <f>IF($V$30="Y",'Population Definitions'!$B$22,"...")</f>
        <v>...</v>
      </c>
      <c r="E963" s="2"/>
      <c r="F963" s="3"/>
      <c r="G963" s="2"/>
      <c r="H963" s="4" t="str">
        <f>IF($V$30="Y","OR","...")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>
      <c r="A964" s="1" t="str">
        <f>IF($W$30="Y",'Population Definitions'!$B$27,"...")</f>
        <v>...</v>
      </c>
      <c r="B964" s="4" t="str">
        <f>IF($W$30="Y","---&gt;","...")</f>
        <v>...</v>
      </c>
      <c r="C964" s="1" t="str">
        <f>IF($W$30="Y",'Population Definitions'!$B$23,"...")</f>
        <v>...</v>
      </c>
      <c r="E964" s="2"/>
      <c r="F964" s="3"/>
      <c r="G964" s="2"/>
      <c r="H964" s="4" t="str">
        <f>IF($W$30="Y","OR","...")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>
      <c r="A965" s="1" t="str">
        <f>IF($X$30="Y",'Population Definitions'!$B$27,"...")</f>
        <v>...</v>
      </c>
      <c r="B965" s="4" t="str">
        <f>IF($X$30="Y","---&gt;","...")</f>
        <v>...</v>
      </c>
      <c r="C965" s="1" t="str">
        <f>IF($X$30="Y",'Population Definitions'!$B$24,"...")</f>
        <v>...</v>
      </c>
      <c r="E965" s="2"/>
      <c r="F965" s="3"/>
      <c r="G965" s="2"/>
      <c r="H965" s="4" t="str">
        <f>IF($X$30="Y","OR","...")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>
      <c r="A966" s="1" t="str">
        <f>IF($Y$30="Y",'Population Definitions'!$B$27,"...")</f>
        <v>...</v>
      </c>
      <c r="B966" s="4" t="str">
        <f>IF($Y$30="Y","---&gt;","...")</f>
        <v>...</v>
      </c>
      <c r="C966" s="1" t="str">
        <f>IF($Y$30="Y",'Population Definitions'!$B$25,"...")</f>
        <v>...</v>
      </c>
      <c r="E966" s="2"/>
      <c r="F966" s="3"/>
      <c r="G966" s="2"/>
      <c r="H966" s="4" t="str">
        <f>IF($Y$30="Y","OR","...")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>
      <c r="A967" s="1" t="str">
        <f>IF($Z$30="Y",'Population Definitions'!$B$27,"...")</f>
        <v>...</v>
      </c>
      <c r="B967" s="4" t="str">
        <f>IF($Z$30="Y","---&gt;","...")</f>
        <v>...</v>
      </c>
      <c r="C967" s="1" t="str">
        <f>IF($Z$30="Y",'Population Definitions'!$B$26,"...")</f>
        <v>...</v>
      </c>
      <c r="E967" s="2"/>
      <c r="F967" s="3"/>
      <c r="G967" s="2"/>
      <c r="H967" s="4" t="str">
        <f>IF($Z$30="Y","OR","...")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>
      <c r="A968" s="1" t="str">
        <f>IF($AA$30="Y",'Population Definitions'!$B$27,"...")</f>
        <v>...</v>
      </c>
      <c r="B968" s="4" t="str">
        <f>IF($AA$30="Y","---&gt;","...")</f>
        <v>...</v>
      </c>
      <c r="C968" s="1" t="str">
        <f>IF($AA$30="Y",'Population Definitions'!$B$27,"...")</f>
        <v>...</v>
      </c>
      <c r="E968" s="2"/>
      <c r="F968" s="3"/>
      <c r="G968" s="2"/>
      <c r="H968" s="4" t="str">
        <f>IF($AA$30="Y","OR","...")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>
      <c r="A969" s="1" t="str">
        <f>IF($AB$30="Y",'Population Definitions'!$B$27,"...")</f>
        <v>5-14M_fns</v>
      </c>
      <c r="B969" s="4" t="str">
        <f>IF($AB$30="Y","---&gt;","...")</f>
        <v>---&gt;</v>
      </c>
      <c r="C969" s="1" t="str">
        <f>IF($AB$30="Y",'Population Definitions'!$B$28,"...")</f>
        <v>15-29M_fns</v>
      </c>
      <c r="E969" s="3" t="s">
        <v>63</v>
      </c>
      <c r="F969" s="3"/>
      <c r="G969" s="3"/>
      <c r="H969" s="4" t="str">
        <f>IF($AB$30="Y","OR","...")</f>
        <v>OR</v>
      </c>
      <c r="I969" s="3">
        <v>0.1061194921796861</v>
      </c>
      <c r="J969" s="3">
        <v>0.1048497366439478</v>
      </c>
      <c r="K969" s="3">
        <v>0.1051002847319829</v>
      </c>
      <c r="L969" s="3">
        <v>0.1025887971451718</v>
      </c>
      <c r="M969" s="3">
        <v>0.101190207745579</v>
      </c>
      <c r="N969" s="3">
        <v>0.1027127690047883</v>
      </c>
      <c r="O969" s="3">
        <v>0.1007863318288483</v>
      </c>
      <c r="P969" s="3">
        <v>0.1003045615156792</v>
      </c>
      <c r="Q969" s="3">
        <v>0.1005139076390136</v>
      </c>
      <c r="R969" s="3">
        <v>0.09984247450663977</v>
      </c>
      <c r="S969" s="3">
        <v>0.09811605767144242</v>
      </c>
      <c r="T969" s="3">
        <v>0.09680598382391854</v>
      </c>
      <c r="U969" s="3">
        <v>0.09646009348778521</v>
      </c>
      <c r="V969" s="3">
        <v>0.09525737086662157</v>
      </c>
      <c r="W969" s="3">
        <v>0.0952379296836367</v>
      </c>
      <c r="X969" s="3">
        <v>0.09432711729071859</v>
      </c>
      <c r="Y969" s="3">
        <v>0.09416751685828108</v>
      </c>
      <c r="Z969" s="3">
        <v>0.09341627027800894</v>
      </c>
      <c r="AA969" s="3">
        <v>0.09257831771313957</v>
      </c>
      <c r="AB969" s="3">
        <v>0.09189299330491234</v>
      </c>
      <c r="AC969" s="3">
        <v>0.0908027244561488</v>
      </c>
      <c r="AD969" s="3">
        <v>0.08989101922120353</v>
      </c>
      <c r="AE969" s="3">
        <v>0.08959547742293482</v>
      </c>
      <c r="AF969" s="3">
        <v>0.08908772379362419</v>
      </c>
      <c r="AG969" s="3">
        <v>0.08821781803378623</v>
      </c>
      <c r="AH969" s="3">
        <v>0.0876261197451373</v>
      </c>
      <c r="AI969" s="3">
        <v>0.0871955628839821</v>
      </c>
      <c r="AJ969" s="3">
        <v>0.08725189099580111</v>
      </c>
      <c r="AK969" s="3">
        <v>0.08733710453041729</v>
      </c>
      <c r="AL969" s="3">
        <v>0.08661085511561685</v>
      </c>
      <c r="AM969" s="3">
        <v>0.08613070895832982</v>
      </c>
      <c r="AN969" s="3">
        <v>0.09439638954285622</v>
      </c>
      <c r="AO969" s="3">
        <v>0.09505646180268412</v>
      </c>
      <c r="AP969" s="3">
        <v>0.09357772197031092</v>
      </c>
      <c r="AQ969" s="3">
        <v>0.09308895264281636</v>
      </c>
      <c r="AR969" s="3">
        <v>0.09322330212728697</v>
      </c>
      <c r="AS969" s="3">
        <v>0.09234444978403399</v>
      </c>
      <c r="AT969" s="3">
        <v>0.09073387078514329</v>
      </c>
      <c r="AU969" s="3">
        <v>0.09084276632823507</v>
      </c>
      <c r="AV969" s="3">
        <v>0.09675442856986373</v>
      </c>
      <c r="AW969" s="3">
        <v>0.0971881395526656</v>
      </c>
      <c r="AX969" s="3">
        <v>0.1019625441377011</v>
      </c>
      <c r="AY969" s="3">
        <v>0.1051583089212679</v>
      </c>
      <c r="AZ969" s="3">
        <v>0.1050697158701345</v>
      </c>
      <c r="BA969" s="3">
        <v>0.1051813434635094</v>
      </c>
      <c r="BB969" s="3">
        <v>0.103811635327687</v>
      </c>
      <c r="BC969" s="3">
        <v>0.105214219513197</v>
      </c>
      <c r="BD969" s="3">
        <v>0.10620640321248</v>
      </c>
      <c r="BE969" s="3">
        <v>0.1051098492674756</v>
      </c>
      <c r="BF969" s="3">
        <v>0.10324283359353</v>
      </c>
      <c r="BG969" s="3">
        <v>0.1023102076631688</v>
      </c>
      <c r="BH969" s="3">
        <v>0.09926457104615108</v>
      </c>
      <c r="BI969" s="3">
        <v>0.09951490709360518</v>
      </c>
      <c r="BJ969" s="3">
        <v>0.09975681371838888</v>
      </c>
      <c r="BK969" s="3">
        <v>0.09998484775634969</v>
      </c>
      <c r="BL969" s="3">
        <v>0.1002017887030598</v>
      </c>
      <c r="BM969" s="3">
        <v>0.1003245598578829</v>
      </c>
      <c r="BN969" s="3">
        <v>0.1005134116657603</v>
      </c>
      <c r="BO969" s="3">
        <v>0.1007566764703633</v>
      </c>
      <c r="BP969" s="3">
        <v>0.1009985912697507</v>
      </c>
      <c r="BQ969" s="3">
        <v>0.1012563387230628</v>
      </c>
      <c r="BR969" s="3">
        <v>0.1015175553745647</v>
      </c>
      <c r="BS969" s="3">
        <v>0.1017913624060082</v>
      </c>
      <c r="BT969" s="3">
        <v>0.1020487282404414</v>
      </c>
      <c r="BU969" s="3">
        <v>0.1022898693933835</v>
      </c>
      <c r="BV969" s="3">
        <v>0.102482976537247</v>
      </c>
      <c r="BW969" s="3">
        <v>0.1026074252796815</v>
      </c>
      <c r="BX969" s="3">
        <v>0.102713734821126</v>
      </c>
      <c r="BY969" s="3">
        <v>0.1027758812163837</v>
      </c>
      <c r="BZ969" s="3">
        <v>0.1028149039106386</v>
      </c>
      <c r="CA969" s="3">
        <v>0.1028322267207067</v>
      </c>
      <c r="CB969" s="3">
        <v>0.1028275586073401</v>
      </c>
      <c r="CC969" s="3">
        <v>0.1028122595132834</v>
      </c>
      <c r="CD969" s="3">
        <v>0.1027995303037704</v>
      </c>
      <c r="CE969" s="3">
        <v>0.1027468290797295</v>
      </c>
      <c r="CF969" s="3">
        <v>0.1026415215305788</v>
      </c>
      <c r="CG969" s="3">
        <v>0.1025242475297274</v>
      </c>
      <c r="CH969" s="3">
        <v>0.1024330435923244</v>
      </c>
      <c r="CI969" s="3">
        <v>0.1023259854658446</v>
      </c>
      <c r="CJ969" s="3">
        <v>0.1022075960660345</v>
      </c>
      <c r="CK969" s="3">
        <v>0.102090240226132</v>
      </c>
      <c r="CL969" s="3">
        <v>0.1020262034523931</v>
      </c>
      <c r="CM969" s="3">
        <v>0.1019827167792936</v>
      </c>
      <c r="CN969" s="3">
        <v>0.1019682559052937</v>
      </c>
      <c r="CO969" s="3">
        <v>0.1019550354225529</v>
      </c>
      <c r="CP969" s="3">
        <v>0.1019076442256472</v>
      </c>
      <c r="CQ969" s="3">
        <v>0.1018738999475848</v>
      </c>
      <c r="CR969" s="3">
        <v>0.101895427058802</v>
      </c>
      <c r="CS969" s="3">
        <v>0.1019246936976537</v>
      </c>
      <c r="CT969" s="3">
        <v>0.1019487777988</v>
      </c>
      <c r="CU969" s="3">
        <v>0.1019578230517637</v>
      </c>
      <c r="CV969" s="3"/>
    </row>
    <row r="970" spans="1:100">
      <c r="A970" s="1" t="str">
        <f>IF($AC$30="Y",'Population Definitions'!$B$27,"...")</f>
        <v>...</v>
      </c>
      <c r="B970" s="4" t="str">
        <f>IF($AC$30="Y","---&gt;","...")</f>
        <v>...</v>
      </c>
      <c r="C970" s="1" t="str">
        <f>IF($AC$30="Y",'Population Definitions'!$B$29,"...")</f>
        <v>...</v>
      </c>
      <c r="E970" s="2"/>
      <c r="F970" s="3"/>
      <c r="G970" s="2"/>
      <c r="H970" s="4" t="str">
        <f>IF($AC$30="Y","OR","...")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>
      <c r="A971" s="1" t="str">
        <f>IF($AD$30="Y",'Population Definitions'!$B$27,"...")</f>
        <v>...</v>
      </c>
      <c r="B971" s="4" t="str">
        <f>IF($AD$30="Y","---&gt;","...")</f>
        <v>...</v>
      </c>
      <c r="C971" s="1" t="str">
        <f>IF($AD$30="Y",'Population Definitions'!$B$30,"...")</f>
        <v>...</v>
      </c>
      <c r="E971" s="2"/>
      <c r="F971" s="3"/>
      <c r="G971" s="2"/>
      <c r="H971" s="4" t="str">
        <f>IF($AD$30="Y","OR","...")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>
      <c r="A972" s="1" t="str">
        <f>IF($AE$30="Y",'Population Definitions'!$B$27,"...")</f>
        <v>...</v>
      </c>
      <c r="B972" s="4" t="str">
        <f>IF($AE$30="Y","---&gt;","...")</f>
        <v>...</v>
      </c>
      <c r="C972" s="1" t="str">
        <f>IF($AE$30="Y",'Population Definitions'!$B$31,"...")</f>
        <v>...</v>
      </c>
      <c r="E972" s="2"/>
      <c r="F972" s="3"/>
      <c r="G972" s="2"/>
      <c r="H972" s="4" t="str">
        <f>IF($AE$30="Y","OR","...")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>
      <c r="A973" s="1" t="str">
        <f>IF($AF$30="Y",'Population Definitions'!$B$27,"...")</f>
        <v>...</v>
      </c>
      <c r="B973" s="4" t="str">
        <f>IF($AF$30="Y","---&gt;","...")</f>
        <v>...</v>
      </c>
      <c r="C973" s="1" t="str">
        <f>IF($AF$30="Y",'Population Definitions'!$B$32,"...")</f>
        <v>...</v>
      </c>
      <c r="E973" s="2"/>
      <c r="F973" s="3"/>
      <c r="G973" s="2"/>
      <c r="H973" s="4" t="str">
        <f>IF($AF$30="Y","OR","...")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>
      <c r="A974" s="1" t="str">
        <f>IF($AG$30="Y",'Population Definitions'!$B$27,"...")</f>
        <v>...</v>
      </c>
      <c r="B974" s="4" t="str">
        <f>IF($AG$30="Y","---&gt;","...")</f>
        <v>...</v>
      </c>
      <c r="C974" s="1" t="str">
        <f>IF($AG$30="Y",'Population Definitions'!$B$33,"...")</f>
        <v>...</v>
      </c>
      <c r="E974" s="2"/>
      <c r="F974" s="3"/>
      <c r="G974" s="2"/>
      <c r="H974" s="4" t="str">
        <f>IF($AG$30="Y","OR","...")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>
      <c r="A975" s="1" t="str">
        <f>IF($AH$30="Y",'Population Definitions'!$B$27,"...")</f>
        <v>...</v>
      </c>
      <c r="B975" s="4" t="str">
        <f>IF($AH$30="Y","---&gt;","...")</f>
        <v>...</v>
      </c>
      <c r="C975" s="1" t="str">
        <f>IF($AH$30="Y",'Population Definitions'!$B$34,"...")</f>
        <v>...</v>
      </c>
      <c r="E975" s="2"/>
      <c r="F975" s="3"/>
      <c r="G975" s="2"/>
      <c r="H975" s="4" t="str">
        <f>IF($AH$30="Y","OR","...")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>
      <c r="A976" s="1" t="str">
        <f>IF($AI$30="Y",'Population Definitions'!$B$27,"...")</f>
        <v>...</v>
      </c>
      <c r="B976" s="4" t="str">
        <f>IF($AI$30="Y","---&gt;","...")</f>
        <v>...</v>
      </c>
      <c r="C976" s="1" t="str">
        <f>IF($AI$30="Y",'Population Definitions'!$B$35,"...")</f>
        <v>...</v>
      </c>
      <c r="E976" s="2"/>
      <c r="F976" s="3"/>
      <c r="G976" s="2"/>
      <c r="H976" s="4" t="str">
        <f>IF($AI$30="Y","OR","...")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>
      <c r="A977" s="1" t="str">
        <f>IF($AJ$30="Y",'Population Definitions'!$B$27,"...")</f>
        <v>...</v>
      </c>
      <c r="B977" s="4" t="str">
        <f>IF($AJ$30="Y","---&gt;","...")</f>
        <v>...</v>
      </c>
      <c r="C977" s="1" t="str">
        <f>IF($AJ$30="Y",'Population Definitions'!$B$36,"...")</f>
        <v>...</v>
      </c>
      <c r="E977" s="2"/>
      <c r="F977" s="3"/>
      <c r="G977" s="2"/>
      <c r="H977" s="4" t="str">
        <f>IF($AJ$30="Y","OR","...")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>
      <c r="A978" s="1" t="str">
        <f>IF($AK$30="Y",'Population Definitions'!$B$27,"...")</f>
        <v>...</v>
      </c>
      <c r="B978" s="4" t="str">
        <f>IF($AK$30="Y","---&gt;","...")</f>
        <v>...</v>
      </c>
      <c r="C978" s="1" t="str">
        <f>IF($AK$30="Y",'Population Definitions'!$B$37,"...")</f>
        <v>...</v>
      </c>
      <c r="E978" s="2"/>
      <c r="F978" s="3"/>
      <c r="G978" s="2"/>
      <c r="H978" s="4" t="str">
        <f>IF($AK$30="Y","OR","...")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>
      <c r="A979" s="1" t="str">
        <f>IF($B$31="Y",'Population Definitions'!$B$28,"...")</f>
        <v>...</v>
      </c>
      <c r="B979" s="4" t="str">
        <f>IF($B$31="Y","---&gt;","...")</f>
        <v>...</v>
      </c>
      <c r="C979" s="1" t="str">
        <f>IF($B$31="Y",'Population Definitions'!$B$2,"...")</f>
        <v>...</v>
      </c>
      <c r="E979" s="2"/>
      <c r="F979" s="3"/>
      <c r="G979" s="2"/>
      <c r="H979" s="4" t="str">
        <f>IF($B$31="Y","OR","...")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>
      <c r="A980" s="1" t="str">
        <f>IF($C$31="Y",'Population Definitions'!$B$28,"...")</f>
        <v>...</v>
      </c>
      <c r="B980" s="4" t="str">
        <f>IF($C$31="Y","---&gt;","...")</f>
        <v>...</v>
      </c>
      <c r="C980" s="1" t="str">
        <f>IF($C$31="Y",'Population Definitions'!$B$3,"...")</f>
        <v>...</v>
      </c>
      <c r="E980" s="2"/>
      <c r="F980" s="3"/>
      <c r="G980" s="2"/>
      <c r="H980" s="4" t="str">
        <f>IF($C$31="Y","OR","...")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>
      <c r="A981" s="1" t="str">
        <f>IF($D$31="Y",'Population Definitions'!$B$28,"...")</f>
        <v>...</v>
      </c>
      <c r="B981" s="4" t="str">
        <f>IF($D$31="Y","---&gt;","...")</f>
        <v>...</v>
      </c>
      <c r="C981" s="1" t="str">
        <f>IF($D$31="Y",'Population Definitions'!$B$4,"...")</f>
        <v>...</v>
      </c>
      <c r="E981" s="2"/>
      <c r="F981" s="3"/>
      <c r="G981" s="2"/>
      <c r="H981" s="4" t="str">
        <f>IF($D$31="Y","OR","...")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>
      <c r="A982" s="1" t="str">
        <f>IF($E$31="Y",'Population Definitions'!$B$28,"...")</f>
        <v>...</v>
      </c>
      <c r="B982" s="4" t="str">
        <f>IF($E$31="Y","---&gt;","...")</f>
        <v>...</v>
      </c>
      <c r="C982" s="1" t="str">
        <f>IF($E$31="Y",'Population Definitions'!$B$5,"...")</f>
        <v>...</v>
      </c>
      <c r="E982" s="2"/>
      <c r="F982" s="3"/>
      <c r="G982" s="2"/>
      <c r="H982" s="4" t="str">
        <f>IF($E$31="Y","OR","...")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>
      <c r="A983" s="1" t="str">
        <f>IF($F$31="Y",'Population Definitions'!$B$28,"...")</f>
        <v>...</v>
      </c>
      <c r="B983" s="4" t="str">
        <f>IF($F$31="Y","---&gt;","...")</f>
        <v>...</v>
      </c>
      <c r="C983" s="1" t="str">
        <f>IF($F$31="Y",'Population Definitions'!$B$6,"...")</f>
        <v>...</v>
      </c>
      <c r="E983" s="2"/>
      <c r="F983" s="3"/>
      <c r="G983" s="2"/>
      <c r="H983" s="4" t="str">
        <f>IF($F$31="Y","OR","...")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>
      <c r="A984" s="1" t="str">
        <f>IF($G$31="Y",'Population Definitions'!$B$28,"...")</f>
        <v>...</v>
      </c>
      <c r="B984" s="4" t="str">
        <f>IF($G$31="Y","---&gt;","...")</f>
        <v>...</v>
      </c>
      <c r="C984" s="1" t="str">
        <f>IF($G$31="Y",'Population Definitions'!$B$7,"...")</f>
        <v>...</v>
      </c>
      <c r="E984" s="2"/>
      <c r="F984" s="3"/>
      <c r="G984" s="2"/>
      <c r="H984" s="4" t="str">
        <f>IF($G$31="Y","OR","...")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>
      <c r="A985" s="1" t="str">
        <f>IF($H$31="Y",'Population Definitions'!$B$28,"...")</f>
        <v>...</v>
      </c>
      <c r="B985" s="4" t="str">
        <f>IF($H$31="Y","---&gt;","...")</f>
        <v>...</v>
      </c>
      <c r="C985" s="1" t="str">
        <f>IF($H$31="Y",'Population Definitions'!$B$8,"...")</f>
        <v>...</v>
      </c>
      <c r="E985" s="2"/>
      <c r="F985" s="3"/>
      <c r="G985" s="2"/>
      <c r="H985" s="4" t="str">
        <f>IF($H$31="Y","OR","...")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>
      <c r="A986" s="1" t="str">
        <f>IF($I$31="Y",'Population Definitions'!$B$28,"...")</f>
        <v>...</v>
      </c>
      <c r="B986" s="4" t="str">
        <f>IF($I$31="Y","---&gt;","...")</f>
        <v>...</v>
      </c>
      <c r="C986" s="1" t="str">
        <f>IF($I$31="Y",'Population Definitions'!$B$9,"...")</f>
        <v>...</v>
      </c>
      <c r="E986" s="2"/>
      <c r="F986" s="3"/>
      <c r="G986" s="2"/>
      <c r="H986" s="4" t="str">
        <f>IF($I$31="Y","OR","...")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>
      <c r="A987" s="1" t="str">
        <f>IF($J$31="Y",'Population Definitions'!$B$28,"...")</f>
        <v>...</v>
      </c>
      <c r="B987" s="4" t="str">
        <f>IF($J$31="Y","---&gt;","...")</f>
        <v>...</v>
      </c>
      <c r="C987" s="1" t="str">
        <f>IF($J$31="Y",'Population Definitions'!$B$10,"...")</f>
        <v>...</v>
      </c>
      <c r="E987" s="2"/>
      <c r="F987" s="3"/>
      <c r="G987" s="2"/>
      <c r="H987" s="4" t="str">
        <f>IF($J$31="Y","OR","...")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>
      <c r="A988" s="1" t="str">
        <f>IF($K$31="Y",'Population Definitions'!$B$28,"...")</f>
        <v>...</v>
      </c>
      <c r="B988" s="4" t="str">
        <f>IF($K$31="Y","---&gt;","...")</f>
        <v>...</v>
      </c>
      <c r="C988" s="1" t="str">
        <f>IF($K$31="Y",'Population Definitions'!$B$11,"...")</f>
        <v>...</v>
      </c>
      <c r="E988" s="2"/>
      <c r="F988" s="3"/>
      <c r="G988" s="2"/>
      <c r="H988" s="4" t="str">
        <f>IF($K$31="Y","OR","...")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>
      <c r="A989" s="1" t="str">
        <f>IF($L$31="Y",'Population Definitions'!$B$28,"...")</f>
        <v>...</v>
      </c>
      <c r="B989" s="4" t="str">
        <f>IF($L$31="Y","---&gt;","...")</f>
        <v>...</v>
      </c>
      <c r="C989" s="1" t="str">
        <f>IF($L$31="Y",'Population Definitions'!$B$12,"...")</f>
        <v>...</v>
      </c>
      <c r="E989" s="2"/>
      <c r="F989" s="3"/>
      <c r="G989" s="2"/>
      <c r="H989" s="4" t="str">
        <f>IF($L$31="Y","OR","...")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>
      <c r="A990" s="1" t="str">
        <f>IF($M$31="Y",'Population Definitions'!$B$28,"...")</f>
        <v>...</v>
      </c>
      <c r="B990" s="4" t="str">
        <f>IF($M$31="Y","---&gt;","...")</f>
        <v>...</v>
      </c>
      <c r="C990" s="1" t="str">
        <f>IF($M$31="Y",'Population Definitions'!$B$13,"...")</f>
        <v>...</v>
      </c>
      <c r="E990" s="2"/>
      <c r="F990" s="3"/>
      <c r="G990" s="2"/>
      <c r="H990" s="4" t="str">
        <f>IF($M$31="Y","OR","...")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>
      <c r="A991" s="1" t="str">
        <f>IF($N$31="Y",'Population Definitions'!$B$28,"...")</f>
        <v>...</v>
      </c>
      <c r="B991" s="4" t="str">
        <f>IF($N$31="Y","---&gt;","...")</f>
        <v>...</v>
      </c>
      <c r="C991" s="1" t="str">
        <f>IF($N$31="Y",'Population Definitions'!$B$14,"...")</f>
        <v>...</v>
      </c>
      <c r="E991" s="2"/>
      <c r="F991" s="3"/>
      <c r="G991" s="2"/>
      <c r="H991" s="4" t="str">
        <f>IF($N$31="Y","OR","...")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>
      <c r="A992" s="1" t="str">
        <f>IF($O$31="Y",'Population Definitions'!$B$28,"...")</f>
        <v>...</v>
      </c>
      <c r="B992" s="4" t="str">
        <f>IF($O$31="Y","---&gt;","...")</f>
        <v>...</v>
      </c>
      <c r="C992" s="1" t="str">
        <f>IF($O$31="Y",'Population Definitions'!$B$15,"...")</f>
        <v>...</v>
      </c>
      <c r="E992" s="2"/>
      <c r="F992" s="3"/>
      <c r="G992" s="2"/>
      <c r="H992" s="4" t="str">
        <f>IF($O$31="Y","OR","...")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>
      <c r="A993" s="1" t="str">
        <f>IF($P$31="Y",'Population Definitions'!$B$28,"...")</f>
        <v>...</v>
      </c>
      <c r="B993" s="4" t="str">
        <f>IF($P$31="Y","---&gt;","...")</f>
        <v>...</v>
      </c>
      <c r="C993" s="1" t="str">
        <f>IF($P$31="Y",'Population Definitions'!$B$16,"...")</f>
        <v>...</v>
      </c>
      <c r="E993" s="2"/>
      <c r="F993" s="3"/>
      <c r="G993" s="2"/>
      <c r="H993" s="4" t="str">
        <f>IF($P$31="Y","OR","...")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>
      <c r="A994" s="1" t="str">
        <f>IF($Q$31="Y",'Population Definitions'!$B$28,"...")</f>
        <v>...</v>
      </c>
      <c r="B994" s="4" t="str">
        <f>IF($Q$31="Y","---&gt;","...")</f>
        <v>...</v>
      </c>
      <c r="C994" s="1" t="str">
        <f>IF($Q$31="Y",'Population Definitions'!$B$17,"...")</f>
        <v>...</v>
      </c>
      <c r="E994" s="2"/>
      <c r="F994" s="3"/>
      <c r="G994" s="2"/>
      <c r="H994" s="4" t="str">
        <f>IF($Q$31="Y","OR","...")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>
      <c r="A995" s="1" t="str">
        <f>IF($R$31="Y",'Population Definitions'!$B$28,"...")</f>
        <v>...</v>
      </c>
      <c r="B995" s="4" t="str">
        <f>IF($R$31="Y","---&gt;","...")</f>
        <v>...</v>
      </c>
      <c r="C995" s="1" t="str">
        <f>IF($R$31="Y",'Population Definitions'!$B$18,"...")</f>
        <v>...</v>
      </c>
      <c r="E995" s="2"/>
      <c r="F995" s="3"/>
      <c r="G995" s="2"/>
      <c r="H995" s="4" t="str">
        <f>IF($R$31="Y","OR","...")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>
      <c r="A996" s="1" t="str">
        <f>IF($S$31="Y",'Population Definitions'!$B$28,"...")</f>
        <v>...</v>
      </c>
      <c r="B996" s="4" t="str">
        <f>IF($S$31="Y","---&gt;","...")</f>
        <v>...</v>
      </c>
      <c r="C996" s="1" t="str">
        <f>IF($S$31="Y",'Population Definitions'!$B$19,"...")</f>
        <v>...</v>
      </c>
      <c r="E996" s="2"/>
      <c r="F996" s="3"/>
      <c r="G996" s="2"/>
      <c r="H996" s="4" t="str">
        <f>IF($S$31="Y","OR","...")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>
      <c r="A997" s="1" t="str">
        <f>IF($T$31="Y",'Population Definitions'!$B$28,"...")</f>
        <v>...</v>
      </c>
      <c r="B997" s="4" t="str">
        <f>IF($T$31="Y","---&gt;","...")</f>
        <v>...</v>
      </c>
      <c r="C997" s="1" t="str">
        <f>IF($T$31="Y",'Population Definitions'!$B$20,"...")</f>
        <v>...</v>
      </c>
      <c r="E997" s="2"/>
      <c r="F997" s="3"/>
      <c r="G997" s="2"/>
      <c r="H997" s="4" t="str">
        <f>IF($T$31="Y","OR","...")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>
      <c r="A998" s="1" t="str">
        <f>IF($U$31="Y",'Population Definitions'!$B$28,"...")</f>
        <v>...</v>
      </c>
      <c r="B998" s="4" t="str">
        <f>IF($U$31="Y","---&gt;","...")</f>
        <v>...</v>
      </c>
      <c r="C998" s="1" t="str">
        <f>IF($U$31="Y",'Population Definitions'!$B$21,"...")</f>
        <v>...</v>
      </c>
      <c r="E998" s="2"/>
      <c r="F998" s="3"/>
      <c r="G998" s="2"/>
      <c r="H998" s="4" t="str">
        <f>IF($U$31="Y","OR","...")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>
      <c r="A999" s="1" t="str">
        <f>IF($V$31="Y",'Population Definitions'!$B$28,"...")</f>
        <v>...</v>
      </c>
      <c r="B999" s="4" t="str">
        <f>IF($V$31="Y","---&gt;","...")</f>
        <v>...</v>
      </c>
      <c r="C999" s="1" t="str">
        <f>IF($V$31="Y",'Population Definitions'!$B$22,"...")</f>
        <v>...</v>
      </c>
      <c r="E999" s="2"/>
      <c r="F999" s="3"/>
      <c r="G999" s="2"/>
      <c r="H999" s="4" t="str">
        <f>IF($V$31="Y","OR","...")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>
      <c r="A1000" s="1" t="str">
        <f>IF($W$31="Y",'Population Definitions'!$B$28,"...")</f>
        <v>...</v>
      </c>
      <c r="B1000" s="4" t="str">
        <f>IF($W$31="Y","---&gt;","...")</f>
        <v>...</v>
      </c>
      <c r="C1000" s="1" t="str">
        <f>IF($W$31="Y",'Population Definitions'!$B$23,"...")</f>
        <v>...</v>
      </c>
      <c r="E1000" s="2"/>
      <c r="F1000" s="3"/>
      <c r="G1000" s="2"/>
      <c r="H1000" s="4" t="str">
        <f>IF($W$31="Y","OR","...")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>
      <c r="A1001" s="1" t="str">
        <f>IF($X$31="Y",'Population Definitions'!$B$28,"...")</f>
        <v>...</v>
      </c>
      <c r="B1001" s="4" t="str">
        <f>IF($X$31="Y","---&gt;","...")</f>
        <v>...</v>
      </c>
      <c r="C1001" s="1" t="str">
        <f>IF($X$31="Y",'Population Definitions'!$B$24,"...")</f>
        <v>...</v>
      </c>
      <c r="E1001" s="2"/>
      <c r="F1001" s="3"/>
      <c r="G1001" s="2"/>
      <c r="H1001" s="4" t="str">
        <f>IF($X$31="Y","OR","...")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>
      <c r="A1002" s="1" t="str">
        <f>IF($Y$31="Y",'Population Definitions'!$B$28,"...")</f>
        <v>...</v>
      </c>
      <c r="B1002" s="4" t="str">
        <f>IF($Y$31="Y","---&gt;","...")</f>
        <v>...</v>
      </c>
      <c r="C1002" s="1" t="str">
        <f>IF($Y$31="Y",'Population Definitions'!$B$25,"...")</f>
        <v>...</v>
      </c>
      <c r="E1002" s="2"/>
      <c r="F1002" s="3"/>
      <c r="G1002" s="2"/>
      <c r="H1002" s="4" t="str">
        <f>IF($Y$31="Y","OR","...")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>
      <c r="A1003" s="1" t="str">
        <f>IF($Z$31="Y",'Population Definitions'!$B$28,"...")</f>
        <v>...</v>
      </c>
      <c r="B1003" s="4" t="str">
        <f>IF($Z$31="Y","---&gt;","...")</f>
        <v>...</v>
      </c>
      <c r="C1003" s="1" t="str">
        <f>IF($Z$31="Y",'Population Definitions'!$B$26,"...")</f>
        <v>...</v>
      </c>
      <c r="E1003" s="2"/>
      <c r="F1003" s="3"/>
      <c r="G1003" s="2"/>
      <c r="H1003" s="4" t="str">
        <f>IF($Z$31="Y","OR","...")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>
      <c r="A1004" s="1" t="str">
        <f>IF($AA$31="Y",'Population Definitions'!$B$28,"...")</f>
        <v>...</v>
      </c>
      <c r="B1004" s="4" t="str">
        <f>IF($AA$31="Y","---&gt;","...")</f>
        <v>...</v>
      </c>
      <c r="C1004" s="1" t="str">
        <f>IF($AA$31="Y",'Population Definitions'!$B$27,"...")</f>
        <v>...</v>
      </c>
      <c r="E1004" s="2"/>
      <c r="F1004" s="3"/>
      <c r="G1004" s="2"/>
      <c r="H1004" s="4" t="str">
        <f>IF($AA$31="Y","OR","...")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>
      <c r="A1005" s="1" t="str">
        <f>IF($AB$31="Y",'Population Definitions'!$B$28,"...")</f>
        <v>...</v>
      </c>
      <c r="B1005" s="4" t="str">
        <f>IF($AB$31="Y","---&gt;","...")</f>
        <v>...</v>
      </c>
      <c r="C1005" s="1" t="str">
        <f>IF($AB$31="Y",'Population Definitions'!$B$28,"...")</f>
        <v>...</v>
      </c>
      <c r="E1005" s="2"/>
      <c r="F1005" s="3"/>
      <c r="G1005" s="2"/>
      <c r="H1005" s="4" t="str">
        <f>IF($AB$31="Y","OR","...")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>
      <c r="A1006" s="1" t="str">
        <f>IF($AC$31="Y",'Population Definitions'!$B$28,"...")</f>
        <v>15-29M_fns</v>
      </c>
      <c r="B1006" s="4" t="str">
        <f>IF($AC$31="Y","---&gt;","...")</f>
        <v>---&gt;</v>
      </c>
      <c r="C1006" s="1" t="str">
        <f>IF($AC$31="Y",'Population Definitions'!$B$29,"...")</f>
        <v>30-49M_fns</v>
      </c>
      <c r="E1006" s="3" t="s">
        <v>63</v>
      </c>
      <c r="F1006" s="3"/>
      <c r="G1006" s="3"/>
      <c r="H1006" s="4" t="str">
        <f>IF($AC$31="Y","OR","...")</f>
        <v>OR</v>
      </c>
      <c r="I1006" s="3">
        <v>0.06800457144956318</v>
      </c>
      <c r="J1006" s="3">
        <v>0.06700134607462893</v>
      </c>
      <c r="K1006" s="3">
        <v>0.06705236875159343</v>
      </c>
      <c r="L1006" s="3">
        <v>0.06506460467246546</v>
      </c>
      <c r="M1006" s="3">
        <v>0.0642414835772171</v>
      </c>
      <c r="N1006" s="3">
        <v>0.06512271484864311</v>
      </c>
      <c r="O1006" s="3">
        <v>0.06353225334617298</v>
      </c>
      <c r="P1006" s="3">
        <v>0.06318220623034969</v>
      </c>
      <c r="Q1006" s="3">
        <v>0.06299993503395512</v>
      </c>
      <c r="R1006" s="3">
        <v>0.06269184118736641</v>
      </c>
      <c r="S1006" s="3">
        <v>0.06130776347537617</v>
      </c>
      <c r="T1006" s="3">
        <v>0.06040013328891489</v>
      </c>
      <c r="U1006" s="3">
        <v>0.06022778745328627</v>
      </c>
      <c r="V1006" s="3">
        <v>0.05923051213235467</v>
      </c>
      <c r="W1006" s="3">
        <v>0.0592084776934641</v>
      </c>
      <c r="X1006" s="3">
        <v>0.05830548636214582</v>
      </c>
      <c r="Y1006" s="3">
        <v>0.05813049840366939</v>
      </c>
      <c r="Z1006" s="3">
        <v>0.05731672472686759</v>
      </c>
      <c r="AA1006" s="3">
        <v>0.05654301639850311</v>
      </c>
      <c r="AB1006" s="3">
        <v>0.05584138699606884</v>
      </c>
      <c r="AC1006" s="3">
        <v>0.05528747600205405</v>
      </c>
      <c r="AD1006" s="3">
        <v>0.05481348192957463</v>
      </c>
      <c r="AE1006" s="3">
        <v>0.05470860712494854</v>
      </c>
      <c r="AF1006" s="3">
        <v>0.05429331096346403</v>
      </c>
      <c r="AG1006" s="3">
        <v>0.05379275835117128</v>
      </c>
      <c r="AH1006" s="3">
        <v>0.05326323517042575</v>
      </c>
      <c r="AI1006" s="3">
        <v>0.05303772946728681</v>
      </c>
      <c r="AJ1006" s="3">
        <v>0.05309304433273877</v>
      </c>
      <c r="AK1006" s="3">
        <v>0.05323385150863536</v>
      </c>
      <c r="AL1006" s="3">
        <v>0.05266517490358904</v>
      </c>
      <c r="AM1006" s="3">
        <v>0.05233314316953181</v>
      </c>
      <c r="AN1006" s="3">
        <v>0.0555096277245935</v>
      </c>
      <c r="AO1006" s="3">
        <v>0.05659555522611411</v>
      </c>
      <c r="AP1006" s="3">
        <v>0.05657273427169651</v>
      </c>
      <c r="AQ1006" s="3">
        <v>0.05519583018872291</v>
      </c>
      <c r="AR1006" s="3">
        <v>0.05575743683485007</v>
      </c>
      <c r="AS1006" s="3">
        <v>0.05516112035108011</v>
      </c>
      <c r="AT1006" s="3">
        <v>0.0551382404641374</v>
      </c>
      <c r="AU1006" s="3">
        <v>0.05681508663734079</v>
      </c>
      <c r="AV1006" s="3">
        <v>0.05960890140450603</v>
      </c>
      <c r="AW1006" s="3">
        <v>0.05994811406798686</v>
      </c>
      <c r="AX1006" s="3">
        <v>0.05797182683572023</v>
      </c>
      <c r="AY1006" s="3">
        <v>0.0595745514267297</v>
      </c>
      <c r="AZ1006" s="3">
        <v>0.05850748147728654</v>
      </c>
      <c r="BA1006" s="3">
        <v>0.06001846418579172</v>
      </c>
      <c r="BB1006" s="3">
        <v>0.05921235587397089</v>
      </c>
      <c r="BC1006" s="3">
        <v>0.05829185886712655</v>
      </c>
      <c r="BD1006" s="3">
        <v>0.06002204828800724</v>
      </c>
      <c r="BE1006" s="3">
        <v>0.05999097117627882</v>
      </c>
      <c r="BF1006" s="3">
        <v>0.06007326261399279</v>
      </c>
      <c r="BG1006" s="3">
        <v>0.06058254214166588</v>
      </c>
      <c r="BH1006" s="3">
        <v>0.06049042024220184</v>
      </c>
      <c r="BI1006" s="3">
        <v>0.06070001295204795</v>
      </c>
      <c r="BJ1006" s="3">
        <v>0.06089878940886814</v>
      </c>
      <c r="BK1006" s="3">
        <v>0.06108911511187626</v>
      </c>
      <c r="BL1006" s="3">
        <v>0.06126862757302876</v>
      </c>
      <c r="BM1006" s="3">
        <v>0.06138233749411995</v>
      </c>
      <c r="BN1006" s="3">
        <v>0.06154279029857385</v>
      </c>
      <c r="BO1006" s="3">
        <v>0.06174045851197663</v>
      </c>
      <c r="BP1006" s="3">
        <v>0.06193941222591977</v>
      </c>
      <c r="BQ1006" s="3">
        <v>0.06215087725988876</v>
      </c>
      <c r="BR1006" s="3">
        <v>0.06236731403556539</v>
      </c>
      <c r="BS1006" s="3">
        <v>0.06259122039316592</v>
      </c>
      <c r="BT1006" s="3">
        <v>0.06280692083305139</v>
      </c>
      <c r="BU1006" s="3">
        <v>0.0630045800539666</v>
      </c>
      <c r="BV1006" s="3">
        <v>0.06316568535581941</v>
      </c>
      <c r="BW1006" s="3">
        <v>0.06328009766768843</v>
      </c>
      <c r="BX1006" s="3">
        <v>0.06337751982951285</v>
      </c>
      <c r="BY1006" s="3">
        <v>0.06343451485130712</v>
      </c>
      <c r="BZ1006" s="3">
        <v>0.06347881007115787</v>
      </c>
      <c r="CA1006" s="3">
        <v>0.06350150697484162</v>
      </c>
      <c r="CB1006" s="3">
        <v>0.06350853388162803</v>
      </c>
      <c r="CC1006" s="3">
        <v>0.06351479962307717</v>
      </c>
      <c r="CD1006" s="3">
        <v>0.0635164784466692</v>
      </c>
      <c r="CE1006" s="3">
        <v>0.06348169553473297</v>
      </c>
      <c r="CF1006" s="3">
        <v>0.06341190780214477</v>
      </c>
      <c r="CG1006" s="3">
        <v>0.06333059452764599</v>
      </c>
      <c r="CH1006" s="3">
        <v>0.06326914611314879</v>
      </c>
      <c r="CI1006" s="3">
        <v>0.06319515581539122</v>
      </c>
      <c r="CJ1006" s="3">
        <v>0.0631138059651942</v>
      </c>
      <c r="CK1006" s="3">
        <v>0.06303141814066804</v>
      </c>
      <c r="CL1006" s="3">
        <v>0.06298998185433355</v>
      </c>
      <c r="CM1006" s="3">
        <v>0.06296403044873747</v>
      </c>
      <c r="CN1006" s="3">
        <v>0.0629603538725467</v>
      </c>
      <c r="CO1006" s="3">
        <v>0.06295716963632916</v>
      </c>
      <c r="CP1006" s="3">
        <v>0.06292554647804546</v>
      </c>
      <c r="CQ1006" s="3">
        <v>0.06290818146810956</v>
      </c>
      <c r="CR1006" s="3">
        <v>0.06293478329537856</v>
      </c>
      <c r="CS1006" s="3">
        <v>0.06296574300581777</v>
      </c>
      <c r="CT1006" s="3">
        <v>0.06299078195129147</v>
      </c>
      <c r="CU1006" s="3">
        <v>0.06300218682098492</v>
      </c>
      <c r="CV1006" s="3"/>
    </row>
    <row r="1007" spans="1:100">
      <c r="A1007" s="1" t="str">
        <f>IF($AD$31="Y",'Population Definitions'!$B$28,"...")</f>
        <v>...</v>
      </c>
      <c r="B1007" s="4" t="str">
        <f>IF($AD$31="Y","---&gt;","...")</f>
        <v>...</v>
      </c>
      <c r="C1007" s="1" t="str">
        <f>IF($AD$31="Y",'Population Definitions'!$B$30,"...")</f>
        <v>...</v>
      </c>
      <c r="E1007" s="2"/>
      <c r="F1007" s="3"/>
      <c r="G1007" s="2"/>
      <c r="H1007" s="4" t="str">
        <f>IF($AD$31="Y","OR","...")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>
      <c r="A1008" s="1" t="str">
        <f>IF($AE$31="Y",'Population Definitions'!$B$28,"...")</f>
        <v>...</v>
      </c>
      <c r="B1008" s="4" t="str">
        <f>IF($AE$31="Y","---&gt;","...")</f>
        <v>...</v>
      </c>
      <c r="C1008" s="1" t="str">
        <f>IF($AE$31="Y",'Population Definitions'!$B$31,"...")</f>
        <v>...</v>
      </c>
      <c r="E1008" s="2"/>
      <c r="F1008" s="3"/>
      <c r="G1008" s="2"/>
      <c r="H1008" s="4" t="str">
        <f>IF($AE$31="Y","OR","...")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>
      <c r="A1009" s="1" t="str">
        <f>IF($AF$31="Y",'Population Definitions'!$B$28,"...")</f>
        <v>...</v>
      </c>
      <c r="B1009" s="4" t="str">
        <f>IF($AF$31="Y","---&gt;","...")</f>
        <v>...</v>
      </c>
      <c r="C1009" s="1" t="str">
        <f>IF($AF$31="Y",'Population Definitions'!$B$32,"...")</f>
        <v>...</v>
      </c>
      <c r="E1009" s="2"/>
      <c r="F1009" s="3"/>
      <c r="G1009" s="2"/>
      <c r="H1009" s="4" t="str">
        <f>IF($AF$31="Y","OR","...")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>
      <c r="A1010" s="1" t="str">
        <f>IF($AG$31="Y",'Population Definitions'!$B$28,"...")</f>
        <v>...</v>
      </c>
      <c r="B1010" s="4" t="str">
        <f>IF($AG$31="Y","---&gt;","...")</f>
        <v>...</v>
      </c>
      <c r="C1010" s="1" t="str">
        <f>IF($AG$31="Y",'Population Definitions'!$B$33,"...")</f>
        <v>...</v>
      </c>
      <c r="E1010" s="2"/>
      <c r="F1010" s="3"/>
      <c r="G1010" s="2"/>
      <c r="H1010" s="4" t="str">
        <f>IF($AG$31="Y","OR","...")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>
      <c r="A1011" s="1" t="str">
        <f>IF($AH$31="Y",'Population Definitions'!$B$28,"...")</f>
        <v>...</v>
      </c>
      <c r="B1011" s="4" t="str">
        <f>IF($AH$31="Y","---&gt;","...")</f>
        <v>...</v>
      </c>
      <c r="C1011" s="1" t="str">
        <f>IF($AH$31="Y",'Population Definitions'!$B$34,"...")</f>
        <v>...</v>
      </c>
      <c r="E1011" s="2"/>
      <c r="F1011" s="3"/>
      <c r="G1011" s="2"/>
      <c r="H1011" s="4" t="str">
        <f>IF($AH$31="Y","OR","...")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>
      <c r="A1012" s="1" t="str">
        <f>IF($AI$31="Y",'Population Definitions'!$B$28,"...")</f>
        <v>...</v>
      </c>
      <c r="B1012" s="4" t="str">
        <f>IF($AI$31="Y","---&gt;","...")</f>
        <v>...</v>
      </c>
      <c r="C1012" s="1" t="str">
        <f>IF($AI$31="Y",'Population Definitions'!$B$35,"...")</f>
        <v>...</v>
      </c>
      <c r="E1012" s="2"/>
      <c r="F1012" s="3"/>
      <c r="G1012" s="2"/>
      <c r="H1012" s="4" t="str">
        <f>IF($AI$31="Y","OR","...")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>
      <c r="A1013" s="1" t="str">
        <f>IF($AJ$31="Y",'Population Definitions'!$B$28,"...")</f>
        <v>...</v>
      </c>
      <c r="B1013" s="4" t="str">
        <f>IF($AJ$31="Y","---&gt;","...")</f>
        <v>...</v>
      </c>
      <c r="C1013" s="1" t="str">
        <f>IF($AJ$31="Y",'Population Definitions'!$B$36,"...")</f>
        <v>...</v>
      </c>
      <c r="E1013" s="2"/>
      <c r="F1013" s="3"/>
      <c r="G1013" s="2"/>
      <c r="H1013" s="4" t="str">
        <f>IF($AJ$31="Y","OR","...")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>
      <c r="A1014" s="1" t="str">
        <f>IF($AK$31="Y",'Population Definitions'!$B$28,"...")</f>
        <v>...</v>
      </c>
      <c r="B1014" s="4" t="str">
        <f>IF($AK$31="Y","---&gt;","...")</f>
        <v>...</v>
      </c>
      <c r="C1014" s="1" t="str">
        <f>IF($AK$31="Y",'Population Definitions'!$B$37,"...")</f>
        <v>...</v>
      </c>
      <c r="E1014" s="2"/>
      <c r="F1014" s="3"/>
      <c r="G1014" s="2"/>
      <c r="H1014" s="4" t="str">
        <f>IF($AK$31="Y","OR","...")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>
      <c r="A1015" s="1" t="str">
        <f>IF($B$32="Y",'Population Definitions'!$B$29,"...")</f>
        <v>...</v>
      </c>
      <c r="B1015" s="4" t="str">
        <f>IF($B$32="Y","---&gt;","...")</f>
        <v>...</v>
      </c>
      <c r="C1015" s="1" t="str">
        <f>IF($B$32="Y",'Population Definitions'!$B$2,"...")</f>
        <v>...</v>
      </c>
      <c r="E1015" s="2"/>
      <c r="F1015" s="3"/>
      <c r="G1015" s="2"/>
      <c r="H1015" s="4" t="str">
        <f>IF($B$32="Y","OR","...")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>
      <c r="A1016" s="1" t="str">
        <f>IF($C$32="Y",'Population Definitions'!$B$29,"...")</f>
        <v>...</v>
      </c>
      <c r="B1016" s="4" t="str">
        <f>IF($C$32="Y","---&gt;","...")</f>
        <v>...</v>
      </c>
      <c r="C1016" s="1" t="str">
        <f>IF($C$32="Y",'Population Definitions'!$B$3,"...")</f>
        <v>...</v>
      </c>
      <c r="E1016" s="2"/>
      <c r="F1016" s="3"/>
      <c r="G1016" s="2"/>
      <c r="H1016" s="4" t="str">
        <f>IF($C$32="Y","OR","...")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>
      <c r="A1017" s="1" t="str">
        <f>IF($D$32="Y",'Population Definitions'!$B$29,"...")</f>
        <v>...</v>
      </c>
      <c r="B1017" s="4" t="str">
        <f>IF($D$32="Y","---&gt;","...")</f>
        <v>...</v>
      </c>
      <c r="C1017" s="1" t="str">
        <f>IF($D$32="Y",'Population Definitions'!$B$4,"...")</f>
        <v>...</v>
      </c>
      <c r="E1017" s="2"/>
      <c r="F1017" s="3"/>
      <c r="G1017" s="2"/>
      <c r="H1017" s="4" t="str">
        <f>IF($D$32="Y","OR","...")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>
      <c r="A1018" s="1" t="str">
        <f>IF($E$32="Y",'Population Definitions'!$B$29,"...")</f>
        <v>...</v>
      </c>
      <c r="B1018" s="4" t="str">
        <f>IF($E$32="Y","---&gt;","...")</f>
        <v>...</v>
      </c>
      <c r="C1018" s="1" t="str">
        <f>IF($E$32="Y",'Population Definitions'!$B$5,"...")</f>
        <v>...</v>
      </c>
      <c r="E1018" s="2"/>
      <c r="F1018" s="3"/>
      <c r="G1018" s="2"/>
      <c r="H1018" s="4" t="str">
        <f>IF($E$32="Y","OR","...")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>
      <c r="A1019" s="1" t="str">
        <f>IF($F$32="Y",'Population Definitions'!$B$29,"...")</f>
        <v>...</v>
      </c>
      <c r="B1019" s="4" t="str">
        <f>IF($F$32="Y","---&gt;","...")</f>
        <v>...</v>
      </c>
      <c r="C1019" s="1" t="str">
        <f>IF($F$32="Y",'Population Definitions'!$B$6,"...")</f>
        <v>...</v>
      </c>
      <c r="E1019" s="2"/>
      <c r="F1019" s="3"/>
      <c r="G1019" s="2"/>
      <c r="H1019" s="4" t="str">
        <f>IF($F$32="Y","OR","...")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>
      <c r="A1020" s="1" t="str">
        <f>IF($G$32="Y",'Population Definitions'!$B$29,"...")</f>
        <v>...</v>
      </c>
      <c r="B1020" s="4" t="str">
        <f>IF($G$32="Y","---&gt;","...")</f>
        <v>...</v>
      </c>
      <c r="C1020" s="1" t="str">
        <f>IF($G$32="Y",'Population Definitions'!$B$7,"...")</f>
        <v>...</v>
      </c>
      <c r="E1020" s="2"/>
      <c r="F1020" s="3"/>
      <c r="G1020" s="2"/>
      <c r="H1020" s="4" t="str">
        <f>IF($G$32="Y","OR","...")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>
      <c r="A1021" s="1" t="str">
        <f>IF($H$32="Y",'Population Definitions'!$B$29,"...")</f>
        <v>...</v>
      </c>
      <c r="B1021" s="4" t="str">
        <f>IF($H$32="Y","---&gt;","...")</f>
        <v>...</v>
      </c>
      <c r="C1021" s="1" t="str">
        <f>IF($H$32="Y",'Population Definitions'!$B$8,"...")</f>
        <v>...</v>
      </c>
      <c r="E1021" s="2"/>
      <c r="F1021" s="3"/>
      <c r="G1021" s="2"/>
      <c r="H1021" s="4" t="str">
        <f>IF($H$32="Y","OR","...")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>
      <c r="A1022" s="1" t="str">
        <f>IF($I$32="Y",'Population Definitions'!$B$29,"...")</f>
        <v>...</v>
      </c>
      <c r="B1022" s="4" t="str">
        <f>IF($I$32="Y","---&gt;","...")</f>
        <v>...</v>
      </c>
      <c r="C1022" s="1" t="str">
        <f>IF($I$32="Y",'Population Definitions'!$B$9,"...")</f>
        <v>...</v>
      </c>
      <c r="E1022" s="2"/>
      <c r="F1022" s="3"/>
      <c r="G1022" s="2"/>
      <c r="H1022" s="4" t="str">
        <f>IF($I$32="Y","OR","...")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>
      <c r="A1023" s="1" t="str">
        <f>IF($J$32="Y",'Population Definitions'!$B$29,"...")</f>
        <v>...</v>
      </c>
      <c r="B1023" s="4" t="str">
        <f>IF($J$32="Y","---&gt;","...")</f>
        <v>...</v>
      </c>
      <c r="C1023" s="1" t="str">
        <f>IF($J$32="Y",'Population Definitions'!$B$10,"...")</f>
        <v>...</v>
      </c>
      <c r="E1023" s="2"/>
      <c r="F1023" s="3"/>
      <c r="G1023" s="2"/>
      <c r="H1023" s="4" t="str">
        <f>IF($J$32="Y","OR","...")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>
      <c r="A1024" s="1" t="str">
        <f>IF($K$32="Y",'Population Definitions'!$B$29,"...")</f>
        <v>...</v>
      </c>
      <c r="B1024" s="4" t="str">
        <f>IF($K$32="Y","---&gt;","...")</f>
        <v>...</v>
      </c>
      <c r="C1024" s="1" t="str">
        <f>IF($K$32="Y",'Population Definitions'!$B$11,"...")</f>
        <v>...</v>
      </c>
      <c r="E1024" s="2"/>
      <c r="F1024" s="3"/>
      <c r="G1024" s="2"/>
      <c r="H1024" s="4" t="str">
        <f>IF($K$32="Y","OR","...")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>
      <c r="A1025" s="1" t="str">
        <f>IF($L$32="Y",'Population Definitions'!$B$29,"...")</f>
        <v>...</v>
      </c>
      <c r="B1025" s="4" t="str">
        <f>IF($L$32="Y","---&gt;","...")</f>
        <v>...</v>
      </c>
      <c r="C1025" s="1" t="str">
        <f>IF($L$32="Y",'Population Definitions'!$B$12,"...")</f>
        <v>...</v>
      </c>
      <c r="E1025" s="2"/>
      <c r="F1025" s="3"/>
      <c r="G1025" s="2"/>
      <c r="H1025" s="4" t="str">
        <f>IF($L$32="Y","OR","...")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>
      <c r="A1026" s="1" t="str">
        <f>IF($M$32="Y",'Population Definitions'!$B$29,"...")</f>
        <v>...</v>
      </c>
      <c r="B1026" s="4" t="str">
        <f>IF($M$32="Y","---&gt;","...")</f>
        <v>...</v>
      </c>
      <c r="C1026" s="1" t="str">
        <f>IF($M$32="Y",'Population Definitions'!$B$13,"...")</f>
        <v>...</v>
      </c>
      <c r="E1026" s="2"/>
      <c r="F1026" s="3"/>
      <c r="G1026" s="2"/>
      <c r="H1026" s="4" t="str">
        <f>IF($M$32="Y","OR","...")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>
      <c r="A1027" s="1" t="str">
        <f>IF($N$32="Y",'Population Definitions'!$B$29,"...")</f>
        <v>...</v>
      </c>
      <c r="B1027" s="4" t="str">
        <f>IF($N$32="Y","---&gt;","...")</f>
        <v>...</v>
      </c>
      <c r="C1027" s="1" t="str">
        <f>IF($N$32="Y",'Population Definitions'!$B$14,"...")</f>
        <v>...</v>
      </c>
      <c r="E1027" s="2"/>
      <c r="F1027" s="3"/>
      <c r="G1027" s="2"/>
      <c r="H1027" s="4" t="str">
        <f>IF($N$32="Y","OR","...")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>
      <c r="A1028" s="1" t="str">
        <f>IF($O$32="Y",'Population Definitions'!$B$29,"...")</f>
        <v>...</v>
      </c>
      <c r="B1028" s="4" t="str">
        <f>IF($O$32="Y","---&gt;","...")</f>
        <v>...</v>
      </c>
      <c r="C1028" s="1" t="str">
        <f>IF($O$32="Y",'Population Definitions'!$B$15,"...")</f>
        <v>...</v>
      </c>
      <c r="E1028" s="2"/>
      <c r="F1028" s="3"/>
      <c r="G1028" s="2"/>
      <c r="H1028" s="4" t="str">
        <f>IF($O$32="Y","OR","...")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>
      <c r="A1029" s="1" t="str">
        <f>IF($P$32="Y",'Population Definitions'!$B$29,"...")</f>
        <v>...</v>
      </c>
      <c r="B1029" s="4" t="str">
        <f>IF($P$32="Y","---&gt;","...")</f>
        <v>...</v>
      </c>
      <c r="C1029" s="1" t="str">
        <f>IF($P$32="Y",'Population Definitions'!$B$16,"...")</f>
        <v>...</v>
      </c>
      <c r="E1029" s="2"/>
      <c r="F1029" s="3"/>
      <c r="G1029" s="2"/>
      <c r="H1029" s="4" t="str">
        <f>IF($P$32="Y","OR","...")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>
      <c r="A1030" s="1" t="str">
        <f>IF($Q$32="Y",'Population Definitions'!$B$29,"...")</f>
        <v>...</v>
      </c>
      <c r="B1030" s="4" t="str">
        <f>IF($Q$32="Y","---&gt;","...")</f>
        <v>...</v>
      </c>
      <c r="C1030" s="1" t="str">
        <f>IF($Q$32="Y",'Population Definitions'!$B$17,"...")</f>
        <v>...</v>
      </c>
      <c r="E1030" s="2"/>
      <c r="F1030" s="3"/>
      <c r="G1030" s="2"/>
      <c r="H1030" s="4" t="str">
        <f>IF($Q$32="Y","OR","...")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>
      <c r="A1031" s="1" t="str">
        <f>IF($R$32="Y",'Population Definitions'!$B$29,"...")</f>
        <v>...</v>
      </c>
      <c r="B1031" s="4" t="str">
        <f>IF($R$32="Y","---&gt;","...")</f>
        <v>...</v>
      </c>
      <c r="C1031" s="1" t="str">
        <f>IF($R$32="Y",'Population Definitions'!$B$18,"...")</f>
        <v>...</v>
      </c>
      <c r="E1031" s="2"/>
      <c r="F1031" s="3"/>
      <c r="G1031" s="2"/>
      <c r="H1031" s="4" t="str">
        <f>IF($R$32="Y","OR","...")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>
      <c r="A1032" s="1" t="str">
        <f>IF($S$32="Y",'Population Definitions'!$B$29,"...")</f>
        <v>...</v>
      </c>
      <c r="B1032" s="4" t="str">
        <f>IF($S$32="Y","---&gt;","...")</f>
        <v>...</v>
      </c>
      <c r="C1032" s="1" t="str">
        <f>IF($S$32="Y",'Population Definitions'!$B$19,"...")</f>
        <v>...</v>
      </c>
      <c r="E1032" s="2"/>
      <c r="F1032" s="3"/>
      <c r="G1032" s="2"/>
      <c r="H1032" s="4" t="str">
        <f>IF($S$32="Y","OR","...")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>
      <c r="A1033" s="1" t="str">
        <f>IF($T$32="Y",'Population Definitions'!$B$29,"...")</f>
        <v>...</v>
      </c>
      <c r="B1033" s="4" t="str">
        <f>IF($T$32="Y","---&gt;","...")</f>
        <v>...</v>
      </c>
      <c r="C1033" s="1" t="str">
        <f>IF($T$32="Y",'Population Definitions'!$B$20,"...")</f>
        <v>...</v>
      </c>
      <c r="E1033" s="2"/>
      <c r="F1033" s="3"/>
      <c r="G1033" s="2"/>
      <c r="H1033" s="4" t="str">
        <f>IF($T$32="Y","OR","...")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>
      <c r="A1034" s="1" t="str">
        <f>IF($U$32="Y",'Population Definitions'!$B$29,"...")</f>
        <v>...</v>
      </c>
      <c r="B1034" s="4" t="str">
        <f>IF($U$32="Y","---&gt;","...")</f>
        <v>...</v>
      </c>
      <c r="C1034" s="1" t="str">
        <f>IF($U$32="Y",'Population Definitions'!$B$21,"...")</f>
        <v>...</v>
      </c>
      <c r="E1034" s="2"/>
      <c r="F1034" s="3"/>
      <c r="G1034" s="2"/>
      <c r="H1034" s="4" t="str">
        <f>IF($U$32="Y","OR","...")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>
      <c r="A1035" s="1" t="str">
        <f>IF($V$32="Y",'Population Definitions'!$B$29,"...")</f>
        <v>...</v>
      </c>
      <c r="B1035" s="4" t="str">
        <f>IF($V$32="Y","---&gt;","...")</f>
        <v>...</v>
      </c>
      <c r="C1035" s="1" t="str">
        <f>IF($V$32="Y",'Population Definitions'!$B$22,"...")</f>
        <v>...</v>
      </c>
      <c r="E1035" s="2"/>
      <c r="F1035" s="3"/>
      <c r="G1035" s="2"/>
      <c r="H1035" s="4" t="str">
        <f>IF($V$32="Y","OR","...")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>
      <c r="A1036" s="1" t="str">
        <f>IF($W$32="Y",'Population Definitions'!$B$29,"...")</f>
        <v>...</v>
      </c>
      <c r="B1036" s="4" t="str">
        <f>IF($W$32="Y","---&gt;","...")</f>
        <v>...</v>
      </c>
      <c r="C1036" s="1" t="str">
        <f>IF($W$32="Y",'Population Definitions'!$B$23,"...")</f>
        <v>...</v>
      </c>
      <c r="E1036" s="2"/>
      <c r="F1036" s="3"/>
      <c r="G1036" s="2"/>
      <c r="H1036" s="4" t="str">
        <f>IF($W$32="Y","OR","...")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>
      <c r="A1037" s="1" t="str">
        <f>IF($X$32="Y",'Population Definitions'!$B$29,"...")</f>
        <v>...</v>
      </c>
      <c r="B1037" s="4" t="str">
        <f>IF($X$32="Y","---&gt;","...")</f>
        <v>...</v>
      </c>
      <c r="C1037" s="1" t="str">
        <f>IF($X$32="Y",'Population Definitions'!$B$24,"...")</f>
        <v>...</v>
      </c>
      <c r="E1037" s="2"/>
      <c r="F1037" s="3"/>
      <c r="G1037" s="2"/>
      <c r="H1037" s="4" t="str">
        <f>IF($X$32="Y","OR","...")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>
      <c r="A1038" s="1" t="str">
        <f>IF($Y$32="Y",'Population Definitions'!$B$29,"...")</f>
        <v>...</v>
      </c>
      <c r="B1038" s="4" t="str">
        <f>IF($Y$32="Y","---&gt;","...")</f>
        <v>...</v>
      </c>
      <c r="C1038" s="1" t="str">
        <f>IF($Y$32="Y",'Population Definitions'!$B$25,"...")</f>
        <v>...</v>
      </c>
      <c r="E1038" s="2"/>
      <c r="F1038" s="3"/>
      <c r="G1038" s="2"/>
      <c r="H1038" s="4" t="str">
        <f>IF($Y$32="Y","OR","...")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>
      <c r="A1039" s="1" t="str">
        <f>IF($Z$32="Y",'Population Definitions'!$B$29,"...")</f>
        <v>...</v>
      </c>
      <c r="B1039" s="4" t="str">
        <f>IF($Z$32="Y","---&gt;","...")</f>
        <v>...</v>
      </c>
      <c r="C1039" s="1" t="str">
        <f>IF($Z$32="Y",'Population Definitions'!$B$26,"...")</f>
        <v>...</v>
      </c>
      <c r="E1039" s="2"/>
      <c r="F1039" s="3"/>
      <c r="G1039" s="2"/>
      <c r="H1039" s="4" t="str">
        <f>IF($Z$32="Y","OR","...")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>
      <c r="A1040" s="1" t="str">
        <f>IF($AA$32="Y",'Population Definitions'!$B$29,"...")</f>
        <v>...</v>
      </c>
      <c r="B1040" s="4" t="str">
        <f>IF($AA$32="Y","---&gt;","...")</f>
        <v>...</v>
      </c>
      <c r="C1040" s="1" t="str">
        <f>IF($AA$32="Y",'Population Definitions'!$B$27,"...")</f>
        <v>...</v>
      </c>
      <c r="E1040" s="2"/>
      <c r="F1040" s="3"/>
      <c r="G1040" s="2"/>
      <c r="H1040" s="4" t="str">
        <f>IF($AA$32="Y","OR","...")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>
      <c r="A1041" s="1" t="str">
        <f>IF($AB$32="Y",'Population Definitions'!$B$29,"...")</f>
        <v>...</v>
      </c>
      <c r="B1041" s="4" t="str">
        <f>IF($AB$32="Y","---&gt;","...")</f>
        <v>...</v>
      </c>
      <c r="C1041" s="1" t="str">
        <f>IF($AB$32="Y",'Population Definitions'!$B$28,"...")</f>
        <v>...</v>
      </c>
      <c r="E1041" s="2"/>
      <c r="F1041" s="3"/>
      <c r="G1041" s="2"/>
      <c r="H1041" s="4" t="str">
        <f>IF($AB$32="Y","OR","...")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>
      <c r="A1042" s="1" t="str">
        <f>IF($AC$32="Y",'Population Definitions'!$B$29,"...")</f>
        <v>...</v>
      </c>
      <c r="B1042" s="4" t="str">
        <f>IF($AC$32="Y","---&gt;","...")</f>
        <v>...</v>
      </c>
      <c r="C1042" s="1" t="str">
        <f>IF($AC$32="Y",'Population Definitions'!$B$29,"...")</f>
        <v>...</v>
      </c>
      <c r="E1042" s="2"/>
      <c r="F1042" s="3"/>
      <c r="G1042" s="2"/>
      <c r="H1042" s="4" t="str">
        <f>IF($AC$32="Y","OR","...")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>
      <c r="A1043" s="1" t="str">
        <f>IF($AD$32="Y",'Population Definitions'!$B$29,"...")</f>
        <v>30-49M_fns</v>
      </c>
      <c r="B1043" s="4" t="str">
        <f>IF($AD$32="Y","---&gt;","...")</f>
        <v>---&gt;</v>
      </c>
      <c r="C1043" s="1" t="str">
        <f>IF($AD$32="Y",'Population Definitions'!$B$30,"...")</f>
        <v>50-64M_fns</v>
      </c>
      <c r="E1043" s="3" t="s">
        <v>63</v>
      </c>
      <c r="F1043" s="3"/>
      <c r="G1043" s="3"/>
      <c r="H1043" s="4" t="str">
        <f>IF($AD$32="Y","OR","...")</f>
        <v>OR</v>
      </c>
      <c r="I1043" s="3">
        <v>0.04176705195034983</v>
      </c>
      <c r="J1043" s="3">
        <v>0.04118846696742107</v>
      </c>
      <c r="K1043" s="3">
        <v>0.04140492800520928</v>
      </c>
      <c r="L1043" s="3">
        <v>0.04003345665167021</v>
      </c>
      <c r="M1043" s="3">
        <v>0.03917522665976247</v>
      </c>
      <c r="N1043" s="3">
        <v>0.04008279423394372</v>
      </c>
      <c r="O1043" s="3">
        <v>0.03844167624613957</v>
      </c>
      <c r="P1043" s="3">
        <v>0.0381786881491109</v>
      </c>
      <c r="Q1043" s="3">
        <v>0.03775710424874505</v>
      </c>
      <c r="R1043" s="3">
        <v>0.03759229411236598</v>
      </c>
      <c r="S1043" s="3">
        <v>0.03619444571955228</v>
      </c>
      <c r="T1043" s="3">
        <v>0.0352586345156573</v>
      </c>
      <c r="U1043" s="3">
        <v>0.03521219710072072</v>
      </c>
      <c r="V1043" s="3">
        <v>0.03420343093282013</v>
      </c>
      <c r="W1043" s="3">
        <v>0.0341033348835752</v>
      </c>
      <c r="X1043" s="3">
        <v>0.03309224816010899</v>
      </c>
      <c r="Y1043" s="3">
        <v>0.0329540898664788</v>
      </c>
      <c r="Z1043" s="3">
        <v>0.03228097826413063</v>
      </c>
      <c r="AA1043" s="3">
        <v>0.0313725276748902</v>
      </c>
      <c r="AB1043" s="3">
        <v>0.03082462084087536</v>
      </c>
      <c r="AC1043" s="3">
        <v>0.0302680613427598</v>
      </c>
      <c r="AD1043" s="3">
        <v>0.03001313217329269</v>
      </c>
      <c r="AE1043" s="3">
        <v>0.02997777237905016</v>
      </c>
      <c r="AF1043" s="3">
        <v>0.02950696852455368</v>
      </c>
      <c r="AG1043" s="3">
        <v>0.02921038916482747</v>
      </c>
      <c r="AH1043" s="3">
        <v>0.02859841855706029</v>
      </c>
      <c r="AI1043" s="3">
        <v>0.02853650393099203</v>
      </c>
      <c r="AJ1043" s="3">
        <v>0.0286394727552623</v>
      </c>
      <c r="AK1043" s="3">
        <v>0.02872685342808598</v>
      </c>
      <c r="AL1043" s="3">
        <v>0.02813413948033189</v>
      </c>
      <c r="AM1043" s="3">
        <v>0.0278513005860195</v>
      </c>
      <c r="AN1043" s="3">
        <v>0.04537696379213665</v>
      </c>
      <c r="AO1043" s="3">
        <v>0.04470043035440649</v>
      </c>
      <c r="AP1043" s="3">
        <v>0.04493681833897936</v>
      </c>
      <c r="AQ1043" s="3">
        <v>0.04493983885776592</v>
      </c>
      <c r="AR1043" s="3">
        <v>0.04461634915659102</v>
      </c>
      <c r="AS1043" s="3">
        <v>0.04536367765525784</v>
      </c>
      <c r="AT1043" s="3">
        <v>0.04577418208992806</v>
      </c>
      <c r="AU1043" s="3">
        <v>0.04544701796946075</v>
      </c>
      <c r="AV1043" s="3">
        <v>0.04939062509554907</v>
      </c>
      <c r="AW1043" s="3">
        <v>0.05103310682492363</v>
      </c>
      <c r="AX1043" s="3">
        <v>0.04911497192826995</v>
      </c>
      <c r="AY1043" s="3">
        <v>0.04694071854818713</v>
      </c>
      <c r="AZ1043" s="3">
        <v>0.04390090236244518</v>
      </c>
      <c r="BA1043" s="3">
        <v>0.0418750494935755</v>
      </c>
      <c r="BB1043" s="3">
        <v>0.04144450888637341</v>
      </c>
      <c r="BC1043" s="3">
        <v>0.03916074846928341</v>
      </c>
      <c r="BD1043" s="3">
        <v>0.03739539319775692</v>
      </c>
      <c r="BE1043" s="3">
        <v>0.03752183418582988</v>
      </c>
      <c r="BF1043" s="3">
        <v>0.03688998193900245</v>
      </c>
      <c r="BG1043" s="3">
        <v>0.03880280625022503</v>
      </c>
      <c r="BH1043" s="3">
        <v>0.03857026569618921</v>
      </c>
      <c r="BI1043" s="3">
        <v>0.03875598273025116</v>
      </c>
      <c r="BJ1043" s="3">
        <v>0.03893074378700149</v>
      </c>
      <c r="BK1043" s="3">
        <v>0.03909580274299877</v>
      </c>
      <c r="BL1043" s="3">
        <v>0.03925185557724037</v>
      </c>
      <c r="BM1043" s="3">
        <v>0.03934389243964172</v>
      </c>
      <c r="BN1043" s="3">
        <v>0.039490060317579</v>
      </c>
      <c r="BO1043" s="3">
        <v>0.03966494050538384</v>
      </c>
      <c r="BP1043" s="3">
        <v>0.03985143292380474</v>
      </c>
      <c r="BQ1043" s="3">
        <v>0.04005132835937657</v>
      </c>
      <c r="BR1043" s="3">
        <v>0.04025758299162454</v>
      </c>
      <c r="BS1043" s="3">
        <v>0.04046902224105421</v>
      </c>
      <c r="BT1043" s="3">
        <v>0.0406744673262362</v>
      </c>
      <c r="BU1043" s="3">
        <v>0.0408539809816694</v>
      </c>
      <c r="BV1043" s="3">
        <v>0.04100685479918108</v>
      </c>
      <c r="BW1043" s="3">
        <v>0.04111145070569058</v>
      </c>
      <c r="BX1043" s="3">
        <v>0.04118432715819479</v>
      </c>
      <c r="BY1043" s="3">
        <v>0.0412216808156601</v>
      </c>
      <c r="BZ1043" s="3">
        <v>0.04124943569847575</v>
      </c>
      <c r="CA1043" s="3">
        <v>0.04125799036222241</v>
      </c>
      <c r="CB1043" s="3">
        <v>0.04124720858406489</v>
      </c>
      <c r="CC1043" s="3">
        <v>0.04123988382777508</v>
      </c>
      <c r="CD1043" s="3">
        <v>0.04122191105112951</v>
      </c>
      <c r="CE1043" s="3">
        <v>0.04117713919853568</v>
      </c>
      <c r="CF1043" s="3">
        <v>0.04110541239539208</v>
      </c>
      <c r="CG1043" s="3">
        <v>0.04102539097359329</v>
      </c>
      <c r="CH1043" s="3">
        <v>0.04095955715708998</v>
      </c>
      <c r="CI1043" s="3">
        <v>0.04089513035676749</v>
      </c>
      <c r="CJ1043" s="3">
        <v>0.04082872157944754</v>
      </c>
      <c r="CK1043" s="3">
        <v>0.04075295879704539</v>
      </c>
      <c r="CL1043" s="3">
        <v>0.04071532505042864</v>
      </c>
      <c r="CM1043" s="3">
        <v>0.04070305974130799</v>
      </c>
      <c r="CN1043" s="3">
        <v>0.04071227786138034</v>
      </c>
      <c r="CO1043" s="3">
        <v>0.04071689721103719</v>
      </c>
      <c r="CP1043" s="3">
        <v>0.04070038348815351</v>
      </c>
      <c r="CQ1043" s="3">
        <v>0.04069780209632411</v>
      </c>
      <c r="CR1043" s="3">
        <v>0.04073433965982295</v>
      </c>
      <c r="CS1043" s="3">
        <v>0.04077840614455913</v>
      </c>
      <c r="CT1043" s="3">
        <v>0.04081061921187017</v>
      </c>
      <c r="CU1043" s="3">
        <v>0.04083182299174935</v>
      </c>
      <c r="CV1043" s="3"/>
    </row>
    <row r="1044" spans="1:100">
      <c r="A1044" s="1" t="str">
        <f>IF($AE$32="Y",'Population Definitions'!$B$29,"...")</f>
        <v>...</v>
      </c>
      <c r="B1044" s="4" t="str">
        <f>IF($AE$32="Y","---&gt;","...")</f>
        <v>...</v>
      </c>
      <c r="C1044" s="1" t="str">
        <f>IF($AE$32="Y",'Population Definitions'!$B$31,"...")</f>
        <v>...</v>
      </c>
      <c r="E1044" s="2"/>
      <c r="F1044" s="3"/>
      <c r="G1044" s="2"/>
      <c r="H1044" s="4" t="str">
        <f>IF($AE$32="Y","OR","...")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>
      <c r="A1045" s="1" t="str">
        <f>IF($AF$32="Y",'Population Definitions'!$B$29,"...")</f>
        <v>...</v>
      </c>
      <c r="B1045" s="4" t="str">
        <f>IF($AF$32="Y","---&gt;","...")</f>
        <v>...</v>
      </c>
      <c r="C1045" s="1" t="str">
        <f>IF($AF$32="Y",'Population Definitions'!$B$32,"...")</f>
        <v>...</v>
      </c>
      <c r="E1045" s="2"/>
      <c r="F1045" s="3"/>
      <c r="G1045" s="2"/>
      <c r="H1045" s="4" t="str">
        <f>IF($AF$32="Y","OR","...")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>
      <c r="A1046" s="1" t="str">
        <f>IF($AG$32="Y",'Population Definitions'!$B$29,"...")</f>
        <v>...</v>
      </c>
      <c r="B1046" s="4" t="str">
        <f>IF($AG$32="Y","---&gt;","...")</f>
        <v>...</v>
      </c>
      <c r="C1046" s="1" t="str">
        <f>IF($AG$32="Y",'Population Definitions'!$B$33,"...")</f>
        <v>...</v>
      </c>
      <c r="E1046" s="2"/>
      <c r="F1046" s="3"/>
      <c r="G1046" s="2"/>
      <c r="H1046" s="4" t="str">
        <f>IF($AG$32="Y","OR","...")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>
      <c r="A1047" s="1" t="str">
        <f>IF($AH$32="Y",'Population Definitions'!$B$29,"...")</f>
        <v>...</v>
      </c>
      <c r="B1047" s="4" t="str">
        <f>IF($AH$32="Y","---&gt;","...")</f>
        <v>...</v>
      </c>
      <c r="C1047" s="1" t="str">
        <f>IF($AH$32="Y",'Population Definitions'!$B$34,"...")</f>
        <v>...</v>
      </c>
      <c r="E1047" s="2"/>
      <c r="F1047" s="3"/>
      <c r="G1047" s="2"/>
      <c r="H1047" s="4" t="str">
        <f>IF($AH$32="Y","OR","...")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>
      <c r="A1048" s="1" t="str">
        <f>IF($AI$32="Y",'Population Definitions'!$B$29,"...")</f>
        <v>...</v>
      </c>
      <c r="B1048" s="4" t="str">
        <f>IF($AI$32="Y","---&gt;","...")</f>
        <v>...</v>
      </c>
      <c r="C1048" s="1" t="str">
        <f>IF($AI$32="Y",'Population Definitions'!$B$35,"...")</f>
        <v>...</v>
      </c>
      <c r="E1048" s="2"/>
      <c r="F1048" s="3"/>
      <c r="G1048" s="2"/>
      <c r="H1048" s="4" t="str">
        <f>IF($AI$32="Y","OR","...")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>
      <c r="A1049" s="1" t="str">
        <f>IF($AJ$32="Y",'Population Definitions'!$B$29,"...")</f>
        <v>...</v>
      </c>
      <c r="B1049" s="4" t="str">
        <f>IF($AJ$32="Y","---&gt;","...")</f>
        <v>...</v>
      </c>
      <c r="C1049" s="1" t="str">
        <f>IF($AJ$32="Y",'Population Definitions'!$B$36,"...")</f>
        <v>...</v>
      </c>
      <c r="E1049" s="2"/>
      <c r="F1049" s="3"/>
      <c r="G1049" s="2"/>
      <c r="H1049" s="4" t="str">
        <f>IF($AJ$32="Y","OR","...")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>
      <c r="A1050" s="1" t="str">
        <f>IF($AK$32="Y",'Population Definitions'!$B$29,"...")</f>
        <v>...</v>
      </c>
      <c r="B1050" s="4" t="str">
        <f>IF($AK$32="Y","---&gt;","...")</f>
        <v>...</v>
      </c>
      <c r="C1050" s="1" t="str">
        <f>IF($AK$32="Y",'Population Definitions'!$B$37,"...")</f>
        <v>...</v>
      </c>
      <c r="E1050" s="2"/>
      <c r="F1050" s="3"/>
      <c r="G1050" s="2"/>
      <c r="H1050" s="4" t="str">
        <f>IF($AK$32="Y","OR","...")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>
      <c r="A1051" s="1" t="str">
        <f>IF($B$33="Y",'Population Definitions'!$B$30,"...")</f>
        <v>...</v>
      </c>
      <c r="B1051" s="4" t="str">
        <f>IF($B$33="Y","---&gt;","...")</f>
        <v>...</v>
      </c>
      <c r="C1051" s="1" t="str">
        <f>IF($B$33="Y",'Population Definitions'!$B$2,"...")</f>
        <v>...</v>
      </c>
      <c r="E1051" s="2"/>
      <c r="F1051" s="3"/>
      <c r="G1051" s="2"/>
      <c r="H1051" s="4" t="str">
        <f>IF($B$33="Y","OR","...")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>
      <c r="A1052" s="1" t="str">
        <f>IF($C$33="Y",'Population Definitions'!$B$30,"...")</f>
        <v>...</v>
      </c>
      <c r="B1052" s="4" t="str">
        <f>IF($C$33="Y","---&gt;","...")</f>
        <v>...</v>
      </c>
      <c r="C1052" s="1" t="str">
        <f>IF($C$33="Y",'Population Definitions'!$B$3,"...")</f>
        <v>...</v>
      </c>
      <c r="E1052" s="2"/>
      <c r="F1052" s="3"/>
      <c r="G1052" s="2"/>
      <c r="H1052" s="4" t="str">
        <f>IF($C$33="Y","OR","...")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>
      <c r="A1053" s="1" t="str">
        <f>IF($D$33="Y",'Population Definitions'!$B$30,"...")</f>
        <v>...</v>
      </c>
      <c r="B1053" s="4" t="str">
        <f>IF($D$33="Y","---&gt;","...")</f>
        <v>...</v>
      </c>
      <c r="C1053" s="1" t="str">
        <f>IF($D$33="Y",'Population Definitions'!$B$4,"...")</f>
        <v>...</v>
      </c>
      <c r="E1053" s="2"/>
      <c r="F1053" s="3"/>
      <c r="G1053" s="2"/>
      <c r="H1053" s="4" t="str">
        <f>IF($D$33="Y","OR","...")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>
      <c r="A1054" s="1" t="str">
        <f>IF($E$33="Y",'Population Definitions'!$B$30,"...")</f>
        <v>...</v>
      </c>
      <c r="B1054" s="4" t="str">
        <f>IF($E$33="Y","---&gt;","...")</f>
        <v>...</v>
      </c>
      <c r="C1054" s="1" t="str">
        <f>IF($E$33="Y",'Population Definitions'!$B$5,"...")</f>
        <v>...</v>
      </c>
      <c r="E1054" s="2"/>
      <c r="F1054" s="3"/>
      <c r="G1054" s="2"/>
      <c r="H1054" s="4" t="str">
        <f>IF($E$33="Y","OR","...")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>
      <c r="A1055" s="1" t="str">
        <f>IF($F$33="Y",'Population Definitions'!$B$30,"...")</f>
        <v>...</v>
      </c>
      <c r="B1055" s="4" t="str">
        <f>IF($F$33="Y","---&gt;","...")</f>
        <v>...</v>
      </c>
      <c r="C1055" s="1" t="str">
        <f>IF($F$33="Y",'Population Definitions'!$B$6,"...")</f>
        <v>...</v>
      </c>
      <c r="E1055" s="2"/>
      <c r="F1055" s="3"/>
      <c r="G1055" s="2"/>
      <c r="H1055" s="4" t="str">
        <f>IF($F$33="Y","OR","...")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>
      <c r="A1056" s="1" t="str">
        <f>IF($G$33="Y",'Population Definitions'!$B$30,"...")</f>
        <v>...</v>
      </c>
      <c r="B1056" s="4" t="str">
        <f>IF($G$33="Y","---&gt;","...")</f>
        <v>...</v>
      </c>
      <c r="C1056" s="1" t="str">
        <f>IF($G$33="Y",'Population Definitions'!$B$7,"...")</f>
        <v>...</v>
      </c>
      <c r="E1056" s="2"/>
      <c r="F1056" s="3"/>
      <c r="G1056" s="2"/>
      <c r="H1056" s="4" t="str">
        <f>IF($G$33="Y","OR","...")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>
      <c r="A1057" s="1" t="str">
        <f>IF($H$33="Y",'Population Definitions'!$B$30,"...")</f>
        <v>...</v>
      </c>
      <c r="B1057" s="4" t="str">
        <f>IF($H$33="Y","---&gt;","...")</f>
        <v>...</v>
      </c>
      <c r="C1057" s="1" t="str">
        <f>IF($H$33="Y",'Population Definitions'!$B$8,"...")</f>
        <v>...</v>
      </c>
      <c r="E1057" s="2"/>
      <c r="F1057" s="3"/>
      <c r="G1057" s="2"/>
      <c r="H1057" s="4" t="str">
        <f>IF($H$33="Y","OR","...")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>
      <c r="A1058" s="1" t="str">
        <f>IF($I$33="Y",'Population Definitions'!$B$30,"...")</f>
        <v>...</v>
      </c>
      <c r="B1058" s="4" t="str">
        <f>IF($I$33="Y","---&gt;","...")</f>
        <v>...</v>
      </c>
      <c r="C1058" s="1" t="str">
        <f>IF($I$33="Y",'Population Definitions'!$B$9,"...")</f>
        <v>...</v>
      </c>
      <c r="E1058" s="2"/>
      <c r="F1058" s="3"/>
      <c r="G1058" s="2"/>
      <c r="H1058" s="4" t="str">
        <f>IF($I$33="Y","OR","...")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>
      <c r="A1059" s="1" t="str">
        <f>IF($J$33="Y",'Population Definitions'!$B$30,"...")</f>
        <v>...</v>
      </c>
      <c r="B1059" s="4" t="str">
        <f>IF($J$33="Y","---&gt;","...")</f>
        <v>...</v>
      </c>
      <c r="C1059" s="1" t="str">
        <f>IF($J$33="Y",'Population Definitions'!$B$10,"...")</f>
        <v>...</v>
      </c>
      <c r="E1059" s="2"/>
      <c r="F1059" s="3"/>
      <c r="G1059" s="2"/>
      <c r="H1059" s="4" t="str">
        <f>IF($J$33="Y","OR","...")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>
      <c r="A1060" s="1" t="str">
        <f>IF($K$33="Y",'Population Definitions'!$B$30,"...")</f>
        <v>...</v>
      </c>
      <c r="B1060" s="4" t="str">
        <f>IF($K$33="Y","---&gt;","...")</f>
        <v>...</v>
      </c>
      <c r="C1060" s="1" t="str">
        <f>IF($K$33="Y",'Population Definitions'!$B$11,"...")</f>
        <v>...</v>
      </c>
      <c r="E1060" s="2"/>
      <c r="F1060" s="3"/>
      <c r="G1060" s="2"/>
      <c r="H1060" s="4" t="str">
        <f>IF($K$33="Y","OR","...")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>
      <c r="A1061" s="1" t="str">
        <f>IF($L$33="Y",'Population Definitions'!$B$30,"...")</f>
        <v>...</v>
      </c>
      <c r="B1061" s="4" t="str">
        <f>IF($L$33="Y","---&gt;","...")</f>
        <v>...</v>
      </c>
      <c r="C1061" s="1" t="str">
        <f>IF($L$33="Y",'Population Definitions'!$B$12,"...")</f>
        <v>...</v>
      </c>
      <c r="E1061" s="2"/>
      <c r="F1061" s="3"/>
      <c r="G1061" s="2"/>
      <c r="H1061" s="4" t="str">
        <f>IF($L$33="Y","OR","...")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>
      <c r="A1062" s="1" t="str">
        <f>IF($M$33="Y",'Population Definitions'!$B$30,"...")</f>
        <v>...</v>
      </c>
      <c r="B1062" s="4" t="str">
        <f>IF($M$33="Y","---&gt;","...")</f>
        <v>...</v>
      </c>
      <c r="C1062" s="1" t="str">
        <f>IF($M$33="Y",'Population Definitions'!$B$13,"...")</f>
        <v>...</v>
      </c>
      <c r="E1062" s="2"/>
      <c r="F1062" s="3"/>
      <c r="G1062" s="2"/>
      <c r="H1062" s="4" t="str">
        <f>IF($M$33="Y","OR","...")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>
      <c r="A1063" s="1" t="str">
        <f>IF($N$33="Y",'Population Definitions'!$B$30,"...")</f>
        <v>...</v>
      </c>
      <c r="B1063" s="4" t="str">
        <f>IF($N$33="Y","---&gt;","...")</f>
        <v>...</v>
      </c>
      <c r="C1063" s="1" t="str">
        <f>IF($N$33="Y",'Population Definitions'!$B$14,"...")</f>
        <v>...</v>
      </c>
      <c r="E1063" s="2"/>
      <c r="F1063" s="3"/>
      <c r="G1063" s="2"/>
      <c r="H1063" s="4" t="str">
        <f>IF($N$33="Y","OR","...")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>
      <c r="A1064" s="1" t="str">
        <f>IF($O$33="Y",'Population Definitions'!$B$30,"...")</f>
        <v>...</v>
      </c>
      <c r="B1064" s="4" t="str">
        <f>IF($O$33="Y","---&gt;","...")</f>
        <v>...</v>
      </c>
      <c r="C1064" s="1" t="str">
        <f>IF($O$33="Y",'Population Definitions'!$B$15,"...")</f>
        <v>...</v>
      </c>
      <c r="E1064" s="2"/>
      <c r="F1064" s="3"/>
      <c r="G1064" s="2"/>
      <c r="H1064" s="4" t="str">
        <f>IF($O$33="Y","OR","...")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>
      <c r="A1065" s="1" t="str">
        <f>IF($P$33="Y",'Population Definitions'!$B$30,"...")</f>
        <v>...</v>
      </c>
      <c r="B1065" s="4" t="str">
        <f>IF($P$33="Y","---&gt;","...")</f>
        <v>...</v>
      </c>
      <c r="C1065" s="1" t="str">
        <f>IF($P$33="Y",'Population Definitions'!$B$16,"...")</f>
        <v>...</v>
      </c>
      <c r="E1065" s="2"/>
      <c r="F1065" s="3"/>
      <c r="G1065" s="2"/>
      <c r="H1065" s="4" t="str">
        <f>IF($P$33="Y","OR","...")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>
      <c r="A1066" s="1" t="str">
        <f>IF($Q$33="Y",'Population Definitions'!$B$30,"...")</f>
        <v>...</v>
      </c>
      <c r="B1066" s="4" t="str">
        <f>IF($Q$33="Y","---&gt;","...")</f>
        <v>...</v>
      </c>
      <c r="C1066" s="1" t="str">
        <f>IF($Q$33="Y",'Population Definitions'!$B$17,"...")</f>
        <v>...</v>
      </c>
      <c r="E1066" s="2"/>
      <c r="F1066" s="3"/>
      <c r="G1066" s="2"/>
      <c r="H1066" s="4" t="str">
        <f>IF($Q$33="Y","OR","...")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>
      <c r="A1067" s="1" t="str">
        <f>IF($R$33="Y",'Population Definitions'!$B$30,"...")</f>
        <v>...</v>
      </c>
      <c r="B1067" s="4" t="str">
        <f>IF($R$33="Y","---&gt;","...")</f>
        <v>...</v>
      </c>
      <c r="C1067" s="1" t="str">
        <f>IF($R$33="Y",'Population Definitions'!$B$18,"...")</f>
        <v>...</v>
      </c>
      <c r="E1067" s="2"/>
      <c r="F1067" s="3"/>
      <c r="G1067" s="2"/>
      <c r="H1067" s="4" t="str">
        <f>IF($R$33="Y","OR","...")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>
      <c r="A1068" s="1" t="str">
        <f>IF($S$33="Y",'Population Definitions'!$B$30,"...")</f>
        <v>...</v>
      </c>
      <c r="B1068" s="4" t="str">
        <f>IF($S$33="Y","---&gt;","...")</f>
        <v>...</v>
      </c>
      <c r="C1068" s="1" t="str">
        <f>IF($S$33="Y",'Population Definitions'!$B$19,"...")</f>
        <v>...</v>
      </c>
      <c r="E1068" s="2"/>
      <c r="F1068" s="3"/>
      <c r="G1068" s="2"/>
      <c r="H1068" s="4" t="str">
        <f>IF($S$33="Y","OR","...")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>
      <c r="A1069" s="1" t="str">
        <f>IF($T$33="Y",'Population Definitions'!$B$30,"...")</f>
        <v>...</v>
      </c>
      <c r="B1069" s="4" t="str">
        <f>IF($T$33="Y","---&gt;","...")</f>
        <v>...</v>
      </c>
      <c r="C1069" s="1" t="str">
        <f>IF($T$33="Y",'Population Definitions'!$B$20,"...")</f>
        <v>...</v>
      </c>
      <c r="E1069" s="2"/>
      <c r="F1069" s="3"/>
      <c r="G1069" s="2"/>
      <c r="H1069" s="4" t="str">
        <f>IF($T$33="Y","OR","...")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>
      <c r="A1070" s="1" t="str">
        <f>IF($U$33="Y",'Population Definitions'!$B$30,"...")</f>
        <v>...</v>
      </c>
      <c r="B1070" s="4" t="str">
        <f>IF($U$33="Y","---&gt;","...")</f>
        <v>...</v>
      </c>
      <c r="C1070" s="1" t="str">
        <f>IF($U$33="Y",'Population Definitions'!$B$21,"...")</f>
        <v>...</v>
      </c>
      <c r="E1070" s="2"/>
      <c r="F1070" s="3"/>
      <c r="G1070" s="2"/>
      <c r="H1070" s="4" t="str">
        <f>IF($U$33="Y","OR","...")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>
      <c r="A1071" s="1" t="str">
        <f>IF($V$33="Y",'Population Definitions'!$B$30,"...")</f>
        <v>...</v>
      </c>
      <c r="B1071" s="4" t="str">
        <f>IF($V$33="Y","---&gt;","...")</f>
        <v>...</v>
      </c>
      <c r="C1071" s="1" t="str">
        <f>IF($V$33="Y",'Population Definitions'!$B$22,"...")</f>
        <v>...</v>
      </c>
      <c r="E1071" s="2"/>
      <c r="F1071" s="3"/>
      <c r="G1071" s="2"/>
      <c r="H1071" s="4" t="str">
        <f>IF($V$33="Y","OR","...")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>
      <c r="A1072" s="1" t="str">
        <f>IF($W$33="Y",'Population Definitions'!$B$30,"...")</f>
        <v>...</v>
      </c>
      <c r="B1072" s="4" t="str">
        <f>IF($W$33="Y","---&gt;","...")</f>
        <v>...</v>
      </c>
      <c r="C1072" s="1" t="str">
        <f>IF($W$33="Y",'Population Definitions'!$B$23,"...")</f>
        <v>...</v>
      </c>
      <c r="E1072" s="2"/>
      <c r="F1072" s="3"/>
      <c r="G1072" s="2"/>
      <c r="H1072" s="4" t="str">
        <f>IF($W$33="Y","OR","...")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>
      <c r="A1073" s="1" t="str">
        <f>IF($X$33="Y",'Population Definitions'!$B$30,"...")</f>
        <v>...</v>
      </c>
      <c r="B1073" s="4" t="str">
        <f>IF($X$33="Y","---&gt;","...")</f>
        <v>...</v>
      </c>
      <c r="C1073" s="1" t="str">
        <f>IF($X$33="Y",'Population Definitions'!$B$24,"...")</f>
        <v>...</v>
      </c>
      <c r="E1073" s="2"/>
      <c r="F1073" s="3"/>
      <c r="G1073" s="2"/>
      <c r="H1073" s="4" t="str">
        <f>IF($X$33="Y","OR","...")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>
      <c r="A1074" s="1" t="str">
        <f>IF($Y$33="Y",'Population Definitions'!$B$30,"...")</f>
        <v>...</v>
      </c>
      <c r="B1074" s="4" t="str">
        <f>IF($Y$33="Y","---&gt;","...")</f>
        <v>...</v>
      </c>
      <c r="C1074" s="1" t="str">
        <f>IF($Y$33="Y",'Population Definitions'!$B$25,"...")</f>
        <v>...</v>
      </c>
      <c r="E1074" s="2"/>
      <c r="F1074" s="3"/>
      <c r="G1074" s="2"/>
      <c r="H1074" s="4" t="str">
        <f>IF($Y$33="Y","OR","...")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>
      <c r="A1075" s="1" t="str">
        <f>IF($Z$33="Y",'Population Definitions'!$B$30,"...")</f>
        <v>...</v>
      </c>
      <c r="B1075" s="4" t="str">
        <f>IF($Z$33="Y","---&gt;","...")</f>
        <v>...</v>
      </c>
      <c r="C1075" s="1" t="str">
        <f>IF($Z$33="Y",'Population Definitions'!$B$26,"...")</f>
        <v>...</v>
      </c>
      <c r="E1075" s="2"/>
      <c r="F1075" s="3"/>
      <c r="G1075" s="2"/>
      <c r="H1075" s="4" t="str">
        <f>IF($Z$33="Y","OR","...")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>
      <c r="A1076" s="1" t="str">
        <f>IF($AA$33="Y",'Population Definitions'!$B$30,"...")</f>
        <v>...</v>
      </c>
      <c r="B1076" s="4" t="str">
        <f>IF($AA$33="Y","---&gt;","...")</f>
        <v>...</v>
      </c>
      <c r="C1076" s="1" t="str">
        <f>IF($AA$33="Y",'Population Definitions'!$B$27,"...")</f>
        <v>...</v>
      </c>
      <c r="E1076" s="2"/>
      <c r="F1076" s="3"/>
      <c r="G1076" s="2"/>
      <c r="H1076" s="4" t="str">
        <f>IF($AA$33="Y","OR","...")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>
      <c r="A1077" s="1" t="str">
        <f>IF($AB$33="Y",'Population Definitions'!$B$30,"...")</f>
        <v>...</v>
      </c>
      <c r="B1077" s="4" t="str">
        <f>IF($AB$33="Y","---&gt;","...")</f>
        <v>...</v>
      </c>
      <c r="C1077" s="1" t="str">
        <f>IF($AB$33="Y",'Population Definitions'!$B$28,"...")</f>
        <v>...</v>
      </c>
      <c r="E1077" s="2"/>
      <c r="F1077" s="3"/>
      <c r="G1077" s="2"/>
      <c r="H1077" s="4" t="str">
        <f>IF($AB$33="Y","OR","...")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>
      <c r="A1078" s="1" t="str">
        <f>IF($AC$33="Y",'Population Definitions'!$B$30,"...")</f>
        <v>...</v>
      </c>
      <c r="B1078" s="4" t="str">
        <f>IF($AC$33="Y","---&gt;","...")</f>
        <v>...</v>
      </c>
      <c r="C1078" s="1" t="str">
        <f>IF($AC$33="Y",'Population Definitions'!$B$29,"...")</f>
        <v>...</v>
      </c>
      <c r="E1078" s="2"/>
      <c r="F1078" s="3"/>
      <c r="G1078" s="2"/>
      <c r="H1078" s="4" t="str">
        <f>IF($AC$33="Y","OR","...")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>
      <c r="A1079" s="1" t="str">
        <f>IF($AD$33="Y",'Population Definitions'!$B$30,"...")</f>
        <v>...</v>
      </c>
      <c r="B1079" s="4" t="str">
        <f>IF($AD$33="Y","---&gt;","...")</f>
        <v>...</v>
      </c>
      <c r="C1079" s="1" t="str">
        <f>IF($AD$33="Y",'Population Definitions'!$B$30,"...")</f>
        <v>...</v>
      </c>
      <c r="E1079" s="2"/>
      <c r="F1079" s="3"/>
      <c r="G1079" s="2"/>
      <c r="H1079" s="4" t="str">
        <f>IF($AD$33="Y","OR","...")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>
      <c r="A1080" s="1" t="str">
        <f>IF($AE$33="Y",'Population Definitions'!$B$30,"...")</f>
        <v>50-64M_fns</v>
      </c>
      <c r="B1080" s="4" t="str">
        <f>IF($AE$33="Y","---&gt;","...")</f>
        <v>---&gt;</v>
      </c>
      <c r="C1080" s="1" t="str">
        <f>IF($AE$33="Y",'Population Definitions'!$B$31,"...")</f>
        <v>65+M_fns</v>
      </c>
      <c r="E1080" s="3" t="s">
        <v>63</v>
      </c>
      <c r="F1080" s="3"/>
      <c r="G1080" s="3"/>
      <c r="H1080" s="4" t="str">
        <f>IF($AE$33="Y","OR","...")</f>
        <v>OR</v>
      </c>
      <c r="I1080" s="3">
        <v>0.03789977285266706</v>
      </c>
      <c r="J1080" s="3">
        <v>0.0375904253930688</v>
      </c>
      <c r="K1080" s="3">
        <v>0.03840032713263413</v>
      </c>
      <c r="L1080" s="3">
        <v>0.03632353837591105</v>
      </c>
      <c r="M1080" s="3">
        <v>0.03580650418531645</v>
      </c>
      <c r="N1080" s="3">
        <v>0.03717459206925146</v>
      </c>
      <c r="O1080" s="3">
        <v>0.03522977152390995</v>
      </c>
      <c r="P1080" s="3">
        <v>0.03528431035005686</v>
      </c>
      <c r="Q1080" s="3">
        <v>0.03516127601600464</v>
      </c>
      <c r="R1080" s="3">
        <v>0.03572612139694804</v>
      </c>
      <c r="S1080" s="3">
        <v>0.0337960056131956</v>
      </c>
      <c r="T1080" s="3">
        <v>0.0330887769992647</v>
      </c>
      <c r="U1080" s="3">
        <v>0.03362819354199346</v>
      </c>
      <c r="V1080" s="3">
        <v>0.03271467393119742</v>
      </c>
      <c r="W1080" s="3">
        <v>0.03343950627992469</v>
      </c>
      <c r="X1080" s="3">
        <v>0.03231483769924905</v>
      </c>
      <c r="Y1080" s="3">
        <v>0.0326528181708659</v>
      </c>
      <c r="Z1080" s="3">
        <v>0.03191060988112891</v>
      </c>
      <c r="AA1080" s="3">
        <v>0.0311852665383379</v>
      </c>
      <c r="AB1080" s="3">
        <v>0.03081196637614578</v>
      </c>
      <c r="AC1080" s="3">
        <v>0.03036482529663323</v>
      </c>
      <c r="AD1080" s="3">
        <v>0.02978880252186293</v>
      </c>
      <c r="AE1080" s="3">
        <v>0.03028270701222059</v>
      </c>
      <c r="AF1080" s="3">
        <v>0.02952718079040339</v>
      </c>
      <c r="AG1080" s="3">
        <v>0.02920527630352941</v>
      </c>
      <c r="AH1080" s="3">
        <v>0.02815760937905329</v>
      </c>
      <c r="AI1080" s="3">
        <v>0.02826250696348256</v>
      </c>
      <c r="AJ1080" s="3">
        <v>0.0282547537999082</v>
      </c>
      <c r="AK1080" s="3">
        <v>0.02871454388145553</v>
      </c>
      <c r="AL1080" s="3">
        <v>0.02747895229245269</v>
      </c>
      <c r="AM1080" s="3">
        <v>0.02721499817974834</v>
      </c>
      <c r="AN1080" s="3">
        <v>0.04489618137693881</v>
      </c>
      <c r="AO1080" s="3">
        <v>0.04544621436046112</v>
      </c>
      <c r="AP1080" s="3">
        <v>0.04226613625583142</v>
      </c>
      <c r="AQ1080" s="3">
        <v>0.04514130999125051</v>
      </c>
      <c r="AR1080" s="3">
        <v>0.04662242963455673</v>
      </c>
      <c r="AS1080" s="3">
        <v>0.04683223844262793</v>
      </c>
      <c r="AT1080" s="3">
        <v>0.04736167411342397</v>
      </c>
      <c r="AU1080" s="3">
        <v>0.04659253040996481</v>
      </c>
      <c r="AV1080" s="3">
        <v>0.05087091944607172</v>
      </c>
      <c r="AW1080" s="3">
        <v>0.04961697448439573</v>
      </c>
      <c r="AX1080" s="3">
        <v>0.05017151417839083</v>
      </c>
      <c r="AY1080" s="3">
        <v>0.04927002970883069</v>
      </c>
      <c r="AZ1080" s="3">
        <v>0.0508150420996652</v>
      </c>
      <c r="BA1080" s="3">
        <v>0.05237997725341324</v>
      </c>
      <c r="BB1080" s="3">
        <v>0.05604473034054456</v>
      </c>
      <c r="BC1080" s="3">
        <v>0.05604092803297971</v>
      </c>
      <c r="BD1080" s="3">
        <v>0.05660171231512304</v>
      </c>
      <c r="BE1080" s="3">
        <v>0.05794237393157677</v>
      </c>
      <c r="BF1080" s="3">
        <v>0.05818708563456432</v>
      </c>
      <c r="BG1080" s="3">
        <v>0.05849906453498796</v>
      </c>
      <c r="BH1080" s="3">
        <v>0.05981687279894474</v>
      </c>
      <c r="BI1080" s="3">
        <v>0.06040677127779763</v>
      </c>
      <c r="BJ1080" s="3">
        <v>0.06098564112298022</v>
      </c>
      <c r="BK1080" s="3">
        <v>0.06154181686534384</v>
      </c>
      <c r="BL1080" s="3">
        <v>0.0620734529362443</v>
      </c>
      <c r="BM1080" s="3">
        <v>0.06248712217478454</v>
      </c>
      <c r="BN1080" s="3">
        <v>0.06299509591493078</v>
      </c>
      <c r="BO1080" s="3">
        <v>0.06353701240383988</v>
      </c>
      <c r="BP1080" s="3">
        <v>0.06408333676418931</v>
      </c>
      <c r="BQ1080" s="3">
        <v>0.06463746397682416</v>
      </c>
      <c r="BR1080" s="3">
        <v>0.06518044912062722</v>
      </c>
      <c r="BS1080" s="3">
        <v>0.06571518750019029</v>
      </c>
      <c r="BT1080" s="3">
        <v>0.06621806447744928</v>
      </c>
      <c r="BU1080" s="3">
        <v>0.06664933881867387</v>
      </c>
      <c r="BV1080" s="3">
        <v>0.06702237431283339</v>
      </c>
      <c r="BW1080" s="3">
        <v>0.06728470132114664</v>
      </c>
      <c r="BX1080" s="3">
        <v>0.0674687339543987</v>
      </c>
      <c r="BY1080" s="3">
        <v>0.0675739262539931</v>
      </c>
      <c r="BZ1080" s="3">
        <v>0.06765922398377626</v>
      </c>
      <c r="CA1080" s="3">
        <v>0.0677102567715699</v>
      </c>
      <c r="CB1080" s="3">
        <v>0.06772572567496167</v>
      </c>
      <c r="CC1080" s="3">
        <v>0.06772739675245604</v>
      </c>
      <c r="CD1080" s="3">
        <v>0.06770610012739231</v>
      </c>
      <c r="CE1080" s="3">
        <v>0.06764072780780928</v>
      </c>
      <c r="CF1080" s="3">
        <v>0.06752856492101179</v>
      </c>
      <c r="CG1080" s="3">
        <v>0.06740678551292913</v>
      </c>
      <c r="CH1080" s="3">
        <v>0.06731392523363021</v>
      </c>
      <c r="CI1080" s="3">
        <v>0.06721897521905099</v>
      </c>
      <c r="CJ1080" s="3">
        <v>0.06711946092753011</v>
      </c>
      <c r="CK1080" s="3">
        <v>0.0670043954425063</v>
      </c>
      <c r="CL1080" s="3">
        <v>0.06695438639216816</v>
      </c>
      <c r="CM1080" s="3">
        <v>0.06695337742297755</v>
      </c>
      <c r="CN1080" s="3">
        <v>0.06698726367551283</v>
      </c>
      <c r="CO1080" s="3">
        <v>0.06700696601857611</v>
      </c>
      <c r="CP1080" s="3">
        <v>0.06699094386901161</v>
      </c>
      <c r="CQ1080" s="3">
        <v>0.06699688808910269</v>
      </c>
      <c r="CR1080" s="3">
        <v>0.06707801646015289</v>
      </c>
      <c r="CS1080" s="3">
        <v>0.06716683302432867</v>
      </c>
      <c r="CT1080" s="3">
        <v>0.06723658024417314</v>
      </c>
      <c r="CU1080" s="3">
        <v>0.06728992928122608</v>
      </c>
      <c r="CV1080" s="3"/>
    </row>
    <row r="1081" spans="1:100">
      <c r="A1081" s="1" t="str">
        <f>IF($AF$33="Y",'Population Definitions'!$B$30,"...")</f>
        <v>...</v>
      </c>
      <c r="B1081" s="4" t="str">
        <f>IF($AF$33="Y","---&gt;","...")</f>
        <v>...</v>
      </c>
      <c r="C1081" s="1" t="str">
        <f>IF($AF$33="Y",'Population Definitions'!$B$32,"...")</f>
        <v>...</v>
      </c>
      <c r="E1081" s="2"/>
      <c r="F1081" s="3"/>
      <c r="G1081" s="2"/>
      <c r="H1081" s="4" t="str">
        <f>IF($AF$33="Y","OR","...")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>
      <c r="A1082" s="1" t="str">
        <f>IF($AG$33="Y",'Population Definitions'!$B$30,"...")</f>
        <v>...</v>
      </c>
      <c r="B1082" s="4" t="str">
        <f>IF($AG$33="Y","---&gt;","...")</f>
        <v>...</v>
      </c>
      <c r="C1082" s="1" t="str">
        <f>IF($AG$33="Y",'Population Definitions'!$B$33,"...")</f>
        <v>...</v>
      </c>
      <c r="E1082" s="2"/>
      <c r="F1082" s="3"/>
      <c r="G1082" s="2"/>
      <c r="H1082" s="4" t="str">
        <f>IF($AG$33="Y","OR","...")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>
      <c r="A1083" s="1" t="str">
        <f>IF($AH$33="Y",'Population Definitions'!$B$30,"...")</f>
        <v>...</v>
      </c>
      <c r="B1083" s="4" t="str">
        <f>IF($AH$33="Y","---&gt;","...")</f>
        <v>...</v>
      </c>
      <c r="C1083" s="1" t="str">
        <f>IF($AH$33="Y",'Population Definitions'!$B$34,"...")</f>
        <v>...</v>
      </c>
      <c r="E1083" s="2"/>
      <c r="F1083" s="3"/>
      <c r="G1083" s="2"/>
      <c r="H1083" s="4" t="str">
        <f>IF($AH$33="Y","OR","...")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>
      <c r="A1084" s="1" t="str">
        <f>IF($AI$33="Y",'Population Definitions'!$B$30,"...")</f>
        <v>...</v>
      </c>
      <c r="B1084" s="4" t="str">
        <f>IF($AI$33="Y","---&gt;","...")</f>
        <v>...</v>
      </c>
      <c r="C1084" s="1" t="str">
        <f>IF($AI$33="Y",'Population Definitions'!$B$35,"...")</f>
        <v>...</v>
      </c>
      <c r="E1084" s="2"/>
      <c r="F1084" s="3"/>
      <c r="G1084" s="2"/>
      <c r="H1084" s="4" t="str">
        <f>IF($AI$33="Y","OR","...")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>
      <c r="A1085" s="1" t="str">
        <f>IF($AJ$33="Y",'Population Definitions'!$B$30,"...")</f>
        <v>...</v>
      </c>
      <c r="B1085" s="4" t="str">
        <f>IF($AJ$33="Y","---&gt;","...")</f>
        <v>...</v>
      </c>
      <c r="C1085" s="1" t="str">
        <f>IF($AJ$33="Y",'Population Definitions'!$B$36,"...")</f>
        <v>...</v>
      </c>
      <c r="E1085" s="2"/>
      <c r="F1085" s="3"/>
      <c r="G1085" s="2"/>
      <c r="H1085" s="4" t="str">
        <f>IF($AJ$33="Y","OR","...")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>
      <c r="A1086" s="1" t="str">
        <f>IF($AK$33="Y",'Population Definitions'!$B$30,"...")</f>
        <v>...</v>
      </c>
      <c r="B1086" s="4" t="str">
        <f>IF($AK$33="Y","---&gt;","...")</f>
        <v>...</v>
      </c>
      <c r="C1086" s="1" t="str">
        <f>IF($AK$33="Y",'Population Definitions'!$B$37,"...")</f>
        <v>...</v>
      </c>
      <c r="E1086" s="2"/>
      <c r="F1086" s="3"/>
      <c r="G1086" s="2"/>
      <c r="H1086" s="4" t="str">
        <f>IF($AK$33="Y","OR","...")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>
      <c r="A1087" s="1" t="str">
        <f>IF($B$34="Y",'Population Definitions'!$B$31,"...")</f>
        <v>...</v>
      </c>
      <c r="B1087" s="4" t="str">
        <f>IF($B$34="Y","---&gt;","...")</f>
        <v>...</v>
      </c>
      <c r="C1087" s="1" t="str">
        <f>IF($B$34="Y",'Population Definitions'!$B$2,"...")</f>
        <v>...</v>
      </c>
      <c r="E1087" s="2"/>
      <c r="F1087" s="3"/>
      <c r="G1087" s="2"/>
      <c r="H1087" s="4" t="str">
        <f>IF($B$34="Y","OR","...")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>
      <c r="A1088" s="1" t="str">
        <f>IF($C$34="Y",'Population Definitions'!$B$31,"...")</f>
        <v>...</v>
      </c>
      <c r="B1088" s="4" t="str">
        <f>IF($C$34="Y","---&gt;","...")</f>
        <v>...</v>
      </c>
      <c r="C1088" s="1" t="str">
        <f>IF($C$34="Y",'Population Definitions'!$B$3,"...")</f>
        <v>...</v>
      </c>
      <c r="E1088" s="2"/>
      <c r="F1088" s="3"/>
      <c r="G1088" s="2"/>
      <c r="H1088" s="4" t="str">
        <f>IF($C$34="Y","OR","...")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>
      <c r="A1089" s="1" t="str">
        <f>IF($D$34="Y",'Population Definitions'!$B$31,"...")</f>
        <v>...</v>
      </c>
      <c r="B1089" s="4" t="str">
        <f>IF($D$34="Y","---&gt;","...")</f>
        <v>...</v>
      </c>
      <c r="C1089" s="1" t="str">
        <f>IF($D$34="Y",'Population Definitions'!$B$4,"...")</f>
        <v>...</v>
      </c>
      <c r="E1089" s="2"/>
      <c r="F1089" s="3"/>
      <c r="G1089" s="2"/>
      <c r="H1089" s="4" t="str">
        <f>IF($D$34="Y","OR","...")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>
      <c r="A1090" s="1" t="str">
        <f>IF($E$34="Y",'Population Definitions'!$B$31,"...")</f>
        <v>...</v>
      </c>
      <c r="B1090" s="4" t="str">
        <f>IF($E$34="Y","---&gt;","...")</f>
        <v>...</v>
      </c>
      <c r="C1090" s="1" t="str">
        <f>IF($E$34="Y",'Population Definitions'!$B$5,"...")</f>
        <v>...</v>
      </c>
      <c r="E1090" s="2"/>
      <c r="F1090" s="3"/>
      <c r="G1090" s="2"/>
      <c r="H1090" s="4" t="str">
        <f>IF($E$34="Y","OR","...")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>
      <c r="A1091" s="1" t="str">
        <f>IF($F$34="Y",'Population Definitions'!$B$31,"...")</f>
        <v>...</v>
      </c>
      <c r="B1091" s="4" t="str">
        <f>IF($F$34="Y","---&gt;","...")</f>
        <v>...</v>
      </c>
      <c r="C1091" s="1" t="str">
        <f>IF($F$34="Y",'Population Definitions'!$B$6,"...")</f>
        <v>...</v>
      </c>
      <c r="E1091" s="2"/>
      <c r="F1091" s="3"/>
      <c r="G1091" s="2"/>
      <c r="H1091" s="4" t="str">
        <f>IF($F$34="Y","OR","...")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>
      <c r="A1092" s="1" t="str">
        <f>IF($G$34="Y",'Population Definitions'!$B$31,"...")</f>
        <v>...</v>
      </c>
      <c r="B1092" s="4" t="str">
        <f>IF($G$34="Y","---&gt;","...")</f>
        <v>...</v>
      </c>
      <c r="C1092" s="1" t="str">
        <f>IF($G$34="Y",'Population Definitions'!$B$7,"...")</f>
        <v>...</v>
      </c>
      <c r="E1092" s="2"/>
      <c r="F1092" s="3"/>
      <c r="G1092" s="2"/>
      <c r="H1092" s="4" t="str">
        <f>IF($G$34="Y","OR","...")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>
      <c r="A1093" s="1" t="str">
        <f>IF($H$34="Y",'Population Definitions'!$B$31,"...")</f>
        <v>...</v>
      </c>
      <c r="B1093" s="4" t="str">
        <f>IF($H$34="Y","---&gt;","...")</f>
        <v>...</v>
      </c>
      <c r="C1093" s="1" t="str">
        <f>IF($H$34="Y",'Population Definitions'!$B$8,"...")</f>
        <v>...</v>
      </c>
      <c r="E1093" s="2"/>
      <c r="F1093" s="3"/>
      <c r="G1093" s="2"/>
      <c r="H1093" s="4" t="str">
        <f>IF($H$34="Y","OR","...")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>
      <c r="A1094" s="1" t="str">
        <f>IF($I$34="Y",'Population Definitions'!$B$31,"...")</f>
        <v>...</v>
      </c>
      <c r="B1094" s="4" t="str">
        <f>IF($I$34="Y","---&gt;","...")</f>
        <v>...</v>
      </c>
      <c r="C1094" s="1" t="str">
        <f>IF($I$34="Y",'Population Definitions'!$B$9,"...")</f>
        <v>...</v>
      </c>
      <c r="E1094" s="2"/>
      <c r="F1094" s="3"/>
      <c r="G1094" s="2"/>
      <c r="H1094" s="4" t="str">
        <f>IF($I$34="Y","OR","...")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>
      <c r="A1095" s="1" t="str">
        <f>IF($J$34="Y",'Population Definitions'!$B$31,"...")</f>
        <v>...</v>
      </c>
      <c r="B1095" s="4" t="str">
        <f>IF($J$34="Y","---&gt;","...")</f>
        <v>...</v>
      </c>
      <c r="C1095" s="1" t="str">
        <f>IF($J$34="Y",'Population Definitions'!$B$10,"...")</f>
        <v>...</v>
      </c>
      <c r="E1095" s="2"/>
      <c r="F1095" s="3"/>
      <c r="G1095" s="2"/>
      <c r="H1095" s="4" t="str">
        <f>IF($J$34="Y","OR","...")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>
      <c r="A1096" s="1" t="str">
        <f>IF($K$34="Y",'Population Definitions'!$B$31,"...")</f>
        <v>...</v>
      </c>
      <c r="B1096" s="4" t="str">
        <f>IF($K$34="Y","---&gt;","...")</f>
        <v>...</v>
      </c>
      <c r="C1096" s="1" t="str">
        <f>IF($K$34="Y",'Population Definitions'!$B$11,"...")</f>
        <v>...</v>
      </c>
      <c r="E1096" s="2"/>
      <c r="F1096" s="3"/>
      <c r="G1096" s="2"/>
      <c r="H1096" s="4" t="str">
        <f>IF($K$34="Y","OR","...")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>
      <c r="A1097" s="1" t="str">
        <f>IF($L$34="Y",'Population Definitions'!$B$31,"...")</f>
        <v>...</v>
      </c>
      <c r="B1097" s="4" t="str">
        <f>IF($L$34="Y","---&gt;","...")</f>
        <v>...</v>
      </c>
      <c r="C1097" s="1" t="str">
        <f>IF($L$34="Y",'Population Definitions'!$B$12,"...")</f>
        <v>...</v>
      </c>
      <c r="E1097" s="2"/>
      <c r="F1097" s="3"/>
      <c r="G1097" s="2"/>
      <c r="H1097" s="4" t="str">
        <f>IF($L$34="Y","OR","...")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>
      <c r="A1098" s="1" t="str">
        <f>IF($M$34="Y",'Population Definitions'!$B$31,"...")</f>
        <v>...</v>
      </c>
      <c r="B1098" s="4" t="str">
        <f>IF($M$34="Y","---&gt;","...")</f>
        <v>...</v>
      </c>
      <c r="C1098" s="1" t="str">
        <f>IF($M$34="Y",'Population Definitions'!$B$13,"...")</f>
        <v>...</v>
      </c>
      <c r="E1098" s="2"/>
      <c r="F1098" s="3"/>
      <c r="G1098" s="2"/>
      <c r="H1098" s="4" t="str">
        <f>IF($M$34="Y","OR","...")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>
      <c r="A1099" s="1" t="str">
        <f>IF($N$34="Y",'Population Definitions'!$B$31,"...")</f>
        <v>...</v>
      </c>
      <c r="B1099" s="4" t="str">
        <f>IF($N$34="Y","---&gt;","...")</f>
        <v>...</v>
      </c>
      <c r="C1099" s="1" t="str">
        <f>IF($N$34="Y",'Population Definitions'!$B$14,"...")</f>
        <v>...</v>
      </c>
      <c r="E1099" s="2"/>
      <c r="F1099" s="3"/>
      <c r="G1099" s="2"/>
      <c r="H1099" s="4" t="str">
        <f>IF($N$34="Y","OR","...")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>
      <c r="A1100" s="1" t="str">
        <f>IF($O$34="Y",'Population Definitions'!$B$31,"...")</f>
        <v>...</v>
      </c>
      <c r="B1100" s="4" t="str">
        <f>IF($O$34="Y","---&gt;","...")</f>
        <v>...</v>
      </c>
      <c r="C1100" s="1" t="str">
        <f>IF($O$34="Y",'Population Definitions'!$B$15,"...")</f>
        <v>...</v>
      </c>
      <c r="E1100" s="2"/>
      <c r="F1100" s="3"/>
      <c r="G1100" s="2"/>
      <c r="H1100" s="4" t="str">
        <f>IF($O$34="Y","OR","...")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>
      <c r="A1101" s="1" t="str">
        <f>IF($P$34="Y",'Population Definitions'!$B$31,"...")</f>
        <v>...</v>
      </c>
      <c r="B1101" s="4" t="str">
        <f>IF($P$34="Y","---&gt;","...")</f>
        <v>...</v>
      </c>
      <c r="C1101" s="1" t="str">
        <f>IF($P$34="Y",'Population Definitions'!$B$16,"...")</f>
        <v>...</v>
      </c>
      <c r="E1101" s="2"/>
      <c r="F1101" s="3"/>
      <c r="G1101" s="2"/>
      <c r="H1101" s="4" t="str">
        <f>IF($P$34="Y","OR","...")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>
      <c r="A1102" s="1" t="str">
        <f>IF($Q$34="Y",'Population Definitions'!$B$31,"...")</f>
        <v>...</v>
      </c>
      <c r="B1102" s="4" t="str">
        <f>IF($Q$34="Y","---&gt;","...")</f>
        <v>...</v>
      </c>
      <c r="C1102" s="1" t="str">
        <f>IF($Q$34="Y",'Population Definitions'!$B$17,"...")</f>
        <v>...</v>
      </c>
      <c r="E1102" s="2"/>
      <c r="F1102" s="3"/>
      <c r="G1102" s="2"/>
      <c r="H1102" s="4" t="str">
        <f>IF($Q$34="Y","OR","...")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>
      <c r="A1103" s="1" t="str">
        <f>IF($R$34="Y",'Population Definitions'!$B$31,"...")</f>
        <v>...</v>
      </c>
      <c r="B1103" s="4" t="str">
        <f>IF($R$34="Y","---&gt;","...")</f>
        <v>...</v>
      </c>
      <c r="C1103" s="1" t="str">
        <f>IF($R$34="Y",'Population Definitions'!$B$18,"...")</f>
        <v>...</v>
      </c>
      <c r="E1103" s="2"/>
      <c r="F1103" s="3"/>
      <c r="G1103" s="2"/>
      <c r="H1103" s="4" t="str">
        <f>IF($R$34="Y","OR","...")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>
      <c r="A1104" s="1" t="str">
        <f>IF($S$34="Y",'Population Definitions'!$B$31,"...")</f>
        <v>...</v>
      </c>
      <c r="B1104" s="4" t="str">
        <f>IF($S$34="Y","---&gt;","...")</f>
        <v>...</v>
      </c>
      <c r="C1104" s="1" t="str">
        <f>IF($S$34="Y",'Population Definitions'!$B$19,"...")</f>
        <v>...</v>
      </c>
      <c r="E1104" s="2"/>
      <c r="F1104" s="3"/>
      <c r="G1104" s="2"/>
      <c r="H1104" s="4" t="str">
        <f>IF($S$34="Y","OR","...")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>
      <c r="A1105" s="1" t="str">
        <f>IF($T$34="Y",'Population Definitions'!$B$31,"...")</f>
        <v>...</v>
      </c>
      <c r="B1105" s="4" t="str">
        <f>IF($T$34="Y","---&gt;","...")</f>
        <v>...</v>
      </c>
      <c r="C1105" s="1" t="str">
        <f>IF($T$34="Y",'Population Definitions'!$B$20,"...")</f>
        <v>...</v>
      </c>
      <c r="E1105" s="2"/>
      <c r="F1105" s="3"/>
      <c r="G1105" s="2"/>
      <c r="H1105" s="4" t="str">
        <f>IF($T$34="Y","OR","...")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>
      <c r="A1106" s="1" t="str">
        <f>IF($U$34="Y",'Population Definitions'!$B$31,"...")</f>
        <v>...</v>
      </c>
      <c r="B1106" s="4" t="str">
        <f>IF($U$34="Y","---&gt;","...")</f>
        <v>...</v>
      </c>
      <c r="C1106" s="1" t="str">
        <f>IF($U$34="Y",'Population Definitions'!$B$21,"...")</f>
        <v>...</v>
      </c>
      <c r="E1106" s="2"/>
      <c r="F1106" s="3"/>
      <c r="G1106" s="2"/>
      <c r="H1106" s="4" t="str">
        <f>IF($U$34="Y","OR","...")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>
      <c r="A1107" s="1" t="str">
        <f>IF($V$34="Y",'Population Definitions'!$B$31,"...")</f>
        <v>...</v>
      </c>
      <c r="B1107" s="4" t="str">
        <f>IF($V$34="Y","---&gt;","...")</f>
        <v>...</v>
      </c>
      <c r="C1107" s="1" t="str">
        <f>IF($V$34="Y",'Population Definitions'!$B$22,"...")</f>
        <v>...</v>
      </c>
      <c r="E1107" s="2"/>
      <c r="F1107" s="3"/>
      <c r="G1107" s="2"/>
      <c r="H1107" s="4" t="str">
        <f>IF($V$34="Y","OR","...")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>
      <c r="A1108" s="1" t="str">
        <f>IF($W$34="Y",'Population Definitions'!$B$31,"...")</f>
        <v>...</v>
      </c>
      <c r="B1108" s="4" t="str">
        <f>IF($W$34="Y","---&gt;","...")</f>
        <v>...</v>
      </c>
      <c r="C1108" s="1" t="str">
        <f>IF($W$34="Y",'Population Definitions'!$B$23,"...")</f>
        <v>...</v>
      </c>
      <c r="E1108" s="2"/>
      <c r="F1108" s="3"/>
      <c r="G1108" s="2"/>
      <c r="H1108" s="4" t="str">
        <f>IF($W$34="Y","OR","...")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>
      <c r="A1109" s="1" t="str">
        <f>IF($X$34="Y",'Population Definitions'!$B$31,"...")</f>
        <v>...</v>
      </c>
      <c r="B1109" s="4" t="str">
        <f>IF($X$34="Y","---&gt;","...")</f>
        <v>...</v>
      </c>
      <c r="C1109" s="1" t="str">
        <f>IF($X$34="Y",'Population Definitions'!$B$24,"...")</f>
        <v>...</v>
      </c>
      <c r="E1109" s="2"/>
      <c r="F1109" s="3"/>
      <c r="G1109" s="2"/>
      <c r="H1109" s="4" t="str">
        <f>IF($X$34="Y","OR","...")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>
      <c r="A1110" s="1" t="str">
        <f>IF($Y$34="Y",'Population Definitions'!$B$31,"...")</f>
        <v>...</v>
      </c>
      <c r="B1110" s="4" t="str">
        <f>IF($Y$34="Y","---&gt;","...")</f>
        <v>...</v>
      </c>
      <c r="C1110" s="1" t="str">
        <f>IF($Y$34="Y",'Population Definitions'!$B$25,"...")</f>
        <v>...</v>
      </c>
      <c r="E1110" s="2"/>
      <c r="F1110" s="3"/>
      <c r="G1110" s="2"/>
      <c r="H1110" s="4" t="str">
        <f>IF($Y$34="Y","OR","...")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>
      <c r="A1111" s="1" t="str">
        <f>IF($Z$34="Y",'Population Definitions'!$B$31,"...")</f>
        <v>...</v>
      </c>
      <c r="B1111" s="4" t="str">
        <f>IF($Z$34="Y","---&gt;","...")</f>
        <v>...</v>
      </c>
      <c r="C1111" s="1" t="str">
        <f>IF($Z$34="Y",'Population Definitions'!$B$26,"...")</f>
        <v>...</v>
      </c>
      <c r="E1111" s="2"/>
      <c r="F1111" s="3"/>
      <c r="G1111" s="2"/>
      <c r="H1111" s="4" t="str">
        <f>IF($Z$34="Y","OR","...")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>
      <c r="A1112" s="1" t="str">
        <f>IF($AA$34="Y",'Population Definitions'!$B$31,"...")</f>
        <v>...</v>
      </c>
      <c r="B1112" s="4" t="str">
        <f>IF($AA$34="Y","---&gt;","...")</f>
        <v>...</v>
      </c>
      <c r="C1112" s="1" t="str">
        <f>IF($AA$34="Y",'Population Definitions'!$B$27,"...")</f>
        <v>...</v>
      </c>
      <c r="E1112" s="2"/>
      <c r="F1112" s="3"/>
      <c r="G1112" s="2"/>
      <c r="H1112" s="4" t="str">
        <f>IF($AA$34="Y","OR","...")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>
      <c r="A1113" s="1" t="str">
        <f>IF($AB$34="Y",'Population Definitions'!$B$31,"...")</f>
        <v>...</v>
      </c>
      <c r="B1113" s="4" t="str">
        <f>IF($AB$34="Y","---&gt;","...")</f>
        <v>...</v>
      </c>
      <c r="C1113" s="1" t="str">
        <f>IF($AB$34="Y",'Population Definitions'!$B$28,"...")</f>
        <v>...</v>
      </c>
      <c r="E1113" s="2"/>
      <c r="F1113" s="3"/>
      <c r="G1113" s="2"/>
      <c r="H1113" s="4" t="str">
        <f>IF($AB$34="Y","OR","...")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>
      <c r="A1114" s="1" t="str">
        <f>IF($AC$34="Y",'Population Definitions'!$B$31,"...")</f>
        <v>...</v>
      </c>
      <c r="B1114" s="4" t="str">
        <f>IF($AC$34="Y","---&gt;","...")</f>
        <v>...</v>
      </c>
      <c r="C1114" s="1" t="str">
        <f>IF($AC$34="Y",'Population Definitions'!$B$29,"...")</f>
        <v>...</v>
      </c>
      <c r="E1114" s="2"/>
      <c r="F1114" s="3"/>
      <c r="G1114" s="2"/>
      <c r="H1114" s="4" t="str">
        <f>IF($AC$34="Y","OR","...")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>
      <c r="A1115" s="1" t="str">
        <f>IF($AD$34="Y",'Population Definitions'!$B$31,"...")</f>
        <v>...</v>
      </c>
      <c r="B1115" s="4" t="str">
        <f>IF($AD$34="Y","---&gt;","...")</f>
        <v>...</v>
      </c>
      <c r="C1115" s="1" t="str">
        <f>IF($AD$34="Y",'Population Definitions'!$B$30,"...")</f>
        <v>...</v>
      </c>
      <c r="E1115" s="2"/>
      <c r="F1115" s="3"/>
      <c r="G1115" s="2"/>
      <c r="H1115" s="4" t="str">
        <f>IF($AD$34="Y","OR","...")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>
      <c r="A1116" s="1" t="str">
        <f>IF($AE$34="Y",'Population Definitions'!$B$31,"...")</f>
        <v>...</v>
      </c>
      <c r="B1116" s="4" t="str">
        <f>IF($AE$34="Y","---&gt;","...")</f>
        <v>...</v>
      </c>
      <c r="C1116" s="1" t="str">
        <f>IF($AE$34="Y",'Population Definitions'!$B$31,"...")</f>
        <v>...</v>
      </c>
      <c r="E1116" s="2"/>
      <c r="F1116" s="3"/>
      <c r="G1116" s="2"/>
      <c r="H1116" s="4" t="str">
        <f>IF($AE$34="Y","OR","...")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>
      <c r="A1117" s="1" t="str">
        <f>IF($AF$34="Y",'Population Definitions'!$B$31,"...")</f>
        <v>...</v>
      </c>
      <c r="B1117" s="4" t="str">
        <f>IF($AF$34="Y","---&gt;","...")</f>
        <v>...</v>
      </c>
      <c r="C1117" s="1" t="str">
        <f>IF($AF$34="Y",'Population Definitions'!$B$32,"...")</f>
        <v>...</v>
      </c>
      <c r="E1117" s="2"/>
      <c r="F1117" s="3"/>
      <c r="G1117" s="2"/>
      <c r="H1117" s="4" t="str">
        <f>IF($AF$34="Y","OR","...")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>
      <c r="A1118" s="1" t="str">
        <f>IF($AG$34="Y",'Population Definitions'!$B$31,"...")</f>
        <v>...</v>
      </c>
      <c r="B1118" s="4" t="str">
        <f>IF($AG$34="Y","---&gt;","...")</f>
        <v>...</v>
      </c>
      <c r="C1118" s="1" t="str">
        <f>IF($AG$34="Y",'Population Definitions'!$B$33,"...")</f>
        <v>...</v>
      </c>
      <c r="E1118" s="2"/>
      <c r="F1118" s="3"/>
      <c r="G1118" s="2"/>
      <c r="H1118" s="4" t="str">
        <f>IF($AG$34="Y","OR","...")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>
      <c r="A1119" s="1" t="str">
        <f>IF($AH$34="Y",'Population Definitions'!$B$31,"...")</f>
        <v>...</v>
      </c>
      <c r="B1119" s="4" t="str">
        <f>IF($AH$34="Y","---&gt;","...")</f>
        <v>...</v>
      </c>
      <c r="C1119" s="1" t="str">
        <f>IF($AH$34="Y",'Population Definitions'!$B$34,"...")</f>
        <v>...</v>
      </c>
      <c r="E1119" s="2"/>
      <c r="F1119" s="3"/>
      <c r="G1119" s="2"/>
      <c r="H1119" s="4" t="str">
        <f>IF($AH$34="Y","OR","...")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>
      <c r="A1120" s="1" t="str">
        <f>IF($AI$34="Y",'Population Definitions'!$B$31,"...")</f>
        <v>...</v>
      </c>
      <c r="B1120" s="4" t="str">
        <f>IF($AI$34="Y","---&gt;","...")</f>
        <v>...</v>
      </c>
      <c r="C1120" s="1" t="str">
        <f>IF($AI$34="Y",'Population Definitions'!$B$35,"...")</f>
        <v>...</v>
      </c>
      <c r="E1120" s="2"/>
      <c r="F1120" s="3"/>
      <c r="G1120" s="2"/>
      <c r="H1120" s="4" t="str">
        <f>IF($AI$34="Y","OR","...")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>
      <c r="A1121" s="1" t="str">
        <f>IF($AJ$34="Y",'Population Definitions'!$B$31,"...")</f>
        <v>...</v>
      </c>
      <c r="B1121" s="4" t="str">
        <f>IF($AJ$34="Y","---&gt;","...")</f>
        <v>...</v>
      </c>
      <c r="C1121" s="1" t="str">
        <f>IF($AJ$34="Y",'Population Definitions'!$B$36,"...")</f>
        <v>...</v>
      </c>
      <c r="E1121" s="2"/>
      <c r="F1121" s="3"/>
      <c r="G1121" s="2"/>
      <c r="H1121" s="4" t="str">
        <f>IF($AJ$34="Y","OR","...")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>
      <c r="A1122" s="1" t="str">
        <f>IF($AK$34="Y",'Population Definitions'!$B$31,"...")</f>
        <v>...</v>
      </c>
      <c r="B1122" s="4" t="str">
        <f>IF($AK$34="Y","---&gt;","...")</f>
        <v>...</v>
      </c>
      <c r="C1122" s="1" t="str">
        <f>IF($AK$34="Y",'Population Definitions'!$B$37,"...")</f>
        <v>...</v>
      </c>
      <c r="E1122" s="2"/>
      <c r="F1122" s="3"/>
      <c r="G1122" s="2"/>
      <c r="H1122" s="4" t="str">
        <f>IF($AK$34="Y","OR","...")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>
      <c r="A1123" s="1" t="str">
        <f>IF($B$35="Y",'Population Definitions'!$B$32,"...")</f>
        <v>...</v>
      </c>
      <c r="B1123" s="4" t="str">
        <f>IF($B$35="Y","---&gt;","...")</f>
        <v>...</v>
      </c>
      <c r="C1123" s="1" t="str">
        <f>IF($B$35="Y",'Population Definitions'!$B$2,"...")</f>
        <v>...</v>
      </c>
      <c r="E1123" s="2"/>
      <c r="F1123" s="3"/>
      <c r="G1123" s="2"/>
      <c r="H1123" s="4" t="str">
        <f>IF($B$35="Y","OR","...")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>
      <c r="A1124" s="1" t="str">
        <f>IF($C$35="Y",'Population Definitions'!$B$32,"...")</f>
        <v>...</v>
      </c>
      <c r="B1124" s="4" t="str">
        <f>IF($C$35="Y","---&gt;","...")</f>
        <v>...</v>
      </c>
      <c r="C1124" s="1" t="str">
        <f>IF($C$35="Y",'Population Definitions'!$B$3,"...")</f>
        <v>...</v>
      </c>
      <c r="E1124" s="2"/>
      <c r="F1124" s="3"/>
      <c r="G1124" s="2"/>
      <c r="H1124" s="4" t="str">
        <f>IF($C$35="Y","OR","...")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>
      <c r="A1125" s="1" t="str">
        <f>IF($D$35="Y",'Population Definitions'!$B$32,"...")</f>
        <v>...</v>
      </c>
      <c r="B1125" s="4" t="str">
        <f>IF($D$35="Y","---&gt;","...")</f>
        <v>...</v>
      </c>
      <c r="C1125" s="1" t="str">
        <f>IF($D$35="Y",'Population Definitions'!$B$4,"...")</f>
        <v>...</v>
      </c>
      <c r="E1125" s="2"/>
      <c r="F1125" s="3"/>
      <c r="G1125" s="2"/>
      <c r="H1125" s="4" t="str">
        <f>IF($D$35="Y","OR","...")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>
      <c r="A1126" s="1" t="str">
        <f>IF($E$35="Y",'Population Definitions'!$B$32,"...")</f>
        <v>...</v>
      </c>
      <c r="B1126" s="4" t="str">
        <f>IF($E$35="Y","---&gt;","...")</f>
        <v>...</v>
      </c>
      <c r="C1126" s="1" t="str">
        <f>IF($E$35="Y",'Population Definitions'!$B$5,"...")</f>
        <v>...</v>
      </c>
      <c r="E1126" s="2"/>
      <c r="F1126" s="3"/>
      <c r="G1126" s="2"/>
      <c r="H1126" s="4" t="str">
        <f>IF($E$35="Y","OR","...")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>
      <c r="A1127" s="1" t="str">
        <f>IF($F$35="Y",'Population Definitions'!$B$32,"...")</f>
        <v>...</v>
      </c>
      <c r="B1127" s="4" t="str">
        <f>IF($F$35="Y","---&gt;","...")</f>
        <v>...</v>
      </c>
      <c r="C1127" s="1" t="str">
        <f>IF($F$35="Y",'Population Definitions'!$B$6,"...")</f>
        <v>...</v>
      </c>
      <c r="E1127" s="2"/>
      <c r="F1127" s="3"/>
      <c r="G1127" s="2"/>
      <c r="H1127" s="4" t="str">
        <f>IF($F$35="Y","OR","...")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>
      <c r="A1128" s="1" t="str">
        <f>IF($G$35="Y",'Population Definitions'!$B$32,"...")</f>
        <v>...</v>
      </c>
      <c r="B1128" s="4" t="str">
        <f>IF($G$35="Y","---&gt;","...")</f>
        <v>...</v>
      </c>
      <c r="C1128" s="1" t="str">
        <f>IF($G$35="Y",'Population Definitions'!$B$7,"...")</f>
        <v>...</v>
      </c>
      <c r="E1128" s="2"/>
      <c r="F1128" s="3"/>
      <c r="G1128" s="2"/>
      <c r="H1128" s="4" t="str">
        <f>IF($G$35="Y","OR","...")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>
      <c r="A1129" s="1" t="str">
        <f>IF($H$35="Y",'Population Definitions'!$B$32,"...")</f>
        <v>...</v>
      </c>
      <c r="B1129" s="4" t="str">
        <f>IF($H$35="Y","---&gt;","...")</f>
        <v>...</v>
      </c>
      <c r="C1129" s="1" t="str">
        <f>IF($H$35="Y",'Population Definitions'!$B$8,"...")</f>
        <v>...</v>
      </c>
      <c r="E1129" s="2"/>
      <c r="F1129" s="3"/>
      <c r="G1129" s="2"/>
      <c r="H1129" s="4" t="str">
        <f>IF($H$35="Y","OR","...")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>
      <c r="A1130" s="1" t="str">
        <f>IF($I$35="Y",'Population Definitions'!$B$32,"...")</f>
        <v>...</v>
      </c>
      <c r="B1130" s="4" t="str">
        <f>IF($I$35="Y","---&gt;","...")</f>
        <v>...</v>
      </c>
      <c r="C1130" s="1" t="str">
        <f>IF($I$35="Y",'Population Definitions'!$B$9,"...")</f>
        <v>...</v>
      </c>
      <c r="E1130" s="2"/>
      <c r="F1130" s="3"/>
      <c r="G1130" s="2"/>
      <c r="H1130" s="4" t="str">
        <f>IF($I$35="Y","OR","...")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>
      <c r="A1131" s="1" t="str">
        <f>IF($J$35="Y",'Population Definitions'!$B$32,"...")</f>
        <v>...</v>
      </c>
      <c r="B1131" s="4" t="str">
        <f>IF($J$35="Y","---&gt;","...")</f>
        <v>...</v>
      </c>
      <c r="C1131" s="1" t="str">
        <f>IF($J$35="Y",'Population Definitions'!$B$10,"...")</f>
        <v>...</v>
      </c>
      <c r="E1131" s="2"/>
      <c r="F1131" s="3"/>
      <c r="G1131" s="2"/>
      <c r="H1131" s="4" t="str">
        <f>IF($J$35="Y","OR","...")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>
      <c r="A1132" s="1" t="str">
        <f>IF($K$35="Y",'Population Definitions'!$B$32,"...")</f>
        <v>...</v>
      </c>
      <c r="B1132" s="4" t="str">
        <f>IF($K$35="Y","---&gt;","...")</f>
        <v>...</v>
      </c>
      <c r="C1132" s="1" t="str">
        <f>IF($K$35="Y",'Population Definitions'!$B$11,"...")</f>
        <v>...</v>
      </c>
      <c r="E1132" s="2"/>
      <c r="F1132" s="3"/>
      <c r="G1132" s="2"/>
      <c r="H1132" s="4" t="str">
        <f>IF($K$35="Y","OR","...")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>
      <c r="A1133" s="1" t="str">
        <f>IF($L$35="Y",'Population Definitions'!$B$32,"...")</f>
        <v>...</v>
      </c>
      <c r="B1133" s="4" t="str">
        <f>IF($L$35="Y","---&gt;","...")</f>
        <v>...</v>
      </c>
      <c r="C1133" s="1" t="str">
        <f>IF($L$35="Y",'Population Definitions'!$B$12,"...")</f>
        <v>...</v>
      </c>
      <c r="E1133" s="2"/>
      <c r="F1133" s="3"/>
      <c r="G1133" s="2"/>
      <c r="H1133" s="4" t="str">
        <f>IF($L$35="Y","OR","...")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>
      <c r="A1134" s="1" t="str">
        <f>IF($M$35="Y",'Population Definitions'!$B$32,"...")</f>
        <v>...</v>
      </c>
      <c r="B1134" s="4" t="str">
        <f>IF($M$35="Y","---&gt;","...")</f>
        <v>...</v>
      </c>
      <c r="C1134" s="1" t="str">
        <f>IF($M$35="Y",'Population Definitions'!$B$13,"...")</f>
        <v>...</v>
      </c>
      <c r="E1134" s="2"/>
      <c r="F1134" s="3"/>
      <c r="G1134" s="2"/>
      <c r="H1134" s="4" t="str">
        <f>IF($M$35="Y","OR","...")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>
      <c r="A1135" s="1" t="str">
        <f>IF($N$35="Y",'Population Definitions'!$B$32,"...")</f>
        <v>...</v>
      </c>
      <c r="B1135" s="4" t="str">
        <f>IF($N$35="Y","---&gt;","...")</f>
        <v>...</v>
      </c>
      <c r="C1135" s="1" t="str">
        <f>IF($N$35="Y",'Population Definitions'!$B$14,"...")</f>
        <v>...</v>
      </c>
      <c r="E1135" s="2"/>
      <c r="F1135" s="3"/>
      <c r="G1135" s="2"/>
      <c r="H1135" s="4" t="str">
        <f>IF($N$35="Y","OR","...")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>
      <c r="A1136" s="1" t="str">
        <f>IF($O$35="Y",'Population Definitions'!$B$32,"...")</f>
        <v>...</v>
      </c>
      <c r="B1136" s="4" t="str">
        <f>IF($O$35="Y","---&gt;","...")</f>
        <v>...</v>
      </c>
      <c r="C1136" s="1" t="str">
        <f>IF($O$35="Y",'Population Definitions'!$B$15,"...")</f>
        <v>...</v>
      </c>
      <c r="E1136" s="2"/>
      <c r="F1136" s="3"/>
      <c r="G1136" s="2"/>
      <c r="H1136" s="4" t="str">
        <f>IF($O$35="Y","OR","...")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>
      <c r="A1137" s="1" t="str">
        <f>IF($P$35="Y",'Population Definitions'!$B$32,"...")</f>
        <v>...</v>
      </c>
      <c r="B1137" s="4" t="str">
        <f>IF($P$35="Y","---&gt;","...")</f>
        <v>...</v>
      </c>
      <c r="C1137" s="1" t="str">
        <f>IF($P$35="Y",'Population Definitions'!$B$16,"...")</f>
        <v>...</v>
      </c>
      <c r="E1137" s="2"/>
      <c r="F1137" s="3"/>
      <c r="G1137" s="2"/>
      <c r="H1137" s="4" t="str">
        <f>IF($P$35="Y","OR","...")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>
      <c r="A1138" s="1" t="str">
        <f>IF($Q$35="Y",'Population Definitions'!$B$32,"...")</f>
        <v>...</v>
      </c>
      <c r="B1138" s="4" t="str">
        <f>IF($Q$35="Y","---&gt;","...")</f>
        <v>...</v>
      </c>
      <c r="C1138" s="1" t="str">
        <f>IF($Q$35="Y",'Population Definitions'!$B$17,"...")</f>
        <v>...</v>
      </c>
      <c r="E1138" s="2"/>
      <c r="F1138" s="3"/>
      <c r="G1138" s="2"/>
      <c r="H1138" s="4" t="str">
        <f>IF($Q$35="Y","OR","...")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>
      <c r="A1139" s="1" t="str">
        <f>IF($R$35="Y",'Population Definitions'!$B$32,"...")</f>
        <v>...</v>
      </c>
      <c r="B1139" s="4" t="str">
        <f>IF($R$35="Y","---&gt;","...")</f>
        <v>...</v>
      </c>
      <c r="C1139" s="1" t="str">
        <f>IF($R$35="Y",'Population Definitions'!$B$18,"...")</f>
        <v>...</v>
      </c>
      <c r="E1139" s="2"/>
      <c r="F1139" s="3"/>
      <c r="G1139" s="2"/>
      <c r="H1139" s="4" t="str">
        <f>IF($R$35="Y","OR","...")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>
      <c r="A1140" s="1" t="str">
        <f>IF($S$35="Y",'Population Definitions'!$B$32,"...")</f>
        <v>...</v>
      </c>
      <c r="B1140" s="4" t="str">
        <f>IF($S$35="Y","---&gt;","...")</f>
        <v>...</v>
      </c>
      <c r="C1140" s="1" t="str">
        <f>IF($S$35="Y",'Population Definitions'!$B$19,"...")</f>
        <v>...</v>
      </c>
      <c r="E1140" s="2"/>
      <c r="F1140" s="3"/>
      <c r="G1140" s="2"/>
      <c r="H1140" s="4" t="str">
        <f>IF($S$35="Y","OR","...")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>
      <c r="A1141" s="1" t="str">
        <f>IF($T$35="Y",'Population Definitions'!$B$32,"...")</f>
        <v>...</v>
      </c>
      <c r="B1141" s="4" t="str">
        <f>IF($T$35="Y","---&gt;","...")</f>
        <v>...</v>
      </c>
      <c r="C1141" s="1" t="str">
        <f>IF($T$35="Y",'Population Definitions'!$B$20,"...")</f>
        <v>...</v>
      </c>
      <c r="E1141" s="2"/>
      <c r="F1141" s="3"/>
      <c r="G1141" s="2"/>
      <c r="H1141" s="4" t="str">
        <f>IF($T$35="Y","OR","...")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>
      <c r="A1142" s="1" t="str">
        <f>IF($U$35="Y",'Population Definitions'!$B$32,"...")</f>
        <v>...</v>
      </c>
      <c r="B1142" s="4" t="str">
        <f>IF($U$35="Y","---&gt;","...")</f>
        <v>...</v>
      </c>
      <c r="C1142" s="1" t="str">
        <f>IF($U$35="Y",'Population Definitions'!$B$21,"...")</f>
        <v>...</v>
      </c>
      <c r="E1142" s="2"/>
      <c r="F1142" s="3"/>
      <c r="G1142" s="2"/>
      <c r="H1142" s="4" t="str">
        <f>IF($U$35="Y","OR","...")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>
      <c r="A1143" s="1" t="str">
        <f>IF($V$35="Y",'Population Definitions'!$B$32,"...")</f>
        <v>...</v>
      </c>
      <c r="B1143" s="4" t="str">
        <f>IF($V$35="Y","---&gt;","...")</f>
        <v>...</v>
      </c>
      <c r="C1143" s="1" t="str">
        <f>IF($V$35="Y",'Population Definitions'!$B$22,"...")</f>
        <v>...</v>
      </c>
      <c r="E1143" s="2"/>
      <c r="F1143" s="3"/>
      <c r="G1143" s="2"/>
      <c r="H1143" s="4" t="str">
        <f>IF($V$35="Y","OR","...")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>
      <c r="A1144" s="1" t="str">
        <f>IF($W$35="Y",'Population Definitions'!$B$32,"...")</f>
        <v>...</v>
      </c>
      <c r="B1144" s="4" t="str">
        <f>IF($W$35="Y","---&gt;","...")</f>
        <v>...</v>
      </c>
      <c r="C1144" s="1" t="str">
        <f>IF($W$35="Y",'Population Definitions'!$B$23,"...")</f>
        <v>...</v>
      </c>
      <c r="E1144" s="2"/>
      <c r="F1144" s="3"/>
      <c r="G1144" s="2"/>
      <c r="H1144" s="4" t="str">
        <f>IF($W$35="Y","OR","...")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>
      <c r="A1145" s="1" t="str">
        <f>IF($X$35="Y",'Population Definitions'!$B$32,"...")</f>
        <v>...</v>
      </c>
      <c r="B1145" s="4" t="str">
        <f>IF($X$35="Y","---&gt;","...")</f>
        <v>...</v>
      </c>
      <c r="C1145" s="1" t="str">
        <f>IF($X$35="Y",'Population Definitions'!$B$24,"...")</f>
        <v>...</v>
      </c>
      <c r="E1145" s="2"/>
      <c r="F1145" s="3"/>
      <c r="G1145" s="2"/>
      <c r="H1145" s="4" t="str">
        <f>IF($X$35="Y","OR","...")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>
      <c r="A1146" s="1" t="str">
        <f>IF($Y$35="Y",'Population Definitions'!$B$32,"...")</f>
        <v>...</v>
      </c>
      <c r="B1146" s="4" t="str">
        <f>IF($Y$35="Y","---&gt;","...")</f>
        <v>...</v>
      </c>
      <c r="C1146" s="1" t="str">
        <f>IF($Y$35="Y",'Population Definitions'!$B$25,"...")</f>
        <v>...</v>
      </c>
      <c r="E1146" s="2"/>
      <c r="F1146" s="3"/>
      <c r="G1146" s="2"/>
      <c r="H1146" s="4" t="str">
        <f>IF($Y$35="Y","OR","...")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>
      <c r="A1147" s="1" t="str">
        <f>IF($Z$35="Y",'Population Definitions'!$B$32,"...")</f>
        <v>...</v>
      </c>
      <c r="B1147" s="4" t="str">
        <f>IF($Z$35="Y","---&gt;","...")</f>
        <v>...</v>
      </c>
      <c r="C1147" s="1" t="str">
        <f>IF($Z$35="Y",'Population Definitions'!$B$26,"...")</f>
        <v>...</v>
      </c>
      <c r="E1147" s="2"/>
      <c r="F1147" s="3"/>
      <c r="G1147" s="2"/>
      <c r="H1147" s="4" t="str">
        <f>IF($Z$35="Y","OR","...")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>
      <c r="A1148" s="1" t="str">
        <f>IF($AA$35="Y",'Population Definitions'!$B$32,"...")</f>
        <v>...</v>
      </c>
      <c r="B1148" s="4" t="str">
        <f>IF($AA$35="Y","---&gt;","...")</f>
        <v>...</v>
      </c>
      <c r="C1148" s="1" t="str">
        <f>IF($AA$35="Y",'Population Definitions'!$B$27,"...")</f>
        <v>...</v>
      </c>
      <c r="E1148" s="2"/>
      <c r="F1148" s="3"/>
      <c r="G1148" s="2"/>
      <c r="H1148" s="4" t="str">
        <f>IF($AA$35="Y","OR","...")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>
      <c r="A1149" s="1" t="str">
        <f>IF($AB$35="Y",'Population Definitions'!$B$32,"...")</f>
        <v>...</v>
      </c>
      <c r="B1149" s="4" t="str">
        <f>IF($AB$35="Y","---&gt;","...")</f>
        <v>...</v>
      </c>
      <c r="C1149" s="1" t="str">
        <f>IF($AB$35="Y",'Population Definitions'!$B$28,"...")</f>
        <v>...</v>
      </c>
      <c r="E1149" s="2"/>
      <c r="F1149" s="3"/>
      <c r="G1149" s="2"/>
      <c r="H1149" s="4" t="str">
        <f>IF($AB$35="Y","OR","...")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>
      <c r="A1150" s="1" t="str">
        <f>IF($AC$35="Y",'Population Definitions'!$B$32,"...")</f>
        <v>...</v>
      </c>
      <c r="B1150" s="4" t="str">
        <f>IF($AC$35="Y","---&gt;","...")</f>
        <v>...</v>
      </c>
      <c r="C1150" s="1" t="str">
        <f>IF($AC$35="Y",'Population Definitions'!$B$29,"...")</f>
        <v>...</v>
      </c>
      <c r="E1150" s="2"/>
      <c r="F1150" s="3"/>
      <c r="G1150" s="2"/>
      <c r="H1150" s="4" t="str">
        <f>IF($AC$35="Y","OR","...")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>
      <c r="A1151" s="1" t="str">
        <f>IF($AD$35="Y",'Population Definitions'!$B$32,"...")</f>
        <v>...</v>
      </c>
      <c r="B1151" s="4" t="str">
        <f>IF($AD$35="Y","---&gt;","...")</f>
        <v>...</v>
      </c>
      <c r="C1151" s="1" t="str">
        <f>IF($AD$35="Y",'Population Definitions'!$B$30,"...")</f>
        <v>...</v>
      </c>
      <c r="E1151" s="2"/>
      <c r="F1151" s="3"/>
      <c r="G1151" s="2"/>
      <c r="H1151" s="4" t="str">
        <f>IF($AD$35="Y","OR","...")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>
      <c r="A1152" s="1" t="str">
        <f>IF($AE$35="Y",'Population Definitions'!$B$32,"...")</f>
        <v>...</v>
      </c>
      <c r="B1152" s="4" t="str">
        <f>IF($AE$35="Y","---&gt;","...")</f>
        <v>...</v>
      </c>
      <c r="C1152" s="1" t="str">
        <f>IF($AE$35="Y",'Population Definitions'!$B$31,"...")</f>
        <v>...</v>
      </c>
      <c r="E1152" s="2"/>
      <c r="F1152" s="3"/>
      <c r="G1152" s="2"/>
      <c r="H1152" s="4" t="str">
        <f>IF($AE$35="Y","OR","...")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>
      <c r="A1153" s="1" t="str">
        <f>IF($AF$35="Y",'Population Definitions'!$B$32,"...")</f>
        <v>...</v>
      </c>
      <c r="B1153" s="4" t="str">
        <f>IF($AF$35="Y","---&gt;","...")</f>
        <v>...</v>
      </c>
      <c r="C1153" s="1" t="str">
        <f>IF($AF$35="Y",'Population Definitions'!$B$32,"...")</f>
        <v>...</v>
      </c>
      <c r="E1153" s="2"/>
      <c r="F1153" s="3"/>
      <c r="G1153" s="2"/>
      <c r="H1153" s="4" t="str">
        <f>IF($AF$35="Y","OR","...")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>
      <c r="A1154" s="1" t="str">
        <f>IF($AG$35="Y",'Population Definitions'!$B$32,"...")</f>
        <v>0-4F_fns</v>
      </c>
      <c r="B1154" s="4" t="str">
        <f>IF($AG$35="Y","---&gt;","...")</f>
        <v>---&gt;</v>
      </c>
      <c r="C1154" s="1" t="str">
        <f>IF($AG$35="Y",'Population Definitions'!$B$33,"...")</f>
        <v>5-14F_fns</v>
      </c>
      <c r="E1154" s="3" t="s">
        <v>63</v>
      </c>
      <c r="F1154" s="3"/>
      <c r="G1154" s="3"/>
      <c r="H1154" s="4" t="str">
        <f>IF($AG$35="Y","OR","...")</f>
        <v>OR</v>
      </c>
      <c r="I1154" s="3">
        <v>0.2047728250638069</v>
      </c>
      <c r="J1154" s="3">
        <v>0.2033028441856224</v>
      </c>
      <c r="K1154" s="3">
        <v>0.2047219344605659</v>
      </c>
      <c r="L1154" s="3">
        <v>0.202201157864162</v>
      </c>
      <c r="M1154" s="3">
        <v>0.2010554219599567</v>
      </c>
      <c r="N1154" s="3">
        <v>0.2036090814259401</v>
      </c>
      <c r="O1154" s="3">
        <v>0.2008678679050184</v>
      </c>
      <c r="P1154" s="3">
        <v>0.2000247429804099</v>
      </c>
      <c r="Q1154" s="3">
        <v>0.2000627828066523</v>
      </c>
      <c r="R1154" s="3">
        <v>0.200027197897286</v>
      </c>
      <c r="S1154" s="3">
        <v>0.1974045602904069</v>
      </c>
      <c r="T1154" s="3">
        <v>0.1964253819723766</v>
      </c>
      <c r="U1154" s="3">
        <v>0.1966077476535926</v>
      </c>
      <c r="V1154" s="3">
        <v>0.1949547130270459</v>
      </c>
      <c r="W1154" s="3">
        <v>0.1952919408394878</v>
      </c>
      <c r="X1154" s="3">
        <v>0.1944931350349545</v>
      </c>
      <c r="Y1154" s="3">
        <v>0.1942658781613374</v>
      </c>
      <c r="Z1154" s="3">
        <v>0.1943937553118937</v>
      </c>
      <c r="AA1154" s="3">
        <v>0.1926206071600273</v>
      </c>
      <c r="AB1154" s="3">
        <v>0.1920229779024673</v>
      </c>
      <c r="AC1154" s="3">
        <v>0.1914962799748044</v>
      </c>
      <c r="AD1154" s="3">
        <v>0.1902582653703335</v>
      </c>
      <c r="AE1154" s="3">
        <v>0.1912101017769861</v>
      </c>
      <c r="AF1154" s="3">
        <v>0.1900930699639512</v>
      </c>
      <c r="AG1154" s="3">
        <v>0.1892087595676605</v>
      </c>
      <c r="AH1154" s="3">
        <v>0.1880421989229787</v>
      </c>
      <c r="AI1154" s="3">
        <v>0.1882665666371978</v>
      </c>
      <c r="AJ1154" s="3">
        <v>0.1887338714792383</v>
      </c>
      <c r="AK1154" s="3">
        <v>0.1889073040858349</v>
      </c>
      <c r="AL1154" s="3">
        <v>0.1877621533842889</v>
      </c>
      <c r="AM1154" s="3">
        <v>0.1871797247822227</v>
      </c>
      <c r="AN1154" s="3">
        <v>0.2111828279761002</v>
      </c>
      <c r="AO1154" s="3">
        <v>0.2117288808454795</v>
      </c>
      <c r="AP1154" s="3">
        <v>0.213091532117888</v>
      </c>
      <c r="AQ1154" s="3">
        <v>0.2174990057835017</v>
      </c>
      <c r="AR1154" s="3">
        <v>0.216431626449882</v>
      </c>
      <c r="AS1154" s="3">
        <v>0.2183529199071922</v>
      </c>
      <c r="AT1154" s="3">
        <v>0.2152946321272028</v>
      </c>
      <c r="AU1154" s="3">
        <v>0.2117363116458713</v>
      </c>
      <c r="AV1154" s="3">
        <v>0.2175321689058095</v>
      </c>
      <c r="AW1154" s="3">
        <v>0.2134498294875206</v>
      </c>
      <c r="AX1154" s="3">
        <v>0.2110521585523946</v>
      </c>
      <c r="AY1154" s="3">
        <v>0.2032600319259677</v>
      </c>
      <c r="AZ1154" s="3">
        <v>0.2001868813104234</v>
      </c>
      <c r="BA1154" s="3">
        <v>0.1951067408378919</v>
      </c>
      <c r="BB1154" s="3">
        <v>0.1913513614932419</v>
      </c>
      <c r="BC1154" s="3">
        <v>0.2041913564007007</v>
      </c>
      <c r="BD1154" s="3">
        <v>0.205245288543055</v>
      </c>
      <c r="BE1154" s="3">
        <v>0.2058376456710537</v>
      </c>
      <c r="BF1154" s="3">
        <v>0.2064187488777253</v>
      </c>
      <c r="BG1154" s="3">
        <v>0.2071904972257399</v>
      </c>
      <c r="BH1154" s="3">
        <v>0.2079103534179171</v>
      </c>
      <c r="BI1154" s="3">
        <v>0.2088519579876095</v>
      </c>
      <c r="BJ1154" s="3">
        <v>0.2097791527558733</v>
      </c>
      <c r="BK1154" s="3">
        <v>0.2106620306803934</v>
      </c>
      <c r="BL1154" s="3">
        <v>0.2115474926185451</v>
      </c>
      <c r="BM1154" s="3">
        <v>0.2122709635648635</v>
      </c>
      <c r="BN1154" s="3">
        <v>0.2131022464992808</v>
      </c>
      <c r="BO1154" s="3">
        <v>0.2140562317576817</v>
      </c>
      <c r="BP1154" s="3">
        <v>0.2150431063376864</v>
      </c>
      <c r="BQ1154" s="3">
        <v>0.216078526945121</v>
      </c>
      <c r="BR1154" s="3">
        <v>0.2171380240831939</v>
      </c>
      <c r="BS1154" s="3">
        <v>0.2181769326040917</v>
      </c>
      <c r="BT1154" s="3">
        <v>0.2191678200058274</v>
      </c>
      <c r="BU1154" s="3">
        <v>0.2200460428866613</v>
      </c>
      <c r="BV1154" s="3">
        <v>0.2208506334254149</v>
      </c>
      <c r="BW1154" s="3">
        <v>0.2215031487855951</v>
      </c>
      <c r="BX1154" s="3">
        <v>0.2220850860090021</v>
      </c>
      <c r="BY1154" s="3">
        <v>0.222552917156132</v>
      </c>
      <c r="BZ1154" s="3">
        <v>0.2229732985380375</v>
      </c>
      <c r="CA1154" s="3">
        <v>0.2233067352102126</v>
      </c>
      <c r="CB1154" s="3">
        <v>0.223590055862858</v>
      </c>
      <c r="CC1154" s="3">
        <v>0.2238371557746497</v>
      </c>
      <c r="CD1154" s="3">
        <v>0.2240182182979408</v>
      </c>
      <c r="CE1154" s="3">
        <v>0.2241019670047009</v>
      </c>
      <c r="CF1154" s="3">
        <v>0.2240917586086255</v>
      </c>
      <c r="CG1154" s="3">
        <v>0.2240094838915962</v>
      </c>
      <c r="CH1154" s="3">
        <v>0.2239257471189829</v>
      </c>
      <c r="CI1154" s="3">
        <v>0.2238171935658431</v>
      </c>
      <c r="CJ1154" s="3">
        <v>0.2237384411446635</v>
      </c>
      <c r="CK1154" s="3">
        <v>0.2236277012090828</v>
      </c>
      <c r="CL1154" s="3">
        <v>0.2236218559737279</v>
      </c>
      <c r="CM1154" s="3">
        <v>0.2236781113946839</v>
      </c>
      <c r="CN1154" s="3">
        <v>0.2237993071907149</v>
      </c>
      <c r="CO1154" s="3">
        <v>0.2239638691566541</v>
      </c>
      <c r="CP1154" s="3">
        <v>0.2240995539394474</v>
      </c>
      <c r="CQ1154" s="3">
        <v>0.2242265598353239</v>
      </c>
      <c r="CR1154" s="3">
        <v>0.2244431534794274</v>
      </c>
      <c r="CS1154" s="3">
        <v>0.2247034847840486</v>
      </c>
      <c r="CT1154" s="3">
        <v>0.224931503693992</v>
      </c>
      <c r="CU1154" s="3">
        <v>0.2251542148224866</v>
      </c>
      <c r="CV1154" s="3"/>
    </row>
    <row r="1155" spans="1:100">
      <c r="A1155" s="1" t="str">
        <f>IF($AH$35="Y",'Population Definitions'!$B$32,"...")</f>
        <v>...</v>
      </c>
      <c r="B1155" s="4" t="str">
        <f>IF($AH$35="Y","---&gt;","...")</f>
        <v>...</v>
      </c>
      <c r="C1155" s="1" t="str">
        <f>IF($AH$35="Y",'Population Definitions'!$B$34,"...")</f>
        <v>...</v>
      </c>
      <c r="E1155" s="2"/>
      <c r="F1155" s="3"/>
      <c r="G1155" s="2"/>
      <c r="H1155" s="4" t="str">
        <f>IF($AH$35="Y","OR","...")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>
      <c r="A1156" s="1" t="str">
        <f>IF($AI$35="Y",'Population Definitions'!$B$32,"...")</f>
        <v>...</v>
      </c>
      <c r="B1156" s="4" t="str">
        <f>IF($AI$35="Y","---&gt;","...")</f>
        <v>...</v>
      </c>
      <c r="C1156" s="1" t="str">
        <f>IF($AI$35="Y",'Population Definitions'!$B$35,"...")</f>
        <v>...</v>
      </c>
      <c r="E1156" s="2"/>
      <c r="F1156" s="3"/>
      <c r="G1156" s="2"/>
      <c r="H1156" s="4" t="str">
        <f>IF($AI$35="Y","OR","...")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>
      <c r="A1157" s="1" t="str">
        <f>IF($AJ$35="Y",'Population Definitions'!$B$32,"...")</f>
        <v>...</v>
      </c>
      <c r="B1157" s="4" t="str">
        <f>IF($AJ$35="Y","---&gt;","...")</f>
        <v>...</v>
      </c>
      <c r="C1157" s="1" t="str">
        <f>IF($AJ$35="Y",'Population Definitions'!$B$36,"...")</f>
        <v>...</v>
      </c>
      <c r="E1157" s="2"/>
      <c r="F1157" s="3"/>
      <c r="G1157" s="2"/>
      <c r="H1157" s="4" t="str">
        <f>IF($AJ$35="Y","OR","...")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>
      <c r="A1158" s="1" t="str">
        <f>IF($AK$35="Y",'Population Definitions'!$B$32,"...")</f>
        <v>...</v>
      </c>
      <c r="B1158" s="4" t="str">
        <f>IF($AK$35="Y","---&gt;","...")</f>
        <v>...</v>
      </c>
      <c r="C1158" s="1" t="str">
        <f>IF($AK$35="Y",'Population Definitions'!$B$37,"...")</f>
        <v>...</v>
      </c>
      <c r="E1158" s="2"/>
      <c r="F1158" s="3"/>
      <c r="G1158" s="2"/>
      <c r="H1158" s="4" t="str">
        <f>IF($AK$35="Y","OR","...")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>
      <c r="A1159" s="1" t="str">
        <f>IF($B$36="Y",'Population Definitions'!$B$33,"...")</f>
        <v>...</v>
      </c>
      <c r="B1159" s="4" t="str">
        <f>IF($B$36="Y","---&gt;","...")</f>
        <v>...</v>
      </c>
      <c r="C1159" s="1" t="str">
        <f>IF($B$36="Y",'Population Definitions'!$B$2,"...")</f>
        <v>...</v>
      </c>
      <c r="E1159" s="2"/>
      <c r="F1159" s="3"/>
      <c r="G1159" s="2"/>
      <c r="H1159" s="4" t="str">
        <f>IF($B$36="Y","OR","...")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>
      <c r="A1160" s="1" t="str">
        <f>IF($C$36="Y",'Population Definitions'!$B$33,"...")</f>
        <v>...</v>
      </c>
      <c r="B1160" s="4" t="str">
        <f>IF($C$36="Y","---&gt;","...")</f>
        <v>...</v>
      </c>
      <c r="C1160" s="1" t="str">
        <f>IF($C$36="Y",'Population Definitions'!$B$3,"...")</f>
        <v>...</v>
      </c>
      <c r="E1160" s="2"/>
      <c r="F1160" s="3"/>
      <c r="G1160" s="2"/>
      <c r="H1160" s="4" t="str">
        <f>IF($C$36="Y","OR","...")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>
      <c r="A1161" s="1" t="str">
        <f>IF($D$36="Y",'Population Definitions'!$B$33,"...")</f>
        <v>...</v>
      </c>
      <c r="B1161" s="4" t="str">
        <f>IF($D$36="Y","---&gt;","...")</f>
        <v>...</v>
      </c>
      <c r="C1161" s="1" t="str">
        <f>IF($D$36="Y",'Population Definitions'!$B$4,"...")</f>
        <v>...</v>
      </c>
      <c r="E1161" s="2"/>
      <c r="F1161" s="3"/>
      <c r="G1161" s="2"/>
      <c r="H1161" s="4" t="str">
        <f>IF($D$36="Y","OR","...")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>
      <c r="A1162" s="1" t="str">
        <f>IF($E$36="Y",'Population Definitions'!$B$33,"...")</f>
        <v>...</v>
      </c>
      <c r="B1162" s="4" t="str">
        <f>IF($E$36="Y","---&gt;","...")</f>
        <v>...</v>
      </c>
      <c r="C1162" s="1" t="str">
        <f>IF($E$36="Y",'Population Definitions'!$B$5,"...")</f>
        <v>...</v>
      </c>
      <c r="E1162" s="2"/>
      <c r="F1162" s="3"/>
      <c r="G1162" s="2"/>
      <c r="H1162" s="4" t="str">
        <f>IF($E$36="Y","OR","...")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>
      <c r="A1163" s="1" t="str">
        <f>IF($F$36="Y",'Population Definitions'!$B$33,"...")</f>
        <v>...</v>
      </c>
      <c r="B1163" s="4" t="str">
        <f>IF($F$36="Y","---&gt;","...")</f>
        <v>...</v>
      </c>
      <c r="C1163" s="1" t="str">
        <f>IF($F$36="Y",'Population Definitions'!$B$6,"...")</f>
        <v>...</v>
      </c>
      <c r="E1163" s="2"/>
      <c r="F1163" s="3"/>
      <c r="G1163" s="2"/>
      <c r="H1163" s="4" t="str">
        <f>IF($F$36="Y","OR","...")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>
      <c r="A1164" s="1" t="str">
        <f>IF($G$36="Y",'Population Definitions'!$B$33,"...")</f>
        <v>...</v>
      </c>
      <c r="B1164" s="4" t="str">
        <f>IF($G$36="Y","---&gt;","...")</f>
        <v>...</v>
      </c>
      <c r="C1164" s="1" t="str">
        <f>IF($G$36="Y",'Population Definitions'!$B$7,"...")</f>
        <v>...</v>
      </c>
      <c r="E1164" s="2"/>
      <c r="F1164" s="3"/>
      <c r="G1164" s="2"/>
      <c r="H1164" s="4" t="str">
        <f>IF($G$36="Y","OR","...")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>
      <c r="A1165" s="1" t="str">
        <f>IF($H$36="Y",'Population Definitions'!$B$33,"...")</f>
        <v>...</v>
      </c>
      <c r="B1165" s="4" t="str">
        <f>IF($H$36="Y","---&gt;","...")</f>
        <v>...</v>
      </c>
      <c r="C1165" s="1" t="str">
        <f>IF($H$36="Y",'Population Definitions'!$B$8,"...")</f>
        <v>...</v>
      </c>
      <c r="E1165" s="2"/>
      <c r="F1165" s="3"/>
      <c r="G1165" s="2"/>
      <c r="H1165" s="4" t="str">
        <f>IF($H$36="Y","OR","...")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>
      <c r="A1166" s="1" t="str">
        <f>IF($I$36="Y",'Population Definitions'!$B$33,"...")</f>
        <v>...</v>
      </c>
      <c r="B1166" s="4" t="str">
        <f>IF($I$36="Y","---&gt;","...")</f>
        <v>...</v>
      </c>
      <c r="C1166" s="1" t="str">
        <f>IF($I$36="Y",'Population Definitions'!$B$9,"...")</f>
        <v>...</v>
      </c>
      <c r="E1166" s="2"/>
      <c r="F1166" s="3"/>
      <c r="G1166" s="2"/>
      <c r="H1166" s="4" t="str">
        <f>IF($I$36="Y","OR","...")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>
      <c r="A1167" s="1" t="str">
        <f>IF($J$36="Y",'Population Definitions'!$B$33,"...")</f>
        <v>...</v>
      </c>
      <c r="B1167" s="4" t="str">
        <f>IF($J$36="Y","---&gt;","...")</f>
        <v>...</v>
      </c>
      <c r="C1167" s="1" t="str">
        <f>IF($J$36="Y",'Population Definitions'!$B$10,"...")</f>
        <v>...</v>
      </c>
      <c r="E1167" s="2"/>
      <c r="F1167" s="3"/>
      <c r="G1167" s="2"/>
      <c r="H1167" s="4" t="str">
        <f>IF($J$36="Y","OR","...")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>
      <c r="A1168" s="1" t="str">
        <f>IF($K$36="Y",'Population Definitions'!$B$33,"...")</f>
        <v>...</v>
      </c>
      <c r="B1168" s="4" t="str">
        <f>IF($K$36="Y","---&gt;","...")</f>
        <v>...</v>
      </c>
      <c r="C1168" s="1" t="str">
        <f>IF($K$36="Y",'Population Definitions'!$B$11,"...")</f>
        <v>...</v>
      </c>
      <c r="E1168" s="2"/>
      <c r="F1168" s="3"/>
      <c r="G1168" s="2"/>
      <c r="H1168" s="4" t="str">
        <f>IF($K$36="Y","OR","...")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>
      <c r="A1169" s="1" t="str">
        <f>IF($L$36="Y",'Population Definitions'!$B$33,"...")</f>
        <v>...</v>
      </c>
      <c r="B1169" s="4" t="str">
        <f>IF($L$36="Y","---&gt;","...")</f>
        <v>...</v>
      </c>
      <c r="C1169" s="1" t="str">
        <f>IF($L$36="Y",'Population Definitions'!$B$12,"...")</f>
        <v>...</v>
      </c>
      <c r="E1169" s="2"/>
      <c r="F1169" s="3"/>
      <c r="G1169" s="2"/>
      <c r="H1169" s="4" t="str">
        <f>IF($L$36="Y","OR","...")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>
      <c r="A1170" s="1" t="str">
        <f>IF($M$36="Y",'Population Definitions'!$B$33,"...")</f>
        <v>...</v>
      </c>
      <c r="B1170" s="4" t="str">
        <f>IF($M$36="Y","---&gt;","...")</f>
        <v>...</v>
      </c>
      <c r="C1170" s="1" t="str">
        <f>IF($M$36="Y",'Population Definitions'!$B$13,"...")</f>
        <v>...</v>
      </c>
      <c r="E1170" s="2"/>
      <c r="F1170" s="3"/>
      <c r="G1170" s="2"/>
      <c r="H1170" s="4" t="str">
        <f>IF($M$36="Y","OR","...")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>
      <c r="A1171" s="1" t="str">
        <f>IF($N$36="Y",'Population Definitions'!$B$33,"...")</f>
        <v>...</v>
      </c>
      <c r="B1171" s="4" t="str">
        <f>IF($N$36="Y","---&gt;","...")</f>
        <v>...</v>
      </c>
      <c r="C1171" s="1" t="str">
        <f>IF($N$36="Y",'Population Definitions'!$B$14,"...")</f>
        <v>...</v>
      </c>
      <c r="E1171" s="2"/>
      <c r="F1171" s="3"/>
      <c r="G1171" s="2"/>
      <c r="H1171" s="4" t="str">
        <f>IF($N$36="Y","OR","...")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>
      <c r="A1172" s="1" t="str">
        <f>IF($O$36="Y",'Population Definitions'!$B$33,"...")</f>
        <v>...</v>
      </c>
      <c r="B1172" s="4" t="str">
        <f>IF($O$36="Y","---&gt;","...")</f>
        <v>...</v>
      </c>
      <c r="C1172" s="1" t="str">
        <f>IF($O$36="Y",'Population Definitions'!$B$15,"...")</f>
        <v>...</v>
      </c>
      <c r="E1172" s="2"/>
      <c r="F1172" s="3"/>
      <c r="G1172" s="2"/>
      <c r="H1172" s="4" t="str">
        <f>IF($O$36="Y","OR","...")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>
      <c r="A1173" s="1" t="str">
        <f>IF($P$36="Y",'Population Definitions'!$B$33,"...")</f>
        <v>...</v>
      </c>
      <c r="B1173" s="4" t="str">
        <f>IF($P$36="Y","---&gt;","...")</f>
        <v>...</v>
      </c>
      <c r="C1173" s="1" t="str">
        <f>IF($P$36="Y",'Population Definitions'!$B$16,"...")</f>
        <v>...</v>
      </c>
      <c r="E1173" s="2"/>
      <c r="F1173" s="3"/>
      <c r="G1173" s="2"/>
      <c r="H1173" s="4" t="str">
        <f>IF($P$36="Y","OR","...")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>
      <c r="A1174" s="1" t="str">
        <f>IF($Q$36="Y",'Population Definitions'!$B$33,"...")</f>
        <v>...</v>
      </c>
      <c r="B1174" s="4" t="str">
        <f>IF($Q$36="Y","---&gt;","...")</f>
        <v>...</v>
      </c>
      <c r="C1174" s="1" t="str">
        <f>IF($Q$36="Y",'Population Definitions'!$B$17,"...")</f>
        <v>...</v>
      </c>
      <c r="E1174" s="2"/>
      <c r="F1174" s="3"/>
      <c r="G1174" s="2"/>
      <c r="H1174" s="4" t="str">
        <f>IF($Q$36="Y","OR","...")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>
      <c r="A1175" s="1" t="str">
        <f>IF($R$36="Y",'Population Definitions'!$B$33,"...")</f>
        <v>...</v>
      </c>
      <c r="B1175" s="4" t="str">
        <f>IF($R$36="Y","---&gt;","...")</f>
        <v>...</v>
      </c>
      <c r="C1175" s="1" t="str">
        <f>IF($R$36="Y",'Population Definitions'!$B$18,"...")</f>
        <v>...</v>
      </c>
      <c r="E1175" s="2"/>
      <c r="F1175" s="3"/>
      <c r="G1175" s="2"/>
      <c r="H1175" s="4" t="str">
        <f>IF($R$36="Y","OR","...")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>
      <c r="A1176" s="1" t="str">
        <f>IF($S$36="Y",'Population Definitions'!$B$33,"...")</f>
        <v>...</v>
      </c>
      <c r="B1176" s="4" t="str">
        <f>IF($S$36="Y","---&gt;","...")</f>
        <v>...</v>
      </c>
      <c r="C1176" s="1" t="str">
        <f>IF($S$36="Y",'Population Definitions'!$B$19,"...")</f>
        <v>...</v>
      </c>
      <c r="E1176" s="2"/>
      <c r="F1176" s="3"/>
      <c r="G1176" s="2"/>
      <c r="H1176" s="4" t="str">
        <f>IF($S$36="Y","OR","...")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>
      <c r="A1177" s="1" t="str">
        <f>IF($T$36="Y",'Population Definitions'!$B$33,"...")</f>
        <v>...</v>
      </c>
      <c r="B1177" s="4" t="str">
        <f>IF($T$36="Y","---&gt;","...")</f>
        <v>...</v>
      </c>
      <c r="C1177" s="1" t="str">
        <f>IF($T$36="Y",'Population Definitions'!$B$20,"...")</f>
        <v>...</v>
      </c>
      <c r="E1177" s="2"/>
      <c r="F1177" s="3"/>
      <c r="G1177" s="2"/>
      <c r="H1177" s="4" t="str">
        <f>IF($T$36="Y","OR","...")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>
      <c r="A1178" s="1" t="str">
        <f>IF($U$36="Y",'Population Definitions'!$B$33,"...")</f>
        <v>...</v>
      </c>
      <c r="B1178" s="4" t="str">
        <f>IF($U$36="Y","---&gt;","...")</f>
        <v>...</v>
      </c>
      <c r="C1178" s="1" t="str">
        <f>IF($U$36="Y",'Population Definitions'!$B$21,"...")</f>
        <v>...</v>
      </c>
      <c r="E1178" s="2"/>
      <c r="F1178" s="3"/>
      <c r="G1178" s="2"/>
      <c r="H1178" s="4" t="str">
        <f>IF($U$36="Y","OR","...")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>
      <c r="A1179" s="1" t="str">
        <f>IF($V$36="Y",'Population Definitions'!$B$33,"...")</f>
        <v>...</v>
      </c>
      <c r="B1179" s="4" t="str">
        <f>IF($V$36="Y","---&gt;","...")</f>
        <v>...</v>
      </c>
      <c r="C1179" s="1" t="str">
        <f>IF($V$36="Y",'Population Definitions'!$B$22,"...")</f>
        <v>...</v>
      </c>
      <c r="E1179" s="2"/>
      <c r="F1179" s="3"/>
      <c r="G1179" s="2"/>
      <c r="H1179" s="4" t="str">
        <f>IF($V$36="Y","OR","...")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>
      <c r="A1180" s="1" t="str">
        <f>IF($W$36="Y",'Population Definitions'!$B$33,"...")</f>
        <v>...</v>
      </c>
      <c r="B1180" s="4" t="str">
        <f>IF($W$36="Y","---&gt;","...")</f>
        <v>...</v>
      </c>
      <c r="C1180" s="1" t="str">
        <f>IF($W$36="Y",'Population Definitions'!$B$23,"...")</f>
        <v>...</v>
      </c>
      <c r="E1180" s="2"/>
      <c r="F1180" s="3"/>
      <c r="G1180" s="2"/>
      <c r="H1180" s="4" t="str">
        <f>IF($W$36="Y","OR","...")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>
      <c r="A1181" s="1" t="str">
        <f>IF($X$36="Y",'Population Definitions'!$B$33,"...")</f>
        <v>...</v>
      </c>
      <c r="B1181" s="4" t="str">
        <f>IF($X$36="Y","---&gt;","...")</f>
        <v>...</v>
      </c>
      <c r="C1181" s="1" t="str">
        <f>IF($X$36="Y",'Population Definitions'!$B$24,"...")</f>
        <v>...</v>
      </c>
      <c r="E1181" s="2"/>
      <c r="F1181" s="3"/>
      <c r="G1181" s="2"/>
      <c r="H1181" s="4" t="str">
        <f>IF($X$36="Y","OR","...")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>
      <c r="A1182" s="1" t="str">
        <f>IF($Y$36="Y",'Population Definitions'!$B$33,"...")</f>
        <v>...</v>
      </c>
      <c r="B1182" s="4" t="str">
        <f>IF($Y$36="Y","---&gt;","...")</f>
        <v>...</v>
      </c>
      <c r="C1182" s="1" t="str">
        <f>IF($Y$36="Y",'Population Definitions'!$B$25,"...")</f>
        <v>...</v>
      </c>
      <c r="E1182" s="2"/>
      <c r="F1182" s="3"/>
      <c r="G1182" s="2"/>
      <c r="H1182" s="4" t="str">
        <f>IF($Y$36="Y","OR","...")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>
      <c r="A1183" s="1" t="str">
        <f>IF($Z$36="Y",'Population Definitions'!$B$33,"...")</f>
        <v>...</v>
      </c>
      <c r="B1183" s="4" t="str">
        <f>IF($Z$36="Y","---&gt;","...")</f>
        <v>...</v>
      </c>
      <c r="C1183" s="1" t="str">
        <f>IF($Z$36="Y",'Population Definitions'!$B$26,"...")</f>
        <v>...</v>
      </c>
      <c r="E1183" s="2"/>
      <c r="F1183" s="3"/>
      <c r="G1183" s="2"/>
      <c r="H1183" s="4" t="str">
        <f>IF($Z$36="Y","OR","...")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>
      <c r="A1184" s="1" t="str">
        <f>IF($AA$36="Y",'Population Definitions'!$B$33,"...")</f>
        <v>...</v>
      </c>
      <c r="B1184" s="4" t="str">
        <f>IF($AA$36="Y","---&gt;","...")</f>
        <v>...</v>
      </c>
      <c r="C1184" s="1" t="str">
        <f>IF($AA$36="Y",'Population Definitions'!$B$27,"...")</f>
        <v>...</v>
      </c>
      <c r="E1184" s="2"/>
      <c r="F1184" s="3"/>
      <c r="G1184" s="2"/>
      <c r="H1184" s="4" t="str">
        <f>IF($AA$36="Y","OR","...")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>
      <c r="A1185" s="1" t="str">
        <f>IF($AB$36="Y",'Population Definitions'!$B$33,"...")</f>
        <v>...</v>
      </c>
      <c r="B1185" s="4" t="str">
        <f>IF($AB$36="Y","---&gt;","...")</f>
        <v>...</v>
      </c>
      <c r="C1185" s="1" t="str">
        <f>IF($AB$36="Y",'Population Definitions'!$B$28,"...")</f>
        <v>...</v>
      </c>
      <c r="E1185" s="2"/>
      <c r="F1185" s="3"/>
      <c r="G1185" s="2"/>
      <c r="H1185" s="4" t="str">
        <f>IF($AB$36="Y","OR","...")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>
      <c r="A1186" s="1" t="str">
        <f>IF($AC$36="Y",'Population Definitions'!$B$33,"...")</f>
        <v>...</v>
      </c>
      <c r="B1186" s="4" t="str">
        <f>IF($AC$36="Y","---&gt;","...")</f>
        <v>...</v>
      </c>
      <c r="C1186" s="1" t="str">
        <f>IF($AC$36="Y",'Population Definitions'!$B$29,"...")</f>
        <v>...</v>
      </c>
      <c r="E1186" s="2"/>
      <c r="F1186" s="3"/>
      <c r="G1186" s="2"/>
      <c r="H1186" s="4" t="str">
        <f>IF($AC$36="Y","OR","...")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>
      <c r="A1187" s="1" t="str">
        <f>IF($AD$36="Y",'Population Definitions'!$B$33,"...")</f>
        <v>...</v>
      </c>
      <c r="B1187" s="4" t="str">
        <f>IF($AD$36="Y","---&gt;","...")</f>
        <v>...</v>
      </c>
      <c r="C1187" s="1" t="str">
        <f>IF($AD$36="Y",'Population Definitions'!$B$30,"...")</f>
        <v>...</v>
      </c>
      <c r="E1187" s="2"/>
      <c r="F1187" s="3"/>
      <c r="G1187" s="2"/>
      <c r="H1187" s="4" t="str">
        <f>IF($AD$36="Y","OR","...")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>
      <c r="A1188" s="1" t="str">
        <f>IF($AE$36="Y",'Population Definitions'!$B$33,"...")</f>
        <v>...</v>
      </c>
      <c r="B1188" s="4" t="str">
        <f>IF($AE$36="Y","---&gt;","...")</f>
        <v>...</v>
      </c>
      <c r="C1188" s="1" t="str">
        <f>IF($AE$36="Y",'Population Definitions'!$B$31,"...")</f>
        <v>...</v>
      </c>
      <c r="E1188" s="2"/>
      <c r="F1188" s="3"/>
      <c r="G1188" s="2"/>
      <c r="H1188" s="4" t="str">
        <f>IF($AE$36="Y","OR","...")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>
      <c r="A1189" s="1" t="str">
        <f>IF($AF$36="Y",'Population Definitions'!$B$33,"...")</f>
        <v>...</v>
      </c>
      <c r="B1189" s="4" t="str">
        <f>IF($AF$36="Y","---&gt;","...")</f>
        <v>...</v>
      </c>
      <c r="C1189" s="1" t="str">
        <f>IF($AF$36="Y",'Population Definitions'!$B$32,"...")</f>
        <v>...</v>
      </c>
      <c r="E1189" s="2"/>
      <c r="F1189" s="3"/>
      <c r="G1189" s="2"/>
      <c r="H1189" s="4" t="str">
        <f>IF($AF$36="Y","OR","...")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>
      <c r="A1190" s="1" t="str">
        <f>IF($AG$36="Y",'Population Definitions'!$B$33,"...")</f>
        <v>...</v>
      </c>
      <c r="B1190" s="4" t="str">
        <f>IF($AG$36="Y","---&gt;","...")</f>
        <v>...</v>
      </c>
      <c r="C1190" s="1" t="str">
        <f>IF($AG$36="Y",'Population Definitions'!$B$33,"...")</f>
        <v>...</v>
      </c>
      <c r="E1190" s="2"/>
      <c r="F1190" s="3"/>
      <c r="G1190" s="2"/>
      <c r="H1190" s="4" t="str">
        <f>IF($AG$36="Y","OR","...")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>
      <c r="A1191" s="1" t="str">
        <f>IF($AH$36="Y",'Population Definitions'!$B$33,"...")</f>
        <v>5-14F_fns</v>
      </c>
      <c r="B1191" s="4" t="str">
        <f>IF($AH$36="Y","---&gt;","...")</f>
        <v>---&gt;</v>
      </c>
      <c r="C1191" s="1" t="str">
        <f>IF($AH$36="Y",'Population Definitions'!$B$34,"...")</f>
        <v>15-29F_fns</v>
      </c>
      <c r="E1191" s="3" t="s">
        <v>63</v>
      </c>
      <c r="F1191" s="3"/>
      <c r="G1191" s="3"/>
      <c r="H1191" s="4" t="str">
        <f>IF($AH$36="Y","OR","...")</f>
        <v>OR</v>
      </c>
      <c r="I1191" s="3">
        <v>0.1005699875087819</v>
      </c>
      <c r="J1191" s="3">
        <v>0.09974969887708771</v>
      </c>
      <c r="K1191" s="3">
        <v>0.1006376484918512</v>
      </c>
      <c r="L1191" s="3">
        <v>0.09910361965630581</v>
      </c>
      <c r="M1191" s="3">
        <v>0.09840993561376017</v>
      </c>
      <c r="N1191" s="3">
        <v>0.09996716341417829</v>
      </c>
      <c r="O1191" s="3">
        <v>0.09831600032759742</v>
      </c>
      <c r="P1191" s="3">
        <v>0.09782822172888836</v>
      </c>
      <c r="Q1191" s="3">
        <v>0.09783729256126736</v>
      </c>
      <c r="R1191" s="3">
        <v>0.0978254668369931</v>
      </c>
      <c r="S1191" s="3">
        <v>0.0962534554040806</v>
      </c>
      <c r="T1191" s="3">
        <v>0.09566487721791526</v>
      </c>
      <c r="U1191" s="3">
        <v>0.0957802594372518</v>
      </c>
      <c r="V1191" s="3">
        <v>0.09476298971592657</v>
      </c>
      <c r="W1191" s="3">
        <v>0.09496299064998381</v>
      </c>
      <c r="X1191" s="3">
        <v>0.09444546120443799</v>
      </c>
      <c r="Y1191" s="3">
        <v>0.0943617199919539</v>
      </c>
      <c r="Z1191" s="3">
        <v>0.09446412986055856</v>
      </c>
      <c r="AA1191" s="3">
        <v>0.09342088767748798</v>
      </c>
      <c r="AB1191" s="3">
        <v>0.09303445645205748</v>
      </c>
      <c r="AC1191" s="3">
        <v>0.09273209780163628</v>
      </c>
      <c r="AD1191" s="3">
        <v>0.09201784446698288</v>
      </c>
      <c r="AE1191" s="3">
        <v>0.09256934024481071</v>
      </c>
      <c r="AF1191" s="3">
        <v>0.09191455306363293</v>
      </c>
      <c r="AG1191" s="3">
        <v>0.09140512828430201</v>
      </c>
      <c r="AH1191" s="3">
        <v>0.09069081293292737</v>
      </c>
      <c r="AI1191" s="3">
        <v>0.09084046436712633</v>
      </c>
      <c r="AJ1191" s="3">
        <v>0.09109457716737085</v>
      </c>
      <c r="AK1191" s="3">
        <v>0.09123353836815447</v>
      </c>
      <c r="AL1191" s="3">
        <v>0.09051511756716372</v>
      </c>
      <c r="AM1191" s="3">
        <v>0.09018273803467498</v>
      </c>
      <c r="AN1191" s="3">
        <v>0.0987335707855993</v>
      </c>
      <c r="AO1191" s="3">
        <v>0.09673084021974192</v>
      </c>
      <c r="AP1191" s="3">
        <v>0.0955686550659014</v>
      </c>
      <c r="AQ1191" s="3">
        <v>0.09535990108769085</v>
      </c>
      <c r="AR1191" s="3">
        <v>0.0966525052536123</v>
      </c>
      <c r="AS1191" s="3">
        <v>0.09309192688307573</v>
      </c>
      <c r="AT1191" s="3">
        <v>0.09289113212014752</v>
      </c>
      <c r="AU1191" s="3">
        <v>0.09245949234267543</v>
      </c>
      <c r="AV1191" s="3">
        <v>0.09814293597133612</v>
      </c>
      <c r="AW1191" s="3">
        <v>0.101609549955737</v>
      </c>
      <c r="AX1191" s="3">
        <v>0.106135693760556</v>
      </c>
      <c r="AY1191" s="3">
        <v>0.107238558740135</v>
      </c>
      <c r="AZ1191" s="3">
        <v>0.1085765074513043</v>
      </c>
      <c r="BA1191" s="3">
        <v>0.1095093801770682</v>
      </c>
      <c r="BB1191" s="3">
        <v>0.1086682975986662</v>
      </c>
      <c r="BC1191" s="3">
        <v>0.1102694775192808</v>
      </c>
      <c r="BD1191" s="3">
        <v>0.1075641179589105</v>
      </c>
      <c r="BE1191" s="3">
        <v>0.1048372776493461</v>
      </c>
      <c r="BF1191" s="3">
        <v>0.105165022323564</v>
      </c>
      <c r="BG1191" s="3">
        <v>0.1036295592974887</v>
      </c>
      <c r="BH1191" s="3">
        <v>0.1014292869358949</v>
      </c>
      <c r="BI1191" s="3">
        <v>0.1019197034516375</v>
      </c>
      <c r="BJ1191" s="3">
        <v>0.1024079585960062</v>
      </c>
      <c r="BK1191" s="3">
        <v>0.1028787809589869</v>
      </c>
      <c r="BL1191" s="3">
        <v>0.103359507018387</v>
      </c>
      <c r="BM1191" s="3">
        <v>0.1037561469708659</v>
      </c>
      <c r="BN1191" s="3">
        <v>0.1042178712056572</v>
      </c>
      <c r="BO1191" s="3">
        <v>0.1047501069105932</v>
      </c>
      <c r="BP1191" s="3">
        <v>0.1053048116120936</v>
      </c>
      <c r="BQ1191" s="3">
        <v>0.1058891664281406</v>
      </c>
      <c r="BR1191" s="3">
        <v>0.1064846695122678</v>
      </c>
      <c r="BS1191" s="3">
        <v>0.1070686142516349</v>
      </c>
      <c r="BT1191" s="3">
        <v>0.1076195024352173</v>
      </c>
      <c r="BU1191" s="3">
        <v>0.1081043216918546</v>
      </c>
      <c r="BV1191" s="3">
        <v>0.1085460396410287</v>
      </c>
      <c r="BW1191" s="3">
        <v>0.1089012318742145</v>
      </c>
      <c r="BX1191" s="3">
        <v>0.1092146505778448</v>
      </c>
      <c r="BY1191" s="3">
        <v>0.109463564198433</v>
      </c>
      <c r="BZ1191" s="3">
        <v>0.1096883759376753</v>
      </c>
      <c r="CA1191" s="3">
        <v>0.1098650468667056</v>
      </c>
      <c r="CB1191" s="3">
        <v>0.110017802483817</v>
      </c>
      <c r="CC1191" s="3">
        <v>0.1101516508246757</v>
      </c>
      <c r="CD1191" s="3">
        <v>0.1102487946210891</v>
      </c>
      <c r="CE1191" s="3">
        <v>0.1102948907807019</v>
      </c>
      <c r="CF1191" s="3">
        <v>0.1102917804122408</v>
      </c>
      <c r="CG1191" s="3">
        <v>0.1102502905678249</v>
      </c>
      <c r="CH1191" s="3">
        <v>0.1102100179197905</v>
      </c>
      <c r="CI1191" s="3">
        <v>0.1101568964740417</v>
      </c>
      <c r="CJ1191" s="3">
        <v>0.1101194674377722</v>
      </c>
      <c r="CK1191" s="3">
        <v>0.1100625952865801</v>
      </c>
      <c r="CL1191" s="3">
        <v>0.1100643420245713</v>
      </c>
      <c r="CM1191" s="3">
        <v>0.1101014001996846</v>
      </c>
      <c r="CN1191" s="3">
        <v>0.1101750176208188</v>
      </c>
      <c r="CO1191" s="3">
        <v>0.1102702360972599</v>
      </c>
      <c r="CP1191" s="3">
        <v>0.1103484087192398</v>
      </c>
      <c r="CQ1191" s="3">
        <v>0.1104251911811396</v>
      </c>
      <c r="CR1191" s="3">
        <v>0.1105489331992525</v>
      </c>
      <c r="CS1191" s="3">
        <v>0.1106950981093614</v>
      </c>
      <c r="CT1191" s="3">
        <v>0.1108220173050849</v>
      </c>
      <c r="CU1191" s="3">
        <v>0.1109479516290032</v>
      </c>
      <c r="CV1191" s="3"/>
    </row>
    <row r="1192" spans="1:100">
      <c r="A1192" s="1" t="str">
        <f>IF($AI$36="Y",'Population Definitions'!$B$33,"...")</f>
        <v>...</v>
      </c>
      <c r="B1192" s="4" t="str">
        <f>IF($AI$36="Y","---&gt;","...")</f>
        <v>...</v>
      </c>
      <c r="C1192" s="1" t="str">
        <f>IF($AI$36="Y",'Population Definitions'!$B$35,"...")</f>
        <v>...</v>
      </c>
      <c r="E1192" s="2"/>
      <c r="F1192" s="3"/>
      <c r="G1192" s="2"/>
      <c r="H1192" s="4" t="str">
        <f>IF($AI$36="Y","OR","...")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>
      <c r="A1193" s="1" t="str">
        <f>IF($AJ$36="Y",'Population Definitions'!$B$33,"...")</f>
        <v>...</v>
      </c>
      <c r="B1193" s="4" t="str">
        <f>IF($AJ$36="Y","---&gt;","...")</f>
        <v>...</v>
      </c>
      <c r="C1193" s="1" t="str">
        <f>IF($AJ$36="Y",'Population Definitions'!$B$36,"...")</f>
        <v>...</v>
      </c>
      <c r="E1193" s="2"/>
      <c r="F1193" s="3"/>
      <c r="G1193" s="2"/>
      <c r="H1193" s="4" t="str">
        <f>IF($AJ$36="Y","OR","...")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>
      <c r="A1194" s="1" t="str">
        <f>IF($AK$36="Y",'Population Definitions'!$B$33,"...")</f>
        <v>...</v>
      </c>
      <c r="B1194" s="4" t="str">
        <f>IF($AK$36="Y","---&gt;","...")</f>
        <v>...</v>
      </c>
      <c r="C1194" s="1" t="str">
        <f>IF($AK$36="Y",'Population Definitions'!$B$37,"...")</f>
        <v>...</v>
      </c>
      <c r="E1194" s="2"/>
      <c r="F1194" s="3"/>
      <c r="G1194" s="2"/>
      <c r="H1194" s="4" t="str">
        <f>IF($AK$36="Y","OR","...")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>
      <c r="A1195" s="1" t="str">
        <f>IF($B$37="Y",'Population Definitions'!$B$34,"...")</f>
        <v>...</v>
      </c>
      <c r="B1195" s="4" t="str">
        <f>IF($B$37="Y","---&gt;","...")</f>
        <v>...</v>
      </c>
      <c r="C1195" s="1" t="str">
        <f>IF($B$37="Y",'Population Definitions'!$B$2,"...")</f>
        <v>...</v>
      </c>
      <c r="E1195" s="2"/>
      <c r="F1195" s="3"/>
      <c r="G1195" s="2"/>
      <c r="H1195" s="4" t="str">
        <f>IF($B$37="Y","OR","...")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>
      <c r="A1196" s="1" t="str">
        <f>IF($C$37="Y",'Population Definitions'!$B$34,"...")</f>
        <v>...</v>
      </c>
      <c r="B1196" s="4" t="str">
        <f>IF($C$37="Y","---&gt;","...")</f>
        <v>...</v>
      </c>
      <c r="C1196" s="1" t="str">
        <f>IF($C$37="Y",'Population Definitions'!$B$3,"...")</f>
        <v>...</v>
      </c>
      <c r="E1196" s="2"/>
      <c r="F1196" s="3"/>
      <c r="G1196" s="2"/>
      <c r="H1196" s="4" t="str">
        <f>IF($C$37="Y","OR","...")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>
      <c r="A1197" s="1" t="str">
        <f>IF($D$37="Y",'Population Definitions'!$B$34,"...")</f>
        <v>...</v>
      </c>
      <c r="B1197" s="4" t="str">
        <f>IF($D$37="Y","---&gt;","...")</f>
        <v>...</v>
      </c>
      <c r="C1197" s="1" t="str">
        <f>IF($D$37="Y",'Population Definitions'!$B$4,"...")</f>
        <v>...</v>
      </c>
      <c r="E1197" s="2"/>
      <c r="F1197" s="3"/>
      <c r="G1197" s="2"/>
      <c r="H1197" s="4" t="str">
        <f>IF($D$37="Y","OR","...")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>
      <c r="A1198" s="1" t="str">
        <f>IF($E$37="Y",'Population Definitions'!$B$34,"...")</f>
        <v>...</v>
      </c>
      <c r="B1198" s="4" t="str">
        <f>IF($E$37="Y","---&gt;","...")</f>
        <v>...</v>
      </c>
      <c r="C1198" s="1" t="str">
        <f>IF($E$37="Y",'Population Definitions'!$B$5,"...")</f>
        <v>...</v>
      </c>
      <c r="E1198" s="2"/>
      <c r="F1198" s="3"/>
      <c r="G1198" s="2"/>
      <c r="H1198" s="4" t="str">
        <f>IF($E$37="Y","OR","...")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>
      <c r="A1199" s="1" t="str">
        <f>IF($F$37="Y",'Population Definitions'!$B$34,"...")</f>
        <v>...</v>
      </c>
      <c r="B1199" s="4" t="str">
        <f>IF($F$37="Y","---&gt;","...")</f>
        <v>...</v>
      </c>
      <c r="C1199" s="1" t="str">
        <f>IF($F$37="Y",'Population Definitions'!$B$6,"...")</f>
        <v>...</v>
      </c>
      <c r="E1199" s="2"/>
      <c r="F1199" s="3"/>
      <c r="G1199" s="2"/>
      <c r="H1199" s="4" t="str">
        <f>IF($F$37="Y","OR","...")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>
      <c r="A1200" s="1" t="str">
        <f>IF($G$37="Y",'Population Definitions'!$B$34,"...")</f>
        <v>...</v>
      </c>
      <c r="B1200" s="4" t="str">
        <f>IF($G$37="Y","---&gt;","...")</f>
        <v>...</v>
      </c>
      <c r="C1200" s="1" t="str">
        <f>IF($G$37="Y",'Population Definitions'!$B$7,"...")</f>
        <v>...</v>
      </c>
      <c r="E1200" s="2"/>
      <c r="F1200" s="3"/>
      <c r="G1200" s="2"/>
      <c r="H1200" s="4" t="str">
        <f>IF($G$37="Y","OR","...")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>
      <c r="A1201" s="1" t="str">
        <f>IF($H$37="Y",'Population Definitions'!$B$34,"...")</f>
        <v>...</v>
      </c>
      <c r="B1201" s="4" t="str">
        <f>IF($H$37="Y","---&gt;","...")</f>
        <v>...</v>
      </c>
      <c r="C1201" s="1" t="str">
        <f>IF($H$37="Y",'Population Definitions'!$B$8,"...")</f>
        <v>...</v>
      </c>
      <c r="E1201" s="2"/>
      <c r="F1201" s="3"/>
      <c r="G1201" s="2"/>
      <c r="H1201" s="4" t="str">
        <f>IF($H$37="Y","OR","...")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>
      <c r="A1202" s="1" t="str">
        <f>IF($I$37="Y",'Population Definitions'!$B$34,"...")</f>
        <v>...</v>
      </c>
      <c r="B1202" s="4" t="str">
        <f>IF($I$37="Y","---&gt;","...")</f>
        <v>...</v>
      </c>
      <c r="C1202" s="1" t="str">
        <f>IF($I$37="Y",'Population Definitions'!$B$9,"...")</f>
        <v>...</v>
      </c>
      <c r="E1202" s="2"/>
      <c r="F1202" s="3"/>
      <c r="G1202" s="2"/>
      <c r="H1202" s="4" t="str">
        <f>IF($I$37="Y","OR","...")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>
      <c r="A1203" s="1" t="str">
        <f>IF($J$37="Y",'Population Definitions'!$B$34,"...")</f>
        <v>...</v>
      </c>
      <c r="B1203" s="4" t="str">
        <f>IF($J$37="Y","---&gt;","...")</f>
        <v>...</v>
      </c>
      <c r="C1203" s="1" t="str">
        <f>IF($J$37="Y",'Population Definitions'!$B$10,"...")</f>
        <v>...</v>
      </c>
      <c r="E1203" s="2"/>
      <c r="F1203" s="3"/>
      <c r="G1203" s="2"/>
      <c r="H1203" s="4" t="str">
        <f>IF($J$37="Y","OR","...")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>
      <c r="A1204" s="1" t="str">
        <f>IF($K$37="Y",'Population Definitions'!$B$34,"...")</f>
        <v>...</v>
      </c>
      <c r="B1204" s="4" t="str">
        <f>IF($K$37="Y","---&gt;","...")</f>
        <v>...</v>
      </c>
      <c r="C1204" s="1" t="str">
        <f>IF($K$37="Y",'Population Definitions'!$B$11,"...")</f>
        <v>...</v>
      </c>
      <c r="E1204" s="2"/>
      <c r="F1204" s="3"/>
      <c r="G1204" s="2"/>
      <c r="H1204" s="4" t="str">
        <f>IF($K$37="Y","OR","...")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>
      <c r="A1205" s="1" t="str">
        <f>IF($L$37="Y",'Population Definitions'!$B$34,"...")</f>
        <v>...</v>
      </c>
      <c r="B1205" s="4" t="str">
        <f>IF($L$37="Y","---&gt;","...")</f>
        <v>...</v>
      </c>
      <c r="C1205" s="1" t="str">
        <f>IF($L$37="Y",'Population Definitions'!$B$12,"...")</f>
        <v>...</v>
      </c>
      <c r="E1205" s="2"/>
      <c r="F1205" s="3"/>
      <c r="G1205" s="2"/>
      <c r="H1205" s="4" t="str">
        <f>IF($L$37="Y","OR","...")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>
      <c r="A1206" s="1" t="str">
        <f>IF($M$37="Y",'Population Definitions'!$B$34,"...")</f>
        <v>...</v>
      </c>
      <c r="B1206" s="4" t="str">
        <f>IF($M$37="Y","---&gt;","...")</f>
        <v>...</v>
      </c>
      <c r="C1206" s="1" t="str">
        <f>IF($M$37="Y",'Population Definitions'!$B$13,"...")</f>
        <v>...</v>
      </c>
      <c r="E1206" s="2"/>
      <c r="F1206" s="3"/>
      <c r="G1206" s="2"/>
      <c r="H1206" s="4" t="str">
        <f>IF($M$37="Y","OR","...")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>
      <c r="A1207" s="1" t="str">
        <f>IF($N$37="Y",'Population Definitions'!$B$34,"...")</f>
        <v>...</v>
      </c>
      <c r="B1207" s="4" t="str">
        <f>IF($N$37="Y","---&gt;","...")</f>
        <v>...</v>
      </c>
      <c r="C1207" s="1" t="str">
        <f>IF($N$37="Y",'Population Definitions'!$B$14,"...")</f>
        <v>...</v>
      </c>
      <c r="E1207" s="2"/>
      <c r="F1207" s="3"/>
      <c r="G1207" s="2"/>
      <c r="H1207" s="4" t="str">
        <f>IF($N$37="Y","OR","...")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>
      <c r="A1208" s="1" t="str">
        <f>IF($O$37="Y",'Population Definitions'!$B$34,"...")</f>
        <v>...</v>
      </c>
      <c r="B1208" s="4" t="str">
        <f>IF($O$37="Y","---&gt;","...")</f>
        <v>...</v>
      </c>
      <c r="C1208" s="1" t="str">
        <f>IF($O$37="Y",'Population Definitions'!$B$15,"...")</f>
        <v>...</v>
      </c>
      <c r="E1208" s="2"/>
      <c r="F1208" s="3"/>
      <c r="G1208" s="2"/>
      <c r="H1208" s="4" t="str">
        <f>IF($O$37="Y","OR","...")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</row>
    <row r="1209" spans="1:100">
      <c r="A1209" s="1" t="str">
        <f>IF($P$37="Y",'Population Definitions'!$B$34,"...")</f>
        <v>...</v>
      </c>
      <c r="B1209" s="4" t="str">
        <f>IF($P$37="Y","---&gt;","...")</f>
        <v>...</v>
      </c>
      <c r="C1209" s="1" t="str">
        <f>IF($P$37="Y",'Population Definitions'!$B$16,"...")</f>
        <v>...</v>
      </c>
      <c r="E1209" s="2"/>
      <c r="F1209" s="3"/>
      <c r="G1209" s="2"/>
      <c r="H1209" s="4" t="str">
        <f>IF($P$37="Y","OR","...")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>
      <c r="A1210" s="1" t="str">
        <f>IF($Q$37="Y",'Population Definitions'!$B$34,"...")</f>
        <v>...</v>
      </c>
      <c r="B1210" s="4" t="str">
        <f>IF($Q$37="Y","---&gt;","...")</f>
        <v>...</v>
      </c>
      <c r="C1210" s="1" t="str">
        <f>IF($Q$37="Y",'Population Definitions'!$B$17,"...")</f>
        <v>...</v>
      </c>
      <c r="E1210" s="2"/>
      <c r="F1210" s="3"/>
      <c r="G1210" s="2"/>
      <c r="H1210" s="4" t="str">
        <f>IF($Q$37="Y","OR","...")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>
      <c r="A1211" s="1" t="str">
        <f>IF($R$37="Y",'Population Definitions'!$B$34,"...")</f>
        <v>...</v>
      </c>
      <c r="B1211" s="4" t="str">
        <f>IF($R$37="Y","---&gt;","...")</f>
        <v>...</v>
      </c>
      <c r="C1211" s="1" t="str">
        <f>IF($R$37="Y",'Population Definitions'!$B$18,"...")</f>
        <v>...</v>
      </c>
      <c r="E1211" s="2"/>
      <c r="F1211" s="3"/>
      <c r="G1211" s="2"/>
      <c r="H1211" s="4" t="str">
        <f>IF($R$37="Y","OR","...")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>
      <c r="A1212" s="1" t="str">
        <f>IF($S$37="Y",'Population Definitions'!$B$34,"...")</f>
        <v>...</v>
      </c>
      <c r="B1212" s="4" t="str">
        <f>IF($S$37="Y","---&gt;","...")</f>
        <v>...</v>
      </c>
      <c r="C1212" s="1" t="str">
        <f>IF($S$37="Y",'Population Definitions'!$B$19,"...")</f>
        <v>...</v>
      </c>
      <c r="E1212" s="2"/>
      <c r="F1212" s="3"/>
      <c r="G1212" s="2"/>
      <c r="H1212" s="4" t="str">
        <f>IF($S$37="Y","OR","...")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>
      <c r="A1213" s="1" t="str">
        <f>IF($T$37="Y",'Population Definitions'!$B$34,"...")</f>
        <v>...</v>
      </c>
      <c r="B1213" s="4" t="str">
        <f>IF($T$37="Y","---&gt;","...")</f>
        <v>...</v>
      </c>
      <c r="C1213" s="1" t="str">
        <f>IF($T$37="Y",'Population Definitions'!$B$20,"...")</f>
        <v>...</v>
      </c>
      <c r="E1213" s="2"/>
      <c r="F1213" s="3"/>
      <c r="G1213" s="2"/>
      <c r="H1213" s="4" t="str">
        <f>IF($T$37="Y","OR","...")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>
      <c r="A1214" s="1" t="str">
        <f>IF($U$37="Y",'Population Definitions'!$B$34,"...")</f>
        <v>...</v>
      </c>
      <c r="B1214" s="4" t="str">
        <f>IF($U$37="Y","---&gt;","...")</f>
        <v>...</v>
      </c>
      <c r="C1214" s="1" t="str">
        <f>IF($U$37="Y",'Population Definitions'!$B$21,"...")</f>
        <v>...</v>
      </c>
      <c r="E1214" s="2"/>
      <c r="F1214" s="3"/>
      <c r="G1214" s="2"/>
      <c r="H1214" s="4" t="str">
        <f>IF($U$37="Y","OR","...")</f>
        <v>...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>
      <c r="A1215" s="1" t="str">
        <f>IF($V$37="Y",'Population Definitions'!$B$34,"...")</f>
        <v>...</v>
      </c>
      <c r="B1215" s="4" t="str">
        <f>IF($V$37="Y","---&gt;","...")</f>
        <v>...</v>
      </c>
      <c r="C1215" s="1" t="str">
        <f>IF($V$37="Y",'Population Definitions'!$B$22,"...")</f>
        <v>...</v>
      </c>
      <c r="E1215" s="2"/>
      <c r="F1215" s="3"/>
      <c r="G1215" s="2"/>
      <c r="H1215" s="4" t="str">
        <f>IF($V$37="Y","OR","...")</f>
        <v>...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>
      <c r="A1216" s="1" t="str">
        <f>IF($W$37="Y",'Population Definitions'!$B$34,"...")</f>
        <v>...</v>
      </c>
      <c r="B1216" s="4" t="str">
        <f>IF($W$37="Y","---&gt;","...")</f>
        <v>...</v>
      </c>
      <c r="C1216" s="1" t="str">
        <f>IF($W$37="Y",'Population Definitions'!$B$23,"...")</f>
        <v>...</v>
      </c>
      <c r="E1216" s="2"/>
      <c r="F1216" s="3"/>
      <c r="G1216" s="2"/>
      <c r="H1216" s="4" t="str">
        <f>IF($W$37="Y","OR","...")</f>
        <v>...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>
      <c r="A1217" s="1" t="str">
        <f>IF($X$37="Y",'Population Definitions'!$B$34,"...")</f>
        <v>...</v>
      </c>
      <c r="B1217" s="4" t="str">
        <f>IF($X$37="Y","---&gt;","...")</f>
        <v>...</v>
      </c>
      <c r="C1217" s="1" t="str">
        <f>IF($X$37="Y",'Population Definitions'!$B$24,"...")</f>
        <v>...</v>
      </c>
      <c r="E1217" s="2"/>
      <c r="F1217" s="3"/>
      <c r="G1217" s="2"/>
      <c r="H1217" s="4" t="str">
        <f>IF($X$37="Y","OR","...")</f>
        <v>...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>
      <c r="A1218" s="1" t="str">
        <f>IF($Y$37="Y",'Population Definitions'!$B$34,"...")</f>
        <v>...</v>
      </c>
      <c r="B1218" s="4" t="str">
        <f>IF($Y$37="Y","---&gt;","...")</f>
        <v>...</v>
      </c>
      <c r="C1218" s="1" t="str">
        <f>IF($Y$37="Y",'Population Definitions'!$B$25,"...")</f>
        <v>...</v>
      </c>
      <c r="E1218" s="2"/>
      <c r="F1218" s="3"/>
      <c r="G1218" s="2"/>
      <c r="H1218" s="4" t="str">
        <f>IF($Y$37="Y","OR","...")</f>
        <v>...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>
      <c r="A1219" s="1" t="str">
        <f>IF($Z$37="Y",'Population Definitions'!$B$34,"...")</f>
        <v>...</v>
      </c>
      <c r="B1219" s="4" t="str">
        <f>IF($Z$37="Y","---&gt;","...")</f>
        <v>...</v>
      </c>
      <c r="C1219" s="1" t="str">
        <f>IF($Z$37="Y",'Population Definitions'!$B$26,"...")</f>
        <v>...</v>
      </c>
      <c r="E1219" s="2"/>
      <c r="F1219" s="3"/>
      <c r="G1219" s="2"/>
      <c r="H1219" s="4" t="str">
        <f>IF($Z$37="Y","OR","...")</f>
        <v>...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>
      <c r="A1220" s="1" t="str">
        <f>IF($AA$37="Y",'Population Definitions'!$B$34,"...")</f>
        <v>...</v>
      </c>
      <c r="B1220" s="4" t="str">
        <f>IF($AA$37="Y","---&gt;","...")</f>
        <v>...</v>
      </c>
      <c r="C1220" s="1" t="str">
        <f>IF($AA$37="Y",'Population Definitions'!$B$27,"...")</f>
        <v>...</v>
      </c>
      <c r="E1220" s="2"/>
      <c r="F1220" s="3"/>
      <c r="G1220" s="2"/>
      <c r="H1220" s="4" t="str">
        <f>IF($AA$37="Y","OR","...")</f>
        <v>...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>
      <c r="A1221" s="1" t="str">
        <f>IF($AB$37="Y",'Population Definitions'!$B$34,"...")</f>
        <v>...</v>
      </c>
      <c r="B1221" s="4" t="str">
        <f>IF($AB$37="Y","---&gt;","...")</f>
        <v>...</v>
      </c>
      <c r="C1221" s="1" t="str">
        <f>IF($AB$37="Y",'Population Definitions'!$B$28,"...")</f>
        <v>...</v>
      </c>
      <c r="E1221" s="2"/>
      <c r="F1221" s="3"/>
      <c r="G1221" s="2"/>
      <c r="H1221" s="4" t="str">
        <f>IF($AB$37="Y","OR","...")</f>
        <v>...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>
      <c r="A1222" s="1" t="str">
        <f>IF($AC$37="Y",'Population Definitions'!$B$34,"...")</f>
        <v>...</v>
      </c>
      <c r="B1222" s="4" t="str">
        <f>IF($AC$37="Y","---&gt;","...")</f>
        <v>...</v>
      </c>
      <c r="C1222" s="1" t="str">
        <f>IF($AC$37="Y",'Population Definitions'!$B$29,"...")</f>
        <v>...</v>
      </c>
      <c r="E1222" s="2"/>
      <c r="F1222" s="3"/>
      <c r="G1222" s="2"/>
      <c r="H1222" s="4" t="str">
        <f>IF($AC$37="Y","OR","...")</f>
        <v>...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>
      <c r="A1223" s="1" t="str">
        <f>IF($AD$37="Y",'Population Definitions'!$B$34,"...")</f>
        <v>...</v>
      </c>
      <c r="B1223" s="4" t="str">
        <f>IF($AD$37="Y","---&gt;","...")</f>
        <v>...</v>
      </c>
      <c r="C1223" s="1" t="str">
        <f>IF($AD$37="Y",'Population Definitions'!$B$30,"...")</f>
        <v>...</v>
      </c>
      <c r="E1223" s="2"/>
      <c r="F1223" s="3"/>
      <c r="G1223" s="2"/>
      <c r="H1223" s="4" t="str">
        <f>IF($AD$37="Y","OR","...")</f>
        <v>...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>
      <c r="A1224" s="1" t="str">
        <f>IF($AE$37="Y",'Population Definitions'!$B$34,"...")</f>
        <v>...</v>
      </c>
      <c r="B1224" s="4" t="str">
        <f>IF($AE$37="Y","---&gt;","...")</f>
        <v>...</v>
      </c>
      <c r="C1224" s="1" t="str">
        <f>IF($AE$37="Y",'Population Definitions'!$B$31,"...")</f>
        <v>...</v>
      </c>
      <c r="E1224" s="2"/>
      <c r="F1224" s="3"/>
      <c r="G1224" s="2"/>
      <c r="H1224" s="4" t="str">
        <f>IF($AE$37="Y","OR","...")</f>
        <v>...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>
      <c r="A1225" s="1" t="str">
        <f>IF($AF$37="Y",'Population Definitions'!$B$34,"...")</f>
        <v>...</v>
      </c>
      <c r="B1225" s="4" t="str">
        <f>IF($AF$37="Y","---&gt;","...")</f>
        <v>...</v>
      </c>
      <c r="C1225" s="1" t="str">
        <f>IF($AF$37="Y",'Population Definitions'!$B$32,"...")</f>
        <v>...</v>
      </c>
      <c r="E1225" s="2"/>
      <c r="F1225" s="3"/>
      <c r="G1225" s="2"/>
      <c r="H1225" s="4" t="str">
        <f>IF($AF$37="Y","OR","...")</f>
        <v>...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>
      <c r="A1226" s="1" t="str">
        <f>IF($AG$37="Y",'Population Definitions'!$B$34,"...")</f>
        <v>...</v>
      </c>
      <c r="B1226" s="4" t="str">
        <f>IF($AG$37="Y","---&gt;","...")</f>
        <v>...</v>
      </c>
      <c r="C1226" s="1" t="str">
        <f>IF($AG$37="Y",'Population Definitions'!$B$33,"...")</f>
        <v>...</v>
      </c>
      <c r="E1226" s="2"/>
      <c r="F1226" s="3"/>
      <c r="G1226" s="2"/>
      <c r="H1226" s="4" t="str">
        <f>IF($AG$37="Y","OR","...")</f>
        <v>...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>
      <c r="A1227" s="1" t="str">
        <f>IF($AH$37="Y",'Population Definitions'!$B$34,"...")</f>
        <v>...</v>
      </c>
      <c r="B1227" s="4" t="str">
        <f>IF($AH$37="Y","---&gt;","...")</f>
        <v>...</v>
      </c>
      <c r="C1227" s="1" t="str">
        <f>IF($AH$37="Y",'Population Definitions'!$B$34,"...")</f>
        <v>...</v>
      </c>
      <c r="E1227" s="2"/>
      <c r="F1227" s="3"/>
      <c r="G1227" s="2"/>
      <c r="H1227" s="4" t="str">
        <f>IF($AH$37="Y","OR","...")</f>
        <v>...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>
      <c r="A1228" s="1" t="str">
        <f>IF($AI$37="Y",'Population Definitions'!$B$34,"...")</f>
        <v>15-29F_fns</v>
      </c>
      <c r="B1228" s="4" t="str">
        <f>IF($AI$37="Y","---&gt;","...")</f>
        <v>---&gt;</v>
      </c>
      <c r="C1228" s="1" t="str">
        <f>IF($AI$37="Y",'Population Definitions'!$B$35,"...")</f>
        <v>30-49F_fns</v>
      </c>
      <c r="E1228" s="3" t="s">
        <v>63</v>
      </c>
      <c r="F1228" s="3"/>
      <c r="G1228" s="3"/>
      <c r="H1228" s="4" t="str">
        <f>IF($AI$37="Y","OR","...")</f>
        <v>OR</v>
      </c>
      <c r="I1228" s="3">
        <v>0.06307270539365839</v>
      </c>
      <c r="J1228" s="3">
        <v>0.06234121217730368</v>
      </c>
      <c r="K1228" s="3">
        <v>0.06314250666830866</v>
      </c>
      <c r="L1228" s="3">
        <v>0.06187174655101258</v>
      </c>
      <c r="M1228" s="3">
        <v>0.06125490496949976</v>
      </c>
      <c r="N1228" s="3">
        <v>0.06246678895076888</v>
      </c>
      <c r="O1228" s="3">
        <v>0.06106538788721425</v>
      </c>
      <c r="P1228" s="3">
        <v>0.06068847765451496</v>
      </c>
      <c r="Q1228" s="3">
        <v>0.06066737841691194</v>
      </c>
      <c r="R1228" s="3">
        <v>0.06079842736192985</v>
      </c>
      <c r="S1228" s="3">
        <v>0.05943048247218495</v>
      </c>
      <c r="T1228" s="3">
        <v>0.05883780628672622</v>
      </c>
      <c r="U1228" s="3">
        <v>0.05912939936271246</v>
      </c>
      <c r="V1228" s="3">
        <v>0.05832706477750528</v>
      </c>
      <c r="W1228" s="3">
        <v>0.05855402448020988</v>
      </c>
      <c r="X1228" s="3">
        <v>0.05795785923705359</v>
      </c>
      <c r="Y1228" s="3">
        <v>0.05804529272552153</v>
      </c>
      <c r="Z1228" s="3">
        <v>0.05792648104240483</v>
      </c>
      <c r="AA1228" s="3">
        <v>0.05704377048454309</v>
      </c>
      <c r="AB1228" s="3">
        <v>0.05670744506061896</v>
      </c>
      <c r="AC1228" s="3">
        <v>0.0564631618102072</v>
      </c>
      <c r="AD1228" s="3">
        <v>0.05608995813172048</v>
      </c>
      <c r="AE1228" s="3">
        <v>0.05657831266990867</v>
      </c>
      <c r="AF1228" s="3">
        <v>0.05599538244773872</v>
      </c>
      <c r="AG1228" s="3">
        <v>0.05554592432907388</v>
      </c>
      <c r="AH1228" s="3">
        <v>0.05507840000209194</v>
      </c>
      <c r="AI1228" s="3">
        <v>0.05511864189007205</v>
      </c>
      <c r="AJ1228" s="3">
        <v>0.05539607515278945</v>
      </c>
      <c r="AK1228" s="3">
        <v>0.05557553596950994</v>
      </c>
      <c r="AL1228" s="3">
        <v>0.05493167485870558</v>
      </c>
      <c r="AM1228" s="3">
        <v>0.05467903225498756</v>
      </c>
      <c r="AN1228" s="3">
        <v>0.05876341540382858</v>
      </c>
      <c r="AO1228" s="3">
        <v>0.06036782238139025</v>
      </c>
      <c r="AP1228" s="3">
        <v>0.05885303894332183</v>
      </c>
      <c r="AQ1228" s="3">
        <v>0.0606962813366712</v>
      </c>
      <c r="AR1228" s="3">
        <v>0.06128887812985191</v>
      </c>
      <c r="AS1228" s="3">
        <v>0.05919877103344102</v>
      </c>
      <c r="AT1228" s="3">
        <v>0.05898580123011948</v>
      </c>
      <c r="AU1228" s="3">
        <v>0.05990551846312645</v>
      </c>
      <c r="AV1228" s="3">
        <v>0.06243122585261621</v>
      </c>
      <c r="AW1228" s="3">
        <v>0.06346230938259245</v>
      </c>
      <c r="AX1228" s="3">
        <v>0.06222678970465173</v>
      </c>
      <c r="AY1228" s="3">
        <v>0.06189409104806139</v>
      </c>
      <c r="AZ1228" s="3">
        <v>0.06126065668004999</v>
      </c>
      <c r="BA1228" s="3">
        <v>0.06141881664697612</v>
      </c>
      <c r="BB1228" s="3">
        <v>0.06045966174881486</v>
      </c>
      <c r="BC1228" s="3">
        <v>0.06100482929235761</v>
      </c>
      <c r="BD1228" s="3">
        <v>0.0609359412381068</v>
      </c>
      <c r="BE1228" s="3">
        <v>0.06148215750270784</v>
      </c>
      <c r="BF1228" s="3">
        <v>0.06172537540168195</v>
      </c>
      <c r="BG1228" s="3">
        <v>0.06335394733203002</v>
      </c>
      <c r="BH1228" s="3">
        <v>0.0622198355115504</v>
      </c>
      <c r="BI1228" s="3">
        <v>0.06262325445621636</v>
      </c>
      <c r="BJ1228" s="3">
        <v>0.06302602718750649</v>
      </c>
      <c r="BK1228" s="3">
        <v>0.06340774126932509</v>
      </c>
      <c r="BL1228" s="3">
        <v>0.06380235773332871</v>
      </c>
      <c r="BM1228" s="3">
        <v>0.06413270250029023</v>
      </c>
      <c r="BN1228" s="3">
        <v>0.06450914933037641</v>
      </c>
      <c r="BO1228" s="3">
        <v>0.0649354956640007</v>
      </c>
      <c r="BP1228" s="3">
        <v>0.0653790715988089</v>
      </c>
      <c r="BQ1228" s="3">
        <v>0.06584558491461247</v>
      </c>
      <c r="BR1228" s="3">
        <v>0.06632092415165489</v>
      </c>
      <c r="BS1228" s="3">
        <v>0.06679010189716776</v>
      </c>
      <c r="BT1228" s="3">
        <v>0.06723212504685903</v>
      </c>
      <c r="BU1228" s="3">
        <v>0.06762357194527131</v>
      </c>
      <c r="BV1228" s="3">
        <v>0.06798126532790837</v>
      </c>
      <c r="BW1228" s="3">
        <v>0.06827196088060757</v>
      </c>
      <c r="BX1228" s="3">
        <v>0.06852920582088008</v>
      </c>
      <c r="BY1228" s="3">
        <v>0.06873540728499554</v>
      </c>
      <c r="BZ1228" s="3">
        <v>0.06892344024818754</v>
      </c>
      <c r="CA1228" s="3">
        <v>0.0690708547252135</v>
      </c>
      <c r="CB1228" s="3">
        <v>0.06920304590957684</v>
      </c>
      <c r="CC1228" s="3">
        <v>0.06931763638139946</v>
      </c>
      <c r="CD1228" s="3">
        <v>0.06940085918323252</v>
      </c>
      <c r="CE1228" s="3">
        <v>0.06944865271406148</v>
      </c>
      <c r="CF1228" s="3">
        <v>0.06945352556009485</v>
      </c>
      <c r="CG1228" s="3">
        <v>0.06943312847155457</v>
      </c>
      <c r="CH1228" s="3">
        <v>0.0694153230512103</v>
      </c>
      <c r="CI1228" s="3">
        <v>0.06938124663077891</v>
      </c>
      <c r="CJ1228" s="3">
        <v>0.06935929669484814</v>
      </c>
      <c r="CK1228" s="3">
        <v>0.06932233695295693</v>
      </c>
      <c r="CL1228" s="3">
        <v>0.06933233551846346</v>
      </c>
      <c r="CM1228" s="3">
        <v>0.06936742357123279</v>
      </c>
      <c r="CN1228" s="3">
        <v>0.06943046174901801</v>
      </c>
      <c r="CO1228" s="3">
        <v>0.06951193143767317</v>
      </c>
      <c r="CP1228" s="3">
        <v>0.06957810705393334</v>
      </c>
      <c r="CQ1228" s="3">
        <v>0.06964297816777584</v>
      </c>
      <c r="CR1228" s="3">
        <v>0.06974577409824589</v>
      </c>
      <c r="CS1228" s="3">
        <v>0.06986386014846062</v>
      </c>
      <c r="CT1228" s="3">
        <v>0.06996888628780466</v>
      </c>
      <c r="CU1228" s="3">
        <v>0.07007071777120116</v>
      </c>
      <c r="CV1228" s="3"/>
    </row>
    <row r="1229" spans="1:100">
      <c r="A1229" s="1" t="str">
        <f>IF($AJ$37="Y",'Population Definitions'!$B$34,"...")</f>
        <v>...</v>
      </c>
      <c r="B1229" s="4" t="str">
        <f>IF($AJ$37="Y","---&gt;","...")</f>
        <v>...</v>
      </c>
      <c r="C1229" s="1" t="str">
        <f>IF($AJ$37="Y",'Population Definitions'!$B$36,"...")</f>
        <v>...</v>
      </c>
      <c r="E1229" s="2"/>
      <c r="F1229" s="3"/>
      <c r="G1229" s="2"/>
      <c r="H1229" s="4" t="str">
        <f>IF($AJ$37="Y","OR","...")</f>
        <v>...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>
      <c r="A1230" s="1" t="str">
        <f>IF($AK$37="Y",'Population Definitions'!$B$34,"...")</f>
        <v>...</v>
      </c>
      <c r="B1230" s="4" t="str">
        <f>IF($AK$37="Y","---&gt;","...")</f>
        <v>...</v>
      </c>
      <c r="C1230" s="1" t="str">
        <f>IF($AK$37="Y",'Population Definitions'!$B$37,"...")</f>
        <v>...</v>
      </c>
      <c r="E1230" s="2"/>
      <c r="F1230" s="3"/>
      <c r="G1230" s="2"/>
      <c r="H1230" s="4" t="str">
        <f>IF($AK$37="Y","OR","...")</f>
        <v>...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>
      <c r="A1231" s="1" t="str">
        <f>IF($B$38="Y",'Population Definitions'!$B$35,"...")</f>
        <v>...</v>
      </c>
      <c r="B1231" s="4" t="str">
        <f>IF($B$38="Y","---&gt;","...")</f>
        <v>...</v>
      </c>
      <c r="C1231" s="1" t="str">
        <f>IF($B$38="Y",'Population Definitions'!$B$2,"...")</f>
        <v>...</v>
      </c>
      <c r="E1231" s="2"/>
      <c r="F1231" s="3"/>
      <c r="G1231" s="2"/>
      <c r="H1231" s="4" t="str">
        <f>IF($B$38="Y","OR","...")</f>
        <v>...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>
      <c r="A1232" s="1" t="str">
        <f>IF($C$38="Y",'Population Definitions'!$B$35,"...")</f>
        <v>...</v>
      </c>
      <c r="B1232" s="4" t="str">
        <f>IF($C$38="Y","---&gt;","...")</f>
        <v>...</v>
      </c>
      <c r="C1232" s="1" t="str">
        <f>IF($C$38="Y",'Population Definitions'!$B$3,"...")</f>
        <v>...</v>
      </c>
      <c r="E1232" s="2"/>
      <c r="F1232" s="3"/>
      <c r="G1232" s="2"/>
      <c r="H1232" s="4" t="str">
        <f>IF($C$38="Y","OR","...")</f>
        <v>...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0">
      <c r="A1233" s="1" t="str">
        <f>IF($D$38="Y",'Population Definitions'!$B$35,"...")</f>
        <v>...</v>
      </c>
      <c r="B1233" s="4" t="str">
        <f>IF($D$38="Y","---&gt;","...")</f>
        <v>...</v>
      </c>
      <c r="C1233" s="1" t="str">
        <f>IF($D$38="Y",'Population Definitions'!$B$4,"...")</f>
        <v>...</v>
      </c>
      <c r="E1233" s="2"/>
      <c r="F1233" s="3"/>
      <c r="G1233" s="2"/>
      <c r="H1233" s="4" t="str">
        <f>IF($D$38="Y","OR","...")</f>
        <v>...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</row>
    <row r="1234" spans="1:100">
      <c r="A1234" s="1" t="str">
        <f>IF($E$38="Y",'Population Definitions'!$B$35,"...")</f>
        <v>...</v>
      </c>
      <c r="B1234" s="4" t="str">
        <f>IF($E$38="Y","---&gt;","...")</f>
        <v>...</v>
      </c>
      <c r="C1234" s="1" t="str">
        <f>IF($E$38="Y",'Population Definitions'!$B$5,"...")</f>
        <v>...</v>
      </c>
      <c r="E1234" s="2"/>
      <c r="F1234" s="3"/>
      <c r="G1234" s="2"/>
      <c r="H1234" s="4" t="str">
        <f>IF($E$38="Y","OR","...")</f>
        <v>...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</row>
    <row r="1235" spans="1:100">
      <c r="A1235" s="1" t="str">
        <f>IF($F$38="Y",'Population Definitions'!$B$35,"...")</f>
        <v>...</v>
      </c>
      <c r="B1235" s="4" t="str">
        <f>IF($F$38="Y","---&gt;","...")</f>
        <v>...</v>
      </c>
      <c r="C1235" s="1" t="str">
        <f>IF($F$38="Y",'Population Definitions'!$B$6,"...")</f>
        <v>...</v>
      </c>
      <c r="E1235" s="2"/>
      <c r="F1235" s="3"/>
      <c r="G1235" s="2"/>
      <c r="H1235" s="4" t="str">
        <f>IF($F$38="Y","OR","...")</f>
        <v>...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</row>
    <row r="1236" spans="1:100">
      <c r="A1236" s="1" t="str">
        <f>IF($G$38="Y",'Population Definitions'!$B$35,"...")</f>
        <v>...</v>
      </c>
      <c r="B1236" s="4" t="str">
        <f>IF($G$38="Y","---&gt;","...")</f>
        <v>...</v>
      </c>
      <c r="C1236" s="1" t="str">
        <f>IF($G$38="Y",'Population Definitions'!$B$7,"...")</f>
        <v>...</v>
      </c>
      <c r="E1236" s="2"/>
      <c r="F1236" s="3"/>
      <c r="G1236" s="2"/>
      <c r="H1236" s="4" t="str">
        <f>IF($G$38="Y","OR","...")</f>
        <v>...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0">
      <c r="A1237" s="1" t="str">
        <f>IF($H$38="Y",'Population Definitions'!$B$35,"...")</f>
        <v>...</v>
      </c>
      <c r="B1237" s="4" t="str">
        <f>IF($H$38="Y","---&gt;","...")</f>
        <v>...</v>
      </c>
      <c r="C1237" s="1" t="str">
        <f>IF($H$38="Y",'Population Definitions'!$B$8,"...")</f>
        <v>...</v>
      </c>
      <c r="E1237" s="2"/>
      <c r="F1237" s="3"/>
      <c r="G1237" s="2"/>
      <c r="H1237" s="4" t="str">
        <f>IF($H$38="Y","OR","...")</f>
        <v>...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0">
      <c r="A1238" s="1" t="str">
        <f>IF($I$38="Y",'Population Definitions'!$B$35,"...")</f>
        <v>...</v>
      </c>
      <c r="B1238" s="4" t="str">
        <f>IF($I$38="Y","---&gt;","...")</f>
        <v>...</v>
      </c>
      <c r="C1238" s="1" t="str">
        <f>IF($I$38="Y",'Population Definitions'!$B$9,"...")</f>
        <v>...</v>
      </c>
      <c r="E1238" s="2"/>
      <c r="F1238" s="3"/>
      <c r="G1238" s="2"/>
      <c r="H1238" s="4" t="str">
        <f>IF($I$38="Y","OR","...")</f>
        <v>...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0">
      <c r="A1239" s="1" t="str">
        <f>IF($J$38="Y",'Population Definitions'!$B$35,"...")</f>
        <v>...</v>
      </c>
      <c r="B1239" s="4" t="str">
        <f>IF($J$38="Y","---&gt;","...")</f>
        <v>...</v>
      </c>
      <c r="C1239" s="1" t="str">
        <f>IF($J$38="Y",'Population Definitions'!$B$10,"...")</f>
        <v>...</v>
      </c>
      <c r="E1239" s="2"/>
      <c r="F1239" s="3"/>
      <c r="G1239" s="2"/>
      <c r="H1239" s="4" t="str">
        <f>IF($J$38="Y","OR","...")</f>
        <v>...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</row>
    <row r="1240" spans="1:100">
      <c r="A1240" s="1" t="str">
        <f>IF($K$38="Y",'Population Definitions'!$B$35,"...")</f>
        <v>...</v>
      </c>
      <c r="B1240" s="4" t="str">
        <f>IF($K$38="Y","---&gt;","...")</f>
        <v>...</v>
      </c>
      <c r="C1240" s="1" t="str">
        <f>IF($K$38="Y",'Population Definitions'!$B$11,"...")</f>
        <v>...</v>
      </c>
      <c r="E1240" s="2"/>
      <c r="F1240" s="3"/>
      <c r="G1240" s="2"/>
      <c r="H1240" s="4" t="str">
        <f>IF($K$38="Y","OR","...")</f>
        <v>...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</row>
    <row r="1241" spans="1:100">
      <c r="A1241" s="1" t="str">
        <f>IF($L$38="Y",'Population Definitions'!$B$35,"...")</f>
        <v>...</v>
      </c>
      <c r="B1241" s="4" t="str">
        <f>IF($L$38="Y","---&gt;","...")</f>
        <v>...</v>
      </c>
      <c r="C1241" s="1" t="str">
        <f>IF($L$38="Y",'Population Definitions'!$B$12,"...")</f>
        <v>...</v>
      </c>
      <c r="E1241" s="2"/>
      <c r="F1241" s="3"/>
      <c r="G1241" s="2"/>
      <c r="H1241" s="4" t="str">
        <f>IF($L$38="Y","OR","...")</f>
        <v>...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0">
      <c r="A1242" s="1" t="str">
        <f>IF($M$38="Y",'Population Definitions'!$B$35,"...")</f>
        <v>...</v>
      </c>
      <c r="B1242" s="4" t="str">
        <f>IF($M$38="Y","---&gt;","...")</f>
        <v>...</v>
      </c>
      <c r="C1242" s="1" t="str">
        <f>IF($M$38="Y",'Population Definitions'!$B$13,"...")</f>
        <v>...</v>
      </c>
      <c r="E1242" s="2"/>
      <c r="F1242" s="3"/>
      <c r="G1242" s="2"/>
      <c r="H1242" s="4" t="str">
        <f>IF($M$38="Y","OR","...")</f>
        <v>...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0">
      <c r="A1243" s="1" t="str">
        <f>IF($N$38="Y",'Population Definitions'!$B$35,"...")</f>
        <v>...</v>
      </c>
      <c r="B1243" s="4" t="str">
        <f>IF($N$38="Y","---&gt;","...")</f>
        <v>...</v>
      </c>
      <c r="C1243" s="1" t="str">
        <f>IF($N$38="Y",'Population Definitions'!$B$14,"...")</f>
        <v>...</v>
      </c>
      <c r="E1243" s="2"/>
      <c r="F1243" s="3"/>
      <c r="G1243" s="2"/>
      <c r="H1243" s="4" t="str">
        <f>IF($N$38="Y","OR","...")</f>
        <v>...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0">
      <c r="A1244" s="1" t="str">
        <f>IF($O$38="Y",'Population Definitions'!$B$35,"...")</f>
        <v>...</v>
      </c>
      <c r="B1244" s="4" t="str">
        <f>IF($O$38="Y","---&gt;","...")</f>
        <v>...</v>
      </c>
      <c r="C1244" s="1" t="str">
        <f>IF($O$38="Y",'Population Definitions'!$B$15,"...")</f>
        <v>...</v>
      </c>
      <c r="E1244" s="2"/>
      <c r="F1244" s="3"/>
      <c r="G1244" s="2"/>
      <c r="H1244" s="4" t="str">
        <f>IF($O$38="Y","OR","...")</f>
        <v>...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0">
      <c r="A1245" s="1" t="str">
        <f>IF($P$38="Y",'Population Definitions'!$B$35,"...")</f>
        <v>...</v>
      </c>
      <c r="B1245" s="4" t="str">
        <f>IF($P$38="Y","---&gt;","...")</f>
        <v>...</v>
      </c>
      <c r="C1245" s="1" t="str">
        <f>IF($P$38="Y",'Population Definitions'!$B$16,"...")</f>
        <v>...</v>
      </c>
      <c r="E1245" s="2"/>
      <c r="F1245" s="3"/>
      <c r="G1245" s="2"/>
      <c r="H1245" s="4" t="str">
        <f>IF($P$38="Y","OR","...")</f>
        <v>...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0">
      <c r="A1246" s="1" t="str">
        <f>IF($Q$38="Y",'Population Definitions'!$B$35,"...")</f>
        <v>...</v>
      </c>
      <c r="B1246" s="4" t="str">
        <f>IF($Q$38="Y","---&gt;","...")</f>
        <v>...</v>
      </c>
      <c r="C1246" s="1" t="str">
        <f>IF($Q$38="Y",'Population Definitions'!$B$17,"...")</f>
        <v>...</v>
      </c>
      <c r="E1246" s="2"/>
      <c r="F1246" s="3"/>
      <c r="G1246" s="2"/>
      <c r="H1246" s="4" t="str">
        <f>IF($Q$38="Y","OR","...")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0">
      <c r="A1247" s="1" t="str">
        <f>IF($R$38="Y",'Population Definitions'!$B$35,"...")</f>
        <v>...</v>
      </c>
      <c r="B1247" s="4" t="str">
        <f>IF($R$38="Y","---&gt;","...")</f>
        <v>...</v>
      </c>
      <c r="C1247" s="1" t="str">
        <f>IF($R$38="Y",'Population Definitions'!$B$18,"...")</f>
        <v>...</v>
      </c>
      <c r="E1247" s="2"/>
      <c r="F1247" s="3"/>
      <c r="G1247" s="2"/>
      <c r="H1247" s="4" t="str">
        <f>IF($R$38="Y","OR","...")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0">
      <c r="A1248" s="1" t="str">
        <f>IF($S$38="Y",'Population Definitions'!$B$35,"...")</f>
        <v>...</v>
      </c>
      <c r="B1248" s="4" t="str">
        <f>IF($S$38="Y","---&gt;","...")</f>
        <v>...</v>
      </c>
      <c r="C1248" s="1" t="str">
        <f>IF($S$38="Y",'Population Definitions'!$B$19,"...")</f>
        <v>...</v>
      </c>
      <c r="E1248" s="2"/>
      <c r="F1248" s="3"/>
      <c r="G1248" s="2"/>
      <c r="H1248" s="4" t="str">
        <f>IF($S$38="Y","OR","...")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</row>
    <row r="1249" spans="1:100">
      <c r="A1249" s="1" t="str">
        <f>IF($T$38="Y",'Population Definitions'!$B$35,"...")</f>
        <v>...</v>
      </c>
      <c r="B1249" s="4" t="str">
        <f>IF($T$38="Y","---&gt;","...")</f>
        <v>...</v>
      </c>
      <c r="C1249" s="1" t="str">
        <f>IF($T$38="Y",'Population Definitions'!$B$20,"...")</f>
        <v>...</v>
      </c>
      <c r="E1249" s="2"/>
      <c r="F1249" s="3"/>
      <c r="G1249" s="2"/>
      <c r="H1249" s="4" t="str">
        <f>IF($T$38="Y","OR","...")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>
      <c r="A1250" s="1" t="str">
        <f>IF($U$38="Y",'Population Definitions'!$B$35,"...")</f>
        <v>...</v>
      </c>
      <c r="B1250" s="4" t="str">
        <f>IF($U$38="Y","---&gt;","...")</f>
        <v>...</v>
      </c>
      <c r="C1250" s="1" t="str">
        <f>IF($U$38="Y",'Population Definitions'!$B$21,"...")</f>
        <v>...</v>
      </c>
      <c r="E1250" s="2"/>
      <c r="F1250" s="3"/>
      <c r="G1250" s="2"/>
      <c r="H1250" s="4" t="str">
        <f>IF($U$38="Y","OR","...")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>
      <c r="A1251" s="1" t="str">
        <f>IF($V$38="Y",'Population Definitions'!$B$35,"...")</f>
        <v>...</v>
      </c>
      <c r="B1251" s="4" t="str">
        <f>IF($V$38="Y","---&gt;","...")</f>
        <v>...</v>
      </c>
      <c r="C1251" s="1" t="str">
        <f>IF($V$38="Y",'Population Definitions'!$B$22,"...")</f>
        <v>...</v>
      </c>
      <c r="E1251" s="2"/>
      <c r="F1251" s="3"/>
      <c r="G1251" s="2"/>
      <c r="H1251" s="4" t="str">
        <f>IF($V$38="Y","OR","...")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>
      <c r="A1252" s="1" t="str">
        <f>IF($W$38="Y",'Population Definitions'!$B$35,"...")</f>
        <v>...</v>
      </c>
      <c r="B1252" s="4" t="str">
        <f>IF($W$38="Y","---&gt;","...")</f>
        <v>...</v>
      </c>
      <c r="C1252" s="1" t="str">
        <f>IF($W$38="Y",'Population Definitions'!$B$23,"...")</f>
        <v>...</v>
      </c>
      <c r="E1252" s="2"/>
      <c r="F1252" s="3"/>
      <c r="G1252" s="2"/>
      <c r="H1252" s="4" t="str">
        <f>IF($W$38="Y","OR","...")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>
      <c r="A1253" s="1" t="str">
        <f>IF($X$38="Y",'Population Definitions'!$B$35,"...")</f>
        <v>...</v>
      </c>
      <c r="B1253" s="4" t="str">
        <f>IF($X$38="Y","---&gt;","...")</f>
        <v>...</v>
      </c>
      <c r="C1253" s="1" t="str">
        <f>IF($X$38="Y",'Population Definitions'!$B$24,"...")</f>
        <v>...</v>
      </c>
      <c r="E1253" s="2"/>
      <c r="F1253" s="3"/>
      <c r="G1253" s="2"/>
      <c r="H1253" s="4" t="str">
        <f>IF($X$38="Y","OR","...")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>
      <c r="A1254" s="1" t="str">
        <f>IF($Y$38="Y",'Population Definitions'!$B$35,"...")</f>
        <v>...</v>
      </c>
      <c r="B1254" s="4" t="str">
        <f>IF($Y$38="Y","---&gt;","...")</f>
        <v>...</v>
      </c>
      <c r="C1254" s="1" t="str">
        <f>IF($Y$38="Y",'Population Definitions'!$B$25,"...")</f>
        <v>...</v>
      </c>
      <c r="E1254" s="2"/>
      <c r="F1254" s="3"/>
      <c r="G1254" s="2"/>
      <c r="H1254" s="4" t="str">
        <f>IF($Y$38="Y","OR","...")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>
      <c r="A1255" s="1" t="str">
        <f>IF($Z$38="Y",'Population Definitions'!$B$35,"...")</f>
        <v>...</v>
      </c>
      <c r="B1255" s="4" t="str">
        <f>IF($Z$38="Y","---&gt;","...")</f>
        <v>...</v>
      </c>
      <c r="C1255" s="1" t="str">
        <f>IF($Z$38="Y",'Population Definitions'!$B$26,"...")</f>
        <v>...</v>
      </c>
      <c r="E1255" s="2"/>
      <c r="F1255" s="3"/>
      <c r="G1255" s="2"/>
      <c r="H1255" s="4" t="str">
        <f>IF($Z$38="Y","OR","...")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>
      <c r="A1256" s="1" t="str">
        <f>IF($AA$38="Y",'Population Definitions'!$B$35,"...")</f>
        <v>...</v>
      </c>
      <c r="B1256" s="4" t="str">
        <f>IF($AA$38="Y","---&gt;","...")</f>
        <v>...</v>
      </c>
      <c r="C1256" s="1" t="str">
        <f>IF($AA$38="Y",'Population Definitions'!$B$27,"...")</f>
        <v>...</v>
      </c>
      <c r="E1256" s="2"/>
      <c r="F1256" s="3"/>
      <c r="G1256" s="2"/>
      <c r="H1256" s="4" t="str">
        <f>IF($AA$38="Y","OR","...")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>
      <c r="A1257" s="1" t="str">
        <f>IF($AB$38="Y",'Population Definitions'!$B$35,"...")</f>
        <v>...</v>
      </c>
      <c r="B1257" s="4" t="str">
        <f>IF($AB$38="Y","---&gt;","...")</f>
        <v>...</v>
      </c>
      <c r="C1257" s="1" t="str">
        <f>IF($AB$38="Y",'Population Definitions'!$B$28,"...")</f>
        <v>...</v>
      </c>
      <c r="E1257" s="2"/>
      <c r="F1257" s="3"/>
      <c r="G1257" s="2"/>
      <c r="H1257" s="4" t="str">
        <f>IF($AB$38="Y","OR","...")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>
      <c r="A1258" s="1" t="str">
        <f>IF($AC$38="Y",'Population Definitions'!$B$35,"...")</f>
        <v>...</v>
      </c>
      <c r="B1258" s="4" t="str">
        <f>IF($AC$38="Y","---&gt;","...")</f>
        <v>...</v>
      </c>
      <c r="C1258" s="1" t="str">
        <f>IF($AC$38="Y",'Population Definitions'!$B$29,"...")</f>
        <v>...</v>
      </c>
      <c r="E1258" s="2"/>
      <c r="F1258" s="3"/>
      <c r="G1258" s="2"/>
      <c r="H1258" s="4" t="str">
        <f>IF($AC$38="Y","OR","...")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>
      <c r="A1259" s="1" t="str">
        <f>IF($AD$38="Y",'Population Definitions'!$B$35,"...")</f>
        <v>...</v>
      </c>
      <c r="B1259" s="4" t="str">
        <f>IF($AD$38="Y","---&gt;","...")</f>
        <v>...</v>
      </c>
      <c r="C1259" s="1" t="str">
        <f>IF($AD$38="Y",'Population Definitions'!$B$30,"...")</f>
        <v>...</v>
      </c>
      <c r="E1259" s="2"/>
      <c r="F1259" s="3"/>
      <c r="G1259" s="2"/>
      <c r="H1259" s="4" t="str">
        <f>IF($AD$38="Y","OR","...")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>
      <c r="A1260" s="1" t="str">
        <f>IF($AE$38="Y",'Population Definitions'!$B$35,"...")</f>
        <v>...</v>
      </c>
      <c r="B1260" s="4" t="str">
        <f>IF($AE$38="Y","---&gt;","...")</f>
        <v>...</v>
      </c>
      <c r="C1260" s="1" t="str">
        <f>IF($AE$38="Y",'Population Definitions'!$B$31,"...")</f>
        <v>...</v>
      </c>
      <c r="E1260" s="2"/>
      <c r="F1260" s="3"/>
      <c r="G1260" s="2"/>
      <c r="H1260" s="4" t="str">
        <f>IF($AE$38="Y","OR","...")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>
      <c r="A1261" s="1" t="str">
        <f>IF($AF$38="Y",'Population Definitions'!$B$35,"...")</f>
        <v>...</v>
      </c>
      <c r="B1261" s="4" t="str">
        <f>IF($AF$38="Y","---&gt;","...")</f>
        <v>...</v>
      </c>
      <c r="C1261" s="1" t="str">
        <f>IF($AF$38="Y",'Population Definitions'!$B$32,"...")</f>
        <v>...</v>
      </c>
      <c r="E1261" s="2"/>
      <c r="F1261" s="3"/>
      <c r="G1261" s="2"/>
      <c r="H1261" s="4" t="str">
        <f>IF($AF$38="Y","OR","...")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>
      <c r="A1262" s="1" t="str">
        <f>IF($AG$38="Y",'Population Definitions'!$B$35,"...")</f>
        <v>...</v>
      </c>
      <c r="B1262" s="4" t="str">
        <f>IF($AG$38="Y","---&gt;","...")</f>
        <v>...</v>
      </c>
      <c r="C1262" s="1" t="str">
        <f>IF($AG$38="Y",'Population Definitions'!$B$33,"...")</f>
        <v>...</v>
      </c>
      <c r="E1262" s="2"/>
      <c r="F1262" s="3"/>
      <c r="G1262" s="2"/>
      <c r="H1262" s="4" t="str">
        <f>IF($AG$38="Y","OR","...")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>
      <c r="A1263" s="1" t="str">
        <f>IF($AH$38="Y",'Population Definitions'!$B$35,"...")</f>
        <v>...</v>
      </c>
      <c r="B1263" s="4" t="str">
        <f>IF($AH$38="Y","---&gt;","...")</f>
        <v>...</v>
      </c>
      <c r="C1263" s="1" t="str">
        <f>IF($AH$38="Y",'Population Definitions'!$B$34,"...")</f>
        <v>...</v>
      </c>
      <c r="E1263" s="2"/>
      <c r="F1263" s="3"/>
      <c r="G1263" s="2"/>
      <c r="H1263" s="4" t="str">
        <f>IF($AH$38="Y","OR","...")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>
      <c r="A1264" s="1" t="str">
        <f>IF($AI$38="Y",'Population Definitions'!$B$35,"...")</f>
        <v>...</v>
      </c>
      <c r="B1264" s="4" t="str">
        <f>IF($AI$38="Y","---&gt;","...")</f>
        <v>...</v>
      </c>
      <c r="C1264" s="1" t="str">
        <f>IF($AI$38="Y",'Population Definitions'!$B$35,"...")</f>
        <v>...</v>
      </c>
      <c r="E1264" s="2"/>
      <c r="F1264" s="3"/>
      <c r="G1264" s="2"/>
      <c r="H1264" s="4" t="str">
        <f>IF($AI$38="Y","OR","...")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>
      <c r="A1265" s="1" t="str">
        <f>IF($AJ$38="Y",'Population Definitions'!$B$35,"...")</f>
        <v>30-49F_fns</v>
      </c>
      <c r="B1265" s="4" t="str">
        <f>IF($AJ$38="Y","---&gt;","...")</f>
        <v>---&gt;</v>
      </c>
      <c r="C1265" s="1" t="str">
        <f>IF($AJ$38="Y",'Population Definitions'!$B$36,"...")</f>
        <v>50-64F_fns</v>
      </c>
      <c r="E1265" s="3" t="s">
        <v>63</v>
      </c>
      <c r="F1265" s="3"/>
      <c r="G1265" s="3"/>
      <c r="H1265" s="4" t="str">
        <f>IF($AJ$38="Y","OR","...")</f>
        <v>OR</v>
      </c>
      <c r="I1265" s="3">
        <v>0.03472877691991182</v>
      </c>
      <c r="J1265" s="3">
        <v>0.03427271822847665</v>
      </c>
      <c r="K1265" s="3">
        <v>0.03522786729380062</v>
      </c>
      <c r="L1265" s="3">
        <v>0.03413169044391706</v>
      </c>
      <c r="M1265" s="3">
        <v>0.03360463026147955</v>
      </c>
      <c r="N1265" s="3">
        <v>0.03477676551369612</v>
      </c>
      <c r="O1265" s="3">
        <v>0.03351574746276662</v>
      </c>
      <c r="P1265" s="3">
        <v>0.0332374585647715</v>
      </c>
      <c r="Q1265" s="3">
        <v>0.03310769740778117</v>
      </c>
      <c r="R1265" s="3">
        <v>0.03333890268154919</v>
      </c>
      <c r="S1265" s="3">
        <v>0.03225295234547718</v>
      </c>
      <c r="T1265" s="3">
        <v>0.03165337366432323</v>
      </c>
      <c r="U1265" s="3">
        <v>0.0319450568708799</v>
      </c>
      <c r="V1265" s="3">
        <v>0.03116041998955816</v>
      </c>
      <c r="W1265" s="3">
        <v>0.03140059959579281</v>
      </c>
      <c r="X1265" s="3">
        <v>0.03088033023060424</v>
      </c>
      <c r="Y1265" s="3">
        <v>0.03099206491816976</v>
      </c>
      <c r="Z1265" s="3">
        <v>0.03074067203376473</v>
      </c>
      <c r="AA1265" s="3">
        <v>0.02993369347973187</v>
      </c>
      <c r="AB1265" s="3">
        <v>0.02957589374799125</v>
      </c>
      <c r="AC1265" s="3">
        <v>0.02946214983915934</v>
      </c>
      <c r="AD1265" s="3">
        <v>0.02921606542374899</v>
      </c>
      <c r="AE1265" s="3">
        <v>0.02974640813945019</v>
      </c>
      <c r="AF1265" s="3">
        <v>0.02911036085038925</v>
      </c>
      <c r="AG1265" s="3">
        <v>0.02883515392167061</v>
      </c>
      <c r="AH1265" s="3">
        <v>0.02843293744450257</v>
      </c>
      <c r="AI1265" s="3">
        <v>0.02850017839012819</v>
      </c>
      <c r="AJ1265" s="3">
        <v>0.02870913003760181</v>
      </c>
      <c r="AK1265" s="3">
        <v>0.02897535887491186</v>
      </c>
      <c r="AL1265" s="3">
        <v>0.02825331938413657</v>
      </c>
      <c r="AM1265" s="3">
        <v>0.02813782407770117</v>
      </c>
      <c r="AN1265" s="3">
        <v>0.0477847789398194</v>
      </c>
      <c r="AO1265" s="3">
        <v>0.04861618689519321</v>
      </c>
      <c r="AP1265" s="3">
        <v>0.04742836115094991</v>
      </c>
      <c r="AQ1265" s="3">
        <v>0.04859539007572328</v>
      </c>
      <c r="AR1265" s="3">
        <v>0.04862857652525553</v>
      </c>
      <c r="AS1265" s="3">
        <v>0.04925008107315525</v>
      </c>
      <c r="AT1265" s="3">
        <v>0.05138347840382907</v>
      </c>
      <c r="AU1265" s="3">
        <v>0.05198285251196982</v>
      </c>
      <c r="AV1265" s="3">
        <v>0.05222896535901252</v>
      </c>
      <c r="AW1265" s="3">
        <v>0.05454335810167843</v>
      </c>
      <c r="AX1265" s="3">
        <v>0.052493380780579</v>
      </c>
      <c r="AY1265" s="3">
        <v>0.04988807038533948</v>
      </c>
      <c r="AZ1265" s="3">
        <v>0.0474668744420965</v>
      </c>
      <c r="BA1265" s="3">
        <v>0.04503430381682814</v>
      </c>
      <c r="BB1265" s="3">
        <v>0.04396832030186656</v>
      </c>
      <c r="BC1265" s="3">
        <v>0.04240618819596183</v>
      </c>
      <c r="BD1265" s="3">
        <v>0.04260422530850817</v>
      </c>
      <c r="BE1265" s="3">
        <v>0.04297873978567251</v>
      </c>
      <c r="BF1265" s="3">
        <v>0.04179382498916396</v>
      </c>
      <c r="BG1265" s="3">
        <v>0.04326724175420958</v>
      </c>
      <c r="BH1265" s="3">
        <v>0.04212859165669885</v>
      </c>
      <c r="BI1265" s="3">
        <v>0.04248349261616326</v>
      </c>
      <c r="BJ1265" s="3">
        <v>0.04283931871509962</v>
      </c>
      <c r="BK1265" s="3">
        <v>0.04317466248825889</v>
      </c>
      <c r="BL1265" s="3">
        <v>0.04353034964587197</v>
      </c>
      <c r="BM1265" s="3">
        <v>0.04381483009006377</v>
      </c>
      <c r="BN1265" s="3">
        <v>0.04415154773043021</v>
      </c>
      <c r="BO1265" s="3">
        <v>0.04453989975888129</v>
      </c>
      <c r="BP1265" s="3">
        <v>0.0449503855966929</v>
      </c>
      <c r="BQ1265" s="3">
        <v>0.04538874282462319</v>
      </c>
      <c r="BR1265" s="3">
        <v>0.04582995693694489</v>
      </c>
      <c r="BS1265" s="3">
        <v>0.04626414046563434</v>
      </c>
      <c r="BT1265" s="3">
        <v>0.04666960529612779</v>
      </c>
      <c r="BU1265" s="3">
        <v>0.0470268618244146</v>
      </c>
      <c r="BV1265" s="3">
        <v>0.04735750767731065</v>
      </c>
      <c r="BW1265" s="3">
        <v>0.04761724620110837</v>
      </c>
      <c r="BX1265" s="3">
        <v>0.04784346034982968</v>
      </c>
      <c r="BY1265" s="3">
        <v>0.04801343315129056</v>
      </c>
      <c r="BZ1265" s="3">
        <v>0.04816803765852852</v>
      </c>
      <c r="CA1265" s="3">
        <v>0.04828746200538313</v>
      </c>
      <c r="CB1265" s="3">
        <v>0.04838730081886666</v>
      </c>
      <c r="CC1265" s="3">
        <v>0.04847142742003891</v>
      </c>
      <c r="CD1265" s="3">
        <v>0.04852877954778646</v>
      </c>
      <c r="CE1265" s="3">
        <v>0.04855536550420782</v>
      </c>
      <c r="CF1265" s="3">
        <v>0.04854160913994893</v>
      </c>
      <c r="CG1265" s="3">
        <v>0.04850537742913356</v>
      </c>
      <c r="CH1265" s="3">
        <v>0.04847421480701015</v>
      </c>
      <c r="CI1265" s="3">
        <v>0.04843561954537847</v>
      </c>
      <c r="CJ1265" s="3">
        <v>0.04840427887009756</v>
      </c>
      <c r="CK1265" s="3">
        <v>0.04837094148596573</v>
      </c>
      <c r="CL1265" s="3">
        <v>0.04837144354521092</v>
      </c>
      <c r="CM1265" s="3">
        <v>0.0484038366490574</v>
      </c>
      <c r="CN1265" s="3">
        <v>0.04846619539673979</v>
      </c>
      <c r="CO1265" s="3">
        <v>0.04854138023841728</v>
      </c>
      <c r="CP1265" s="3">
        <v>0.04860244508644201</v>
      </c>
      <c r="CQ1265" s="3">
        <v>0.04867649574096011</v>
      </c>
      <c r="CR1265" s="3">
        <v>0.04878032819964017</v>
      </c>
      <c r="CS1265" s="3">
        <v>0.04889076467603704</v>
      </c>
      <c r="CT1265" s="3">
        <v>0.04899102642823357</v>
      </c>
      <c r="CU1265" s="3">
        <v>0.0490938475284924</v>
      </c>
      <c r="CV1265" s="3"/>
    </row>
    <row r="1266" spans="1:100">
      <c r="A1266" s="1" t="str">
        <f>IF($AK$38="Y",'Population Definitions'!$B$35,"...")</f>
        <v>...</v>
      </c>
      <c r="B1266" s="4" t="str">
        <f>IF($AK$38="Y","---&gt;","...")</f>
        <v>...</v>
      </c>
      <c r="C1266" s="1" t="str">
        <f>IF($AK$38="Y",'Population Definitions'!$B$37,"...")</f>
        <v>...</v>
      </c>
      <c r="E1266" s="2"/>
      <c r="F1266" s="3"/>
      <c r="G1266" s="2"/>
      <c r="H1266" s="4" t="str">
        <f>IF($AK$38="Y","OR","...")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>
      <c r="A1267" s="1" t="str">
        <f>IF($B$39="Y",'Population Definitions'!$B$36,"...")</f>
        <v>...</v>
      </c>
      <c r="B1267" s="4" t="str">
        <f>IF($B$39="Y","---&gt;","...")</f>
        <v>...</v>
      </c>
      <c r="C1267" s="1" t="str">
        <f>IF($B$39="Y",'Population Definitions'!$B$2,"...")</f>
        <v>...</v>
      </c>
      <c r="E1267" s="2"/>
      <c r="F1267" s="3"/>
      <c r="G1267" s="2"/>
      <c r="H1267" s="4" t="str">
        <f>IF($B$39="Y","OR","...")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>
      <c r="A1268" s="1" t="str">
        <f>IF($C$39="Y",'Population Definitions'!$B$36,"...")</f>
        <v>...</v>
      </c>
      <c r="B1268" s="4" t="str">
        <f>IF($C$39="Y","---&gt;","...")</f>
        <v>...</v>
      </c>
      <c r="C1268" s="1" t="str">
        <f>IF($C$39="Y",'Population Definitions'!$B$3,"...")</f>
        <v>...</v>
      </c>
      <c r="E1268" s="2"/>
      <c r="F1268" s="3"/>
      <c r="G1268" s="2"/>
      <c r="H1268" s="4" t="str">
        <f>IF($C$39="Y","OR","...")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>
      <c r="A1269" s="1" t="str">
        <f>IF($D$39="Y",'Population Definitions'!$B$36,"...")</f>
        <v>...</v>
      </c>
      <c r="B1269" s="4" t="str">
        <f>IF($D$39="Y","---&gt;","...")</f>
        <v>...</v>
      </c>
      <c r="C1269" s="1" t="str">
        <f>IF($D$39="Y",'Population Definitions'!$B$4,"...")</f>
        <v>...</v>
      </c>
      <c r="E1269" s="2"/>
      <c r="F1269" s="3"/>
      <c r="G1269" s="2"/>
      <c r="H1269" s="4" t="str">
        <f>IF($D$39="Y","OR","...")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</row>
    <row r="1270" spans="1:100">
      <c r="A1270" s="1" t="str">
        <f>IF($E$39="Y",'Population Definitions'!$B$36,"...")</f>
        <v>...</v>
      </c>
      <c r="B1270" s="4" t="str">
        <f>IF($E$39="Y","---&gt;","...")</f>
        <v>...</v>
      </c>
      <c r="C1270" s="1" t="str">
        <f>IF($E$39="Y",'Population Definitions'!$B$5,"...")</f>
        <v>...</v>
      </c>
      <c r="E1270" s="2"/>
      <c r="F1270" s="3"/>
      <c r="G1270" s="2"/>
      <c r="H1270" s="4" t="str">
        <f>IF($E$39="Y","OR","...")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</row>
    <row r="1271" spans="1:100">
      <c r="A1271" s="1" t="str">
        <f>IF($F$39="Y",'Population Definitions'!$B$36,"...")</f>
        <v>...</v>
      </c>
      <c r="B1271" s="4" t="str">
        <f>IF($F$39="Y","---&gt;","...")</f>
        <v>...</v>
      </c>
      <c r="C1271" s="1" t="str">
        <f>IF($F$39="Y",'Population Definitions'!$B$6,"...")</f>
        <v>...</v>
      </c>
      <c r="E1271" s="2"/>
      <c r="F1271" s="3"/>
      <c r="G1271" s="2"/>
      <c r="H1271" s="4" t="str">
        <f>IF($F$39="Y","OR","...")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</row>
    <row r="1272" spans="1:100">
      <c r="A1272" s="1" t="str">
        <f>IF($G$39="Y",'Population Definitions'!$B$36,"...")</f>
        <v>...</v>
      </c>
      <c r="B1272" s="4" t="str">
        <f>IF($G$39="Y","---&gt;","...")</f>
        <v>...</v>
      </c>
      <c r="C1272" s="1" t="str">
        <f>IF($G$39="Y",'Population Definitions'!$B$7,"...")</f>
        <v>...</v>
      </c>
      <c r="E1272" s="2"/>
      <c r="F1272" s="3"/>
      <c r="G1272" s="2"/>
      <c r="H1272" s="4" t="str">
        <f>IF($G$39="Y","OR","...")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</row>
    <row r="1273" spans="1:100">
      <c r="A1273" s="1" t="str">
        <f>IF($H$39="Y",'Population Definitions'!$B$36,"...")</f>
        <v>...</v>
      </c>
      <c r="B1273" s="4" t="str">
        <f>IF($H$39="Y","---&gt;","...")</f>
        <v>...</v>
      </c>
      <c r="C1273" s="1" t="str">
        <f>IF($H$39="Y",'Population Definitions'!$B$8,"...")</f>
        <v>...</v>
      </c>
      <c r="E1273" s="2"/>
      <c r="F1273" s="3"/>
      <c r="G1273" s="2"/>
      <c r="H1273" s="4" t="str">
        <f>IF($H$39="Y","OR","...")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</row>
    <row r="1274" spans="1:100">
      <c r="A1274" s="1" t="str">
        <f>IF($I$39="Y",'Population Definitions'!$B$36,"...")</f>
        <v>...</v>
      </c>
      <c r="B1274" s="4" t="str">
        <f>IF($I$39="Y","---&gt;","...")</f>
        <v>...</v>
      </c>
      <c r="C1274" s="1" t="str">
        <f>IF($I$39="Y",'Population Definitions'!$B$9,"...")</f>
        <v>...</v>
      </c>
      <c r="E1274" s="2"/>
      <c r="F1274" s="3"/>
      <c r="G1274" s="2"/>
      <c r="H1274" s="4" t="str">
        <f>IF($I$39="Y","OR","...")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>
      <c r="A1275" s="1" t="str">
        <f>IF($J$39="Y",'Population Definitions'!$B$36,"...")</f>
        <v>...</v>
      </c>
      <c r="B1275" s="4" t="str">
        <f>IF($J$39="Y","---&gt;","...")</f>
        <v>...</v>
      </c>
      <c r="C1275" s="1" t="str">
        <f>IF($J$39="Y",'Population Definitions'!$B$10,"...")</f>
        <v>...</v>
      </c>
      <c r="E1275" s="2"/>
      <c r="F1275" s="3"/>
      <c r="G1275" s="2"/>
      <c r="H1275" s="4" t="str">
        <f>IF($J$39="Y","OR","...")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</row>
    <row r="1276" spans="1:100">
      <c r="A1276" s="1" t="str">
        <f>IF($K$39="Y",'Population Definitions'!$B$36,"...")</f>
        <v>...</v>
      </c>
      <c r="B1276" s="4" t="str">
        <f>IF($K$39="Y","---&gt;","...")</f>
        <v>...</v>
      </c>
      <c r="C1276" s="1" t="str">
        <f>IF($K$39="Y",'Population Definitions'!$B$11,"...")</f>
        <v>...</v>
      </c>
      <c r="E1276" s="2"/>
      <c r="F1276" s="3"/>
      <c r="G1276" s="2"/>
      <c r="H1276" s="4" t="str">
        <f>IF($K$39="Y","OR","...")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>
      <c r="A1277" s="1" t="str">
        <f>IF($L$39="Y",'Population Definitions'!$B$36,"...")</f>
        <v>...</v>
      </c>
      <c r="B1277" s="4" t="str">
        <f>IF($L$39="Y","---&gt;","...")</f>
        <v>...</v>
      </c>
      <c r="C1277" s="1" t="str">
        <f>IF($L$39="Y",'Population Definitions'!$B$12,"...")</f>
        <v>...</v>
      </c>
      <c r="E1277" s="2"/>
      <c r="F1277" s="3"/>
      <c r="G1277" s="2"/>
      <c r="H1277" s="4" t="str">
        <f>IF($L$39="Y","OR","...")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>
      <c r="A1278" s="1" t="str">
        <f>IF($M$39="Y",'Population Definitions'!$B$36,"...")</f>
        <v>...</v>
      </c>
      <c r="B1278" s="4" t="str">
        <f>IF($M$39="Y","---&gt;","...")</f>
        <v>...</v>
      </c>
      <c r="C1278" s="1" t="str">
        <f>IF($M$39="Y",'Population Definitions'!$B$13,"...")</f>
        <v>...</v>
      </c>
      <c r="E1278" s="2"/>
      <c r="F1278" s="3"/>
      <c r="G1278" s="2"/>
      <c r="H1278" s="4" t="str">
        <f>IF($M$39="Y","OR","...")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>
      <c r="A1279" s="1" t="str">
        <f>IF($N$39="Y",'Population Definitions'!$B$36,"...")</f>
        <v>...</v>
      </c>
      <c r="B1279" s="4" t="str">
        <f>IF($N$39="Y","---&gt;","...")</f>
        <v>...</v>
      </c>
      <c r="C1279" s="1" t="str">
        <f>IF($N$39="Y",'Population Definitions'!$B$14,"...")</f>
        <v>...</v>
      </c>
      <c r="E1279" s="2"/>
      <c r="F1279" s="3"/>
      <c r="G1279" s="2"/>
      <c r="H1279" s="4" t="str">
        <f>IF($N$39="Y","OR","...")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>
      <c r="A1280" s="1" t="str">
        <f>IF($O$39="Y",'Population Definitions'!$B$36,"...")</f>
        <v>...</v>
      </c>
      <c r="B1280" s="4" t="str">
        <f>IF($O$39="Y","---&gt;","...")</f>
        <v>...</v>
      </c>
      <c r="C1280" s="1" t="str">
        <f>IF($O$39="Y",'Population Definitions'!$B$15,"...")</f>
        <v>...</v>
      </c>
      <c r="E1280" s="2"/>
      <c r="F1280" s="3"/>
      <c r="G1280" s="2"/>
      <c r="H1280" s="4" t="str">
        <f>IF($O$39="Y","OR","...")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>
      <c r="A1281" s="1" t="str">
        <f>IF($P$39="Y",'Population Definitions'!$B$36,"...")</f>
        <v>...</v>
      </c>
      <c r="B1281" s="4" t="str">
        <f>IF($P$39="Y","---&gt;","...")</f>
        <v>...</v>
      </c>
      <c r="C1281" s="1" t="str">
        <f>IF($P$39="Y",'Population Definitions'!$B$16,"...")</f>
        <v>...</v>
      </c>
      <c r="E1281" s="2"/>
      <c r="F1281" s="3"/>
      <c r="G1281" s="2"/>
      <c r="H1281" s="4" t="str">
        <f>IF($P$39="Y","OR","...")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>
      <c r="A1282" s="1" t="str">
        <f>IF($Q$39="Y",'Population Definitions'!$B$36,"...")</f>
        <v>...</v>
      </c>
      <c r="B1282" s="4" t="str">
        <f>IF($Q$39="Y","---&gt;","...")</f>
        <v>...</v>
      </c>
      <c r="C1282" s="1" t="str">
        <f>IF($Q$39="Y",'Population Definitions'!$B$17,"...")</f>
        <v>...</v>
      </c>
      <c r="E1282" s="2"/>
      <c r="F1282" s="3"/>
      <c r="G1282" s="2"/>
      <c r="H1282" s="4" t="str">
        <f>IF($Q$39="Y","OR","...")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>
      <c r="A1283" s="1" t="str">
        <f>IF($R$39="Y",'Population Definitions'!$B$36,"...")</f>
        <v>...</v>
      </c>
      <c r="B1283" s="4" t="str">
        <f>IF($R$39="Y","---&gt;","...")</f>
        <v>...</v>
      </c>
      <c r="C1283" s="1" t="str">
        <f>IF($R$39="Y",'Population Definitions'!$B$18,"...")</f>
        <v>...</v>
      </c>
      <c r="E1283" s="2"/>
      <c r="F1283" s="3"/>
      <c r="G1283" s="2"/>
      <c r="H1283" s="4" t="str">
        <f>IF($R$39="Y","OR","...")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>
      <c r="A1284" s="1" t="str">
        <f>IF($S$39="Y",'Population Definitions'!$B$36,"...")</f>
        <v>...</v>
      </c>
      <c r="B1284" s="4" t="str">
        <f>IF($S$39="Y","---&gt;","...")</f>
        <v>...</v>
      </c>
      <c r="C1284" s="1" t="str">
        <f>IF($S$39="Y",'Population Definitions'!$B$19,"...")</f>
        <v>...</v>
      </c>
      <c r="E1284" s="2"/>
      <c r="F1284" s="3"/>
      <c r="G1284" s="2"/>
      <c r="H1284" s="4" t="str">
        <f>IF($S$39="Y","OR","...")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>
      <c r="A1285" s="1" t="str">
        <f>IF($T$39="Y",'Population Definitions'!$B$36,"...")</f>
        <v>...</v>
      </c>
      <c r="B1285" s="4" t="str">
        <f>IF($T$39="Y","---&gt;","...")</f>
        <v>...</v>
      </c>
      <c r="C1285" s="1" t="str">
        <f>IF($T$39="Y",'Population Definitions'!$B$20,"...")</f>
        <v>...</v>
      </c>
      <c r="E1285" s="2"/>
      <c r="F1285" s="3"/>
      <c r="G1285" s="2"/>
      <c r="H1285" s="4" t="str">
        <f>IF($T$39="Y","OR","...")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>
      <c r="A1286" s="1" t="str">
        <f>IF($U$39="Y",'Population Definitions'!$B$36,"...")</f>
        <v>...</v>
      </c>
      <c r="B1286" s="4" t="str">
        <f>IF($U$39="Y","---&gt;","...")</f>
        <v>...</v>
      </c>
      <c r="C1286" s="1" t="str">
        <f>IF($U$39="Y",'Population Definitions'!$B$21,"...")</f>
        <v>...</v>
      </c>
      <c r="E1286" s="2"/>
      <c r="F1286" s="3"/>
      <c r="G1286" s="2"/>
      <c r="H1286" s="4" t="str">
        <f>IF($U$39="Y","OR","...")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</row>
    <row r="1287" spans="1:100">
      <c r="A1287" s="1" t="str">
        <f>IF($V$39="Y",'Population Definitions'!$B$36,"...")</f>
        <v>...</v>
      </c>
      <c r="B1287" s="4" t="str">
        <f>IF($V$39="Y","---&gt;","...")</f>
        <v>...</v>
      </c>
      <c r="C1287" s="1" t="str">
        <f>IF($V$39="Y",'Population Definitions'!$B$22,"...")</f>
        <v>...</v>
      </c>
      <c r="E1287" s="2"/>
      <c r="F1287" s="3"/>
      <c r="G1287" s="2"/>
      <c r="H1287" s="4" t="str">
        <f>IF($V$39="Y","OR","...")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>
      <c r="A1288" s="1" t="str">
        <f>IF($W$39="Y",'Population Definitions'!$B$36,"...")</f>
        <v>...</v>
      </c>
      <c r="B1288" s="4" t="str">
        <f>IF($W$39="Y","---&gt;","...")</f>
        <v>...</v>
      </c>
      <c r="C1288" s="1" t="str">
        <f>IF($W$39="Y",'Population Definitions'!$B$23,"...")</f>
        <v>...</v>
      </c>
      <c r="E1288" s="2"/>
      <c r="F1288" s="3"/>
      <c r="G1288" s="2"/>
      <c r="H1288" s="4" t="str">
        <f>IF($W$39="Y","OR","...")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>
      <c r="A1289" s="1" t="str">
        <f>IF($X$39="Y",'Population Definitions'!$B$36,"...")</f>
        <v>...</v>
      </c>
      <c r="B1289" s="4" t="str">
        <f>IF($X$39="Y","---&gt;","...")</f>
        <v>...</v>
      </c>
      <c r="C1289" s="1" t="str">
        <f>IF($X$39="Y",'Population Definitions'!$B$24,"...")</f>
        <v>...</v>
      </c>
      <c r="E1289" s="2"/>
      <c r="F1289" s="3"/>
      <c r="G1289" s="2"/>
      <c r="H1289" s="4" t="str">
        <f>IF($X$39="Y","OR","...")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>
      <c r="A1290" s="1" t="str">
        <f>IF($Y$39="Y",'Population Definitions'!$B$36,"...")</f>
        <v>...</v>
      </c>
      <c r="B1290" s="4" t="str">
        <f>IF($Y$39="Y","---&gt;","...")</f>
        <v>...</v>
      </c>
      <c r="C1290" s="1" t="str">
        <f>IF($Y$39="Y",'Population Definitions'!$B$25,"...")</f>
        <v>...</v>
      </c>
      <c r="E1290" s="2"/>
      <c r="F1290" s="3"/>
      <c r="G1290" s="2"/>
      <c r="H1290" s="4" t="str">
        <f>IF($Y$39="Y","OR","...")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>
      <c r="A1291" s="1" t="str">
        <f>IF($Z$39="Y",'Population Definitions'!$B$36,"...")</f>
        <v>...</v>
      </c>
      <c r="B1291" s="4" t="str">
        <f>IF($Z$39="Y","---&gt;","...")</f>
        <v>...</v>
      </c>
      <c r="C1291" s="1" t="str">
        <f>IF($Z$39="Y",'Population Definitions'!$B$26,"...")</f>
        <v>...</v>
      </c>
      <c r="E1291" s="2"/>
      <c r="F1291" s="3"/>
      <c r="G1291" s="2"/>
      <c r="H1291" s="4" t="str">
        <f>IF($Z$39="Y","OR","...")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</row>
    <row r="1292" spans="1:100">
      <c r="A1292" s="1" t="str">
        <f>IF($AA$39="Y",'Population Definitions'!$B$36,"...")</f>
        <v>...</v>
      </c>
      <c r="B1292" s="4" t="str">
        <f>IF($AA$39="Y","---&gt;","...")</f>
        <v>...</v>
      </c>
      <c r="C1292" s="1" t="str">
        <f>IF($AA$39="Y",'Population Definitions'!$B$27,"...")</f>
        <v>...</v>
      </c>
      <c r="E1292" s="2"/>
      <c r="F1292" s="3"/>
      <c r="G1292" s="2"/>
      <c r="H1292" s="4" t="str">
        <f>IF($AA$39="Y","OR","...")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</row>
    <row r="1293" spans="1:100">
      <c r="A1293" s="1" t="str">
        <f>IF($AB$39="Y",'Population Definitions'!$B$36,"...")</f>
        <v>...</v>
      </c>
      <c r="B1293" s="4" t="str">
        <f>IF($AB$39="Y","---&gt;","...")</f>
        <v>...</v>
      </c>
      <c r="C1293" s="1" t="str">
        <f>IF($AB$39="Y",'Population Definitions'!$B$28,"...")</f>
        <v>...</v>
      </c>
      <c r="E1293" s="2"/>
      <c r="F1293" s="3"/>
      <c r="G1293" s="2"/>
      <c r="H1293" s="4" t="str">
        <f>IF($AB$39="Y","OR","...")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>
      <c r="A1294" s="1" t="str">
        <f>IF($AC$39="Y",'Population Definitions'!$B$36,"...")</f>
        <v>...</v>
      </c>
      <c r="B1294" s="4" t="str">
        <f>IF($AC$39="Y","---&gt;","...")</f>
        <v>...</v>
      </c>
      <c r="C1294" s="1" t="str">
        <f>IF($AC$39="Y",'Population Definitions'!$B$29,"...")</f>
        <v>...</v>
      </c>
      <c r="E1294" s="2"/>
      <c r="F1294" s="3"/>
      <c r="G1294" s="2"/>
      <c r="H1294" s="4" t="str">
        <f>IF($AC$39="Y","OR","...")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</row>
    <row r="1295" spans="1:100">
      <c r="A1295" s="1" t="str">
        <f>IF($AD$39="Y",'Population Definitions'!$B$36,"...")</f>
        <v>...</v>
      </c>
      <c r="B1295" s="4" t="str">
        <f>IF($AD$39="Y","---&gt;","...")</f>
        <v>...</v>
      </c>
      <c r="C1295" s="1" t="str">
        <f>IF($AD$39="Y",'Population Definitions'!$B$30,"...")</f>
        <v>...</v>
      </c>
      <c r="E1295" s="2"/>
      <c r="F1295" s="3"/>
      <c r="G1295" s="2"/>
      <c r="H1295" s="4" t="str">
        <f>IF($AD$39="Y","OR","...")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</row>
    <row r="1296" spans="1:100">
      <c r="A1296" s="1" t="str">
        <f>IF($AE$39="Y",'Population Definitions'!$B$36,"...")</f>
        <v>...</v>
      </c>
      <c r="B1296" s="4" t="str">
        <f>IF($AE$39="Y","---&gt;","...")</f>
        <v>...</v>
      </c>
      <c r="C1296" s="1" t="str">
        <f>IF($AE$39="Y",'Population Definitions'!$B$31,"...")</f>
        <v>...</v>
      </c>
      <c r="E1296" s="2"/>
      <c r="F1296" s="3"/>
      <c r="G1296" s="2"/>
      <c r="H1296" s="4" t="str">
        <f>IF($AE$39="Y","OR","...")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0">
      <c r="A1297" s="1" t="str">
        <f>IF($AF$39="Y",'Population Definitions'!$B$36,"...")</f>
        <v>...</v>
      </c>
      <c r="B1297" s="4" t="str">
        <f>IF($AF$39="Y","---&gt;","...")</f>
        <v>...</v>
      </c>
      <c r="C1297" s="1" t="str">
        <f>IF($AF$39="Y",'Population Definitions'!$B$32,"...")</f>
        <v>...</v>
      </c>
      <c r="E1297" s="2"/>
      <c r="F1297" s="3"/>
      <c r="G1297" s="2"/>
      <c r="H1297" s="4" t="str">
        <f>IF($AF$39="Y","OR","...")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0">
      <c r="A1298" s="1" t="str">
        <f>IF($AG$39="Y",'Population Definitions'!$B$36,"...")</f>
        <v>...</v>
      </c>
      <c r="B1298" s="4" t="str">
        <f>IF($AG$39="Y","---&gt;","...")</f>
        <v>...</v>
      </c>
      <c r="C1298" s="1" t="str">
        <f>IF($AG$39="Y",'Population Definitions'!$B$33,"...")</f>
        <v>...</v>
      </c>
      <c r="E1298" s="2"/>
      <c r="F1298" s="3"/>
      <c r="G1298" s="2"/>
      <c r="H1298" s="4" t="str">
        <f>IF($AG$39="Y","OR","...")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0">
      <c r="A1299" s="1" t="str">
        <f>IF($AH$39="Y",'Population Definitions'!$B$36,"...")</f>
        <v>...</v>
      </c>
      <c r="B1299" s="4" t="str">
        <f>IF($AH$39="Y","---&gt;","...")</f>
        <v>...</v>
      </c>
      <c r="C1299" s="1" t="str">
        <f>IF($AH$39="Y",'Population Definitions'!$B$34,"...")</f>
        <v>...</v>
      </c>
      <c r="E1299" s="2"/>
      <c r="F1299" s="3"/>
      <c r="G1299" s="2"/>
      <c r="H1299" s="4" t="str">
        <f>IF($AH$39="Y","OR","...")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0">
      <c r="A1300" s="1" t="str">
        <f>IF($AI$39="Y",'Population Definitions'!$B$36,"...")</f>
        <v>...</v>
      </c>
      <c r="B1300" s="4" t="str">
        <f>IF($AI$39="Y","---&gt;","...")</f>
        <v>...</v>
      </c>
      <c r="C1300" s="1" t="str">
        <f>IF($AI$39="Y",'Population Definitions'!$B$35,"...")</f>
        <v>...</v>
      </c>
      <c r="E1300" s="2"/>
      <c r="F1300" s="3"/>
      <c r="G1300" s="2"/>
      <c r="H1300" s="4" t="str">
        <f>IF($AI$39="Y","OR","...")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0">
      <c r="A1301" s="1" t="str">
        <f>IF($AJ$39="Y",'Population Definitions'!$B$36,"...")</f>
        <v>...</v>
      </c>
      <c r="B1301" s="4" t="str">
        <f>IF($AJ$39="Y","---&gt;","...")</f>
        <v>...</v>
      </c>
      <c r="C1301" s="1" t="str">
        <f>IF($AJ$39="Y",'Population Definitions'!$B$36,"...")</f>
        <v>...</v>
      </c>
      <c r="E1301" s="2"/>
      <c r="F1301" s="3"/>
      <c r="G1301" s="2"/>
      <c r="H1301" s="4" t="str">
        <f>IF($AJ$39="Y","OR","...")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0">
      <c r="A1302" s="1" t="str">
        <f>IF($AK$39="Y",'Population Definitions'!$B$36,"...")</f>
        <v>50-64F_fns</v>
      </c>
      <c r="B1302" s="4" t="str">
        <f>IF($AK$39="Y","---&gt;","...")</f>
        <v>---&gt;</v>
      </c>
      <c r="C1302" s="1" t="str">
        <f>IF($AK$39="Y",'Population Definitions'!$B$37,"...")</f>
        <v>65+F_fns</v>
      </c>
      <c r="E1302" s="3" t="s">
        <v>63</v>
      </c>
      <c r="F1302" s="3"/>
      <c r="G1302" s="3"/>
      <c r="H1302" s="4" t="str">
        <f>IF($AK$39="Y","OR","...")</f>
        <v>OR</v>
      </c>
      <c r="I1302" s="3">
        <v>0.03808388080468383</v>
      </c>
      <c r="J1302" s="3">
        <v>0.03749547588305538</v>
      </c>
      <c r="K1302" s="3">
        <v>0.03870033788191622</v>
      </c>
      <c r="L1302" s="3">
        <v>0.03676324457323264</v>
      </c>
      <c r="M1302" s="3">
        <v>0.03660282779392916</v>
      </c>
      <c r="N1302" s="3">
        <v>0.03873908876048483</v>
      </c>
      <c r="O1302" s="3">
        <v>0.03677992777617673</v>
      </c>
      <c r="P1302" s="3">
        <v>0.0367187653731923</v>
      </c>
      <c r="Q1302" s="3">
        <v>0.03646241903556838</v>
      </c>
      <c r="R1302" s="3">
        <v>0.03739336516979643</v>
      </c>
      <c r="S1302" s="3">
        <v>0.03580548452171727</v>
      </c>
      <c r="T1302" s="3">
        <v>0.03500772954333674</v>
      </c>
      <c r="U1302" s="3">
        <v>0.03585497935521284</v>
      </c>
      <c r="V1302" s="3">
        <v>0.03486503389234713</v>
      </c>
      <c r="W1302" s="3">
        <v>0.03588977627307926</v>
      </c>
      <c r="X1302" s="3">
        <v>0.03520242902937002</v>
      </c>
      <c r="Y1302" s="3">
        <v>0.0355382152526585</v>
      </c>
      <c r="Z1302" s="3">
        <v>0.03552201928003831</v>
      </c>
      <c r="AA1302" s="3">
        <v>0.03443103474601415</v>
      </c>
      <c r="AB1302" s="3">
        <v>0.03442264244439022</v>
      </c>
      <c r="AC1302" s="3">
        <v>0.0342902487300038</v>
      </c>
      <c r="AD1302" s="3">
        <v>0.03396292535339823</v>
      </c>
      <c r="AE1302" s="3">
        <v>0.03489889494988628</v>
      </c>
      <c r="AF1302" s="3">
        <v>0.03415941143981524</v>
      </c>
      <c r="AG1302" s="3">
        <v>0.03391520751274998</v>
      </c>
      <c r="AH1302" s="3">
        <v>0.03316454280391739</v>
      </c>
      <c r="AI1302" s="3">
        <v>0.03350649053191385</v>
      </c>
      <c r="AJ1302" s="3">
        <v>0.03366715534237389</v>
      </c>
      <c r="AK1302" s="3">
        <v>0.03448240139218814</v>
      </c>
      <c r="AL1302" s="3">
        <v>0.0328677399651667</v>
      </c>
      <c r="AM1302" s="3">
        <v>0.03286754478173662</v>
      </c>
      <c r="AN1302" s="3">
        <v>0.0503953496619491</v>
      </c>
      <c r="AO1302" s="3">
        <v>0.0470167286218185</v>
      </c>
      <c r="AP1302" s="3">
        <v>0.04871445233005203</v>
      </c>
      <c r="AQ1302" s="3">
        <v>0.05255946371491535</v>
      </c>
      <c r="AR1302" s="3">
        <v>0.05359964336401138</v>
      </c>
      <c r="AS1302" s="3">
        <v>0.05395265236958222</v>
      </c>
      <c r="AT1302" s="3">
        <v>0.05592026283919455</v>
      </c>
      <c r="AU1302" s="3">
        <v>0.05510012851869268</v>
      </c>
      <c r="AV1302" s="3">
        <v>0.05558828169823744</v>
      </c>
      <c r="AW1302" s="3">
        <v>0.05450242255206525</v>
      </c>
      <c r="AX1302" s="3">
        <v>0.05424402340932611</v>
      </c>
      <c r="AY1302" s="3">
        <v>0.05417722076301337</v>
      </c>
      <c r="AZ1302" s="3">
        <v>0.05547643549885758</v>
      </c>
      <c r="BA1302" s="3">
        <v>0.05737582826023482</v>
      </c>
      <c r="BB1302" s="3">
        <v>0.06251409361680831</v>
      </c>
      <c r="BC1302" s="3">
        <v>0.06264205020758699</v>
      </c>
      <c r="BD1302" s="3">
        <v>0.064526466429907</v>
      </c>
      <c r="BE1302" s="3">
        <v>0.06431784828916458</v>
      </c>
      <c r="BF1302" s="3">
        <v>0.06520990016125888</v>
      </c>
      <c r="BG1302" s="3">
        <v>0.06587041993097392</v>
      </c>
      <c r="BH1302" s="3">
        <v>0.06807943009325133</v>
      </c>
      <c r="BI1302" s="3">
        <v>0.06900309541568998</v>
      </c>
      <c r="BJ1302" s="3">
        <v>0.06993904410568179</v>
      </c>
      <c r="BK1302" s="3">
        <v>0.07085017729184598</v>
      </c>
      <c r="BL1302" s="3">
        <v>0.07180331585199684</v>
      </c>
      <c r="BM1302" s="3">
        <v>0.07262300619545721</v>
      </c>
      <c r="BN1302" s="3">
        <v>0.07353543435892958</v>
      </c>
      <c r="BO1302" s="3">
        <v>0.07453068496953129</v>
      </c>
      <c r="BP1302" s="3">
        <v>0.07556489369647075</v>
      </c>
      <c r="BQ1302" s="3">
        <v>0.07663855226555889</v>
      </c>
      <c r="BR1302" s="3">
        <v>0.07770118487854281</v>
      </c>
      <c r="BS1302" s="3">
        <v>0.07873397670639314</v>
      </c>
      <c r="BT1302" s="3">
        <v>0.0796887498997781</v>
      </c>
      <c r="BU1302" s="3">
        <v>0.08053533846116871</v>
      </c>
      <c r="BV1302" s="3">
        <v>0.08130591436653407</v>
      </c>
      <c r="BW1302" s="3">
        <v>0.08193027661690903</v>
      </c>
      <c r="BX1302" s="3">
        <v>0.08245598208407721</v>
      </c>
      <c r="BY1302" s="3">
        <v>0.08287296482675506</v>
      </c>
      <c r="BZ1302" s="3">
        <v>0.08324095106562715</v>
      </c>
      <c r="CA1302" s="3">
        <v>0.08353709538416947</v>
      </c>
      <c r="CB1302" s="3">
        <v>0.08378980596510682</v>
      </c>
      <c r="CC1302" s="3">
        <v>0.08399561513656782</v>
      </c>
      <c r="CD1302" s="3">
        <v>0.08413951378178561</v>
      </c>
      <c r="CE1302" s="3">
        <v>0.08423216160188543</v>
      </c>
      <c r="CF1302" s="3">
        <v>0.08424035573715484</v>
      </c>
      <c r="CG1302" s="3">
        <v>0.08421123536888574</v>
      </c>
      <c r="CH1302" s="3">
        <v>0.08418650604133894</v>
      </c>
      <c r="CI1302" s="3">
        <v>0.0841463902380247</v>
      </c>
      <c r="CJ1302" s="3">
        <v>0.08411790650281817</v>
      </c>
      <c r="CK1302" s="3">
        <v>0.08408297313925549</v>
      </c>
      <c r="CL1302" s="3">
        <v>0.08411482077022768</v>
      </c>
      <c r="CM1302" s="3">
        <v>0.08421060543473675</v>
      </c>
      <c r="CN1302" s="3">
        <v>0.08435641158557078</v>
      </c>
      <c r="CO1302" s="3">
        <v>0.08452769024989862</v>
      </c>
      <c r="CP1302" s="3">
        <v>0.08466547603311445</v>
      </c>
      <c r="CQ1302" s="3">
        <v>0.08483306936059867</v>
      </c>
      <c r="CR1302" s="3">
        <v>0.08505588956272503</v>
      </c>
      <c r="CS1302" s="3">
        <v>0.08527698502236705</v>
      </c>
      <c r="CT1302" s="3">
        <v>0.08549315613575216</v>
      </c>
      <c r="CU1302" s="3">
        <v>0.08570907324224042</v>
      </c>
      <c r="CV1302" s="3"/>
    </row>
    <row r="1303" spans="1:100">
      <c r="A1303" s="1" t="str">
        <f>IF($B$40="Y",'Population Definitions'!$B$37,"...")</f>
        <v>...</v>
      </c>
      <c r="B1303" s="4" t="str">
        <f>IF($B$40="Y","---&gt;","...")</f>
        <v>...</v>
      </c>
      <c r="C1303" s="1" t="str">
        <f>IF($B$40="Y",'Population Definitions'!$B$2,"...")</f>
        <v>...</v>
      </c>
      <c r="E1303" s="2"/>
      <c r="F1303" s="3"/>
      <c r="G1303" s="2"/>
      <c r="H1303" s="4" t="str">
        <f>IF($B$40="Y","OR","...")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</row>
    <row r="1304" spans="1:100">
      <c r="A1304" s="1" t="str">
        <f>IF($C$40="Y",'Population Definitions'!$B$37,"...")</f>
        <v>...</v>
      </c>
      <c r="B1304" s="4" t="str">
        <f>IF($C$40="Y","---&gt;","...")</f>
        <v>...</v>
      </c>
      <c r="C1304" s="1" t="str">
        <f>IF($C$40="Y",'Population Definitions'!$B$3,"...")</f>
        <v>...</v>
      </c>
      <c r="E1304" s="2"/>
      <c r="F1304" s="3"/>
      <c r="G1304" s="2"/>
      <c r="H1304" s="4" t="str">
        <f>IF($C$40="Y","OR","...")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0">
      <c r="A1305" s="1" t="str">
        <f>IF($D$40="Y",'Population Definitions'!$B$37,"...")</f>
        <v>...</v>
      </c>
      <c r="B1305" s="4" t="str">
        <f>IF($D$40="Y","---&gt;","...")</f>
        <v>...</v>
      </c>
      <c r="C1305" s="1" t="str">
        <f>IF($D$40="Y",'Population Definitions'!$B$4,"...")</f>
        <v>...</v>
      </c>
      <c r="E1305" s="2"/>
      <c r="F1305" s="3"/>
      <c r="G1305" s="2"/>
      <c r="H1305" s="4" t="str">
        <f>IF($D$40="Y","OR","...")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0">
      <c r="A1306" s="1" t="str">
        <f>IF($E$40="Y",'Population Definitions'!$B$37,"...")</f>
        <v>...</v>
      </c>
      <c r="B1306" s="4" t="str">
        <f>IF($E$40="Y","---&gt;","...")</f>
        <v>...</v>
      </c>
      <c r="C1306" s="1" t="str">
        <f>IF($E$40="Y",'Population Definitions'!$B$5,"...")</f>
        <v>...</v>
      </c>
      <c r="E1306" s="2"/>
      <c r="F1306" s="3"/>
      <c r="G1306" s="2"/>
      <c r="H1306" s="4" t="str">
        <f>IF($E$40="Y","OR","...")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0">
      <c r="A1307" s="1" t="str">
        <f>IF($F$40="Y",'Population Definitions'!$B$37,"...")</f>
        <v>...</v>
      </c>
      <c r="B1307" s="4" t="str">
        <f>IF($F$40="Y","---&gt;","...")</f>
        <v>...</v>
      </c>
      <c r="C1307" s="1" t="str">
        <f>IF($F$40="Y",'Population Definitions'!$B$6,"...")</f>
        <v>...</v>
      </c>
      <c r="E1307" s="2"/>
      <c r="F1307" s="3"/>
      <c r="G1307" s="2"/>
      <c r="H1307" s="4" t="str">
        <f>IF($F$40="Y","OR","...")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0">
      <c r="A1308" s="1" t="str">
        <f>IF($G$40="Y",'Population Definitions'!$B$37,"...")</f>
        <v>...</v>
      </c>
      <c r="B1308" s="4" t="str">
        <f>IF($G$40="Y","---&gt;","...")</f>
        <v>...</v>
      </c>
      <c r="C1308" s="1" t="str">
        <f>IF($G$40="Y",'Population Definitions'!$B$7,"...")</f>
        <v>...</v>
      </c>
      <c r="E1308" s="2"/>
      <c r="F1308" s="3"/>
      <c r="G1308" s="2"/>
      <c r="H1308" s="4" t="str">
        <f>IF($G$40="Y","OR","...")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</row>
    <row r="1309" spans="1:100">
      <c r="A1309" s="1" t="str">
        <f>IF($H$40="Y",'Population Definitions'!$B$37,"...")</f>
        <v>...</v>
      </c>
      <c r="B1309" s="4" t="str">
        <f>IF($H$40="Y","---&gt;","...")</f>
        <v>...</v>
      </c>
      <c r="C1309" s="1" t="str">
        <f>IF($H$40="Y",'Population Definitions'!$B$8,"...")</f>
        <v>...</v>
      </c>
      <c r="E1309" s="2"/>
      <c r="F1309" s="3"/>
      <c r="G1309" s="2"/>
      <c r="H1309" s="4" t="str">
        <f>IF($H$40="Y","OR","...")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0">
      <c r="A1310" s="1" t="str">
        <f>IF($I$40="Y",'Population Definitions'!$B$37,"...")</f>
        <v>...</v>
      </c>
      <c r="B1310" s="4" t="str">
        <f>IF($I$40="Y","---&gt;","...")</f>
        <v>...</v>
      </c>
      <c r="C1310" s="1" t="str">
        <f>IF($I$40="Y",'Population Definitions'!$B$9,"...")</f>
        <v>...</v>
      </c>
      <c r="E1310" s="2"/>
      <c r="F1310" s="3"/>
      <c r="G1310" s="2"/>
      <c r="H1310" s="4" t="str">
        <f>IF($I$40="Y","OR","...")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</row>
    <row r="1311" spans="1:100">
      <c r="A1311" s="1" t="str">
        <f>IF($J$40="Y",'Population Definitions'!$B$37,"...")</f>
        <v>...</v>
      </c>
      <c r="B1311" s="4" t="str">
        <f>IF($J$40="Y","---&gt;","...")</f>
        <v>...</v>
      </c>
      <c r="C1311" s="1" t="str">
        <f>IF($J$40="Y",'Population Definitions'!$B$10,"...")</f>
        <v>...</v>
      </c>
      <c r="E1311" s="2"/>
      <c r="F1311" s="3"/>
      <c r="G1311" s="2"/>
      <c r="H1311" s="4" t="str">
        <f>IF($J$40="Y","OR","...")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0">
      <c r="A1312" s="1" t="str">
        <f>IF($K$40="Y",'Population Definitions'!$B$37,"...")</f>
        <v>...</v>
      </c>
      <c r="B1312" s="4" t="str">
        <f>IF($K$40="Y","---&gt;","...")</f>
        <v>...</v>
      </c>
      <c r="C1312" s="1" t="str">
        <f>IF($K$40="Y",'Population Definitions'!$B$11,"...")</f>
        <v>...</v>
      </c>
      <c r="E1312" s="2"/>
      <c r="F1312" s="3"/>
      <c r="G1312" s="2"/>
      <c r="H1312" s="4" t="str">
        <f>IF($K$40="Y","OR","...")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>
      <c r="A1313" s="1" t="str">
        <f>IF($L$40="Y",'Population Definitions'!$B$37,"...")</f>
        <v>...</v>
      </c>
      <c r="B1313" s="4" t="str">
        <f>IF($L$40="Y","---&gt;","...")</f>
        <v>...</v>
      </c>
      <c r="C1313" s="1" t="str">
        <f>IF($L$40="Y",'Population Definitions'!$B$12,"...")</f>
        <v>...</v>
      </c>
      <c r="E1313" s="2"/>
      <c r="F1313" s="3"/>
      <c r="G1313" s="2"/>
      <c r="H1313" s="4" t="str">
        <f>IF($L$40="Y","OR","...")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>
      <c r="A1314" s="1" t="str">
        <f>IF($M$40="Y",'Population Definitions'!$B$37,"...")</f>
        <v>...</v>
      </c>
      <c r="B1314" s="4" t="str">
        <f>IF($M$40="Y","---&gt;","...")</f>
        <v>...</v>
      </c>
      <c r="C1314" s="1" t="str">
        <f>IF($M$40="Y",'Population Definitions'!$B$13,"...")</f>
        <v>...</v>
      </c>
      <c r="E1314" s="2"/>
      <c r="F1314" s="3"/>
      <c r="G1314" s="2"/>
      <c r="H1314" s="4" t="str">
        <f>IF($M$40="Y","OR","...")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>
      <c r="A1315" s="1" t="str">
        <f>IF($N$40="Y",'Population Definitions'!$B$37,"...")</f>
        <v>...</v>
      </c>
      <c r="B1315" s="4" t="str">
        <f>IF($N$40="Y","---&gt;","...")</f>
        <v>...</v>
      </c>
      <c r="C1315" s="1" t="str">
        <f>IF($N$40="Y",'Population Definitions'!$B$14,"...")</f>
        <v>...</v>
      </c>
      <c r="E1315" s="2"/>
      <c r="F1315" s="3"/>
      <c r="G1315" s="2"/>
      <c r="H1315" s="4" t="str">
        <f>IF($N$40="Y","OR","...")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>
      <c r="A1316" s="1" t="str">
        <f>IF($O$40="Y",'Population Definitions'!$B$37,"...")</f>
        <v>...</v>
      </c>
      <c r="B1316" s="4" t="str">
        <f>IF($O$40="Y","---&gt;","...")</f>
        <v>...</v>
      </c>
      <c r="C1316" s="1" t="str">
        <f>IF($O$40="Y",'Population Definitions'!$B$15,"...")</f>
        <v>...</v>
      </c>
      <c r="E1316" s="2"/>
      <c r="F1316" s="3"/>
      <c r="G1316" s="2"/>
      <c r="H1316" s="4" t="str">
        <f>IF($O$40="Y","OR","...")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>
      <c r="A1317" s="1" t="str">
        <f>IF($P$40="Y",'Population Definitions'!$B$37,"...")</f>
        <v>...</v>
      </c>
      <c r="B1317" s="4" t="str">
        <f>IF($P$40="Y","---&gt;","...")</f>
        <v>...</v>
      </c>
      <c r="C1317" s="1" t="str">
        <f>IF($P$40="Y",'Population Definitions'!$B$16,"...")</f>
        <v>...</v>
      </c>
      <c r="E1317" s="2"/>
      <c r="F1317" s="3"/>
      <c r="G1317" s="2"/>
      <c r="H1317" s="4" t="str">
        <f>IF($P$40="Y","OR","...")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>
      <c r="A1318" s="1" t="str">
        <f>IF($Q$40="Y",'Population Definitions'!$B$37,"...")</f>
        <v>...</v>
      </c>
      <c r="B1318" s="4" t="str">
        <f>IF($Q$40="Y","---&gt;","...")</f>
        <v>...</v>
      </c>
      <c r="C1318" s="1" t="str">
        <f>IF($Q$40="Y",'Population Definitions'!$B$17,"...")</f>
        <v>...</v>
      </c>
      <c r="E1318" s="2"/>
      <c r="F1318" s="3"/>
      <c r="G1318" s="2"/>
      <c r="H1318" s="4" t="str">
        <f>IF($Q$40="Y","OR","...")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>
      <c r="A1319" s="1" t="str">
        <f>IF($R$40="Y",'Population Definitions'!$B$37,"...")</f>
        <v>...</v>
      </c>
      <c r="B1319" s="4" t="str">
        <f>IF($R$40="Y","---&gt;","...")</f>
        <v>...</v>
      </c>
      <c r="C1319" s="1" t="str">
        <f>IF($R$40="Y",'Population Definitions'!$B$18,"...")</f>
        <v>...</v>
      </c>
      <c r="E1319" s="2"/>
      <c r="F1319" s="3"/>
      <c r="G1319" s="2"/>
      <c r="H1319" s="4" t="str">
        <f>IF($R$40="Y","OR","...")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>
      <c r="A1320" s="1" t="str">
        <f>IF($S$40="Y",'Population Definitions'!$B$37,"...")</f>
        <v>...</v>
      </c>
      <c r="B1320" s="4" t="str">
        <f>IF($S$40="Y","---&gt;","...")</f>
        <v>...</v>
      </c>
      <c r="C1320" s="1" t="str">
        <f>IF($S$40="Y",'Population Definitions'!$B$19,"...")</f>
        <v>...</v>
      </c>
      <c r="E1320" s="2"/>
      <c r="F1320" s="3"/>
      <c r="G1320" s="2"/>
      <c r="H1320" s="4" t="str">
        <f>IF($S$40="Y","OR","...")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>
      <c r="A1321" s="1" t="str">
        <f>IF($T$40="Y",'Population Definitions'!$B$37,"...")</f>
        <v>...</v>
      </c>
      <c r="B1321" s="4" t="str">
        <f>IF($T$40="Y","---&gt;","...")</f>
        <v>...</v>
      </c>
      <c r="C1321" s="1" t="str">
        <f>IF($T$40="Y",'Population Definitions'!$B$20,"...")</f>
        <v>...</v>
      </c>
      <c r="E1321" s="2"/>
      <c r="F1321" s="3"/>
      <c r="G1321" s="2"/>
      <c r="H1321" s="4" t="str">
        <f>IF($T$40="Y","OR","...")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</row>
    <row r="1322" spans="1:100">
      <c r="A1322" s="1" t="str">
        <f>IF($U$40="Y",'Population Definitions'!$B$37,"...")</f>
        <v>...</v>
      </c>
      <c r="B1322" s="4" t="str">
        <f>IF($U$40="Y","---&gt;","...")</f>
        <v>...</v>
      </c>
      <c r="C1322" s="1" t="str">
        <f>IF($U$40="Y",'Population Definitions'!$B$21,"...")</f>
        <v>...</v>
      </c>
      <c r="E1322" s="2"/>
      <c r="F1322" s="3"/>
      <c r="G1322" s="2"/>
      <c r="H1322" s="4" t="str">
        <f>IF($U$40="Y","OR","...")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>
      <c r="A1323" s="1" t="str">
        <f>IF($V$40="Y",'Population Definitions'!$B$37,"...")</f>
        <v>...</v>
      </c>
      <c r="B1323" s="4" t="str">
        <f>IF($V$40="Y","---&gt;","...")</f>
        <v>...</v>
      </c>
      <c r="C1323" s="1" t="str">
        <f>IF($V$40="Y",'Population Definitions'!$B$22,"...")</f>
        <v>...</v>
      </c>
      <c r="E1323" s="2"/>
      <c r="F1323" s="3"/>
      <c r="G1323" s="2"/>
      <c r="H1323" s="4" t="str">
        <f>IF($V$40="Y","OR","...")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</row>
    <row r="1324" spans="1:100">
      <c r="A1324" s="1" t="str">
        <f>IF($W$40="Y",'Population Definitions'!$B$37,"...")</f>
        <v>...</v>
      </c>
      <c r="B1324" s="4" t="str">
        <f>IF($W$40="Y","---&gt;","...")</f>
        <v>...</v>
      </c>
      <c r="C1324" s="1" t="str">
        <f>IF($W$40="Y",'Population Definitions'!$B$23,"...")</f>
        <v>...</v>
      </c>
      <c r="E1324" s="2"/>
      <c r="F1324" s="3"/>
      <c r="G1324" s="2"/>
      <c r="H1324" s="4" t="str">
        <f>IF($W$40="Y","OR","...")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>
      <c r="A1325" s="1" t="str">
        <f>IF($X$40="Y",'Population Definitions'!$B$37,"...")</f>
        <v>...</v>
      </c>
      <c r="B1325" s="4" t="str">
        <f>IF($X$40="Y","---&gt;","...")</f>
        <v>...</v>
      </c>
      <c r="C1325" s="1" t="str">
        <f>IF($X$40="Y",'Population Definitions'!$B$24,"...")</f>
        <v>...</v>
      </c>
      <c r="E1325" s="2"/>
      <c r="F1325" s="3"/>
      <c r="G1325" s="2"/>
      <c r="H1325" s="4" t="str">
        <f>IF($X$40="Y","OR","...")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>
      <c r="A1326" s="1" t="str">
        <f>IF($Y$40="Y",'Population Definitions'!$B$37,"...")</f>
        <v>...</v>
      </c>
      <c r="B1326" s="4" t="str">
        <f>IF($Y$40="Y","---&gt;","...")</f>
        <v>...</v>
      </c>
      <c r="C1326" s="1" t="str">
        <f>IF($Y$40="Y",'Population Definitions'!$B$25,"...")</f>
        <v>...</v>
      </c>
      <c r="E1326" s="2"/>
      <c r="F1326" s="3"/>
      <c r="G1326" s="2"/>
      <c r="H1326" s="4" t="str">
        <f>IF($Y$40="Y","OR","...")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>
      <c r="A1327" s="1" t="str">
        <f>IF($Z$40="Y",'Population Definitions'!$B$37,"...")</f>
        <v>...</v>
      </c>
      <c r="B1327" s="4" t="str">
        <f>IF($Z$40="Y","---&gt;","...")</f>
        <v>...</v>
      </c>
      <c r="C1327" s="1" t="str">
        <f>IF($Z$40="Y",'Population Definitions'!$B$26,"...")</f>
        <v>...</v>
      </c>
      <c r="E1327" s="2"/>
      <c r="F1327" s="3"/>
      <c r="G1327" s="2"/>
      <c r="H1327" s="4" t="str">
        <f>IF($Z$40="Y","OR","...")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>
      <c r="A1328" s="1" t="str">
        <f>IF($AA$40="Y",'Population Definitions'!$B$37,"...")</f>
        <v>...</v>
      </c>
      <c r="B1328" s="4" t="str">
        <f>IF($AA$40="Y","---&gt;","...")</f>
        <v>...</v>
      </c>
      <c r="C1328" s="1" t="str">
        <f>IF($AA$40="Y",'Population Definitions'!$B$27,"...")</f>
        <v>...</v>
      </c>
      <c r="E1328" s="2"/>
      <c r="F1328" s="3"/>
      <c r="G1328" s="2"/>
      <c r="H1328" s="4" t="str">
        <f>IF($AA$40="Y","OR","...")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>
      <c r="A1329" s="1" t="str">
        <f>IF($AB$40="Y",'Population Definitions'!$B$37,"...")</f>
        <v>...</v>
      </c>
      <c r="B1329" s="4" t="str">
        <f>IF($AB$40="Y","---&gt;","...")</f>
        <v>...</v>
      </c>
      <c r="C1329" s="1" t="str">
        <f>IF($AB$40="Y",'Population Definitions'!$B$28,"...")</f>
        <v>...</v>
      </c>
      <c r="E1329" s="2"/>
      <c r="F1329" s="3"/>
      <c r="G1329" s="2"/>
      <c r="H1329" s="4" t="str">
        <f>IF($AB$40="Y","OR","...")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>
      <c r="A1330" s="1" t="str">
        <f>IF($AC$40="Y",'Population Definitions'!$B$37,"...")</f>
        <v>...</v>
      </c>
      <c r="B1330" s="4" t="str">
        <f>IF($AC$40="Y","---&gt;","...")</f>
        <v>...</v>
      </c>
      <c r="C1330" s="1" t="str">
        <f>IF($AC$40="Y",'Population Definitions'!$B$29,"...")</f>
        <v>...</v>
      </c>
      <c r="E1330" s="2"/>
      <c r="F1330" s="3"/>
      <c r="G1330" s="2"/>
      <c r="H1330" s="4" t="str">
        <f>IF($AC$40="Y","OR","...")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>
      <c r="A1331" s="1" t="str">
        <f>IF($AD$40="Y",'Population Definitions'!$B$37,"...")</f>
        <v>...</v>
      </c>
      <c r="B1331" s="4" t="str">
        <f>IF($AD$40="Y","---&gt;","...")</f>
        <v>...</v>
      </c>
      <c r="C1331" s="1" t="str">
        <f>IF($AD$40="Y",'Population Definitions'!$B$30,"...")</f>
        <v>...</v>
      </c>
      <c r="E1331" s="2"/>
      <c r="F1331" s="3"/>
      <c r="G1331" s="2"/>
      <c r="H1331" s="4" t="str">
        <f>IF($AD$40="Y","OR","...")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>
      <c r="A1332" s="1" t="str">
        <f>IF($AE$40="Y",'Population Definitions'!$B$37,"...")</f>
        <v>...</v>
      </c>
      <c r="B1332" s="4" t="str">
        <f>IF($AE$40="Y","---&gt;","...")</f>
        <v>...</v>
      </c>
      <c r="C1332" s="1" t="str">
        <f>IF($AE$40="Y",'Population Definitions'!$B$31,"...")</f>
        <v>...</v>
      </c>
      <c r="E1332" s="2"/>
      <c r="F1332" s="3"/>
      <c r="G1332" s="2"/>
      <c r="H1332" s="4" t="str">
        <f>IF($AE$40="Y","OR","...")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</row>
    <row r="1333" spans="1:100">
      <c r="A1333" s="1" t="str">
        <f>IF($AF$40="Y",'Population Definitions'!$B$37,"...")</f>
        <v>...</v>
      </c>
      <c r="B1333" s="4" t="str">
        <f>IF($AF$40="Y","---&gt;","...")</f>
        <v>...</v>
      </c>
      <c r="C1333" s="1" t="str">
        <f>IF($AF$40="Y",'Population Definitions'!$B$32,"...")</f>
        <v>...</v>
      </c>
      <c r="E1333" s="2"/>
      <c r="F1333" s="3"/>
      <c r="G1333" s="2"/>
      <c r="H1333" s="4" t="str">
        <f>IF($AF$40="Y","OR","...")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>
      <c r="A1334" s="1" t="str">
        <f>IF($AG$40="Y",'Population Definitions'!$B$37,"...")</f>
        <v>...</v>
      </c>
      <c r="B1334" s="4" t="str">
        <f>IF($AG$40="Y","---&gt;","...")</f>
        <v>...</v>
      </c>
      <c r="C1334" s="1" t="str">
        <f>IF($AG$40="Y",'Population Definitions'!$B$33,"...")</f>
        <v>...</v>
      </c>
      <c r="E1334" s="2"/>
      <c r="F1334" s="3"/>
      <c r="G1334" s="2"/>
      <c r="H1334" s="4" t="str">
        <f>IF($AG$40="Y","OR","...")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>
      <c r="A1335" s="1" t="str">
        <f>IF($AH$40="Y",'Population Definitions'!$B$37,"...")</f>
        <v>...</v>
      </c>
      <c r="B1335" s="4" t="str">
        <f>IF($AH$40="Y","---&gt;","...")</f>
        <v>...</v>
      </c>
      <c r="C1335" s="1" t="str">
        <f>IF($AH$40="Y",'Population Definitions'!$B$34,"...")</f>
        <v>...</v>
      </c>
      <c r="E1335" s="2"/>
      <c r="F1335" s="3"/>
      <c r="G1335" s="2"/>
      <c r="H1335" s="4" t="str">
        <f>IF($AH$40="Y","OR","...")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>
      <c r="A1336" s="1" t="str">
        <f>IF($AI$40="Y",'Population Definitions'!$B$37,"...")</f>
        <v>...</v>
      </c>
      <c r="B1336" s="4" t="str">
        <f>IF($AI$40="Y","---&gt;","...")</f>
        <v>...</v>
      </c>
      <c r="C1336" s="1" t="str">
        <f>IF($AI$40="Y",'Population Definitions'!$B$35,"...")</f>
        <v>...</v>
      </c>
      <c r="E1336" s="2"/>
      <c r="F1336" s="3"/>
      <c r="G1336" s="2"/>
      <c r="H1336" s="4" t="str">
        <f>IF($AI$40="Y","OR","...")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>
      <c r="A1337" s="1" t="str">
        <f>IF($AJ$40="Y",'Population Definitions'!$B$37,"...")</f>
        <v>...</v>
      </c>
      <c r="B1337" s="4" t="str">
        <f>IF($AJ$40="Y","---&gt;","...")</f>
        <v>...</v>
      </c>
      <c r="C1337" s="1" t="str">
        <f>IF($AJ$40="Y",'Population Definitions'!$B$36,"...")</f>
        <v>...</v>
      </c>
      <c r="E1337" s="2"/>
      <c r="F1337" s="3"/>
      <c r="G1337" s="2"/>
      <c r="H1337" s="4" t="str">
        <f>IF($AJ$40="Y","OR","...")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>
      <c r="A1338" s="1" t="str">
        <f>IF($AK$40="Y",'Population Definitions'!$B$37,"...")</f>
        <v>...</v>
      </c>
      <c r="B1338" s="4" t="str">
        <f>IF($AK$40="Y","---&gt;","...")</f>
        <v>...</v>
      </c>
      <c r="C1338" s="1" t="str">
        <f>IF($AK$40="Y",'Population Definitions'!$B$37,"...")</f>
        <v>...</v>
      </c>
      <c r="E1338" s="2"/>
      <c r="F1338" s="3"/>
      <c r="G1338" s="2"/>
      <c r="H1338" s="4" t="str">
        <f>IF($AK$40="Y","OR","...")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</sheetData>
  <conditionalFormatting sqref="AA10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AA11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AA12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AA13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AA14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AA15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AA16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AA17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AA18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AA19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AA20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AA21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AA22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AA2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AA24">
    <cfRule type="cellIs" dxfId="2" priority="1379" operator="equal">
      <formula>"Y"</formula>
    </cfRule>
    <cfRule type="cellIs" dxfId="3" priority="1380" operator="equal">
      <formula>"N"</formula>
    </cfRule>
  </conditionalFormatting>
  <conditionalFormatting sqref="AA25">
    <cfRule type="cellIs" dxfId="2" priority="1449" operator="equal">
      <formula>"Y"</formula>
    </cfRule>
    <cfRule type="cellIs" dxfId="3" priority="1450" operator="equal">
      <formula>"N"</formula>
    </cfRule>
  </conditionalFormatting>
  <conditionalFormatting sqref="AA26">
    <cfRule type="cellIs" dxfId="2" priority="1519" operator="equal">
      <formula>"Y"</formula>
    </cfRule>
    <cfRule type="cellIs" dxfId="3" priority="1520" operator="equal">
      <formula>"N"</formula>
    </cfRule>
  </conditionalFormatting>
  <conditionalFormatting sqref="AA27">
    <cfRule type="cellIs" dxfId="2" priority="1589" operator="equal">
      <formula>"Y"</formula>
    </cfRule>
    <cfRule type="cellIs" dxfId="3" priority="1590" operator="equal">
      <formula>"N"</formula>
    </cfRule>
  </conditionalFormatting>
  <conditionalFormatting sqref="AA28">
    <cfRule type="cellIs" dxfId="2" priority="1659" operator="equal">
      <formula>"Y"</formula>
    </cfRule>
    <cfRule type="cellIs" dxfId="3" priority="1660" operator="equal">
      <formula>"N"</formula>
    </cfRule>
  </conditionalFormatting>
  <conditionalFormatting sqref="AA29">
    <cfRule type="cellIs" dxfId="2" priority="1729" operator="equal">
      <formula>"Y"</formula>
    </cfRule>
    <cfRule type="cellIs" dxfId="3" priority="1730" operator="equal">
      <formula>"N"</formula>
    </cfRule>
  </conditionalFormatting>
  <conditionalFormatting sqref="AA31">
    <cfRule type="cellIs" dxfId="2" priority="1871" operator="equal">
      <formula>"Y"</formula>
    </cfRule>
    <cfRule type="cellIs" dxfId="3" priority="1872" operator="equal">
      <formula>"N"</formula>
    </cfRule>
  </conditionalFormatting>
  <conditionalFormatting sqref="AA32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AA3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AA34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AA35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AA36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AA37">
    <cfRule type="cellIs" dxfId="2" priority="2291" operator="equal">
      <formula>"Y"</formula>
    </cfRule>
    <cfRule type="cellIs" dxfId="3" priority="2292" operator="equal">
      <formula>"N"</formula>
    </cfRule>
  </conditionalFormatting>
  <conditionalFormatting sqref="AA38">
    <cfRule type="cellIs" dxfId="2" priority="2361" operator="equal">
      <formula>"Y"</formula>
    </cfRule>
    <cfRule type="cellIs" dxfId="3" priority="2362" operator="equal">
      <formula>"N"</formula>
    </cfRule>
  </conditionalFormatting>
  <conditionalFormatting sqref="AA39">
    <cfRule type="cellIs" dxfId="2" priority="2431" operator="equal">
      <formula>"Y"</formula>
    </cfRule>
    <cfRule type="cellIs" dxfId="3" priority="2432" operator="equal">
      <formula>"N"</formula>
    </cfRule>
  </conditionalFormatting>
  <conditionalFormatting sqref="AA40">
    <cfRule type="cellIs" dxfId="2" priority="2501" operator="equal">
      <formula>"Y"</formula>
    </cfRule>
    <cfRule type="cellIs" dxfId="3" priority="2502" operator="equal">
      <formula>"N"</formula>
    </cfRule>
  </conditionalFormatting>
  <conditionalFormatting sqref="AA5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AA6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AA7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AA8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AA9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AB10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AB11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AB12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AB13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AB14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AB15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AB16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AB17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AB18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AB19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AB20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AB21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AB22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AB2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AB24">
    <cfRule type="cellIs" dxfId="2" priority="1381" operator="equal">
      <formula>"Y"</formula>
    </cfRule>
    <cfRule type="cellIs" dxfId="3" priority="1382" operator="equal">
      <formula>"N"</formula>
    </cfRule>
  </conditionalFormatting>
  <conditionalFormatting sqref="AB25">
    <cfRule type="cellIs" dxfId="2" priority="1451" operator="equal">
      <formula>"Y"</formula>
    </cfRule>
    <cfRule type="cellIs" dxfId="3" priority="1452" operator="equal">
      <formula>"N"</formula>
    </cfRule>
  </conditionalFormatting>
  <conditionalFormatting sqref="AB26">
    <cfRule type="cellIs" dxfId="2" priority="1521" operator="equal">
      <formula>"Y"</formula>
    </cfRule>
    <cfRule type="cellIs" dxfId="3" priority="1522" operator="equal">
      <formula>"N"</formula>
    </cfRule>
  </conditionalFormatting>
  <conditionalFormatting sqref="AB27">
    <cfRule type="cellIs" dxfId="2" priority="1591" operator="equal">
      <formula>"Y"</formula>
    </cfRule>
    <cfRule type="cellIs" dxfId="3" priority="1592" operator="equal">
      <formula>"N"</formula>
    </cfRule>
  </conditionalFormatting>
  <conditionalFormatting sqref="AB28">
    <cfRule type="cellIs" dxfId="2" priority="1661" operator="equal">
      <formula>"Y"</formula>
    </cfRule>
    <cfRule type="cellIs" dxfId="3" priority="1662" operator="equal">
      <formula>"N"</formula>
    </cfRule>
  </conditionalFormatting>
  <conditionalFormatting sqref="AB29">
    <cfRule type="cellIs" dxfId="2" priority="1731" operator="equal">
      <formula>"Y"</formula>
    </cfRule>
    <cfRule type="cellIs" dxfId="3" priority="1732" operator="equal">
      <formula>"N"</formula>
    </cfRule>
  </conditionalFormatting>
  <conditionalFormatting sqref="AB30">
    <cfRule type="cellIs" dxfId="2" priority="1801" operator="equal">
      <formula>"Y"</formula>
    </cfRule>
    <cfRule type="cellIs" dxfId="3" priority="1802" operator="equal">
      <formula>"N"</formula>
    </cfRule>
  </conditionalFormatting>
  <conditionalFormatting sqref="AB32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AB3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AB34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AB35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AB36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AB37">
    <cfRule type="cellIs" dxfId="2" priority="2293" operator="equal">
      <formula>"Y"</formula>
    </cfRule>
    <cfRule type="cellIs" dxfId="3" priority="2294" operator="equal">
      <formula>"N"</formula>
    </cfRule>
  </conditionalFormatting>
  <conditionalFormatting sqref="AB38">
    <cfRule type="cellIs" dxfId="2" priority="2363" operator="equal">
      <formula>"Y"</formula>
    </cfRule>
    <cfRule type="cellIs" dxfId="3" priority="2364" operator="equal">
      <formula>"N"</formula>
    </cfRule>
  </conditionalFormatting>
  <conditionalFormatting sqref="AB39">
    <cfRule type="cellIs" dxfId="2" priority="2433" operator="equal">
      <formula>"Y"</formula>
    </cfRule>
    <cfRule type="cellIs" dxfId="3" priority="2434" operator="equal">
      <formula>"N"</formula>
    </cfRule>
  </conditionalFormatting>
  <conditionalFormatting sqref="AB40">
    <cfRule type="cellIs" dxfId="2" priority="2503" operator="equal">
      <formula>"Y"</formula>
    </cfRule>
    <cfRule type="cellIs" dxfId="3" priority="2504" operator="equal">
      <formula>"N"</formula>
    </cfRule>
  </conditionalFormatting>
  <conditionalFormatting sqref="AB5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AB6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AB7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AB8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AB9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AC10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AC11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AC12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AC13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AC14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AC15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AC16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AC17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AC18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AC19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AC20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AC21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AC22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AC2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AC24">
    <cfRule type="cellIs" dxfId="2" priority="1383" operator="equal">
      <formula>"Y"</formula>
    </cfRule>
    <cfRule type="cellIs" dxfId="3" priority="1384" operator="equal">
      <formula>"N"</formula>
    </cfRule>
  </conditionalFormatting>
  <conditionalFormatting sqref="AC25">
    <cfRule type="cellIs" dxfId="2" priority="1453" operator="equal">
      <formula>"Y"</formula>
    </cfRule>
    <cfRule type="cellIs" dxfId="3" priority="1454" operator="equal">
      <formula>"N"</formula>
    </cfRule>
  </conditionalFormatting>
  <conditionalFormatting sqref="AC26">
    <cfRule type="cellIs" dxfId="2" priority="1523" operator="equal">
      <formula>"Y"</formula>
    </cfRule>
    <cfRule type="cellIs" dxfId="3" priority="1524" operator="equal">
      <formula>"N"</formula>
    </cfRule>
  </conditionalFormatting>
  <conditionalFormatting sqref="AC27">
    <cfRule type="cellIs" dxfId="2" priority="1593" operator="equal">
      <formula>"Y"</formula>
    </cfRule>
    <cfRule type="cellIs" dxfId="3" priority="1594" operator="equal">
      <formula>"N"</formula>
    </cfRule>
  </conditionalFormatting>
  <conditionalFormatting sqref="AC28">
    <cfRule type="cellIs" dxfId="2" priority="1663" operator="equal">
      <formula>"Y"</formula>
    </cfRule>
    <cfRule type="cellIs" dxfId="3" priority="1664" operator="equal">
      <formula>"N"</formula>
    </cfRule>
  </conditionalFormatting>
  <conditionalFormatting sqref="AC29">
    <cfRule type="cellIs" dxfId="2" priority="1733" operator="equal">
      <formula>"Y"</formula>
    </cfRule>
    <cfRule type="cellIs" dxfId="3" priority="1734" operator="equal">
      <formula>"N"</formula>
    </cfRule>
  </conditionalFormatting>
  <conditionalFormatting sqref="AC30">
    <cfRule type="cellIs" dxfId="2" priority="1803" operator="equal">
      <formula>"Y"</formula>
    </cfRule>
    <cfRule type="cellIs" dxfId="3" priority="1804" operator="equal">
      <formula>"N"</formula>
    </cfRule>
  </conditionalFormatting>
  <conditionalFormatting sqref="AC31">
    <cfRule type="cellIs" dxfId="2" priority="1873" operator="equal">
      <formula>"Y"</formula>
    </cfRule>
    <cfRule type="cellIs" dxfId="3" priority="1874" operator="equal">
      <formula>"N"</formula>
    </cfRule>
  </conditionalFormatting>
  <conditionalFormatting sqref="AC3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AC34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AC35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AC36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AC37">
    <cfRule type="cellIs" dxfId="2" priority="2295" operator="equal">
      <formula>"Y"</formula>
    </cfRule>
    <cfRule type="cellIs" dxfId="3" priority="2296" operator="equal">
      <formula>"N"</formula>
    </cfRule>
  </conditionalFormatting>
  <conditionalFormatting sqref="AC38">
    <cfRule type="cellIs" dxfId="2" priority="2365" operator="equal">
      <formula>"Y"</formula>
    </cfRule>
    <cfRule type="cellIs" dxfId="3" priority="2366" operator="equal">
      <formula>"N"</formula>
    </cfRule>
  </conditionalFormatting>
  <conditionalFormatting sqref="AC39">
    <cfRule type="cellIs" dxfId="2" priority="2435" operator="equal">
      <formula>"Y"</formula>
    </cfRule>
    <cfRule type="cellIs" dxfId="3" priority="2436" operator="equal">
      <formula>"N"</formula>
    </cfRule>
  </conditionalFormatting>
  <conditionalFormatting sqref="AC40">
    <cfRule type="cellIs" dxfId="2" priority="2505" operator="equal">
      <formula>"Y"</formula>
    </cfRule>
    <cfRule type="cellIs" dxfId="3" priority="2506" operator="equal">
      <formula>"N"</formula>
    </cfRule>
  </conditionalFormatting>
  <conditionalFormatting sqref="AC5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AC6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AC7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AC8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AC9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AD10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AD11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AD12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AD13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AD14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AD15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AD16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AD17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AD18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AD19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AD20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AD21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AD22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AD2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AD24">
    <cfRule type="cellIs" dxfId="2" priority="1385" operator="equal">
      <formula>"Y"</formula>
    </cfRule>
    <cfRule type="cellIs" dxfId="3" priority="1386" operator="equal">
      <formula>"N"</formula>
    </cfRule>
  </conditionalFormatting>
  <conditionalFormatting sqref="AD25">
    <cfRule type="cellIs" dxfId="2" priority="1455" operator="equal">
      <formula>"Y"</formula>
    </cfRule>
    <cfRule type="cellIs" dxfId="3" priority="1456" operator="equal">
      <formula>"N"</formula>
    </cfRule>
  </conditionalFormatting>
  <conditionalFormatting sqref="AD26">
    <cfRule type="cellIs" dxfId="2" priority="1525" operator="equal">
      <formula>"Y"</formula>
    </cfRule>
    <cfRule type="cellIs" dxfId="3" priority="1526" operator="equal">
      <formula>"N"</formula>
    </cfRule>
  </conditionalFormatting>
  <conditionalFormatting sqref="AD27">
    <cfRule type="cellIs" dxfId="2" priority="1595" operator="equal">
      <formula>"Y"</formula>
    </cfRule>
    <cfRule type="cellIs" dxfId="3" priority="1596" operator="equal">
      <formula>"N"</formula>
    </cfRule>
  </conditionalFormatting>
  <conditionalFormatting sqref="AD28">
    <cfRule type="cellIs" dxfId="2" priority="1665" operator="equal">
      <formula>"Y"</formula>
    </cfRule>
    <cfRule type="cellIs" dxfId="3" priority="1666" operator="equal">
      <formula>"N"</formula>
    </cfRule>
  </conditionalFormatting>
  <conditionalFormatting sqref="AD29">
    <cfRule type="cellIs" dxfId="2" priority="1735" operator="equal">
      <formula>"Y"</formula>
    </cfRule>
    <cfRule type="cellIs" dxfId="3" priority="1736" operator="equal">
      <formula>"N"</formula>
    </cfRule>
  </conditionalFormatting>
  <conditionalFormatting sqref="AD30">
    <cfRule type="cellIs" dxfId="2" priority="1805" operator="equal">
      <formula>"Y"</formula>
    </cfRule>
    <cfRule type="cellIs" dxfId="3" priority="1806" operator="equal">
      <formula>"N"</formula>
    </cfRule>
  </conditionalFormatting>
  <conditionalFormatting sqref="AD31">
    <cfRule type="cellIs" dxfId="2" priority="1875" operator="equal">
      <formula>"Y"</formula>
    </cfRule>
    <cfRule type="cellIs" dxfId="3" priority="1876" operator="equal">
      <formula>"N"</formula>
    </cfRule>
  </conditionalFormatting>
  <conditionalFormatting sqref="AD32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AD34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AD35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AD36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AD37">
    <cfRule type="cellIs" dxfId="2" priority="2297" operator="equal">
      <formula>"Y"</formula>
    </cfRule>
    <cfRule type="cellIs" dxfId="3" priority="2298" operator="equal">
      <formula>"N"</formula>
    </cfRule>
  </conditionalFormatting>
  <conditionalFormatting sqref="AD38">
    <cfRule type="cellIs" dxfId="2" priority="2367" operator="equal">
      <formula>"Y"</formula>
    </cfRule>
    <cfRule type="cellIs" dxfId="3" priority="2368" operator="equal">
      <formula>"N"</formula>
    </cfRule>
  </conditionalFormatting>
  <conditionalFormatting sqref="AD39">
    <cfRule type="cellIs" dxfId="2" priority="2437" operator="equal">
      <formula>"Y"</formula>
    </cfRule>
    <cfRule type="cellIs" dxfId="3" priority="2438" operator="equal">
      <formula>"N"</formula>
    </cfRule>
  </conditionalFormatting>
  <conditionalFormatting sqref="AD40">
    <cfRule type="cellIs" dxfId="2" priority="2507" operator="equal">
      <formula>"Y"</formula>
    </cfRule>
    <cfRule type="cellIs" dxfId="3" priority="2508" operator="equal">
      <formula>"N"</formula>
    </cfRule>
  </conditionalFormatting>
  <conditionalFormatting sqref="AD5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AD6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AD7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AD8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AD9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AE10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AE11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AE12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AE13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AE14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AE15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AE16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AE17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AE18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AE19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AE20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AE21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AE22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AE23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AE24">
    <cfRule type="cellIs" dxfId="2" priority="1387" operator="equal">
      <formula>"Y"</formula>
    </cfRule>
    <cfRule type="cellIs" dxfId="3" priority="1388" operator="equal">
      <formula>"N"</formula>
    </cfRule>
  </conditionalFormatting>
  <conditionalFormatting sqref="AE25">
    <cfRule type="cellIs" dxfId="2" priority="1457" operator="equal">
      <formula>"Y"</formula>
    </cfRule>
    <cfRule type="cellIs" dxfId="3" priority="1458" operator="equal">
      <formula>"N"</formula>
    </cfRule>
  </conditionalFormatting>
  <conditionalFormatting sqref="AE26">
    <cfRule type="cellIs" dxfId="2" priority="1527" operator="equal">
      <formula>"Y"</formula>
    </cfRule>
    <cfRule type="cellIs" dxfId="3" priority="1528" operator="equal">
      <formula>"N"</formula>
    </cfRule>
  </conditionalFormatting>
  <conditionalFormatting sqref="AE27">
    <cfRule type="cellIs" dxfId="2" priority="1597" operator="equal">
      <formula>"Y"</formula>
    </cfRule>
    <cfRule type="cellIs" dxfId="3" priority="1598" operator="equal">
      <formula>"N"</formula>
    </cfRule>
  </conditionalFormatting>
  <conditionalFormatting sqref="AE28">
    <cfRule type="cellIs" dxfId="2" priority="1667" operator="equal">
      <formula>"Y"</formula>
    </cfRule>
    <cfRule type="cellIs" dxfId="3" priority="1668" operator="equal">
      <formula>"N"</formula>
    </cfRule>
  </conditionalFormatting>
  <conditionalFormatting sqref="AE29">
    <cfRule type="cellIs" dxfId="2" priority="1737" operator="equal">
      <formula>"Y"</formula>
    </cfRule>
    <cfRule type="cellIs" dxfId="3" priority="1738" operator="equal">
      <formula>"N"</formula>
    </cfRule>
  </conditionalFormatting>
  <conditionalFormatting sqref="AE30">
    <cfRule type="cellIs" dxfId="2" priority="1807" operator="equal">
      <formula>"Y"</formula>
    </cfRule>
    <cfRule type="cellIs" dxfId="3" priority="1808" operator="equal">
      <formula>"N"</formula>
    </cfRule>
  </conditionalFormatting>
  <conditionalFormatting sqref="AE31">
    <cfRule type="cellIs" dxfId="2" priority="1877" operator="equal">
      <formula>"Y"</formula>
    </cfRule>
    <cfRule type="cellIs" dxfId="3" priority="1878" operator="equal">
      <formula>"N"</formula>
    </cfRule>
  </conditionalFormatting>
  <conditionalFormatting sqref="AE32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AE3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AE35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AE36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AE37">
    <cfRule type="cellIs" dxfId="2" priority="2299" operator="equal">
      <formula>"Y"</formula>
    </cfRule>
    <cfRule type="cellIs" dxfId="3" priority="2300" operator="equal">
      <formula>"N"</formula>
    </cfRule>
  </conditionalFormatting>
  <conditionalFormatting sqref="AE38">
    <cfRule type="cellIs" dxfId="2" priority="2369" operator="equal">
      <formula>"Y"</formula>
    </cfRule>
    <cfRule type="cellIs" dxfId="3" priority="2370" operator="equal">
      <formula>"N"</formula>
    </cfRule>
  </conditionalFormatting>
  <conditionalFormatting sqref="AE39">
    <cfRule type="cellIs" dxfId="2" priority="2439" operator="equal">
      <formula>"Y"</formula>
    </cfRule>
    <cfRule type="cellIs" dxfId="3" priority="2440" operator="equal">
      <formula>"N"</formula>
    </cfRule>
  </conditionalFormatting>
  <conditionalFormatting sqref="AE40">
    <cfRule type="cellIs" dxfId="2" priority="2509" operator="equal">
      <formula>"Y"</formula>
    </cfRule>
    <cfRule type="cellIs" dxfId="3" priority="2510" operator="equal">
      <formula>"N"</formula>
    </cfRule>
  </conditionalFormatting>
  <conditionalFormatting sqref="AE5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AE6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AE7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AE8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AE9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AF10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AF11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AF12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AF13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AF14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AF15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AF16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AF17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AF18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AF19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AF20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AF21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AF22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AF23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AF24">
    <cfRule type="cellIs" dxfId="2" priority="1389" operator="equal">
      <formula>"Y"</formula>
    </cfRule>
    <cfRule type="cellIs" dxfId="3" priority="1390" operator="equal">
      <formula>"N"</formula>
    </cfRule>
  </conditionalFormatting>
  <conditionalFormatting sqref="AF25">
    <cfRule type="cellIs" dxfId="2" priority="1459" operator="equal">
      <formula>"Y"</formula>
    </cfRule>
    <cfRule type="cellIs" dxfId="3" priority="1460" operator="equal">
      <formula>"N"</formula>
    </cfRule>
  </conditionalFormatting>
  <conditionalFormatting sqref="AF26">
    <cfRule type="cellIs" dxfId="2" priority="1529" operator="equal">
      <formula>"Y"</formula>
    </cfRule>
    <cfRule type="cellIs" dxfId="3" priority="1530" operator="equal">
      <formula>"N"</formula>
    </cfRule>
  </conditionalFormatting>
  <conditionalFormatting sqref="AF27">
    <cfRule type="cellIs" dxfId="2" priority="1599" operator="equal">
      <formula>"Y"</formula>
    </cfRule>
    <cfRule type="cellIs" dxfId="3" priority="1600" operator="equal">
      <formula>"N"</formula>
    </cfRule>
  </conditionalFormatting>
  <conditionalFormatting sqref="AF28">
    <cfRule type="cellIs" dxfId="2" priority="1669" operator="equal">
      <formula>"Y"</formula>
    </cfRule>
    <cfRule type="cellIs" dxfId="3" priority="1670" operator="equal">
      <formula>"N"</formula>
    </cfRule>
  </conditionalFormatting>
  <conditionalFormatting sqref="AF29">
    <cfRule type="cellIs" dxfId="2" priority="1739" operator="equal">
      <formula>"Y"</formula>
    </cfRule>
    <cfRule type="cellIs" dxfId="3" priority="1740" operator="equal">
      <formula>"N"</formula>
    </cfRule>
  </conditionalFormatting>
  <conditionalFormatting sqref="AF30">
    <cfRule type="cellIs" dxfId="2" priority="1809" operator="equal">
      <formula>"Y"</formula>
    </cfRule>
    <cfRule type="cellIs" dxfId="3" priority="1810" operator="equal">
      <formula>"N"</formula>
    </cfRule>
  </conditionalFormatting>
  <conditionalFormatting sqref="AF31">
    <cfRule type="cellIs" dxfId="2" priority="1879" operator="equal">
      <formula>"Y"</formula>
    </cfRule>
    <cfRule type="cellIs" dxfId="3" priority="1880" operator="equal">
      <formula>"N"</formula>
    </cfRule>
  </conditionalFormatting>
  <conditionalFormatting sqref="AF32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AF3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AF34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AF36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AF37">
    <cfRule type="cellIs" dxfId="2" priority="2301" operator="equal">
      <formula>"Y"</formula>
    </cfRule>
    <cfRule type="cellIs" dxfId="3" priority="2302" operator="equal">
      <formula>"N"</formula>
    </cfRule>
  </conditionalFormatting>
  <conditionalFormatting sqref="AF38">
    <cfRule type="cellIs" dxfId="2" priority="2371" operator="equal">
      <formula>"Y"</formula>
    </cfRule>
    <cfRule type="cellIs" dxfId="3" priority="2372" operator="equal">
      <formula>"N"</formula>
    </cfRule>
  </conditionalFormatting>
  <conditionalFormatting sqref="AF39">
    <cfRule type="cellIs" dxfId="2" priority="2441" operator="equal">
      <formula>"Y"</formula>
    </cfRule>
    <cfRule type="cellIs" dxfId="3" priority="2442" operator="equal">
      <formula>"N"</formula>
    </cfRule>
  </conditionalFormatting>
  <conditionalFormatting sqref="AF40">
    <cfRule type="cellIs" dxfId="2" priority="2511" operator="equal">
      <formula>"Y"</formula>
    </cfRule>
    <cfRule type="cellIs" dxfId="3" priority="2512" operator="equal">
      <formula>"N"</formula>
    </cfRule>
  </conditionalFormatting>
  <conditionalFormatting sqref="AF5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AF6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AF7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AF8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AF9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AG10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AG11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AG12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AG13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AG14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AG15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AG16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AG17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AG18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AG19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AG20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AG21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AG22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AG23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AG24">
    <cfRule type="cellIs" dxfId="2" priority="1391" operator="equal">
      <formula>"Y"</formula>
    </cfRule>
    <cfRule type="cellIs" dxfId="3" priority="1392" operator="equal">
      <formula>"N"</formula>
    </cfRule>
  </conditionalFormatting>
  <conditionalFormatting sqref="AG25">
    <cfRule type="cellIs" dxfId="2" priority="1461" operator="equal">
      <formula>"Y"</formula>
    </cfRule>
    <cfRule type="cellIs" dxfId="3" priority="1462" operator="equal">
      <formula>"N"</formula>
    </cfRule>
  </conditionalFormatting>
  <conditionalFormatting sqref="AG26">
    <cfRule type="cellIs" dxfId="2" priority="1531" operator="equal">
      <formula>"Y"</formula>
    </cfRule>
    <cfRule type="cellIs" dxfId="3" priority="1532" operator="equal">
      <formula>"N"</formula>
    </cfRule>
  </conditionalFormatting>
  <conditionalFormatting sqref="AG27">
    <cfRule type="cellIs" dxfId="2" priority="1601" operator="equal">
      <formula>"Y"</formula>
    </cfRule>
    <cfRule type="cellIs" dxfId="3" priority="1602" operator="equal">
      <formula>"N"</formula>
    </cfRule>
  </conditionalFormatting>
  <conditionalFormatting sqref="AG28">
    <cfRule type="cellIs" dxfId="2" priority="1671" operator="equal">
      <formula>"Y"</formula>
    </cfRule>
    <cfRule type="cellIs" dxfId="3" priority="1672" operator="equal">
      <formula>"N"</formula>
    </cfRule>
  </conditionalFormatting>
  <conditionalFormatting sqref="AG29">
    <cfRule type="cellIs" dxfId="2" priority="1741" operator="equal">
      <formula>"Y"</formula>
    </cfRule>
    <cfRule type="cellIs" dxfId="3" priority="1742" operator="equal">
      <formula>"N"</formula>
    </cfRule>
  </conditionalFormatting>
  <conditionalFormatting sqref="AG30">
    <cfRule type="cellIs" dxfId="2" priority="1811" operator="equal">
      <formula>"Y"</formula>
    </cfRule>
    <cfRule type="cellIs" dxfId="3" priority="1812" operator="equal">
      <formula>"N"</formula>
    </cfRule>
  </conditionalFormatting>
  <conditionalFormatting sqref="AG31">
    <cfRule type="cellIs" dxfId="2" priority="1881" operator="equal">
      <formula>"Y"</formula>
    </cfRule>
    <cfRule type="cellIs" dxfId="3" priority="1882" operator="equal">
      <formula>"N"</formula>
    </cfRule>
  </conditionalFormatting>
  <conditionalFormatting sqref="AG32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AG3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AG34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AG35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AG37">
    <cfRule type="cellIs" dxfId="2" priority="2303" operator="equal">
      <formula>"Y"</formula>
    </cfRule>
    <cfRule type="cellIs" dxfId="3" priority="2304" operator="equal">
      <formula>"N"</formula>
    </cfRule>
  </conditionalFormatting>
  <conditionalFormatting sqref="AG38">
    <cfRule type="cellIs" dxfId="2" priority="2373" operator="equal">
      <formula>"Y"</formula>
    </cfRule>
    <cfRule type="cellIs" dxfId="3" priority="2374" operator="equal">
      <formula>"N"</formula>
    </cfRule>
  </conditionalFormatting>
  <conditionalFormatting sqref="AG39">
    <cfRule type="cellIs" dxfId="2" priority="2443" operator="equal">
      <formula>"Y"</formula>
    </cfRule>
    <cfRule type="cellIs" dxfId="3" priority="2444" operator="equal">
      <formula>"N"</formula>
    </cfRule>
  </conditionalFormatting>
  <conditionalFormatting sqref="AG40">
    <cfRule type="cellIs" dxfId="2" priority="2513" operator="equal">
      <formula>"Y"</formula>
    </cfRule>
    <cfRule type="cellIs" dxfId="3" priority="2514" operator="equal">
      <formula>"N"</formula>
    </cfRule>
  </conditionalFormatting>
  <conditionalFormatting sqref="AG5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AG6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AG7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AG8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AG9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AH10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AH11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AH12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AH13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AH14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AH15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AH16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AH17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AH18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AH19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AH20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AH21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AH22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AH23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AH24">
    <cfRule type="cellIs" dxfId="2" priority="1393" operator="equal">
      <formula>"Y"</formula>
    </cfRule>
    <cfRule type="cellIs" dxfId="3" priority="1394" operator="equal">
      <formula>"N"</formula>
    </cfRule>
  </conditionalFormatting>
  <conditionalFormatting sqref="AH25">
    <cfRule type="cellIs" dxfId="2" priority="1463" operator="equal">
      <formula>"Y"</formula>
    </cfRule>
    <cfRule type="cellIs" dxfId="3" priority="1464" operator="equal">
      <formula>"N"</formula>
    </cfRule>
  </conditionalFormatting>
  <conditionalFormatting sqref="AH26">
    <cfRule type="cellIs" dxfId="2" priority="1533" operator="equal">
      <formula>"Y"</formula>
    </cfRule>
    <cfRule type="cellIs" dxfId="3" priority="1534" operator="equal">
      <formula>"N"</formula>
    </cfRule>
  </conditionalFormatting>
  <conditionalFormatting sqref="AH27">
    <cfRule type="cellIs" dxfId="2" priority="1603" operator="equal">
      <formula>"Y"</formula>
    </cfRule>
    <cfRule type="cellIs" dxfId="3" priority="1604" operator="equal">
      <formula>"N"</formula>
    </cfRule>
  </conditionalFormatting>
  <conditionalFormatting sqref="AH28">
    <cfRule type="cellIs" dxfId="2" priority="1673" operator="equal">
      <formula>"Y"</formula>
    </cfRule>
    <cfRule type="cellIs" dxfId="3" priority="1674" operator="equal">
      <formula>"N"</formula>
    </cfRule>
  </conditionalFormatting>
  <conditionalFormatting sqref="AH29">
    <cfRule type="cellIs" dxfId="2" priority="1743" operator="equal">
      <formula>"Y"</formula>
    </cfRule>
    <cfRule type="cellIs" dxfId="3" priority="1744" operator="equal">
      <formula>"N"</formula>
    </cfRule>
  </conditionalFormatting>
  <conditionalFormatting sqref="AH30">
    <cfRule type="cellIs" dxfId="2" priority="1813" operator="equal">
      <formula>"Y"</formula>
    </cfRule>
    <cfRule type="cellIs" dxfId="3" priority="1814" operator="equal">
      <formula>"N"</formula>
    </cfRule>
  </conditionalFormatting>
  <conditionalFormatting sqref="AH31">
    <cfRule type="cellIs" dxfId="2" priority="1883" operator="equal">
      <formula>"Y"</formula>
    </cfRule>
    <cfRule type="cellIs" dxfId="3" priority="1884" operator="equal">
      <formula>"N"</formula>
    </cfRule>
  </conditionalFormatting>
  <conditionalFormatting sqref="AH32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AH3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AH34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AH35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AH36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AH38">
    <cfRule type="cellIs" dxfId="2" priority="2375" operator="equal">
      <formula>"Y"</formula>
    </cfRule>
    <cfRule type="cellIs" dxfId="3" priority="2376" operator="equal">
      <formula>"N"</formula>
    </cfRule>
  </conditionalFormatting>
  <conditionalFormatting sqref="AH39">
    <cfRule type="cellIs" dxfId="2" priority="2445" operator="equal">
      <formula>"Y"</formula>
    </cfRule>
    <cfRule type="cellIs" dxfId="3" priority="2446" operator="equal">
      <formula>"N"</formula>
    </cfRule>
  </conditionalFormatting>
  <conditionalFormatting sqref="AH40">
    <cfRule type="cellIs" dxfId="2" priority="2515" operator="equal">
      <formula>"Y"</formula>
    </cfRule>
    <cfRule type="cellIs" dxfId="3" priority="2516" operator="equal">
      <formula>"N"</formula>
    </cfRule>
  </conditionalFormatting>
  <conditionalFormatting sqref="AH5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AH6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AH7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AH8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AH9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AI10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AI11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AI12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AI13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AI14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AI15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AI16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AI17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AI18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AI19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AI20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AI21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AI22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AI23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AI24">
    <cfRule type="cellIs" dxfId="2" priority="1395" operator="equal">
      <formula>"Y"</formula>
    </cfRule>
    <cfRule type="cellIs" dxfId="3" priority="1396" operator="equal">
      <formula>"N"</formula>
    </cfRule>
  </conditionalFormatting>
  <conditionalFormatting sqref="AI25">
    <cfRule type="cellIs" dxfId="2" priority="1465" operator="equal">
      <formula>"Y"</formula>
    </cfRule>
    <cfRule type="cellIs" dxfId="3" priority="1466" operator="equal">
      <formula>"N"</formula>
    </cfRule>
  </conditionalFormatting>
  <conditionalFormatting sqref="AI26">
    <cfRule type="cellIs" dxfId="2" priority="1535" operator="equal">
      <formula>"Y"</formula>
    </cfRule>
    <cfRule type="cellIs" dxfId="3" priority="1536" operator="equal">
      <formula>"N"</formula>
    </cfRule>
  </conditionalFormatting>
  <conditionalFormatting sqref="AI27">
    <cfRule type="cellIs" dxfId="2" priority="1605" operator="equal">
      <formula>"Y"</formula>
    </cfRule>
    <cfRule type="cellIs" dxfId="3" priority="1606" operator="equal">
      <formula>"N"</formula>
    </cfRule>
  </conditionalFormatting>
  <conditionalFormatting sqref="AI28">
    <cfRule type="cellIs" dxfId="2" priority="1675" operator="equal">
      <formula>"Y"</formula>
    </cfRule>
    <cfRule type="cellIs" dxfId="3" priority="1676" operator="equal">
      <formula>"N"</formula>
    </cfRule>
  </conditionalFormatting>
  <conditionalFormatting sqref="AI29">
    <cfRule type="cellIs" dxfId="2" priority="1745" operator="equal">
      <formula>"Y"</formula>
    </cfRule>
    <cfRule type="cellIs" dxfId="3" priority="1746" operator="equal">
      <formula>"N"</formula>
    </cfRule>
  </conditionalFormatting>
  <conditionalFormatting sqref="AI30">
    <cfRule type="cellIs" dxfId="2" priority="1815" operator="equal">
      <formula>"Y"</formula>
    </cfRule>
    <cfRule type="cellIs" dxfId="3" priority="1816" operator="equal">
      <formula>"N"</formula>
    </cfRule>
  </conditionalFormatting>
  <conditionalFormatting sqref="AI31">
    <cfRule type="cellIs" dxfId="2" priority="1885" operator="equal">
      <formula>"Y"</formula>
    </cfRule>
    <cfRule type="cellIs" dxfId="3" priority="1886" operator="equal">
      <formula>"N"</formula>
    </cfRule>
  </conditionalFormatting>
  <conditionalFormatting sqref="AI32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AI3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AI34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AI35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AI36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AI37">
    <cfRule type="cellIs" dxfId="2" priority="2305" operator="equal">
      <formula>"Y"</formula>
    </cfRule>
    <cfRule type="cellIs" dxfId="3" priority="2306" operator="equal">
      <formula>"N"</formula>
    </cfRule>
  </conditionalFormatting>
  <conditionalFormatting sqref="AI39">
    <cfRule type="cellIs" dxfId="2" priority="2447" operator="equal">
      <formula>"Y"</formula>
    </cfRule>
    <cfRule type="cellIs" dxfId="3" priority="2448" operator="equal">
      <formula>"N"</formula>
    </cfRule>
  </conditionalFormatting>
  <conditionalFormatting sqref="AI40">
    <cfRule type="cellIs" dxfId="2" priority="2517" operator="equal">
      <formula>"Y"</formula>
    </cfRule>
    <cfRule type="cellIs" dxfId="3" priority="2518" operator="equal">
      <formula>"N"</formula>
    </cfRule>
  </conditionalFormatting>
  <conditionalFormatting sqref="AI5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AI6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AI7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AI8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AI9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AJ10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AJ11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AJ12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AJ13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AJ14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AJ15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AJ16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AJ17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AJ18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AJ19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AJ20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AJ2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AJ22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AJ23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AJ24">
    <cfRule type="cellIs" dxfId="2" priority="1397" operator="equal">
      <formula>"Y"</formula>
    </cfRule>
    <cfRule type="cellIs" dxfId="3" priority="1398" operator="equal">
      <formula>"N"</formula>
    </cfRule>
  </conditionalFormatting>
  <conditionalFormatting sqref="AJ25">
    <cfRule type="cellIs" dxfId="2" priority="1467" operator="equal">
      <formula>"Y"</formula>
    </cfRule>
    <cfRule type="cellIs" dxfId="3" priority="1468" operator="equal">
      <formula>"N"</formula>
    </cfRule>
  </conditionalFormatting>
  <conditionalFormatting sqref="AJ26">
    <cfRule type="cellIs" dxfId="2" priority="1537" operator="equal">
      <formula>"Y"</formula>
    </cfRule>
    <cfRule type="cellIs" dxfId="3" priority="1538" operator="equal">
      <formula>"N"</formula>
    </cfRule>
  </conditionalFormatting>
  <conditionalFormatting sqref="AJ27">
    <cfRule type="cellIs" dxfId="2" priority="1607" operator="equal">
      <formula>"Y"</formula>
    </cfRule>
    <cfRule type="cellIs" dxfId="3" priority="1608" operator="equal">
      <formula>"N"</formula>
    </cfRule>
  </conditionalFormatting>
  <conditionalFormatting sqref="AJ28">
    <cfRule type="cellIs" dxfId="2" priority="1677" operator="equal">
      <formula>"Y"</formula>
    </cfRule>
    <cfRule type="cellIs" dxfId="3" priority="1678" operator="equal">
      <formula>"N"</formula>
    </cfRule>
  </conditionalFormatting>
  <conditionalFormatting sqref="AJ29">
    <cfRule type="cellIs" dxfId="2" priority="1747" operator="equal">
      <formula>"Y"</formula>
    </cfRule>
    <cfRule type="cellIs" dxfId="3" priority="1748" operator="equal">
      <formula>"N"</formula>
    </cfRule>
  </conditionalFormatting>
  <conditionalFormatting sqref="AJ30">
    <cfRule type="cellIs" dxfId="2" priority="1817" operator="equal">
      <formula>"Y"</formula>
    </cfRule>
    <cfRule type="cellIs" dxfId="3" priority="1818" operator="equal">
      <formula>"N"</formula>
    </cfRule>
  </conditionalFormatting>
  <conditionalFormatting sqref="AJ31">
    <cfRule type="cellIs" dxfId="2" priority="1887" operator="equal">
      <formula>"Y"</formula>
    </cfRule>
    <cfRule type="cellIs" dxfId="3" priority="1888" operator="equal">
      <formula>"N"</formula>
    </cfRule>
  </conditionalFormatting>
  <conditionalFormatting sqref="AJ32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AJ3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AJ34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AJ35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AJ36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AJ37">
    <cfRule type="cellIs" dxfId="2" priority="2307" operator="equal">
      <formula>"Y"</formula>
    </cfRule>
    <cfRule type="cellIs" dxfId="3" priority="2308" operator="equal">
      <formula>"N"</formula>
    </cfRule>
  </conditionalFormatting>
  <conditionalFormatting sqref="AJ38">
    <cfRule type="cellIs" dxfId="2" priority="2377" operator="equal">
      <formula>"Y"</formula>
    </cfRule>
    <cfRule type="cellIs" dxfId="3" priority="2378" operator="equal">
      <formula>"N"</formula>
    </cfRule>
  </conditionalFormatting>
  <conditionalFormatting sqref="AJ40">
    <cfRule type="cellIs" dxfId="2" priority="2519" operator="equal">
      <formula>"Y"</formula>
    </cfRule>
    <cfRule type="cellIs" dxfId="3" priority="2520" operator="equal">
      <formula>"N"</formula>
    </cfRule>
  </conditionalFormatting>
  <conditionalFormatting sqref="AJ5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AJ6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AJ7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AJ8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AJ9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AK10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AK11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AK12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AK13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AK14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AK15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AK16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AK17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AK18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AK19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AK20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AK2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AK22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AK23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AK24">
    <cfRule type="cellIs" dxfId="2" priority="1399" operator="equal">
      <formula>"Y"</formula>
    </cfRule>
    <cfRule type="cellIs" dxfId="3" priority="1400" operator="equal">
      <formula>"N"</formula>
    </cfRule>
  </conditionalFormatting>
  <conditionalFormatting sqref="AK25">
    <cfRule type="cellIs" dxfId="2" priority="1469" operator="equal">
      <formula>"Y"</formula>
    </cfRule>
    <cfRule type="cellIs" dxfId="3" priority="1470" operator="equal">
      <formula>"N"</formula>
    </cfRule>
  </conditionalFormatting>
  <conditionalFormatting sqref="AK26">
    <cfRule type="cellIs" dxfId="2" priority="1539" operator="equal">
      <formula>"Y"</formula>
    </cfRule>
    <cfRule type="cellIs" dxfId="3" priority="1540" operator="equal">
      <formula>"N"</formula>
    </cfRule>
  </conditionalFormatting>
  <conditionalFormatting sqref="AK27">
    <cfRule type="cellIs" dxfId="2" priority="1609" operator="equal">
      <formula>"Y"</formula>
    </cfRule>
    <cfRule type="cellIs" dxfId="3" priority="1610" operator="equal">
      <formula>"N"</formula>
    </cfRule>
  </conditionalFormatting>
  <conditionalFormatting sqref="AK28">
    <cfRule type="cellIs" dxfId="2" priority="1679" operator="equal">
      <formula>"Y"</formula>
    </cfRule>
    <cfRule type="cellIs" dxfId="3" priority="1680" operator="equal">
      <formula>"N"</formula>
    </cfRule>
  </conditionalFormatting>
  <conditionalFormatting sqref="AK29">
    <cfRule type="cellIs" dxfId="2" priority="1749" operator="equal">
      <formula>"Y"</formula>
    </cfRule>
    <cfRule type="cellIs" dxfId="3" priority="1750" operator="equal">
      <formula>"N"</formula>
    </cfRule>
  </conditionalFormatting>
  <conditionalFormatting sqref="AK30">
    <cfRule type="cellIs" dxfId="2" priority="1819" operator="equal">
      <formula>"Y"</formula>
    </cfRule>
    <cfRule type="cellIs" dxfId="3" priority="1820" operator="equal">
      <formula>"N"</formula>
    </cfRule>
  </conditionalFormatting>
  <conditionalFormatting sqref="AK31">
    <cfRule type="cellIs" dxfId="2" priority="1889" operator="equal">
      <formula>"Y"</formula>
    </cfRule>
    <cfRule type="cellIs" dxfId="3" priority="1890" operator="equal">
      <formula>"N"</formula>
    </cfRule>
  </conditionalFormatting>
  <conditionalFormatting sqref="AK32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AK3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AK34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AK35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AK36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AK37">
    <cfRule type="cellIs" dxfId="2" priority="2309" operator="equal">
      <formula>"Y"</formula>
    </cfRule>
    <cfRule type="cellIs" dxfId="3" priority="2310" operator="equal">
      <formula>"N"</formula>
    </cfRule>
  </conditionalFormatting>
  <conditionalFormatting sqref="AK38">
    <cfRule type="cellIs" dxfId="2" priority="2379" operator="equal">
      <formula>"Y"</formula>
    </cfRule>
    <cfRule type="cellIs" dxfId="3" priority="2380" operator="equal">
      <formula>"N"</formula>
    </cfRule>
  </conditionalFormatting>
  <conditionalFormatting sqref="AK39">
    <cfRule type="cellIs" dxfId="2" priority="2449" operator="equal">
      <formula>"Y"</formula>
    </cfRule>
    <cfRule type="cellIs" dxfId="3" priority="2450" operator="equal">
      <formula>"N"</formula>
    </cfRule>
  </conditionalFormatting>
  <conditionalFormatting sqref="AK5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AK6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AK7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AK8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AK9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B10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B11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B12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B13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B14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B15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B16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B17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B18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B19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0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B21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B2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B25">
    <cfRule type="cellIs" dxfId="2" priority="1401" operator="equal">
      <formula>"Y"</formula>
    </cfRule>
    <cfRule type="cellIs" dxfId="3" priority="1402" operator="equal">
      <formula>"N"</formula>
    </cfRule>
  </conditionalFormatting>
  <conditionalFormatting sqref="B26">
    <cfRule type="cellIs" dxfId="2" priority="1471" operator="equal">
      <formula>"Y"</formula>
    </cfRule>
    <cfRule type="cellIs" dxfId="3" priority="1472" operator="equal">
      <formula>"N"</formula>
    </cfRule>
  </conditionalFormatting>
  <conditionalFormatting sqref="B27">
    <cfRule type="cellIs" dxfId="2" priority="1541" operator="equal">
      <formula>"Y"</formula>
    </cfRule>
    <cfRule type="cellIs" dxfId="3" priority="1542" operator="equal">
      <formula>"N"</formula>
    </cfRule>
  </conditionalFormatting>
  <conditionalFormatting sqref="B28">
    <cfRule type="cellIs" dxfId="2" priority="1611" operator="equal">
      <formula>"Y"</formula>
    </cfRule>
    <cfRule type="cellIs" dxfId="3" priority="1612" operator="equal">
      <formula>"N"</formula>
    </cfRule>
  </conditionalFormatting>
  <conditionalFormatting sqref="B29">
    <cfRule type="cellIs" dxfId="2" priority="1681" operator="equal">
      <formula>"Y"</formula>
    </cfRule>
    <cfRule type="cellIs" dxfId="3" priority="1682" operator="equal">
      <formula>"N"</formula>
    </cfRule>
  </conditionalFormatting>
  <conditionalFormatting sqref="B30">
    <cfRule type="cellIs" dxfId="2" priority="1751" operator="equal">
      <formula>"Y"</formula>
    </cfRule>
    <cfRule type="cellIs" dxfId="3" priority="1752" operator="equal">
      <formula>"N"</formula>
    </cfRule>
  </conditionalFormatting>
  <conditionalFormatting sqref="B31">
    <cfRule type="cellIs" dxfId="2" priority="1821" operator="equal">
      <formula>"Y"</formula>
    </cfRule>
    <cfRule type="cellIs" dxfId="3" priority="1822" operator="equal">
      <formula>"N"</formula>
    </cfRule>
  </conditionalFormatting>
  <conditionalFormatting sqref="B32">
    <cfRule type="cellIs" dxfId="2" priority="1891" operator="equal">
      <formula>"Y"</formula>
    </cfRule>
    <cfRule type="cellIs" dxfId="3" priority="1892" operator="equal">
      <formula>"N"</formula>
    </cfRule>
  </conditionalFormatting>
  <conditionalFormatting sqref="B33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B34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B35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B36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B37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B38">
    <cfRule type="cellIs" dxfId="2" priority="2311" operator="equal">
      <formula>"Y"</formula>
    </cfRule>
    <cfRule type="cellIs" dxfId="3" priority="2312" operator="equal">
      <formula>"N"</formula>
    </cfRule>
  </conditionalFormatting>
  <conditionalFormatting sqref="B39">
    <cfRule type="cellIs" dxfId="2" priority="2381" operator="equal">
      <formula>"Y"</formula>
    </cfRule>
    <cfRule type="cellIs" dxfId="3" priority="2382" operator="equal">
      <formula>"N"</formula>
    </cfRule>
  </conditionalFormatting>
  <conditionalFormatting sqref="B40">
    <cfRule type="cellIs" dxfId="2" priority="2451" operator="equal">
      <formula>"Y"</formula>
    </cfRule>
    <cfRule type="cellIs" dxfId="3" priority="2452" operator="equal">
      <formula>"N"</formula>
    </cfRule>
  </conditionalFormatting>
  <conditionalFormatting sqref="B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B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8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B9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C10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C11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C12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C13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C14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C15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C16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C17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C18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C19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0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C21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C2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C25">
    <cfRule type="cellIs" dxfId="2" priority="1403" operator="equal">
      <formula>"Y"</formula>
    </cfRule>
    <cfRule type="cellIs" dxfId="3" priority="1404" operator="equal">
      <formula>"N"</formula>
    </cfRule>
  </conditionalFormatting>
  <conditionalFormatting sqref="C26">
    <cfRule type="cellIs" dxfId="2" priority="1473" operator="equal">
      <formula>"Y"</formula>
    </cfRule>
    <cfRule type="cellIs" dxfId="3" priority="1474" operator="equal">
      <formula>"N"</formula>
    </cfRule>
  </conditionalFormatting>
  <conditionalFormatting sqref="C27">
    <cfRule type="cellIs" dxfId="2" priority="1543" operator="equal">
      <formula>"Y"</formula>
    </cfRule>
    <cfRule type="cellIs" dxfId="3" priority="1544" operator="equal">
      <formula>"N"</formula>
    </cfRule>
  </conditionalFormatting>
  <conditionalFormatting sqref="C28">
    <cfRule type="cellIs" dxfId="2" priority="1613" operator="equal">
      <formula>"Y"</formula>
    </cfRule>
    <cfRule type="cellIs" dxfId="3" priority="1614" operator="equal">
      <formula>"N"</formula>
    </cfRule>
  </conditionalFormatting>
  <conditionalFormatting sqref="C29">
    <cfRule type="cellIs" dxfId="2" priority="1683" operator="equal">
      <formula>"Y"</formula>
    </cfRule>
    <cfRule type="cellIs" dxfId="3" priority="1684" operator="equal">
      <formula>"N"</formula>
    </cfRule>
  </conditionalFormatting>
  <conditionalFormatting sqref="C30">
    <cfRule type="cellIs" dxfId="2" priority="1753" operator="equal">
      <formula>"Y"</formula>
    </cfRule>
    <cfRule type="cellIs" dxfId="3" priority="1754" operator="equal">
      <formula>"N"</formula>
    </cfRule>
  </conditionalFormatting>
  <conditionalFormatting sqref="C31">
    <cfRule type="cellIs" dxfId="2" priority="1823" operator="equal">
      <formula>"Y"</formula>
    </cfRule>
    <cfRule type="cellIs" dxfId="3" priority="1824" operator="equal">
      <formula>"N"</formula>
    </cfRule>
  </conditionalFormatting>
  <conditionalFormatting sqref="C32">
    <cfRule type="cellIs" dxfId="2" priority="1893" operator="equal">
      <formula>"Y"</formula>
    </cfRule>
    <cfRule type="cellIs" dxfId="3" priority="1894" operator="equal">
      <formula>"N"</formula>
    </cfRule>
  </conditionalFormatting>
  <conditionalFormatting sqref="C33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C34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C35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C36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C37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C38">
    <cfRule type="cellIs" dxfId="2" priority="2313" operator="equal">
      <formula>"Y"</formula>
    </cfRule>
    <cfRule type="cellIs" dxfId="3" priority="2314" operator="equal">
      <formula>"N"</formula>
    </cfRule>
  </conditionalFormatting>
  <conditionalFormatting sqref="C39">
    <cfRule type="cellIs" dxfId="2" priority="2383" operator="equal">
      <formula>"Y"</formula>
    </cfRule>
    <cfRule type="cellIs" dxfId="3" priority="2384" operator="equal">
      <formula>"N"</formula>
    </cfRule>
  </conditionalFormatting>
  <conditionalFormatting sqref="C40">
    <cfRule type="cellIs" dxfId="2" priority="2453" operator="equal">
      <formula>"Y"</formula>
    </cfRule>
    <cfRule type="cellIs" dxfId="3" priority="2454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8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C9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D10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D1000:CV1000">
    <cfRule type="expression" dxfId="4" priority="5394">
      <formula>$W$31&lt;&gt;"Y"</formula>
    </cfRule>
  </conditionalFormatting>
  <conditionalFormatting sqref="D1001:CV1001">
    <cfRule type="expression" dxfId="4" priority="5397">
      <formula>$X$31&lt;&gt;"Y"</formula>
    </cfRule>
  </conditionalFormatting>
  <conditionalFormatting sqref="D1002:CV1002">
    <cfRule type="expression" dxfId="4" priority="5400">
      <formula>$Y$31&lt;&gt;"Y"</formula>
    </cfRule>
  </conditionalFormatting>
  <conditionalFormatting sqref="D1003:CV1003">
    <cfRule type="expression" dxfId="4" priority="5403">
      <formula>$Z$31&lt;&gt;"Y"</formula>
    </cfRule>
  </conditionalFormatting>
  <conditionalFormatting sqref="D1004:CV1004">
    <cfRule type="expression" dxfId="4" priority="5406">
      <formula>$AA$31&lt;&gt;"Y"</formula>
    </cfRule>
  </conditionalFormatting>
  <conditionalFormatting sqref="D1005:CV1005">
    <cfRule type="expression" dxfId="4" priority="5409">
      <formula>$AB$31&lt;&gt;"Y"</formula>
    </cfRule>
  </conditionalFormatting>
  <conditionalFormatting sqref="D1006:CV1006">
    <cfRule type="expression" dxfId="4" priority="5412">
      <formula>$AC$31&lt;&gt;"Y"</formula>
    </cfRule>
  </conditionalFormatting>
  <conditionalFormatting sqref="D1007:CV1007">
    <cfRule type="expression" dxfId="4" priority="5415">
      <formula>$AD$31&lt;&gt;"Y"</formula>
    </cfRule>
  </conditionalFormatting>
  <conditionalFormatting sqref="D1008:CV1008">
    <cfRule type="expression" dxfId="4" priority="5418">
      <formula>$AE$31&lt;&gt;"Y"</formula>
    </cfRule>
  </conditionalFormatting>
  <conditionalFormatting sqref="D1009:CV1009">
    <cfRule type="expression" dxfId="4" priority="5421">
      <formula>$AF$31&lt;&gt;"Y"</formula>
    </cfRule>
  </conditionalFormatting>
  <conditionalFormatting sqref="D100:CV100">
    <cfRule type="expression" dxfId="4" priority="2694">
      <formula>$W$6&lt;&gt;"Y"</formula>
    </cfRule>
  </conditionalFormatting>
  <conditionalFormatting sqref="D1010:CV1010">
    <cfRule type="expression" dxfId="4" priority="5424">
      <formula>$AG$31&lt;&gt;"Y"</formula>
    </cfRule>
  </conditionalFormatting>
  <conditionalFormatting sqref="D1011:CV1011">
    <cfRule type="expression" dxfId="4" priority="5427">
      <formula>$AH$31&lt;&gt;"Y"</formula>
    </cfRule>
  </conditionalFormatting>
  <conditionalFormatting sqref="D1012:CV1012">
    <cfRule type="expression" dxfId="4" priority="5430">
      <formula>$AI$31&lt;&gt;"Y"</formula>
    </cfRule>
  </conditionalFormatting>
  <conditionalFormatting sqref="D1013:CV1013">
    <cfRule type="expression" dxfId="4" priority="5433">
      <formula>$AJ$31&lt;&gt;"Y"</formula>
    </cfRule>
  </conditionalFormatting>
  <conditionalFormatting sqref="D1014:CV1014">
    <cfRule type="expression" dxfId="4" priority="5436">
      <formula>$AK$31&lt;&gt;"Y"</formula>
    </cfRule>
  </conditionalFormatting>
  <conditionalFormatting sqref="D1015:CV1015">
    <cfRule type="expression" dxfId="4" priority="5439">
      <formula>$B$32&lt;&gt;"Y"</formula>
    </cfRule>
  </conditionalFormatting>
  <conditionalFormatting sqref="D1016:CV1016">
    <cfRule type="expression" dxfId="4" priority="5442">
      <formula>$C$32&lt;&gt;"Y"</formula>
    </cfRule>
  </conditionalFormatting>
  <conditionalFormatting sqref="D1017:CV1017">
    <cfRule type="expression" dxfId="4" priority="5445">
      <formula>$D$32&lt;&gt;"Y"</formula>
    </cfRule>
  </conditionalFormatting>
  <conditionalFormatting sqref="D1018:CV1018">
    <cfRule type="expression" dxfId="4" priority="5448">
      <formula>$E$32&lt;&gt;"Y"</formula>
    </cfRule>
  </conditionalFormatting>
  <conditionalFormatting sqref="D1019:CV1019">
    <cfRule type="expression" dxfId="4" priority="5451">
      <formula>$F$32&lt;&gt;"Y"</formula>
    </cfRule>
  </conditionalFormatting>
  <conditionalFormatting sqref="D101:CV101">
    <cfRule type="expression" dxfId="4" priority="2697">
      <formula>$X$6&lt;&gt;"Y"</formula>
    </cfRule>
  </conditionalFormatting>
  <conditionalFormatting sqref="D1020:CV1020">
    <cfRule type="expression" dxfId="4" priority="5454">
      <formula>$G$32&lt;&gt;"Y"</formula>
    </cfRule>
  </conditionalFormatting>
  <conditionalFormatting sqref="D1021:CV1021">
    <cfRule type="expression" dxfId="4" priority="5457">
      <formula>$H$32&lt;&gt;"Y"</formula>
    </cfRule>
  </conditionalFormatting>
  <conditionalFormatting sqref="D1022:CV1022">
    <cfRule type="expression" dxfId="4" priority="5460">
      <formula>$I$32&lt;&gt;"Y"</formula>
    </cfRule>
  </conditionalFormatting>
  <conditionalFormatting sqref="D1023:CV1023">
    <cfRule type="expression" dxfId="4" priority="5463">
      <formula>$J$32&lt;&gt;"Y"</formula>
    </cfRule>
  </conditionalFormatting>
  <conditionalFormatting sqref="D1024:CV1024">
    <cfRule type="expression" dxfId="4" priority="5466">
      <formula>$K$32&lt;&gt;"Y"</formula>
    </cfRule>
  </conditionalFormatting>
  <conditionalFormatting sqref="D1025:CV1025">
    <cfRule type="expression" dxfId="4" priority="5469">
      <formula>$L$32&lt;&gt;"Y"</formula>
    </cfRule>
  </conditionalFormatting>
  <conditionalFormatting sqref="D1026:CV1026">
    <cfRule type="expression" dxfId="4" priority="5472">
      <formula>$M$32&lt;&gt;"Y"</formula>
    </cfRule>
  </conditionalFormatting>
  <conditionalFormatting sqref="D1027:CV1027">
    <cfRule type="expression" dxfId="4" priority="5475">
      <formula>$N$32&lt;&gt;"Y"</formula>
    </cfRule>
  </conditionalFormatting>
  <conditionalFormatting sqref="D1028:CV1028">
    <cfRule type="expression" dxfId="4" priority="5478">
      <formula>$O$32&lt;&gt;"Y"</formula>
    </cfRule>
  </conditionalFormatting>
  <conditionalFormatting sqref="D1029:CV1029">
    <cfRule type="expression" dxfId="4" priority="5481">
      <formula>$P$32&lt;&gt;"Y"</formula>
    </cfRule>
  </conditionalFormatting>
  <conditionalFormatting sqref="D102:CV102">
    <cfRule type="expression" dxfId="4" priority="2700">
      <formula>$Y$6&lt;&gt;"Y"</formula>
    </cfRule>
  </conditionalFormatting>
  <conditionalFormatting sqref="D1030:CV1030">
    <cfRule type="expression" dxfId="4" priority="5484">
      <formula>$Q$32&lt;&gt;"Y"</formula>
    </cfRule>
  </conditionalFormatting>
  <conditionalFormatting sqref="D1031:CV1031">
    <cfRule type="expression" dxfId="4" priority="5487">
      <formula>$R$32&lt;&gt;"Y"</formula>
    </cfRule>
  </conditionalFormatting>
  <conditionalFormatting sqref="D1032:CV1032">
    <cfRule type="expression" dxfId="4" priority="5490">
      <formula>$S$32&lt;&gt;"Y"</formula>
    </cfRule>
  </conditionalFormatting>
  <conditionalFormatting sqref="D1033:CV1033">
    <cfRule type="expression" dxfId="4" priority="5493">
      <formula>$T$32&lt;&gt;"Y"</formula>
    </cfRule>
  </conditionalFormatting>
  <conditionalFormatting sqref="D1034:CV1034">
    <cfRule type="expression" dxfId="4" priority="5496">
      <formula>$U$32&lt;&gt;"Y"</formula>
    </cfRule>
  </conditionalFormatting>
  <conditionalFormatting sqref="D1035:CV1035">
    <cfRule type="expression" dxfId="4" priority="5499">
      <formula>$V$32&lt;&gt;"Y"</formula>
    </cfRule>
  </conditionalFormatting>
  <conditionalFormatting sqref="D1036:CV1036">
    <cfRule type="expression" dxfId="4" priority="5502">
      <formula>$W$32&lt;&gt;"Y"</formula>
    </cfRule>
  </conditionalFormatting>
  <conditionalFormatting sqref="D1037:CV1037">
    <cfRule type="expression" dxfId="4" priority="5505">
      <formula>$X$32&lt;&gt;"Y"</formula>
    </cfRule>
  </conditionalFormatting>
  <conditionalFormatting sqref="D1038:CV1038">
    <cfRule type="expression" dxfId="4" priority="5508">
      <formula>$Y$32&lt;&gt;"Y"</formula>
    </cfRule>
  </conditionalFormatting>
  <conditionalFormatting sqref="D1039:CV1039">
    <cfRule type="expression" dxfId="4" priority="5511">
      <formula>$Z$32&lt;&gt;"Y"</formula>
    </cfRule>
  </conditionalFormatting>
  <conditionalFormatting sqref="D103:CV103">
    <cfRule type="expression" dxfId="4" priority="2703">
      <formula>$Z$6&lt;&gt;"Y"</formula>
    </cfRule>
  </conditionalFormatting>
  <conditionalFormatting sqref="D1040:CV1040">
    <cfRule type="expression" dxfId="4" priority="5514">
      <formula>$AA$32&lt;&gt;"Y"</formula>
    </cfRule>
  </conditionalFormatting>
  <conditionalFormatting sqref="D1041:CV1041">
    <cfRule type="expression" dxfId="4" priority="5517">
      <formula>$AB$32&lt;&gt;"Y"</formula>
    </cfRule>
  </conditionalFormatting>
  <conditionalFormatting sqref="D1042:CV1042">
    <cfRule type="expression" dxfId="4" priority="5520">
      <formula>$AC$32&lt;&gt;"Y"</formula>
    </cfRule>
  </conditionalFormatting>
  <conditionalFormatting sqref="D1043:CV1043">
    <cfRule type="expression" dxfId="4" priority="5523">
      <formula>$AD$32&lt;&gt;"Y"</formula>
    </cfRule>
  </conditionalFormatting>
  <conditionalFormatting sqref="D1044:CV1044">
    <cfRule type="expression" dxfId="4" priority="5526">
      <formula>$AE$32&lt;&gt;"Y"</formula>
    </cfRule>
  </conditionalFormatting>
  <conditionalFormatting sqref="D1045:CV1045">
    <cfRule type="expression" dxfId="4" priority="5529">
      <formula>$AF$32&lt;&gt;"Y"</formula>
    </cfRule>
  </conditionalFormatting>
  <conditionalFormatting sqref="D1046:CV1046">
    <cfRule type="expression" dxfId="4" priority="5532">
      <formula>$AG$32&lt;&gt;"Y"</formula>
    </cfRule>
  </conditionalFormatting>
  <conditionalFormatting sqref="D1047:CV1047">
    <cfRule type="expression" dxfId="4" priority="5535">
      <formula>$AH$32&lt;&gt;"Y"</formula>
    </cfRule>
  </conditionalFormatting>
  <conditionalFormatting sqref="D1048:CV1048">
    <cfRule type="expression" dxfId="4" priority="5538">
      <formula>$AI$32&lt;&gt;"Y"</formula>
    </cfRule>
  </conditionalFormatting>
  <conditionalFormatting sqref="D1049:CV1049">
    <cfRule type="expression" dxfId="4" priority="5541">
      <formula>$AJ$32&lt;&gt;"Y"</formula>
    </cfRule>
  </conditionalFormatting>
  <conditionalFormatting sqref="D104:CV104">
    <cfRule type="expression" dxfId="4" priority="2706">
      <formula>$AA$6&lt;&gt;"Y"</formula>
    </cfRule>
  </conditionalFormatting>
  <conditionalFormatting sqref="D1050:CV1050">
    <cfRule type="expression" dxfId="4" priority="5544">
      <formula>$AK$32&lt;&gt;"Y"</formula>
    </cfRule>
  </conditionalFormatting>
  <conditionalFormatting sqref="D1051:CV1051">
    <cfRule type="expression" dxfId="4" priority="5547">
      <formula>$B$33&lt;&gt;"Y"</formula>
    </cfRule>
  </conditionalFormatting>
  <conditionalFormatting sqref="D1052:CV1052">
    <cfRule type="expression" dxfId="4" priority="5550">
      <formula>$C$33&lt;&gt;"Y"</formula>
    </cfRule>
  </conditionalFormatting>
  <conditionalFormatting sqref="D1053:CV1053">
    <cfRule type="expression" dxfId="4" priority="5553">
      <formula>$D$33&lt;&gt;"Y"</formula>
    </cfRule>
  </conditionalFormatting>
  <conditionalFormatting sqref="D1054:CV1054">
    <cfRule type="expression" dxfId="4" priority="5556">
      <formula>$E$33&lt;&gt;"Y"</formula>
    </cfRule>
  </conditionalFormatting>
  <conditionalFormatting sqref="D1055:CV1055">
    <cfRule type="expression" dxfId="4" priority="5559">
      <formula>$F$33&lt;&gt;"Y"</formula>
    </cfRule>
  </conditionalFormatting>
  <conditionalFormatting sqref="D1056:CV1056">
    <cfRule type="expression" dxfId="4" priority="5562">
      <formula>$G$33&lt;&gt;"Y"</formula>
    </cfRule>
  </conditionalFormatting>
  <conditionalFormatting sqref="D1057:CV1057">
    <cfRule type="expression" dxfId="4" priority="5565">
      <formula>$H$33&lt;&gt;"Y"</formula>
    </cfRule>
  </conditionalFormatting>
  <conditionalFormatting sqref="D1058:CV1058">
    <cfRule type="expression" dxfId="4" priority="5568">
      <formula>$I$33&lt;&gt;"Y"</formula>
    </cfRule>
  </conditionalFormatting>
  <conditionalFormatting sqref="D1059:CV1059">
    <cfRule type="expression" dxfId="4" priority="5571">
      <formula>$J$33&lt;&gt;"Y"</formula>
    </cfRule>
  </conditionalFormatting>
  <conditionalFormatting sqref="D105:CV105">
    <cfRule type="expression" dxfId="4" priority="2709">
      <formula>$AB$6&lt;&gt;"Y"</formula>
    </cfRule>
  </conditionalFormatting>
  <conditionalFormatting sqref="D1060:CV1060">
    <cfRule type="expression" dxfId="4" priority="5574">
      <formula>$K$33&lt;&gt;"Y"</formula>
    </cfRule>
  </conditionalFormatting>
  <conditionalFormatting sqref="D1061:CV1061">
    <cfRule type="expression" dxfId="4" priority="5577">
      <formula>$L$33&lt;&gt;"Y"</formula>
    </cfRule>
  </conditionalFormatting>
  <conditionalFormatting sqref="D1062:CV1062">
    <cfRule type="expression" dxfId="4" priority="5580">
      <formula>$M$33&lt;&gt;"Y"</formula>
    </cfRule>
  </conditionalFormatting>
  <conditionalFormatting sqref="D1063:CV1063">
    <cfRule type="expression" dxfId="4" priority="5583">
      <formula>$N$33&lt;&gt;"Y"</formula>
    </cfRule>
  </conditionalFormatting>
  <conditionalFormatting sqref="D1064:CV1064">
    <cfRule type="expression" dxfId="4" priority="5586">
      <formula>$O$33&lt;&gt;"Y"</formula>
    </cfRule>
  </conditionalFormatting>
  <conditionalFormatting sqref="D1065:CV1065">
    <cfRule type="expression" dxfId="4" priority="5589">
      <formula>$P$33&lt;&gt;"Y"</formula>
    </cfRule>
  </conditionalFormatting>
  <conditionalFormatting sqref="D1066:CV1066">
    <cfRule type="expression" dxfId="4" priority="5592">
      <formula>$Q$33&lt;&gt;"Y"</formula>
    </cfRule>
  </conditionalFormatting>
  <conditionalFormatting sqref="D1067:CV1067">
    <cfRule type="expression" dxfId="4" priority="5595">
      <formula>$R$33&lt;&gt;"Y"</formula>
    </cfRule>
  </conditionalFormatting>
  <conditionalFormatting sqref="D1068:CV1068">
    <cfRule type="expression" dxfId="4" priority="5598">
      <formula>$S$33&lt;&gt;"Y"</formula>
    </cfRule>
  </conditionalFormatting>
  <conditionalFormatting sqref="D1069:CV1069">
    <cfRule type="expression" dxfId="4" priority="5601">
      <formula>$T$33&lt;&gt;"Y"</formula>
    </cfRule>
  </conditionalFormatting>
  <conditionalFormatting sqref="D106:CV106">
    <cfRule type="expression" dxfId="4" priority="2712">
      <formula>$AC$6&lt;&gt;"Y"</formula>
    </cfRule>
  </conditionalFormatting>
  <conditionalFormatting sqref="D1070:CV1070">
    <cfRule type="expression" dxfId="4" priority="5604">
      <formula>$U$33&lt;&gt;"Y"</formula>
    </cfRule>
  </conditionalFormatting>
  <conditionalFormatting sqref="D1071:CV1071">
    <cfRule type="expression" dxfId="4" priority="5607">
      <formula>$V$33&lt;&gt;"Y"</formula>
    </cfRule>
  </conditionalFormatting>
  <conditionalFormatting sqref="D1072:CV1072">
    <cfRule type="expression" dxfId="4" priority="5610">
      <formula>$W$33&lt;&gt;"Y"</formula>
    </cfRule>
  </conditionalFormatting>
  <conditionalFormatting sqref="D1073:CV1073">
    <cfRule type="expression" dxfId="4" priority="5613">
      <formula>$X$33&lt;&gt;"Y"</formula>
    </cfRule>
  </conditionalFormatting>
  <conditionalFormatting sqref="D1074:CV1074">
    <cfRule type="expression" dxfId="4" priority="5616">
      <formula>$Y$33&lt;&gt;"Y"</formula>
    </cfRule>
  </conditionalFormatting>
  <conditionalFormatting sqref="D1075:CV1075">
    <cfRule type="expression" dxfId="4" priority="5619">
      <formula>$Z$33&lt;&gt;"Y"</formula>
    </cfRule>
  </conditionalFormatting>
  <conditionalFormatting sqref="D1076:CV1076">
    <cfRule type="expression" dxfId="4" priority="5622">
      <formula>$AA$33&lt;&gt;"Y"</formula>
    </cfRule>
  </conditionalFormatting>
  <conditionalFormatting sqref="D1077:CV1077">
    <cfRule type="expression" dxfId="4" priority="5625">
      <formula>$AB$33&lt;&gt;"Y"</formula>
    </cfRule>
  </conditionalFormatting>
  <conditionalFormatting sqref="D1078:CV1078">
    <cfRule type="expression" dxfId="4" priority="5628">
      <formula>$AC$33&lt;&gt;"Y"</formula>
    </cfRule>
  </conditionalFormatting>
  <conditionalFormatting sqref="D1079:CV1079">
    <cfRule type="expression" dxfId="4" priority="5631">
      <formula>$AD$33&lt;&gt;"Y"</formula>
    </cfRule>
  </conditionalFormatting>
  <conditionalFormatting sqref="D107:CV107">
    <cfRule type="expression" dxfId="4" priority="2715">
      <formula>$AD$6&lt;&gt;"Y"</formula>
    </cfRule>
  </conditionalFormatting>
  <conditionalFormatting sqref="D1080:CV1080">
    <cfRule type="expression" dxfId="4" priority="5634">
      <formula>$AE$33&lt;&gt;"Y"</formula>
    </cfRule>
  </conditionalFormatting>
  <conditionalFormatting sqref="D1081:CV1081">
    <cfRule type="expression" dxfId="4" priority="5637">
      <formula>$AF$33&lt;&gt;"Y"</formula>
    </cfRule>
  </conditionalFormatting>
  <conditionalFormatting sqref="D1082:CV1082">
    <cfRule type="expression" dxfId="4" priority="5640">
      <formula>$AG$33&lt;&gt;"Y"</formula>
    </cfRule>
  </conditionalFormatting>
  <conditionalFormatting sqref="D1083:CV1083">
    <cfRule type="expression" dxfId="4" priority="5643">
      <formula>$AH$33&lt;&gt;"Y"</formula>
    </cfRule>
  </conditionalFormatting>
  <conditionalFormatting sqref="D1084:CV1084">
    <cfRule type="expression" dxfId="4" priority="5646">
      <formula>$AI$33&lt;&gt;"Y"</formula>
    </cfRule>
  </conditionalFormatting>
  <conditionalFormatting sqref="D1085:CV1085">
    <cfRule type="expression" dxfId="4" priority="5649">
      <formula>$AJ$33&lt;&gt;"Y"</formula>
    </cfRule>
  </conditionalFormatting>
  <conditionalFormatting sqref="D1086:CV1086">
    <cfRule type="expression" dxfId="4" priority="5652">
      <formula>$AK$33&lt;&gt;"Y"</formula>
    </cfRule>
  </conditionalFormatting>
  <conditionalFormatting sqref="D1087:CV1087">
    <cfRule type="expression" dxfId="4" priority="5655">
      <formula>$B$34&lt;&gt;"Y"</formula>
    </cfRule>
  </conditionalFormatting>
  <conditionalFormatting sqref="D1088:CV1088">
    <cfRule type="expression" dxfId="4" priority="5658">
      <formula>$C$34&lt;&gt;"Y"</formula>
    </cfRule>
  </conditionalFormatting>
  <conditionalFormatting sqref="D1089:CV1089">
    <cfRule type="expression" dxfId="4" priority="5661">
      <formula>$D$34&lt;&gt;"Y"</formula>
    </cfRule>
  </conditionalFormatting>
  <conditionalFormatting sqref="D108:CV108">
    <cfRule type="expression" dxfId="4" priority="2718">
      <formula>$AE$6&lt;&gt;"Y"</formula>
    </cfRule>
  </conditionalFormatting>
  <conditionalFormatting sqref="D1090:CV1090">
    <cfRule type="expression" dxfId="4" priority="5664">
      <formula>$E$34&lt;&gt;"Y"</formula>
    </cfRule>
  </conditionalFormatting>
  <conditionalFormatting sqref="D1091:CV1091">
    <cfRule type="expression" dxfId="4" priority="5667">
      <formula>$F$34&lt;&gt;"Y"</formula>
    </cfRule>
  </conditionalFormatting>
  <conditionalFormatting sqref="D1092:CV1092">
    <cfRule type="expression" dxfId="4" priority="5670">
      <formula>$G$34&lt;&gt;"Y"</formula>
    </cfRule>
  </conditionalFormatting>
  <conditionalFormatting sqref="D1093:CV1093">
    <cfRule type="expression" dxfId="4" priority="5673">
      <formula>$H$34&lt;&gt;"Y"</formula>
    </cfRule>
  </conditionalFormatting>
  <conditionalFormatting sqref="D1094:CV1094">
    <cfRule type="expression" dxfId="4" priority="5676">
      <formula>$I$34&lt;&gt;"Y"</formula>
    </cfRule>
  </conditionalFormatting>
  <conditionalFormatting sqref="D1095:CV1095">
    <cfRule type="expression" dxfId="4" priority="5679">
      <formula>$J$34&lt;&gt;"Y"</formula>
    </cfRule>
  </conditionalFormatting>
  <conditionalFormatting sqref="D1096:CV1096">
    <cfRule type="expression" dxfId="4" priority="5682">
      <formula>$K$34&lt;&gt;"Y"</formula>
    </cfRule>
  </conditionalFormatting>
  <conditionalFormatting sqref="D1097:CV1097">
    <cfRule type="expression" dxfId="4" priority="5685">
      <formula>$L$34&lt;&gt;"Y"</formula>
    </cfRule>
  </conditionalFormatting>
  <conditionalFormatting sqref="D1098:CV1098">
    <cfRule type="expression" dxfId="4" priority="5688">
      <formula>$M$34&lt;&gt;"Y"</formula>
    </cfRule>
  </conditionalFormatting>
  <conditionalFormatting sqref="D1099:CV1099">
    <cfRule type="expression" dxfId="4" priority="5691">
      <formula>$N$34&lt;&gt;"Y"</formula>
    </cfRule>
  </conditionalFormatting>
  <conditionalFormatting sqref="D109:CV109">
    <cfRule type="expression" dxfId="4" priority="2721">
      <formula>$AF$6&lt;&gt;"Y"</formula>
    </cfRule>
  </conditionalFormatting>
  <conditionalFormatting sqref="D11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D1100:CV1100">
    <cfRule type="expression" dxfId="4" priority="5694">
      <formula>$O$34&lt;&gt;"Y"</formula>
    </cfRule>
  </conditionalFormatting>
  <conditionalFormatting sqref="D1101:CV1101">
    <cfRule type="expression" dxfId="4" priority="5697">
      <formula>$P$34&lt;&gt;"Y"</formula>
    </cfRule>
  </conditionalFormatting>
  <conditionalFormatting sqref="D1102:CV1102">
    <cfRule type="expression" dxfId="4" priority="5700">
      <formula>$Q$34&lt;&gt;"Y"</formula>
    </cfRule>
  </conditionalFormatting>
  <conditionalFormatting sqref="D1103:CV1103">
    <cfRule type="expression" dxfId="4" priority="5703">
      <formula>$R$34&lt;&gt;"Y"</formula>
    </cfRule>
  </conditionalFormatting>
  <conditionalFormatting sqref="D1104:CV1104">
    <cfRule type="expression" dxfId="4" priority="5706">
      <formula>$S$34&lt;&gt;"Y"</formula>
    </cfRule>
  </conditionalFormatting>
  <conditionalFormatting sqref="D1105:CV1105">
    <cfRule type="expression" dxfId="4" priority="5709">
      <formula>$T$34&lt;&gt;"Y"</formula>
    </cfRule>
  </conditionalFormatting>
  <conditionalFormatting sqref="D1106:CV1106">
    <cfRule type="expression" dxfId="4" priority="5712">
      <formula>$U$34&lt;&gt;"Y"</formula>
    </cfRule>
  </conditionalFormatting>
  <conditionalFormatting sqref="D1107:CV1107">
    <cfRule type="expression" dxfId="4" priority="5715">
      <formula>$V$34&lt;&gt;"Y"</formula>
    </cfRule>
  </conditionalFormatting>
  <conditionalFormatting sqref="D1108:CV1108">
    <cfRule type="expression" dxfId="4" priority="5718">
      <formula>$W$34&lt;&gt;"Y"</formula>
    </cfRule>
  </conditionalFormatting>
  <conditionalFormatting sqref="D1109:CV1109">
    <cfRule type="expression" dxfId="4" priority="5721">
      <formula>$X$34&lt;&gt;"Y"</formula>
    </cfRule>
  </conditionalFormatting>
  <conditionalFormatting sqref="D110:CV110">
    <cfRule type="expression" dxfId="4" priority="2724">
      <formula>$AG$6&lt;&gt;"Y"</formula>
    </cfRule>
  </conditionalFormatting>
  <conditionalFormatting sqref="D1110:CV1110">
    <cfRule type="expression" dxfId="4" priority="5724">
      <formula>$Y$34&lt;&gt;"Y"</formula>
    </cfRule>
  </conditionalFormatting>
  <conditionalFormatting sqref="D1111:CV1111">
    <cfRule type="expression" dxfId="4" priority="5727">
      <formula>$Z$34&lt;&gt;"Y"</formula>
    </cfRule>
  </conditionalFormatting>
  <conditionalFormatting sqref="D1112:CV1112">
    <cfRule type="expression" dxfId="4" priority="5730">
      <formula>$AA$34&lt;&gt;"Y"</formula>
    </cfRule>
  </conditionalFormatting>
  <conditionalFormatting sqref="D1113:CV1113">
    <cfRule type="expression" dxfId="4" priority="5733">
      <formula>$AB$34&lt;&gt;"Y"</formula>
    </cfRule>
  </conditionalFormatting>
  <conditionalFormatting sqref="D1114:CV1114">
    <cfRule type="expression" dxfId="4" priority="5736">
      <formula>$AC$34&lt;&gt;"Y"</formula>
    </cfRule>
  </conditionalFormatting>
  <conditionalFormatting sqref="D1115:CV1115">
    <cfRule type="expression" dxfId="4" priority="5739">
      <formula>$AD$34&lt;&gt;"Y"</formula>
    </cfRule>
  </conditionalFormatting>
  <conditionalFormatting sqref="D1116:CV1116">
    <cfRule type="expression" dxfId="4" priority="5742">
      <formula>$AE$34&lt;&gt;"Y"</formula>
    </cfRule>
  </conditionalFormatting>
  <conditionalFormatting sqref="D1117:CV1117">
    <cfRule type="expression" dxfId="4" priority="5745">
      <formula>$AF$34&lt;&gt;"Y"</formula>
    </cfRule>
  </conditionalFormatting>
  <conditionalFormatting sqref="D1118:CV1118">
    <cfRule type="expression" dxfId="4" priority="5748">
      <formula>$AG$34&lt;&gt;"Y"</formula>
    </cfRule>
  </conditionalFormatting>
  <conditionalFormatting sqref="D1119:CV1119">
    <cfRule type="expression" dxfId="4" priority="5751">
      <formula>$AH$34&lt;&gt;"Y"</formula>
    </cfRule>
  </conditionalFormatting>
  <conditionalFormatting sqref="D111:CV111">
    <cfRule type="expression" dxfId="4" priority="2727">
      <formula>$AH$6&lt;&gt;"Y"</formula>
    </cfRule>
  </conditionalFormatting>
  <conditionalFormatting sqref="D1120:CV1120">
    <cfRule type="expression" dxfId="4" priority="5754">
      <formula>$AI$34&lt;&gt;"Y"</formula>
    </cfRule>
  </conditionalFormatting>
  <conditionalFormatting sqref="D1121:CV1121">
    <cfRule type="expression" dxfId="4" priority="5757">
      <formula>$AJ$34&lt;&gt;"Y"</formula>
    </cfRule>
  </conditionalFormatting>
  <conditionalFormatting sqref="D1122:CV1122">
    <cfRule type="expression" dxfId="4" priority="5760">
      <formula>$AK$34&lt;&gt;"Y"</formula>
    </cfRule>
  </conditionalFormatting>
  <conditionalFormatting sqref="D1123:CV1123">
    <cfRule type="expression" dxfId="4" priority="5763">
      <formula>$B$35&lt;&gt;"Y"</formula>
    </cfRule>
  </conditionalFormatting>
  <conditionalFormatting sqref="D1124:CV1124">
    <cfRule type="expression" dxfId="4" priority="5766">
      <formula>$C$35&lt;&gt;"Y"</formula>
    </cfRule>
  </conditionalFormatting>
  <conditionalFormatting sqref="D1125:CV1125">
    <cfRule type="expression" dxfId="4" priority="5769">
      <formula>$D$35&lt;&gt;"Y"</formula>
    </cfRule>
  </conditionalFormatting>
  <conditionalFormatting sqref="D1126:CV1126">
    <cfRule type="expression" dxfId="4" priority="5772">
      <formula>$E$35&lt;&gt;"Y"</formula>
    </cfRule>
  </conditionalFormatting>
  <conditionalFormatting sqref="D1127:CV1127">
    <cfRule type="expression" dxfId="4" priority="5775">
      <formula>$F$35&lt;&gt;"Y"</formula>
    </cfRule>
  </conditionalFormatting>
  <conditionalFormatting sqref="D1128:CV1128">
    <cfRule type="expression" dxfId="4" priority="5778">
      <formula>$G$35&lt;&gt;"Y"</formula>
    </cfRule>
  </conditionalFormatting>
  <conditionalFormatting sqref="D1129:CV1129">
    <cfRule type="expression" dxfId="4" priority="5781">
      <formula>$H$35&lt;&gt;"Y"</formula>
    </cfRule>
  </conditionalFormatting>
  <conditionalFormatting sqref="D112:CV112">
    <cfRule type="expression" dxfId="4" priority="2730">
      <formula>$AI$6&lt;&gt;"Y"</formula>
    </cfRule>
  </conditionalFormatting>
  <conditionalFormatting sqref="D1130:CV1130">
    <cfRule type="expression" dxfId="4" priority="5784">
      <formula>$I$35&lt;&gt;"Y"</formula>
    </cfRule>
  </conditionalFormatting>
  <conditionalFormatting sqref="D1131:CV1131">
    <cfRule type="expression" dxfId="4" priority="5787">
      <formula>$J$35&lt;&gt;"Y"</formula>
    </cfRule>
  </conditionalFormatting>
  <conditionalFormatting sqref="D1132:CV1132">
    <cfRule type="expression" dxfId="4" priority="5790">
      <formula>$K$35&lt;&gt;"Y"</formula>
    </cfRule>
  </conditionalFormatting>
  <conditionalFormatting sqref="D1133:CV1133">
    <cfRule type="expression" dxfId="4" priority="5793">
      <formula>$L$35&lt;&gt;"Y"</formula>
    </cfRule>
  </conditionalFormatting>
  <conditionalFormatting sqref="D1134:CV1134">
    <cfRule type="expression" dxfId="4" priority="5796">
      <formula>$M$35&lt;&gt;"Y"</formula>
    </cfRule>
  </conditionalFormatting>
  <conditionalFormatting sqref="D1135:CV1135">
    <cfRule type="expression" dxfId="4" priority="5799">
      <formula>$N$35&lt;&gt;"Y"</formula>
    </cfRule>
  </conditionalFormatting>
  <conditionalFormatting sqref="D1136:CV1136">
    <cfRule type="expression" dxfId="4" priority="5802">
      <formula>$O$35&lt;&gt;"Y"</formula>
    </cfRule>
  </conditionalFormatting>
  <conditionalFormatting sqref="D1137:CV1137">
    <cfRule type="expression" dxfId="4" priority="5805">
      <formula>$P$35&lt;&gt;"Y"</formula>
    </cfRule>
  </conditionalFormatting>
  <conditionalFormatting sqref="D1138:CV1138">
    <cfRule type="expression" dxfId="4" priority="5808">
      <formula>$Q$35&lt;&gt;"Y"</formula>
    </cfRule>
  </conditionalFormatting>
  <conditionalFormatting sqref="D1139:CV1139">
    <cfRule type="expression" dxfId="4" priority="5811">
      <formula>$R$35&lt;&gt;"Y"</formula>
    </cfRule>
  </conditionalFormatting>
  <conditionalFormatting sqref="D113:CV113">
    <cfRule type="expression" dxfId="4" priority="2733">
      <formula>$AJ$6&lt;&gt;"Y"</formula>
    </cfRule>
  </conditionalFormatting>
  <conditionalFormatting sqref="D1140:CV1140">
    <cfRule type="expression" dxfId="4" priority="5814">
      <formula>$S$35&lt;&gt;"Y"</formula>
    </cfRule>
  </conditionalFormatting>
  <conditionalFormatting sqref="D1141:CV1141">
    <cfRule type="expression" dxfId="4" priority="5817">
      <formula>$T$35&lt;&gt;"Y"</formula>
    </cfRule>
  </conditionalFormatting>
  <conditionalFormatting sqref="D1142:CV1142">
    <cfRule type="expression" dxfId="4" priority="5820">
      <formula>$U$35&lt;&gt;"Y"</formula>
    </cfRule>
  </conditionalFormatting>
  <conditionalFormatting sqref="D1143:CV1143">
    <cfRule type="expression" dxfId="4" priority="5823">
      <formula>$V$35&lt;&gt;"Y"</formula>
    </cfRule>
  </conditionalFormatting>
  <conditionalFormatting sqref="D1144:CV1144">
    <cfRule type="expression" dxfId="4" priority="5826">
      <formula>$W$35&lt;&gt;"Y"</formula>
    </cfRule>
  </conditionalFormatting>
  <conditionalFormatting sqref="D1145:CV1145">
    <cfRule type="expression" dxfId="4" priority="5829">
      <formula>$X$35&lt;&gt;"Y"</formula>
    </cfRule>
  </conditionalFormatting>
  <conditionalFormatting sqref="D1146:CV1146">
    <cfRule type="expression" dxfId="4" priority="5832">
      <formula>$Y$35&lt;&gt;"Y"</formula>
    </cfRule>
  </conditionalFormatting>
  <conditionalFormatting sqref="D1147:CV1147">
    <cfRule type="expression" dxfId="4" priority="5835">
      <formula>$Z$35&lt;&gt;"Y"</formula>
    </cfRule>
  </conditionalFormatting>
  <conditionalFormatting sqref="D1148:CV1148">
    <cfRule type="expression" dxfId="4" priority="5838">
      <formula>$AA$35&lt;&gt;"Y"</formula>
    </cfRule>
  </conditionalFormatting>
  <conditionalFormatting sqref="D1149:CV1149">
    <cfRule type="expression" dxfId="4" priority="5841">
      <formula>$AB$35&lt;&gt;"Y"</formula>
    </cfRule>
  </conditionalFormatting>
  <conditionalFormatting sqref="D114:CV114">
    <cfRule type="expression" dxfId="4" priority="2736">
      <formula>$AK$6&lt;&gt;"Y"</formula>
    </cfRule>
  </conditionalFormatting>
  <conditionalFormatting sqref="D1150:CV1150">
    <cfRule type="expression" dxfId="4" priority="5844">
      <formula>$AC$35&lt;&gt;"Y"</formula>
    </cfRule>
  </conditionalFormatting>
  <conditionalFormatting sqref="D1151:CV1151">
    <cfRule type="expression" dxfId="4" priority="5847">
      <formula>$AD$35&lt;&gt;"Y"</formula>
    </cfRule>
  </conditionalFormatting>
  <conditionalFormatting sqref="D1152:CV1152">
    <cfRule type="expression" dxfId="4" priority="5850">
      <formula>$AE$35&lt;&gt;"Y"</formula>
    </cfRule>
  </conditionalFormatting>
  <conditionalFormatting sqref="D1153:CV1153">
    <cfRule type="expression" dxfId="4" priority="5853">
      <formula>$AF$35&lt;&gt;"Y"</formula>
    </cfRule>
  </conditionalFormatting>
  <conditionalFormatting sqref="D1154:CV1154">
    <cfRule type="expression" dxfId="4" priority="5856">
      <formula>$AG$35&lt;&gt;"Y"</formula>
    </cfRule>
  </conditionalFormatting>
  <conditionalFormatting sqref="D1155:CV1155">
    <cfRule type="expression" dxfId="4" priority="5859">
      <formula>$AH$35&lt;&gt;"Y"</formula>
    </cfRule>
  </conditionalFormatting>
  <conditionalFormatting sqref="D1156:CV1156">
    <cfRule type="expression" dxfId="4" priority="5862">
      <formula>$AI$35&lt;&gt;"Y"</formula>
    </cfRule>
  </conditionalFormatting>
  <conditionalFormatting sqref="D1157:CV1157">
    <cfRule type="expression" dxfId="4" priority="5865">
      <formula>$AJ$35&lt;&gt;"Y"</formula>
    </cfRule>
  </conditionalFormatting>
  <conditionalFormatting sqref="D1158:CV1158">
    <cfRule type="expression" dxfId="4" priority="5868">
      <formula>$AK$35&lt;&gt;"Y"</formula>
    </cfRule>
  </conditionalFormatting>
  <conditionalFormatting sqref="D1159:CV1159">
    <cfRule type="expression" dxfId="4" priority="5871">
      <formula>$B$36&lt;&gt;"Y"</formula>
    </cfRule>
  </conditionalFormatting>
  <conditionalFormatting sqref="D115:CV115">
    <cfRule type="expression" dxfId="4" priority="2739">
      <formula>$B$7&lt;&gt;"Y"</formula>
    </cfRule>
  </conditionalFormatting>
  <conditionalFormatting sqref="D1160:CV1160">
    <cfRule type="expression" dxfId="4" priority="5874">
      <formula>$C$36&lt;&gt;"Y"</formula>
    </cfRule>
  </conditionalFormatting>
  <conditionalFormatting sqref="D1161:CV1161">
    <cfRule type="expression" dxfId="4" priority="5877">
      <formula>$D$36&lt;&gt;"Y"</formula>
    </cfRule>
  </conditionalFormatting>
  <conditionalFormatting sqref="D1162:CV1162">
    <cfRule type="expression" dxfId="4" priority="5880">
      <formula>$E$36&lt;&gt;"Y"</formula>
    </cfRule>
  </conditionalFormatting>
  <conditionalFormatting sqref="D1163:CV1163">
    <cfRule type="expression" dxfId="4" priority="5883">
      <formula>$F$36&lt;&gt;"Y"</formula>
    </cfRule>
  </conditionalFormatting>
  <conditionalFormatting sqref="D1164:CV1164">
    <cfRule type="expression" dxfId="4" priority="5886">
      <formula>$G$36&lt;&gt;"Y"</formula>
    </cfRule>
  </conditionalFormatting>
  <conditionalFormatting sqref="D1165:CV1165">
    <cfRule type="expression" dxfId="4" priority="5889">
      <formula>$H$36&lt;&gt;"Y"</formula>
    </cfRule>
  </conditionalFormatting>
  <conditionalFormatting sqref="D1166:CV1166">
    <cfRule type="expression" dxfId="4" priority="5892">
      <formula>$I$36&lt;&gt;"Y"</formula>
    </cfRule>
  </conditionalFormatting>
  <conditionalFormatting sqref="D1167:CV1167">
    <cfRule type="expression" dxfId="4" priority="5895">
      <formula>$J$36&lt;&gt;"Y"</formula>
    </cfRule>
  </conditionalFormatting>
  <conditionalFormatting sqref="D1168:CV1168">
    <cfRule type="expression" dxfId="4" priority="5898">
      <formula>$K$36&lt;&gt;"Y"</formula>
    </cfRule>
  </conditionalFormatting>
  <conditionalFormatting sqref="D1169:CV1169">
    <cfRule type="expression" dxfId="4" priority="5901">
      <formula>$L$36&lt;&gt;"Y"</formula>
    </cfRule>
  </conditionalFormatting>
  <conditionalFormatting sqref="D116:CV116">
    <cfRule type="expression" dxfId="4" priority="2742">
      <formula>$C$7&lt;&gt;"Y"</formula>
    </cfRule>
  </conditionalFormatting>
  <conditionalFormatting sqref="D1170:CV1170">
    <cfRule type="expression" dxfId="4" priority="5904">
      <formula>$M$36&lt;&gt;"Y"</formula>
    </cfRule>
  </conditionalFormatting>
  <conditionalFormatting sqref="D1171:CV1171">
    <cfRule type="expression" dxfId="4" priority="5907">
      <formula>$N$36&lt;&gt;"Y"</formula>
    </cfRule>
  </conditionalFormatting>
  <conditionalFormatting sqref="D1172:CV1172">
    <cfRule type="expression" dxfId="4" priority="5910">
      <formula>$O$36&lt;&gt;"Y"</formula>
    </cfRule>
  </conditionalFormatting>
  <conditionalFormatting sqref="D1173:CV1173">
    <cfRule type="expression" dxfId="4" priority="5913">
      <formula>$P$36&lt;&gt;"Y"</formula>
    </cfRule>
  </conditionalFormatting>
  <conditionalFormatting sqref="D1174:CV1174">
    <cfRule type="expression" dxfId="4" priority="5916">
      <formula>$Q$36&lt;&gt;"Y"</formula>
    </cfRule>
  </conditionalFormatting>
  <conditionalFormatting sqref="D1175:CV1175">
    <cfRule type="expression" dxfId="4" priority="5919">
      <formula>$R$36&lt;&gt;"Y"</formula>
    </cfRule>
  </conditionalFormatting>
  <conditionalFormatting sqref="D1176:CV1176">
    <cfRule type="expression" dxfId="4" priority="5922">
      <formula>$S$36&lt;&gt;"Y"</formula>
    </cfRule>
  </conditionalFormatting>
  <conditionalFormatting sqref="D1177:CV1177">
    <cfRule type="expression" dxfId="4" priority="5925">
      <formula>$T$36&lt;&gt;"Y"</formula>
    </cfRule>
  </conditionalFormatting>
  <conditionalFormatting sqref="D1178:CV1178">
    <cfRule type="expression" dxfId="4" priority="5928">
      <formula>$U$36&lt;&gt;"Y"</formula>
    </cfRule>
  </conditionalFormatting>
  <conditionalFormatting sqref="D1179:CV1179">
    <cfRule type="expression" dxfId="4" priority="5931">
      <formula>$V$36&lt;&gt;"Y"</formula>
    </cfRule>
  </conditionalFormatting>
  <conditionalFormatting sqref="D117:CV117">
    <cfRule type="expression" dxfId="4" priority="2745">
      <formula>$D$7&lt;&gt;"Y"</formula>
    </cfRule>
  </conditionalFormatting>
  <conditionalFormatting sqref="D1180:CV1180">
    <cfRule type="expression" dxfId="4" priority="5934">
      <formula>$W$36&lt;&gt;"Y"</formula>
    </cfRule>
  </conditionalFormatting>
  <conditionalFormatting sqref="D1181:CV1181">
    <cfRule type="expression" dxfId="4" priority="5937">
      <formula>$X$36&lt;&gt;"Y"</formula>
    </cfRule>
  </conditionalFormatting>
  <conditionalFormatting sqref="D1182:CV1182">
    <cfRule type="expression" dxfId="4" priority="5940">
      <formula>$Y$36&lt;&gt;"Y"</formula>
    </cfRule>
  </conditionalFormatting>
  <conditionalFormatting sqref="D1183:CV1183">
    <cfRule type="expression" dxfId="4" priority="5943">
      <formula>$Z$36&lt;&gt;"Y"</formula>
    </cfRule>
  </conditionalFormatting>
  <conditionalFormatting sqref="D1184:CV1184">
    <cfRule type="expression" dxfId="4" priority="5946">
      <formula>$AA$36&lt;&gt;"Y"</formula>
    </cfRule>
  </conditionalFormatting>
  <conditionalFormatting sqref="D1185:CV1185">
    <cfRule type="expression" dxfId="4" priority="5949">
      <formula>$AB$36&lt;&gt;"Y"</formula>
    </cfRule>
  </conditionalFormatting>
  <conditionalFormatting sqref="D1186:CV1186">
    <cfRule type="expression" dxfId="4" priority="5952">
      <formula>$AC$36&lt;&gt;"Y"</formula>
    </cfRule>
  </conditionalFormatting>
  <conditionalFormatting sqref="D1187:CV1187">
    <cfRule type="expression" dxfId="4" priority="5955">
      <formula>$AD$36&lt;&gt;"Y"</formula>
    </cfRule>
  </conditionalFormatting>
  <conditionalFormatting sqref="D1188:CV1188">
    <cfRule type="expression" dxfId="4" priority="5958">
      <formula>$AE$36&lt;&gt;"Y"</formula>
    </cfRule>
  </conditionalFormatting>
  <conditionalFormatting sqref="D1189:CV1189">
    <cfRule type="expression" dxfId="4" priority="5961">
      <formula>$AF$36&lt;&gt;"Y"</formula>
    </cfRule>
  </conditionalFormatting>
  <conditionalFormatting sqref="D118:CV118">
    <cfRule type="expression" dxfId="4" priority="2748">
      <formula>$E$7&lt;&gt;"Y"</formula>
    </cfRule>
  </conditionalFormatting>
  <conditionalFormatting sqref="D1190:CV1190">
    <cfRule type="expression" dxfId="4" priority="5964">
      <formula>$AG$36&lt;&gt;"Y"</formula>
    </cfRule>
  </conditionalFormatting>
  <conditionalFormatting sqref="D1191:CV1191">
    <cfRule type="expression" dxfId="4" priority="5967">
      <formula>$AH$36&lt;&gt;"Y"</formula>
    </cfRule>
  </conditionalFormatting>
  <conditionalFormatting sqref="D1192:CV1192">
    <cfRule type="expression" dxfId="4" priority="5970">
      <formula>$AI$36&lt;&gt;"Y"</formula>
    </cfRule>
  </conditionalFormatting>
  <conditionalFormatting sqref="D1193:CV1193">
    <cfRule type="expression" dxfId="4" priority="5973">
      <formula>$AJ$36&lt;&gt;"Y"</formula>
    </cfRule>
  </conditionalFormatting>
  <conditionalFormatting sqref="D1194:CV1194">
    <cfRule type="expression" dxfId="4" priority="5976">
      <formula>$AK$36&lt;&gt;"Y"</formula>
    </cfRule>
  </conditionalFormatting>
  <conditionalFormatting sqref="D1195:CV1195">
    <cfRule type="expression" dxfId="4" priority="5979">
      <formula>$B$37&lt;&gt;"Y"</formula>
    </cfRule>
  </conditionalFormatting>
  <conditionalFormatting sqref="D1196:CV1196">
    <cfRule type="expression" dxfId="4" priority="5982">
      <formula>$C$37&lt;&gt;"Y"</formula>
    </cfRule>
  </conditionalFormatting>
  <conditionalFormatting sqref="D1197:CV1197">
    <cfRule type="expression" dxfId="4" priority="5985">
      <formula>$D$37&lt;&gt;"Y"</formula>
    </cfRule>
  </conditionalFormatting>
  <conditionalFormatting sqref="D1198:CV1198">
    <cfRule type="expression" dxfId="4" priority="5988">
      <formula>$E$37&lt;&gt;"Y"</formula>
    </cfRule>
  </conditionalFormatting>
  <conditionalFormatting sqref="D1199:CV1199">
    <cfRule type="expression" dxfId="4" priority="5991">
      <formula>$F$37&lt;&gt;"Y"</formula>
    </cfRule>
  </conditionalFormatting>
  <conditionalFormatting sqref="D119:CV119">
    <cfRule type="expression" dxfId="4" priority="2751">
      <formula>$F$7&lt;&gt;"Y"</formula>
    </cfRule>
  </conditionalFormatting>
  <conditionalFormatting sqref="D12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D1200:CV1200">
    <cfRule type="expression" dxfId="4" priority="5994">
      <formula>$G$37&lt;&gt;"Y"</formula>
    </cfRule>
  </conditionalFormatting>
  <conditionalFormatting sqref="D1201:CV1201">
    <cfRule type="expression" dxfId="4" priority="5997">
      <formula>$H$37&lt;&gt;"Y"</formula>
    </cfRule>
  </conditionalFormatting>
  <conditionalFormatting sqref="D1202:CV1202">
    <cfRule type="expression" dxfId="4" priority="6000">
      <formula>$I$37&lt;&gt;"Y"</formula>
    </cfRule>
  </conditionalFormatting>
  <conditionalFormatting sqref="D1203:CV1203">
    <cfRule type="expression" dxfId="4" priority="6003">
      <formula>$J$37&lt;&gt;"Y"</formula>
    </cfRule>
  </conditionalFormatting>
  <conditionalFormatting sqref="D1204:CV1204">
    <cfRule type="expression" dxfId="4" priority="6006">
      <formula>$K$37&lt;&gt;"Y"</formula>
    </cfRule>
  </conditionalFormatting>
  <conditionalFormatting sqref="D1205:CV1205">
    <cfRule type="expression" dxfId="4" priority="6009">
      <formula>$L$37&lt;&gt;"Y"</formula>
    </cfRule>
  </conditionalFormatting>
  <conditionalFormatting sqref="D1206:CV1206">
    <cfRule type="expression" dxfId="4" priority="6012">
      <formula>$M$37&lt;&gt;"Y"</formula>
    </cfRule>
  </conditionalFormatting>
  <conditionalFormatting sqref="D1207:CV1207">
    <cfRule type="expression" dxfId="4" priority="6015">
      <formula>$N$37&lt;&gt;"Y"</formula>
    </cfRule>
  </conditionalFormatting>
  <conditionalFormatting sqref="D1208:CV1208">
    <cfRule type="expression" dxfId="4" priority="6018">
      <formula>$O$37&lt;&gt;"Y"</formula>
    </cfRule>
  </conditionalFormatting>
  <conditionalFormatting sqref="D1209:CV1209">
    <cfRule type="expression" dxfId="4" priority="6021">
      <formula>$P$37&lt;&gt;"Y"</formula>
    </cfRule>
  </conditionalFormatting>
  <conditionalFormatting sqref="D120:CV120">
    <cfRule type="expression" dxfId="4" priority="2754">
      <formula>$G$7&lt;&gt;"Y"</formula>
    </cfRule>
  </conditionalFormatting>
  <conditionalFormatting sqref="D1210:CV1210">
    <cfRule type="expression" dxfId="4" priority="6024">
      <formula>$Q$37&lt;&gt;"Y"</formula>
    </cfRule>
  </conditionalFormatting>
  <conditionalFormatting sqref="D1211:CV1211">
    <cfRule type="expression" dxfId="4" priority="6027">
      <formula>$R$37&lt;&gt;"Y"</formula>
    </cfRule>
  </conditionalFormatting>
  <conditionalFormatting sqref="D1212:CV1212">
    <cfRule type="expression" dxfId="4" priority="6030">
      <formula>$S$37&lt;&gt;"Y"</formula>
    </cfRule>
  </conditionalFormatting>
  <conditionalFormatting sqref="D1213:CV1213">
    <cfRule type="expression" dxfId="4" priority="6033">
      <formula>$T$37&lt;&gt;"Y"</formula>
    </cfRule>
  </conditionalFormatting>
  <conditionalFormatting sqref="D1214:CV1214">
    <cfRule type="expression" dxfId="4" priority="6036">
      <formula>$U$37&lt;&gt;"Y"</formula>
    </cfRule>
  </conditionalFormatting>
  <conditionalFormatting sqref="D1215:CV1215">
    <cfRule type="expression" dxfId="4" priority="6039">
      <formula>$V$37&lt;&gt;"Y"</formula>
    </cfRule>
  </conditionalFormatting>
  <conditionalFormatting sqref="D1216:CV1216">
    <cfRule type="expression" dxfId="4" priority="6042">
      <formula>$W$37&lt;&gt;"Y"</formula>
    </cfRule>
  </conditionalFormatting>
  <conditionalFormatting sqref="D1217:CV1217">
    <cfRule type="expression" dxfId="4" priority="6045">
      <formula>$X$37&lt;&gt;"Y"</formula>
    </cfRule>
  </conditionalFormatting>
  <conditionalFormatting sqref="D1218:CV1218">
    <cfRule type="expression" dxfId="4" priority="6048">
      <formula>$Y$37&lt;&gt;"Y"</formula>
    </cfRule>
  </conditionalFormatting>
  <conditionalFormatting sqref="D1219:CV1219">
    <cfRule type="expression" dxfId="4" priority="6051">
      <formula>$Z$37&lt;&gt;"Y"</formula>
    </cfRule>
  </conditionalFormatting>
  <conditionalFormatting sqref="D121:CV121">
    <cfRule type="expression" dxfId="4" priority="2757">
      <formula>$H$7&lt;&gt;"Y"</formula>
    </cfRule>
  </conditionalFormatting>
  <conditionalFormatting sqref="D1220:CV1220">
    <cfRule type="expression" dxfId="4" priority="6054">
      <formula>$AA$37&lt;&gt;"Y"</formula>
    </cfRule>
  </conditionalFormatting>
  <conditionalFormatting sqref="D1221:CV1221">
    <cfRule type="expression" dxfId="4" priority="6057">
      <formula>$AB$37&lt;&gt;"Y"</formula>
    </cfRule>
  </conditionalFormatting>
  <conditionalFormatting sqref="D1222:CV1222">
    <cfRule type="expression" dxfId="4" priority="6060">
      <formula>$AC$37&lt;&gt;"Y"</formula>
    </cfRule>
  </conditionalFormatting>
  <conditionalFormatting sqref="D1223:CV1223">
    <cfRule type="expression" dxfId="4" priority="6063">
      <formula>$AD$37&lt;&gt;"Y"</formula>
    </cfRule>
  </conditionalFormatting>
  <conditionalFormatting sqref="D1224:CV1224">
    <cfRule type="expression" dxfId="4" priority="6066">
      <formula>$AE$37&lt;&gt;"Y"</formula>
    </cfRule>
  </conditionalFormatting>
  <conditionalFormatting sqref="D1225:CV1225">
    <cfRule type="expression" dxfId="4" priority="6069">
      <formula>$AF$37&lt;&gt;"Y"</formula>
    </cfRule>
  </conditionalFormatting>
  <conditionalFormatting sqref="D1226:CV1226">
    <cfRule type="expression" dxfId="4" priority="6072">
      <formula>$AG$37&lt;&gt;"Y"</formula>
    </cfRule>
  </conditionalFormatting>
  <conditionalFormatting sqref="D1227:CV1227">
    <cfRule type="expression" dxfId="4" priority="6075">
      <formula>$AH$37&lt;&gt;"Y"</formula>
    </cfRule>
  </conditionalFormatting>
  <conditionalFormatting sqref="D1228:CV1228">
    <cfRule type="expression" dxfId="4" priority="6078">
      <formula>$AI$37&lt;&gt;"Y"</formula>
    </cfRule>
  </conditionalFormatting>
  <conditionalFormatting sqref="D1229:CV1229">
    <cfRule type="expression" dxfId="4" priority="6081">
      <formula>$AJ$37&lt;&gt;"Y"</formula>
    </cfRule>
  </conditionalFormatting>
  <conditionalFormatting sqref="D122:CV122">
    <cfRule type="expression" dxfId="4" priority="2760">
      <formula>$I$7&lt;&gt;"Y"</formula>
    </cfRule>
  </conditionalFormatting>
  <conditionalFormatting sqref="D1230:CV1230">
    <cfRule type="expression" dxfId="4" priority="6084">
      <formula>$AK$37&lt;&gt;"Y"</formula>
    </cfRule>
  </conditionalFormatting>
  <conditionalFormatting sqref="D1231:CV1231">
    <cfRule type="expression" dxfId="4" priority="6087">
      <formula>$B$38&lt;&gt;"Y"</formula>
    </cfRule>
  </conditionalFormatting>
  <conditionalFormatting sqref="D1232:CV1232">
    <cfRule type="expression" dxfId="4" priority="6090">
      <formula>$C$38&lt;&gt;"Y"</formula>
    </cfRule>
  </conditionalFormatting>
  <conditionalFormatting sqref="D1233:CV1233">
    <cfRule type="expression" dxfId="4" priority="6093">
      <formula>$D$38&lt;&gt;"Y"</formula>
    </cfRule>
  </conditionalFormatting>
  <conditionalFormatting sqref="D1234:CV1234">
    <cfRule type="expression" dxfId="4" priority="6096">
      <formula>$E$38&lt;&gt;"Y"</formula>
    </cfRule>
  </conditionalFormatting>
  <conditionalFormatting sqref="D1235:CV1235">
    <cfRule type="expression" dxfId="4" priority="6099">
      <formula>$F$38&lt;&gt;"Y"</formula>
    </cfRule>
  </conditionalFormatting>
  <conditionalFormatting sqref="D1236:CV1236">
    <cfRule type="expression" dxfId="4" priority="6102">
      <formula>$G$38&lt;&gt;"Y"</formula>
    </cfRule>
  </conditionalFormatting>
  <conditionalFormatting sqref="D1237:CV1237">
    <cfRule type="expression" dxfId="4" priority="6105">
      <formula>$H$38&lt;&gt;"Y"</formula>
    </cfRule>
  </conditionalFormatting>
  <conditionalFormatting sqref="D1238:CV1238">
    <cfRule type="expression" dxfId="4" priority="6108">
      <formula>$I$38&lt;&gt;"Y"</formula>
    </cfRule>
  </conditionalFormatting>
  <conditionalFormatting sqref="D1239:CV1239">
    <cfRule type="expression" dxfId="4" priority="6111">
      <formula>$J$38&lt;&gt;"Y"</formula>
    </cfRule>
  </conditionalFormatting>
  <conditionalFormatting sqref="D123:CV123">
    <cfRule type="expression" dxfId="4" priority="2763">
      <formula>$J$7&lt;&gt;"Y"</formula>
    </cfRule>
  </conditionalFormatting>
  <conditionalFormatting sqref="D1240:CV1240">
    <cfRule type="expression" dxfId="4" priority="6114">
      <formula>$K$38&lt;&gt;"Y"</formula>
    </cfRule>
  </conditionalFormatting>
  <conditionalFormatting sqref="D1241:CV1241">
    <cfRule type="expression" dxfId="4" priority="6117">
      <formula>$L$38&lt;&gt;"Y"</formula>
    </cfRule>
  </conditionalFormatting>
  <conditionalFormatting sqref="D1242:CV1242">
    <cfRule type="expression" dxfId="4" priority="6120">
      <formula>$M$38&lt;&gt;"Y"</formula>
    </cfRule>
  </conditionalFormatting>
  <conditionalFormatting sqref="D1243:CV1243">
    <cfRule type="expression" dxfId="4" priority="6123">
      <formula>$N$38&lt;&gt;"Y"</formula>
    </cfRule>
  </conditionalFormatting>
  <conditionalFormatting sqref="D1244:CV1244">
    <cfRule type="expression" dxfId="4" priority="6126">
      <formula>$O$38&lt;&gt;"Y"</formula>
    </cfRule>
  </conditionalFormatting>
  <conditionalFormatting sqref="D1245:CV1245">
    <cfRule type="expression" dxfId="4" priority="6129">
      <formula>$P$38&lt;&gt;"Y"</formula>
    </cfRule>
  </conditionalFormatting>
  <conditionalFormatting sqref="D1246:CV1246">
    <cfRule type="expression" dxfId="4" priority="6132">
      <formula>$Q$38&lt;&gt;"Y"</formula>
    </cfRule>
  </conditionalFormatting>
  <conditionalFormatting sqref="D1247:CV1247">
    <cfRule type="expression" dxfId="4" priority="6135">
      <formula>$R$38&lt;&gt;"Y"</formula>
    </cfRule>
  </conditionalFormatting>
  <conditionalFormatting sqref="D1248:CV1248">
    <cfRule type="expression" dxfId="4" priority="6138">
      <formula>$S$38&lt;&gt;"Y"</formula>
    </cfRule>
  </conditionalFormatting>
  <conditionalFormatting sqref="D1249:CV1249">
    <cfRule type="expression" dxfId="4" priority="6141">
      <formula>$T$38&lt;&gt;"Y"</formula>
    </cfRule>
  </conditionalFormatting>
  <conditionalFormatting sqref="D124:CV124">
    <cfRule type="expression" dxfId="4" priority="2766">
      <formula>$K$7&lt;&gt;"Y"</formula>
    </cfRule>
  </conditionalFormatting>
  <conditionalFormatting sqref="D1250:CV1250">
    <cfRule type="expression" dxfId="4" priority="6144">
      <formula>$U$38&lt;&gt;"Y"</formula>
    </cfRule>
  </conditionalFormatting>
  <conditionalFormatting sqref="D1251:CV1251">
    <cfRule type="expression" dxfId="4" priority="6147">
      <formula>$V$38&lt;&gt;"Y"</formula>
    </cfRule>
  </conditionalFormatting>
  <conditionalFormatting sqref="D1252:CV1252">
    <cfRule type="expression" dxfId="4" priority="6150">
      <formula>$W$38&lt;&gt;"Y"</formula>
    </cfRule>
  </conditionalFormatting>
  <conditionalFormatting sqref="D1253:CV1253">
    <cfRule type="expression" dxfId="4" priority="6153">
      <formula>$X$38&lt;&gt;"Y"</formula>
    </cfRule>
  </conditionalFormatting>
  <conditionalFormatting sqref="D1254:CV1254">
    <cfRule type="expression" dxfId="4" priority="6156">
      <formula>$Y$38&lt;&gt;"Y"</formula>
    </cfRule>
  </conditionalFormatting>
  <conditionalFormatting sqref="D1255:CV1255">
    <cfRule type="expression" dxfId="4" priority="6159">
      <formula>$Z$38&lt;&gt;"Y"</formula>
    </cfRule>
  </conditionalFormatting>
  <conditionalFormatting sqref="D1256:CV1256">
    <cfRule type="expression" dxfId="4" priority="6162">
      <formula>$AA$38&lt;&gt;"Y"</formula>
    </cfRule>
  </conditionalFormatting>
  <conditionalFormatting sqref="D1257:CV1257">
    <cfRule type="expression" dxfId="4" priority="6165">
      <formula>$AB$38&lt;&gt;"Y"</formula>
    </cfRule>
  </conditionalFormatting>
  <conditionalFormatting sqref="D1258:CV1258">
    <cfRule type="expression" dxfId="4" priority="6168">
      <formula>$AC$38&lt;&gt;"Y"</formula>
    </cfRule>
  </conditionalFormatting>
  <conditionalFormatting sqref="D1259:CV1259">
    <cfRule type="expression" dxfId="4" priority="6171">
      <formula>$AD$38&lt;&gt;"Y"</formula>
    </cfRule>
  </conditionalFormatting>
  <conditionalFormatting sqref="D125:CV125">
    <cfRule type="expression" dxfId="4" priority="2769">
      <formula>$L$7&lt;&gt;"Y"</formula>
    </cfRule>
  </conditionalFormatting>
  <conditionalFormatting sqref="D1260:CV1260">
    <cfRule type="expression" dxfId="4" priority="6174">
      <formula>$AE$38&lt;&gt;"Y"</formula>
    </cfRule>
  </conditionalFormatting>
  <conditionalFormatting sqref="D1261:CV1261">
    <cfRule type="expression" dxfId="4" priority="6177">
      <formula>$AF$38&lt;&gt;"Y"</formula>
    </cfRule>
  </conditionalFormatting>
  <conditionalFormatting sqref="D1262:CV1262">
    <cfRule type="expression" dxfId="4" priority="6180">
      <formula>$AG$38&lt;&gt;"Y"</formula>
    </cfRule>
  </conditionalFormatting>
  <conditionalFormatting sqref="D1263:CV1263">
    <cfRule type="expression" dxfId="4" priority="6183">
      <formula>$AH$38&lt;&gt;"Y"</formula>
    </cfRule>
  </conditionalFormatting>
  <conditionalFormatting sqref="D1264:CV1264">
    <cfRule type="expression" dxfId="4" priority="6186">
      <formula>$AI$38&lt;&gt;"Y"</formula>
    </cfRule>
  </conditionalFormatting>
  <conditionalFormatting sqref="D1265:CV1265">
    <cfRule type="expression" dxfId="4" priority="6189">
      <formula>$AJ$38&lt;&gt;"Y"</formula>
    </cfRule>
  </conditionalFormatting>
  <conditionalFormatting sqref="D1266:CV1266">
    <cfRule type="expression" dxfId="4" priority="6192">
      <formula>$AK$38&lt;&gt;"Y"</formula>
    </cfRule>
  </conditionalFormatting>
  <conditionalFormatting sqref="D1267:CV1267">
    <cfRule type="expression" dxfId="4" priority="6195">
      <formula>$B$39&lt;&gt;"Y"</formula>
    </cfRule>
  </conditionalFormatting>
  <conditionalFormatting sqref="D1268:CV1268">
    <cfRule type="expression" dxfId="4" priority="6198">
      <formula>$C$39&lt;&gt;"Y"</formula>
    </cfRule>
  </conditionalFormatting>
  <conditionalFormatting sqref="D1269:CV1269">
    <cfRule type="expression" dxfId="4" priority="6201">
      <formula>$D$39&lt;&gt;"Y"</formula>
    </cfRule>
  </conditionalFormatting>
  <conditionalFormatting sqref="D126:CV126">
    <cfRule type="expression" dxfId="4" priority="2772">
      <formula>$M$7&lt;&gt;"Y"</formula>
    </cfRule>
  </conditionalFormatting>
  <conditionalFormatting sqref="D1270:CV1270">
    <cfRule type="expression" dxfId="4" priority="6204">
      <formula>$E$39&lt;&gt;"Y"</formula>
    </cfRule>
  </conditionalFormatting>
  <conditionalFormatting sqref="D1271:CV1271">
    <cfRule type="expression" dxfId="4" priority="6207">
      <formula>$F$39&lt;&gt;"Y"</formula>
    </cfRule>
  </conditionalFormatting>
  <conditionalFormatting sqref="D1272:CV1272">
    <cfRule type="expression" dxfId="4" priority="6210">
      <formula>$G$39&lt;&gt;"Y"</formula>
    </cfRule>
  </conditionalFormatting>
  <conditionalFormatting sqref="D1273:CV1273">
    <cfRule type="expression" dxfId="4" priority="6213">
      <formula>$H$39&lt;&gt;"Y"</formula>
    </cfRule>
  </conditionalFormatting>
  <conditionalFormatting sqref="D1274:CV1274">
    <cfRule type="expression" dxfId="4" priority="6216">
      <formula>$I$39&lt;&gt;"Y"</formula>
    </cfRule>
  </conditionalFormatting>
  <conditionalFormatting sqref="D1275:CV1275">
    <cfRule type="expression" dxfId="4" priority="6219">
      <formula>$J$39&lt;&gt;"Y"</formula>
    </cfRule>
  </conditionalFormatting>
  <conditionalFormatting sqref="D1276:CV1276">
    <cfRule type="expression" dxfId="4" priority="6222">
      <formula>$K$39&lt;&gt;"Y"</formula>
    </cfRule>
  </conditionalFormatting>
  <conditionalFormatting sqref="D1277:CV1277">
    <cfRule type="expression" dxfId="4" priority="6225">
      <formula>$L$39&lt;&gt;"Y"</formula>
    </cfRule>
  </conditionalFormatting>
  <conditionalFormatting sqref="D1278:CV1278">
    <cfRule type="expression" dxfId="4" priority="6228">
      <formula>$M$39&lt;&gt;"Y"</formula>
    </cfRule>
  </conditionalFormatting>
  <conditionalFormatting sqref="D1279:CV1279">
    <cfRule type="expression" dxfId="4" priority="6231">
      <formula>$N$39&lt;&gt;"Y"</formula>
    </cfRule>
  </conditionalFormatting>
  <conditionalFormatting sqref="D127:CV127">
    <cfRule type="expression" dxfId="4" priority="2775">
      <formula>$N$7&lt;&gt;"Y"</formula>
    </cfRule>
  </conditionalFormatting>
  <conditionalFormatting sqref="D1280:CV1280">
    <cfRule type="expression" dxfId="4" priority="6234">
      <formula>$O$39&lt;&gt;"Y"</formula>
    </cfRule>
  </conditionalFormatting>
  <conditionalFormatting sqref="D1281:CV1281">
    <cfRule type="expression" dxfId="4" priority="6237">
      <formula>$P$39&lt;&gt;"Y"</formula>
    </cfRule>
  </conditionalFormatting>
  <conditionalFormatting sqref="D1282:CV1282">
    <cfRule type="expression" dxfId="4" priority="6240">
      <formula>$Q$39&lt;&gt;"Y"</formula>
    </cfRule>
  </conditionalFormatting>
  <conditionalFormatting sqref="D1283:CV1283">
    <cfRule type="expression" dxfId="4" priority="6243">
      <formula>$R$39&lt;&gt;"Y"</formula>
    </cfRule>
  </conditionalFormatting>
  <conditionalFormatting sqref="D1284:CV1284">
    <cfRule type="expression" dxfId="4" priority="6246">
      <formula>$S$39&lt;&gt;"Y"</formula>
    </cfRule>
  </conditionalFormatting>
  <conditionalFormatting sqref="D1285:CV1285">
    <cfRule type="expression" dxfId="4" priority="6249">
      <formula>$T$39&lt;&gt;"Y"</formula>
    </cfRule>
  </conditionalFormatting>
  <conditionalFormatting sqref="D1286:CV1286">
    <cfRule type="expression" dxfId="4" priority="6252">
      <formula>$U$39&lt;&gt;"Y"</formula>
    </cfRule>
  </conditionalFormatting>
  <conditionalFormatting sqref="D1287:CV1287">
    <cfRule type="expression" dxfId="4" priority="6255">
      <formula>$V$39&lt;&gt;"Y"</formula>
    </cfRule>
  </conditionalFormatting>
  <conditionalFormatting sqref="D1288:CV1288">
    <cfRule type="expression" dxfId="4" priority="6258">
      <formula>$W$39&lt;&gt;"Y"</formula>
    </cfRule>
  </conditionalFormatting>
  <conditionalFormatting sqref="D1289:CV1289">
    <cfRule type="expression" dxfId="4" priority="6261">
      <formula>$X$39&lt;&gt;"Y"</formula>
    </cfRule>
  </conditionalFormatting>
  <conditionalFormatting sqref="D128:CV128">
    <cfRule type="expression" dxfId="4" priority="2778">
      <formula>$O$7&lt;&gt;"Y"</formula>
    </cfRule>
  </conditionalFormatting>
  <conditionalFormatting sqref="D1290:CV1290">
    <cfRule type="expression" dxfId="4" priority="6264">
      <formula>$Y$39&lt;&gt;"Y"</formula>
    </cfRule>
  </conditionalFormatting>
  <conditionalFormatting sqref="D1291:CV1291">
    <cfRule type="expression" dxfId="4" priority="6267">
      <formula>$Z$39&lt;&gt;"Y"</formula>
    </cfRule>
  </conditionalFormatting>
  <conditionalFormatting sqref="D1292:CV1292">
    <cfRule type="expression" dxfId="4" priority="6270">
      <formula>$AA$39&lt;&gt;"Y"</formula>
    </cfRule>
  </conditionalFormatting>
  <conditionalFormatting sqref="D1293:CV1293">
    <cfRule type="expression" dxfId="4" priority="6273">
      <formula>$AB$39&lt;&gt;"Y"</formula>
    </cfRule>
  </conditionalFormatting>
  <conditionalFormatting sqref="D1294:CV1294">
    <cfRule type="expression" dxfId="4" priority="6276">
      <formula>$AC$39&lt;&gt;"Y"</formula>
    </cfRule>
  </conditionalFormatting>
  <conditionalFormatting sqref="D1295:CV1295">
    <cfRule type="expression" dxfId="4" priority="6279">
      <formula>$AD$39&lt;&gt;"Y"</formula>
    </cfRule>
  </conditionalFormatting>
  <conditionalFormatting sqref="D1296:CV1296">
    <cfRule type="expression" dxfId="4" priority="6282">
      <formula>$AE$39&lt;&gt;"Y"</formula>
    </cfRule>
  </conditionalFormatting>
  <conditionalFormatting sqref="D1297:CV1297">
    <cfRule type="expression" dxfId="4" priority="6285">
      <formula>$AF$39&lt;&gt;"Y"</formula>
    </cfRule>
  </conditionalFormatting>
  <conditionalFormatting sqref="D1298:CV1298">
    <cfRule type="expression" dxfId="4" priority="6288">
      <formula>$AG$39&lt;&gt;"Y"</formula>
    </cfRule>
  </conditionalFormatting>
  <conditionalFormatting sqref="D1299:CV1299">
    <cfRule type="expression" dxfId="4" priority="6291">
      <formula>$AH$39&lt;&gt;"Y"</formula>
    </cfRule>
  </conditionalFormatting>
  <conditionalFormatting sqref="D129:CV129">
    <cfRule type="expression" dxfId="4" priority="2781">
      <formula>$P$7&lt;&gt;"Y"</formula>
    </cfRule>
  </conditionalFormatting>
  <conditionalFormatting sqref="D13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D1300:CV1300">
    <cfRule type="expression" dxfId="4" priority="6294">
      <formula>$AI$39&lt;&gt;"Y"</formula>
    </cfRule>
  </conditionalFormatting>
  <conditionalFormatting sqref="D1301:CV1301">
    <cfRule type="expression" dxfId="4" priority="6297">
      <formula>$AJ$39&lt;&gt;"Y"</formula>
    </cfRule>
  </conditionalFormatting>
  <conditionalFormatting sqref="D1302:CV1302">
    <cfRule type="expression" dxfId="4" priority="6300">
      <formula>$AK$39&lt;&gt;"Y"</formula>
    </cfRule>
  </conditionalFormatting>
  <conditionalFormatting sqref="D1303:CV1303">
    <cfRule type="expression" dxfId="4" priority="6303">
      <formula>$B$40&lt;&gt;"Y"</formula>
    </cfRule>
  </conditionalFormatting>
  <conditionalFormatting sqref="D1304:CV1304">
    <cfRule type="expression" dxfId="4" priority="6306">
      <formula>$C$40&lt;&gt;"Y"</formula>
    </cfRule>
  </conditionalFormatting>
  <conditionalFormatting sqref="D1305:CV1305">
    <cfRule type="expression" dxfId="4" priority="6309">
      <formula>$D$40&lt;&gt;"Y"</formula>
    </cfRule>
  </conditionalFormatting>
  <conditionalFormatting sqref="D1306:CV1306">
    <cfRule type="expression" dxfId="4" priority="6312">
      <formula>$E$40&lt;&gt;"Y"</formula>
    </cfRule>
  </conditionalFormatting>
  <conditionalFormatting sqref="D1307:CV1307">
    <cfRule type="expression" dxfId="4" priority="6315">
      <formula>$F$40&lt;&gt;"Y"</formula>
    </cfRule>
  </conditionalFormatting>
  <conditionalFormatting sqref="D1308:CV1308">
    <cfRule type="expression" dxfId="4" priority="6318">
      <formula>$G$40&lt;&gt;"Y"</formula>
    </cfRule>
  </conditionalFormatting>
  <conditionalFormatting sqref="D1309:CV1309">
    <cfRule type="expression" dxfId="4" priority="6321">
      <formula>$H$40&lt;&gt;"Y"</formula>
    </cfRule>
  </conditionalFormatting>
  <conditionalFormatting sqref="D130:CV130">
    <cfRule type="expression" dxfId="4" priority="2784">
      <formula>$Q$7&lt;&gt;"Y"</formula>
    </cfRule>
  </conditionalFormatting>
  <conditionalFormatting sqref="D1310:CV1310">
    <cfRule type="expression" dxfId="4" priority="6324">
      <formula>$I$40&lt;&gt;"Y"</formula>
    </cfRule>
  </conditionalFormatting>
  <conditionalFormatting sqref="D1311:CV1311">
    <cfRule type="expression" dxfId="4" priority="6327">
      <formula>$J$40&lt;&gt;"Y"</formula>
    </cfRule>
  </conditionalFormatting>
  <conditionalFormatting sqref="D1312:CV1312">
    <cfRule type="expression" dxfId="4" priority="6330">
      <formula>$K$40&lt;&gt;"Y"</formula>
    </cfRule>
  </conditionalFormatting>
  <conditionalFormatting sqref="D1313:CV1313">
    <cfRule type="expression" dxfId="4" priority="6333">
      <formula>$L$40&lt;&gt;"Y"</formula>
    </cfRule>
  </conditionalFormatting>
  <conditionalFormatting sqref="D1314:CV1314">
    <cfRule type="expression" dxfId="4" priority="6336">
      <formula>$M$40&lt;&gt;"Y"</formula>
    </cfRule>
  </conditionalFormatting>
  <conditionalFormatting sqref="D1315:CV1315">
    <cfRule type="expression" dxfId="4" priority="6339">
      <formula>$N$40&lt;&gt;"Y"</formula>
    </cfRule>
  </conditionalFormatting>
  <conditionalFormatting sqref="D1316:CV1316">
    <cfRule type="expression" dxfId="4" priority="6342">
      <formula>$O$40&lt;&gt;"Y"</formula>
    </cfRule>
  </conditionalFormatting>
  <conditionalFormatting sqref="D1317:CV1317">
    <cfRule type="expression" dxfId="4" priority="6345">
      <formula>$P$40&lt;&gt;"Y"</formula>
    </cfRule>
  </conditionalFormatting>
  <conditionalFormatting sqref="D1318:CV1318">
    <cfRule type="expression" dxfId="4" priority="6348">
      <formula>$Q$40&lt;&gt;"Y"</formula>
    </cfRule>
  </conditionalFormatting>
  <conditionalFormatting sqref="D1319:CV1319">
    <cfRule type="expression" dxfId="4" priority="6351">
      <formula>$R$40&lt;&gt;"Y"</formula>
    </cfRule>
  </conditionalFormatting>
  <conditionalFormatting sqref="D131:CV131">
    <cfRule type="expression" dxfId="4" priority="2787">
      <formula>$R$7&lt;&gt;"Y"</formula>
    </cfRule>
  </conditionalFormatting>
  <conditionalFormatting sqref="D1320:CV1320">
    <cfRule type="expression" dxfId="4" priority="6354">
      <formula>$S$40&lt;&gt;"Y"</formula>
    </cfRule>
  </conditionalFormatting>
  <conditionalFormatting sqref="D1321:CV1321">
    <cfRule type="expression" dxfId="4" priority="6357">
      <formula>$T$40&lt;&gt;"Y"</formula>
    </cfRule>
  </conditionalFormatting>
  <conditionalFormatting sqref="D1322:CV1322">
    <cfRule type="expression" dxfId="4" priority="6360">
      <formula>$U$40&lt;&gt;"Y"</formula>
    </cfRule>
  </conditionalFormatting>
  <conditionalFormatting sqref="D1323:CV1323">
    <cfRule type="expression" dxfId="4" priority="6363">
      <formula>$V$40&lt;&gt;"Y"</formula>
    </cfRule>
  </conditionalFormatting>
  <conditionalFormatting sqref="D1324:CV1324">
    <cfRule type="expression" dxfId="4" priority="6366">
      <formula>$W$40&lt;&gt;"Y"</formula>
    </cfRule>
  </conditionalFormatting>
  <conditionalFormatting sqref="D1325:CV1325">
    <cfRule type="expression" dxfId="4" priority="6369">
      <formula>$X$40&lt;&gt;"Y"</formula>
    </cfRule>
  </conditionalFormatting>
  <conditionalFormatting sqref="D1326:CV1326">
    <cfRule type="expression" dxfId="4" priority="6372">
      <formula>$Y$40&lt;&gt;"Y"</formula>
    </cfRule>
  </conditionalFormatting>
  <conditionalFormatting sqref="D1327:CV1327">
    <cfRule type="expression" dxfId="4" priority="6375">
      <formula>$Z$40&lt;&gt;"Y"</formula>
    </cfRule>
  </conditionalFormatting>
  <conditionalFormatting sqref="D1328:CV1328">
    <cfRule type="expression" dxfId="4" priority="6378">
      <formula>$AA$40&lt;&gt;"Y"</formula>
    </cfRule>
  </conditionalFormatting>
  <conditionalFormatting sqref="D1329:CV1329">
    <cfRule type="expression" dxfId="4" priority="6381">
      <formula>$AB$40&lt;&gt;"Y"</formula>
    </cfRule>
  </conditionalFormatting>
  <conditionalFormatting sqref="D132:CV132">
    <cfRule type="expression" dxfId="4" priority="2790">
      <formula>$S$7&lt;&gt;"Y"</formula>
    </cfRule>
  </conditionalFormatting>
  <conditionalFormatting sqref="D1330:CV1330">
    <cfRule type="expression" dxfId="4" priority="6384">
      <formula>$AC$40&lt;&gt;"Y"</formula>
    </cfRule>
  </conditionalFormatting>
  <conditionalFormatting sqref="D1331:CV1331">
    <cfRule type="expression" dxfId="4" priority="6387">
      <formula>$AD$40&lt;&gt;"Y"</formula>
    </cfRule>
  </conditionalFormatting>
  <conditionalFormatting sqref="D1332:CV1332">
    <cfRule type="expression" dxfId="4" priority="6390">
      <formula>$AE$40&lt;&gt;"Y"</formula>
    </cfRule>
  </conditionalFormatting>
  <conditionalFormatting sqref="D1333:CV1333">
    <cfRule type="expression" dxfId="4" priority="6393">
      <formula>$AF$40&lt;&gt;"Y"</formula>
    </cfRule>
  </conditionalFormatting>
  <conditionalFormatting sqref="D1334:CV1334">
    <cfRule type="expression" dxfId="4" priority="6396">
      <formula>$AG$40&lt;&gt;"Y"</formula>
    </cfRule>
  </conditionalFormatting>
  <conditionalFormatting sqref="D1335:CV1335">
    <cfRule type="expression" dxfId="4" priority="6399">
      <formula>$AH$40&lt;&gt;"Y"</formula>
    </cfRule>
  </conditionalFormatting>
  <conditionalFormatting sqref="D1336:CV1336">
    <cfRule type="expression" dxfId="4" priority="6402">
      <formula>$AI$40&lt;&gt;"Y"</formula>
    </cfRule>
  </conditionalFormatting>
  <conditionalFormatting sqref="D1337:CV1337">
    <cfRule type="expression" dxfId="4" priority="6405">
      <formula>$AJ$40&lt;&gt;"Y"</formula>
    </cfRule>
  </conditionalFormatting>
  <conditionalFormatting sqref="D1338:CV1338">
    <cfRule type="expression" dxfId="4" priority="6408">
      <formula>$AK$40&lt;&gt;"Y"</formula>
    </cfRule>
  </conditionalFormatting>
  <conditionalFormatting sqref="D133:CV133">
    <cfRule type="expression" dxfId="4" priority="2793">
      <formula>$T$7&lt;&gt;"Y"</formula>
    </cfRule>
  </conditionalFormatting>
  <conditionalFormatting sqref="D134:CV134">
    <cfRule type="expression" dxfId="4" priority="2796">
      <formula>$U$7&lt;&gt;"Y"</formula>
    </cfRule>
  </conditionalFormatting>
  <conditionalFormatting sqref="D135:CV135">
    <cfRule type="expression" dxfId="4" priority="2799">
      <formula>$V$7&lt;&gt;"Y"</formula>
    </cfRule>
  </conditionalFormatting>
  <conditionalFormatting sqref="D136:CV136">
    <cfRule type="expression" dxfId="4" priority="2802">
      <formula>$W$7&lt;&gt;"Y"</formula>
    </cfRule>
  </conditionalFormatting>
  <conditionalFormatting sqref="D137:CV137">
    <cfRule type="expression" dxfId="4" priority="2805">
      <formula>$X$7&lt;&gt;"Y"</formula>
    </cfRule>
  </conditionalFormatting>
  <conditionalFormatting sqref="D138:CV138">
    <cfRule type="expression" dxfId="4" priority="2808">
      <formula>$Y$7&lt;&gt;"Y"</formula>
    </cfRule>
  </conditionalFormatting>
  <conditionalFormatting sqref="D139:CV139">
    <cfRule type="expression" dxfId="4" priority="2811">
      <formula>$Z$7&lt;&gt;"Y"</formula>
    </cfRule>
  </conditionalFormatting>
  <conditionalFormatting sqref="D14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D140:CV140">
    <cfRule type="expression" dxfId="4" priority="2814">
      <formula>$AA$7&lt;&gt;"Y"</formula>
    </cfRule>
  </conditionalFormatting>
  <conditionalFormatting sqref="D141:CV141">
    <cfRule type="expression" dxfId="4" priority="2817">
      <formula>$AB$7&lt;&gt;"Y"</formula>
    </cfRule>
  </conditionalFormatting>
  <conditionalFormatting sqref="D142:CV142">
    <cfRule type="expression" dxfId="4" priority="2820">
      <formula>$AC$7&lt;&gt;"Y"</formula>
    </cfRule>
  </conditionalFormatting>
  <conditionalFormatting sqref="D143:CV143">
    <cfRule type="expression" dxfId="4" priority="2823">
      <formula>$AD$7&lt;&gt;"Y"</formula>
    </cfRule>
  </conditionalFormatting>
  <conditionalFormatting sqref="D144:CV144">
    <cfRule type="expression" dxfId="4" priority="2826">
      <formula>$AE$7&lt;&gt;"Y"</formula>
    </cfRule>
  </conditionalFormatting>
  <conditionalFormatting sqref="D145:CV145">
    <cfRule type="expression" dxfId="4" priority="2829">
      <formula>$AF$7&lt;&gt;"Y"</formula>
    </cfRule>
  </conditionalFormatting>
  <conditionalFormatting sqref="D146:CV146">
    <cfRule type="expression" dxfId="4" priority="2832">
      <formula>$AG$7&lt;&gt;"Y"</formula>
    </cfRule>
  </conditionalFormatting>
  <conditionalFormatting sqref="D147:CV147">
    <cfRule type="expression" dxfId="4" priority="2835">
      <formula>$AH$7&lt;&gt;"Y"</formula>
    </cfRule>
  </conditionalFormatting>
  <conditionalFormatting sqref="D148:CV148">
    <cfRule type="expression" dxfId="4" priority="2838">
      <formula>$AI$7&lt;&gt;"Y"</formula>
    </cfRule>
  </conditionalFormatting>
  <conditionalFormatting sqref="D149:CV149">
    <cfRule type="expression" dxfId="4" priority="2841">
      <formula>$AJ$7&lt;&gt;"Y"</formula>
    </cfRule>
  </conditionalFormatting>
  <conditionalFormatting sqref="D15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D150:CV150">
    <cfRule type="expression" dxfId="4" priority="2844">
      <formula>$AK$7&lt;&gt;"Y"</formula>
    </cfRule>
  </conditionalFormatting>
  <conditionalFormatting sqref="D151:CV151">
    <cfRule type="expression" dxfId="4" priority="2847">
      <formula>$B$8&lt;&gt;"Y"</formula>
    </cfRule>
  </conditionalFormatting>
  <conditionalFormatting sqref="D152:CV152">
    <cfRule type="expression" dxfId="4" priority="2850">
      <formula>$C$8&lt;&gt;"Y"</formula>
    </cfRule>
  </conditionalFormatting>
  <conditionalFormatting sqref="D153:CV153">
    <cfRule type="expression" dxfId="4" priority="2853">
      <formula>$D$8&lt;&gt;"Y"</formula>
    </cfRule>
  </conditionalFormatting>
  <conditionalFormatting sqref="D154:CV154">
    <cfRule type="expression" dxfId="4" priority="2856">
      <formula>$E$8&lt;&gt;"Y"</formula>
    </cfRule>
  </conditionalFormatting>
  <conditionalFormatting sqref="D155:CV155">
    <cfRule type="expression" dxfId="4" priority="2859">
      <formula>$F$8&lt;&gt;"Y"</formula>
    </cfRule>
  </conditionalFormatting>
  <conditionalFormatting sqref="D156:CV156">
    <cfRule type="expression" dxfId="4" priority="2862">
      <formula>$G$8&lt;&gt;"Y"</formula>
    </cfRule>
  </conditionalFormatting>
  <conditionalFormatting sqref="D157:CV157">
    <cfRule type="expression" dxfId="4" priority="2865">
      <formula>$H$8&lt;&gt;"Y"</formula>
    </cfRule>
  </conditionalFormatting>
  <conditionalFormatting sqref="D158:CV158">
    <cfRule type="expression" dxfId="4" priority="2868">
      <formula>$I$8&lt;&gt;"Y"</formula>
    </cfRule>
  </conditionalFormatting>
  <conditionalFormatting sqref="D159:CV159">
    <cfRule type="expression" dxfId="4" priority="2871">
      <formula>$J$8&lt;&gt;"Y"</formula>
    </cfRule>
  </conditionalFormatting>
  <conditionalFormatting sqref="D16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D160:CV160">
    <cfRule type="expression" dxfId="4" priority="2874">
      <formula>$K$8&lt;&gt;"Y"</formula>
    </cfRule>
  </conditionalFormatting>
  <conditionalFormatting sqref="D161:CV161">
    <cfRule type="expression" dxfId="4" priority="2877">
      <formula>$L$8&lt;&gt;"Y"</formula>
    </cfRule>
  </conditionalFormatting>
  <conditionalFormatting sqref="D162:CV162">
    <cfRule type="expression" dxfId="4" priority="2880">
      <formula>$M$8&lt;&gt;"Y"</formula>
    </cfRule>
  </conditionalFormatting>
  <conditionalFormatting sqref="D163:CV163">
    <cfRule type="expression" dxfId="4" priority="2883">
      <formula>$N$8&lt;&gt;"Y"</formula>
    </cfRule>
  </conditionalFormatting>
  <conditionalFormatting sqref="D164:CV164">
    <cfRule type="expression" dxfId="4" priority="2886">
      <formula>$O$8&lt;&gt;"Y"</formula>
    </cfRule>
  </conditionalFormatting>
  <conditionalFormatting sqref="D165:CV165">
    <cfRule type="expression" dxfId="4" priority="2889">
      <formula>$P$8&lt;&gt;"Y"</formula>
    </cfRule>
  </conditionalFormatting>
  <conditionalFormatting sqref="D166:CV166">
    <cfRule type="expression" dxfId="4" priority="2892">
      <formula>$Q$8&lt;&gt;"Y"</formula>
    </cfRule>
  </conditionalFormatting>
  <conditionalFormatting sqref="D167:CV167">
    <cfRule type="expression" dxfId="4" priority="2895">
      <formula>$R$8&lt;&gt;"Y"</formula>
    </cfRule>
  </conditionalFormatting>
  <conditionalFormatting sqref="D168:CV168">
    <cfRule type="expression" dxfId="4" priority="2898">
      <formula>$S$8&lt;&gt;"Y"</formula>
    </cfRule>
  </conditionalFormatting>
  <conditionalFormatting sqref="D169:CV169">
    <cfRule type="expression" dxfId="4" priority="2901">
      <formula>$T$8&lt;&gt;"Y"</formula>
    </cfRule>
  </conditionalFormatting>
  <conditionalFormatting sqref="D17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D170:CV170">
    <cfRule type="expression" dxfId="4" priority="2904">
      <formula>$U$8&lt;&gt;"Y"</formula>
    </cfRule>
  </conditionalFormatting>
  <conditionalFormatting sqref="D171:CV171">
    <cfRule type="expression" dxfId="4" priority="2907">
      <formula>$V$8&lt;&gt;"Y"</formula>
    </cfRule>
  </conditionalFormatting>
  <conditionalFormatting sqref="D172:CV172">
    <cfRule type="expression" dxfId="4" priority="2910">
      <formula>$W$8&lt;&gt;"Y"</formula>
    </cfRule>
  </conditionalFormatting>
  <conditionalFormatting sqref="D173:CV173">
    <cfRule type="expression" dxfId="4" priority="2913">
      <formula>$X$8&lt;&gt;"Y"</formula>
    </cfRule>
  </conditionalFormatting>
  <conditionalFormatting sqref="D174:CV174">
    <cfRule type="expression" dxfId="4" priority="2916">
      <formula>$Y$8&lt;&gt;"Y"</formula>
    </cfRule>
  </conditionalFormatting>
  <conditionalFormatting sqref="D175:CV175">
    <cfRule type="expression" dxfId="4" priority="2919">
      <formula>$Z$8&lt;&gt;"Y"</formula>
    </cfRule>
  </conditionalFormatting>
  <conditionalFormatting sqref="D176:CV176">
    <cfRule type="expression" dxfId="4" priority="2922">
      <formula>$AA$8&lt;&gt;"Y"</formula>
    </cfRule>
  </conditionalFormatting>
  <conditionalFormatting sqref="D177:CV177">
    <cfRule type="expression" dxfId="4" priority="2925">
      <formula>$AB$8&lt;&gt;"Y"</formula>
    </cfRule>
  </conditionalFormatting>
  <conditionalFormatting sqref="D178:CV178">
    <cfRule type="expression" dxfId="4" priority="2928">
      <formula>$AC$8&lt;&gt;"Y"</formula>
    </cfRule>
  </conditionalFormatting>
  <conditionalFormatting sqref="D179:CV179">
    <cfRule type="expression" dxfId="4" priority="2931">
      <formula>$AD$8&lt;&gt;"Y"</formula>
    </cfRule>
  </conditionalFormatting>
  <conditionalFormatting sqref="D18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D180:CV180">
    <cfRule type="expression" dxfId="4" priority="2934">
      <formula>$AE$8&lt;&gt;"Y"</formula>
    </cfRule>
  </conditionalFormatting>
  <conditionalFormatting sqref="D181:CV181">
    <cfRule type="expression" dxfId="4" priority="2937">
      <formula>$AF$8&lt;&gt;"Y"</formula>
    </cfRule>
  </conditionalFormatting>
  <conditionalFormatting sqref="D182:CV182">
    <cfRule type="expression" dxfId="4" priority="2940">
      <formula>$AG$8&lt;&gt;"Y"</formula>
    </cfRule>
  </conditionalFormatting>
  <conditionalFormatting sqref="D183:CV183">
    <cfRule type="expression" dxfId="4" priority="2943">
      <formula>$AH$8&lt;&gt;"Y"</formula>
    </cfRule>
  </conditionalFormatting>
  <conditionalFormatting sqref="D184:CV184">
    <cfRule type="expression" dxfId="4" priority="2946">
      <formula>$AI$8&lt;&gt;"Y"</formula>
    </cfRule>
  </conditionalFormatting>
  <conditionalFormatting sqref="D185:CV185">
    <cfRule type="expression" dxfId="4" priority="2949">
      <formula>$AJ$8&lt;&gt;"Y"</formula>
    </cfRule>
  </conditionalFormatting>
  <conditionalFormatting sqref="D186:CV186">
    <cfRule type="expression" dxfId="4" priority="2952">
      <formula>$AK$8&lt;&gt;"Y"</formula>
    </cfRule>
  </conditionalFormatting>
  <conditionalFormatting sqref="D187:CV187">
    <cfRule type="expression" dxfId="4" priority="2955">
      <formula>$B$9&lt;&gt;"Y"</formula>
    </cfRule>
  </conditionalFormatting>
  <conditionalFormatting sqref="D188:CV188">
    <cfRule type="expression" dxfId="4" priority="2958">
      <formula>$C$9&lt;&gt;"Y"</formula>
    </cfRule>
  </conditionalFormatting>
  <conditionalFormatting sqref="D189:CV189">
    <cfRule type="expression" dxfId="4" priority="2961">
      <formula>$D$9&lt;&gt;"Y"</formula>
    </cfRule>
  </conditionalFormatting>
  <conditionalFormatting sqref="D19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190:CV190">
    <cfRule type="expression" dxfId="4" priority="2964">
      <formula>$E$9&lt;&gt;"Y"</formula>
    </cfRule>
  </conditionalFormatting>
  <conditionalFormatting sqref="D191:CV191">
    <cfRule type="expression" dxfId="4" priority="2967">
      <formula>$F$9&lt;&gt;"Y"</formula>
    </cfRule>
  </conditionalFormatting>
  <conditionalFormatting sqref="D192:CV192">
    <cfRule type="expression" dxfId="4" priority="2970">
      <formula>$G$9&lt;&gt;"Y"</formula>
    </cfRule>
  </conditionalFormatting>
  <conditionalFormatting sqref="D193:CV193">
    <cfRule type="expression" dxfId="4" priority="2973">
      <formula>$H$9&lt;&gt;"Y"</formula>
    </cfRule>
  </conditionalFormatting>
  <conditionalFormatting sqref="D194:CV194">
    <cfRule type="expression" dxfId="4" priority="2976">
      <formula>$I$9&lt;&gt;"Y"</formula>
    </cfRule>
  </conditionalFormatting>
  <conditionalFormatting sqref="D195:CV195">
    <cfRule type="expression" dxfId="4" priority="2979">
      <formula>$J$9&lt;&gt;"Y"</formula>
    </cfRule>
  </conditionalFormatting>
  <conditionalFormatting sqref="D196:CV196">
    <cfRule type="expression" dxfId="4" priority="2982">
      <formula>$K$9&lt;&gt;"Y"</formula>
    </cfRule>
  </conditionalFormatting>
  <conditionalFormatting sqref="D197:CV197">
    <cfRule type="expression" dxfId="4" priority="2985">
      <formula>$L$9&lt;&gt;"Y"</formula>
    </cfRule>
  </conditionalFormatting>
  <conditionalFormatting sqref="D198:CV198">
    <cfRule type="expression" dxfId="4" priority="2988">
      <formula>$M$9&lt;&gt;"Y"</formula>
    </cfRule>
  </conditionalFormatting>
  <conditionalFormatting sqref="D199:CV199">
    <cfRule type="expression" dxfId="4" priority="2991">
      <formula>$N$9&lt;&gt;"Y"</formula>
    </cfRule>
  </conditionalFormatting>
  <conditionalFormatting sqref="D20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D200:CV200">
    <cfRule type="expression" dxfId="4" priority="2994">
      <formula>$O$9&lt;&gt;"Y"</formula>
    </cfRule>
  </conditionalFormatting>
  <conditionalFormatting sqref="D201:CV201">
    <cfRule type="expression" dxfId="4" priority="2997">
      <formula>$P$9&lt;&gt;"Y"</formula>
    </cfRule>
  </conditionalFormatting>
  <conditionalFormatting sqref="D202:CV202">
    <cfRule type="expression" dxfId="4" priority="3000">
      <formula>$Q$9&lt;&gt;"Y"</formula>
    </cfRule>
  </conditionalFormatting>
  <conditionalFormatting sqref="D203:CV203">
    <cfRule type="expression" dxfId="4" priority="3003">
      <formula>$R$9&lt;&gt;"Y"</formula>
    </cfRule>
  </conditionalFormatting>
  <conditionalFormatting sqref="D204:CV204">
    <cfRule type="expression" dxfId="4" priority="3006">
      <formula>$S$9&lt;&gt;"Y"</formula>
    </cfRule>
  </conditionalFormatting>
  <conditionalFormatting sqref="D205:CV205">
    <cfRule type="expression" dxfId="4" priority="3009">
      <formula>$T$9&lt;&gt;"Y"</formula>
    </cfRule>
  </conditionalFormatting>
  <conditionalFormatting sqref="D206:CV206">
    <cfRule type="expression" dxfId="4" priority="3012">
      <formula>$U$9&lt;&gt;"Y"</formula>
    </cfRule>
  </conditionalFormatting>
  <conditionalFormatting sqref="D207:CV207">
    <cfRule type="expression" dxfId="4" priority="3015">
      <formula>$V$9&lt;&gt;"Y"</formula>
    </cfRule>
  </conditionalFormatting>
  <conditionalFormatting sqref="D208:CV208">
    <cfRule type="expression" dxfId="4" priority="3018">
      <formula>$W$9&lt;&gt;"Y"</formula>
    </cfRule>
  </conditionalFormatting>
  <conditionalFormatting sqref="D209:CV209">
    <cfRule type="expression" dxfId="4" priority="3021">
      <formula>$X$9&lt;&gt;"Y"</formula>
    </cfRule>
  </conditionalFormatting>
  <conditionalFormatting sqref="D21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10:CV210">
    <cfRule type="expression" dxfId="4" priority="3024">
      <formula>$Y$9&lt;&gt;"Y"</formula>
    </cfRule>
  </conditionalFormatting>
  <conditionalFormatting sqref="D211:CV211">
    <cfRule type="expression" dxfId="4" priority="3027">
      <formula>$Z$9&lt;&gt;"Y"</formula>
    </cfRule>
  </conditionalFormatting>
  <conditionalFormatting sqref="D212:CV212">
    <cfRule type="expression" dxfId="4" priority="3030">
      <formula>$AA$9&lt;&gt;"Y"</formula>
    </cfRule>
  </conditionalFormatting>
  <conditionalFormatting sqref="D213:CV213">
    <cfRule type="expression" dxfId="4" priority="3033">
      <formula>$AB$9&lt;&gt;"Y"</formula>
    </cfRule>
  </conditionalFormatting>
  <conditionalFormatting sqref="D214:CV214">
    <cfRule type="expression" dxfId="4" priority="3036">
      <formula>$AC$9&lt;&gt;"Y"</formula>
    </cfRule>
  </conditionalFormatting>
  <conditionalFormatting sqref="D215:CV215">
    <cfRule type="expression" dxfId="4" priority="3039">
      <formula>$AD$9&lt;&gt;"Y"</formula>
    </cfRule>
  </conditionalFormatting>
  <conditionalFormatting sqref="D216:CV216">
    <cfRule type="expression" dxfId="4" priority="3042">
      <formula>$AE$9&lt;&gt;"Y"</formula>
    </cfRule>
  </conditionalFormatting>
  <conditionalFormatting sqref="D217:CV217">
    <cfRule type="expression" dxfId="4" priority="3045">
      <formula>$AF$9&lt;&gt;"Y"</formula>
    </cfRule>
  </conditionalFormatting>
  <conditionalFormatting sqref="D218:CV218">
    <cfRule type="expression" dxfId="4" priority="3048">
      <formula>$AG$9&lt;&gt;"Y"</formula>
    </cfRule>
  </conditionalFormatting>
  <conditionalFormatting sqref="D219:CV219">
    <cfRule type="expression" dxfId="4" priority="3051">
      <formula>$AH$9&lt;&gt;"Y"</formula>
    </cfRule>
  </conditionalFormatting>
  <conditionalFormatting sqref="D22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D220:CV220">
    <cfRule type="expression" dxfId="4" priority="3054">
      <formula>$AI$9&lt;&gt;"Y"</formula>
    </cfRule>
  </conditionalFormatting>
  <conditionalFormatting sqref="D221:CV221">
    <cfRule type="expression" dxfId="4" priority="3057">
      <formula>$AJ$9&lt;&gt;"Y"</formula>
    </cfRule>
  </conditionalFormatting>
  <conditionalFormatting sqref="D222:CV222">
    <cfRule type="expression" dxfId="4" priority="3060">
      <formula>$AK$9&lt;&gt;"Y"</formula>
    </cfRule>
  </conditionalFormatting>
  <conditionalFormatting sqref="D223:CV223">
    <cfRule type="expression" dxfId="4" priority="3063">
      <formula>$B$10&lt;&gt;"Y"</formula>
    </cfRule>
  </conditionalFormatting>
  <conditionalFormatting sqref="D224:CV224">
    <cfRule type="expression" dxfId="4" priority="3066">
      <formula>$C$10&lt;&gt;"Y"</formula>
    </cfRule>
  </conditionalFormatting>
  <conditionalFormatting sqref="D225:CV225">
    <cfRule type="expression" dxfId="4" priority="3069">
      <formula>$D$10&lt;&gt;"Y"</formula>
    </cfRule>
  </conditionalFormatting>
  <conditionalFormatting sqref="D226:CV226">
    <cfRule type="expression" dxfId="4" priority="3072">
      <formula>$E$10&lt;&gt;"Y"</formula>
    </cfRule>
  </conditionalFormatting>
  <conditionalFormatting sqref="D227:CV227">
    <cfRule type="expression" dxfId="4" priority="3075">
      <formula>$F$10&lt;&gt;"Y"</formula>
    </cfRule>
  </conditionalFormatting>
  <conditionalFormatting sqref="D228:CV228">
    <cfRule type="expression" dxfId="4" priority="3078">
      <formula>$G$10&lt;&gt;"Y"</formula>
    </cfRule>
  </conditionalFormatting>
  <conditionalFormatting sqref="D229:CV229">
    <cfRule type="expression" dxfId="4" priority="3081">
      <formula>$H$10&lt;&gt;"Y"</formula>
    </cfRule>
  </conditionalFormatting>
  <conditionalFormatting sqref="D23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0:CV230">
    <cfRule type="expression" dxfId="4" priority="3084">
      <formula>$I$10&lt;&gt;"Y"</formula>
    </cfRule>
  </conditionalFormatting>
  <conditionalFormatting sqref="D231:CV231">
    <cfRule type="expression" dxfId="4" priority="3087">
      <formula>$J$10&lt;&gt;"Y"</formula>
    </cfRule>
  </conditionalFormatting>
  <conditionalFormatting sqref="D232:CV232">
    <cfRule type="expression" dxfId="4" priority="3090">
      <formula>$K$10&lt;&gt;"Y"</formula>
    </cfRule>
  </conditionalFormatting>
  <conditionalFormatting sqref="D233:CV233">
    <cfRule type="expression" dxfId="4" priority="3093">
      <formula>$L$10&lt;&gt;"Y"</formula>
    </cfRule>
  </conditionalFormatting>
  <conditionalFormatting sqref="D234:CV234">
    <cfRule type="expression" dxfId="4" priority="3096">
      <formula>$M$10&lt;&gt;"Y"</formula>
    </cfRule>
  </conditionalFormatting>
  <conditionalFormatting sqref="D235:CV235">
    <cfRule type="expression" dxfId="4" priority="3099">
      <formula>$N$10&lt;&gt;"Y"</formula>
    </cfRule>
  </conditionalFormatting>
  <conditionalFormatting sqref="D236:CV236">
    <cfRule type="expression" dxfId="4" priority="3102">
      <formula>$O$10&lt;&gt;"Y"</formula>
    </cfRule>
  </conditionalFormatting>
  <conditionalFormatting sqref="D237:CV237">
    <cfRule type="expression" dxfId="4" priority="3105">
      <formula>$P$10&lt;&gt;"Y"</formula>
    </cfRule>
  </conditionalFormatting>
  <conditionalFormatting sqref="D238:CV238">
    <cfRule type="expression" dxfId="4" priority="3108">
      <formula>$Q$10&lt;&gt;"Y"</formula>
    </cfRule>
  </conditionalFormatting>
  <conditionalFormatting sqref="D239:CV239">
    <cfRule type="expression" dxfId="4" priority="3111">
      <formula>$R$10&lt;&gt;"Y"</formula>
    </cfRule>
  </conditionalFormatting>
  <conditionalFormatting sqref="D2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D240:CV240">
    <cfRule type="expression" dxfId="4" priority="3114">
      <formula>$S$10&lt;&gt;"Y"</formula>
    </cfRule>
  </conditionalFormatting>
  <conditionalFormatting sqref="D241:CV241">
    <cfRule type="expression" dxfId="4" priority="3117">
      <formula>$T$10&lt;&gt;"Y"</formula>
    </cfRule>
  </conditionalFormatting>
  <conditionalFormatting sqref="D242:CV242">
    <cfRule type="expression" dxfId="4" priority="3120">
      <formula>$U$10&lt;&gt;"Y"</formula>
    </cfRule>
  </conditionalFormatting>
  <conditionalFormatting sqref="D243:CV243">
    <cfRule type="expression" dxfId="4" priority="3123">
      <formula>$V$10&lt;&gt;"Y"</formula>
    </cfRule>
  </conditionalFormatting>
  <conditionalFormatting sqref="D244:CV244">
    <cfRule type="expression" dxfId="4" priority="3126">
      <formula>$W$10&lt;&gt;"Y"</formula>
    </cfRule>
  </conditionalFormatting>
  <conditionalFormatting sqref="D245:CV245">
    <cfRule type="expression" dxfId="4" priority="3129">
      <formula>$X$10&lt;&gt;"Y"</formula>
    </cfRule>
  </conditionalFormatting>
  <conditionalFormatting sqref="D246:CV246">
    <cfRule type="expression" dxfId="4" priority="3132">
      <formula>$Y$10&lt;&gt;"Y"</formula>
    </cfRule>
  </conditionalFormatting>
  <conditionalFormatting sqref="D247:CV247">
    <cfRule type="expression" dxfId="4" priority="3135">
      <formula>$Z$10&lt;&gt;"Y"</formula>
    </cfRule>
  </conditionalFormatting>
  <conditionalFormatting sqref="D248:CV248">
    <cfRule type="expression" dxfId="4" priority="3138">
      <formula>$AA$10&lt;&gt;"Y"</formula>
    </cfRule>
  </conditionalFormatting>
  <conditionalFormatting sqref="D249:CV249">
    <cfRule type="expression" dxfId="4" priority="3141">
      <formula>$AB$10&lt;&gt;"Y"</formula>
    </cfRule>
  </conditionalFormatting>
  <conditionalFormatting sqref="D25">
    <cfRule type="cellIs" dxfId="2" priority="1405" operator="equal">
      <formula>"Y"</formula>
    </cfRule>
    <cfRule type="cellIs" dxfId="3" priority="1406" operator="equal">
      <formula>"N"</formula>
    </cfRule>
  </conditionalFormatting>
  <conditionalFormatting sqref="D250:CV250">
    <cfRule type="expression" dxfId="4" priority="3144">
      <formula>$AC$10&lt;&gt;"Y"</formula>
    </cfRule>
  </conditionalFormatting>
  <conditionalFormatting sqref="D251:CV251">
    <cfRule type="expression" dxfId="4" priority="3147">
      <formula>$AD$10&lt;&gt;"Y"</formula>
    </cfRule>
  </conditionalFormatting>
  <conditionalFormatting sqref="D252:CV252">
    <cfRule type="expression" dxfId="4" priority="3150">
      <formula>$AE$10&lt;&gt;"Y"</formula>
    </cfRule>
  </conditionalFormatting>
  <conditionalFormatting sqref="D253:CV253">
    <cfRule type="expression" dxfId="4" priority="3153">
      <formula>$AF$10&lt;&gt;"Y"</formula>
    </cfRule>
  </conditionalFormatting>
  <conditionalFormatting sqref="D254:CV254">
    <cfRule type="expression" dxfId="4" priority="3156">
      <formula>$AG$10&lt;&gt;"Y"</formula>
    </cfRule>
  </conditionalFormatting>
  <conditionalFormatting sqref="D255:CV255">
    <cfRule type="expression" dxfId="4" priority="3159">
      <formula>$AH$10&lt;&gt;"Y"</formula>
    </cfRule>
  </conditionalFormatting>
  <conditionalFormatting sqref="D256:CV256">
    <cfRule type="expression" dxfId="4" priority="3162">
      <formula>$AI$10&lt;&gt;"Y"</formula>
    </cfRule>
  </conditionalFormatting>
  <conditionalFormatting sqref="D257:CV257">
    <cfRule type="expression" dxfId="4" priority="3165">
      <formula>$AJ$10&lt;&gt;"Y"</formula>
    </cfRule>
  </conditionalFormatting>
  <conditionalFormatting sqref="D258:CV258">
    <cfRule type="expression" dxfId="4" priority="3168">
      <formula>$AK$10&lt;&gt;"Y"</formula>
    </cfRule>
  </conditionalFormatting>
  <conditionalFormatting sqref="D259:CV259">
    <cfRule type="expression" dxfId="4" priority="3171">
      <formula>$B$11&lt;&gt;"Y"</formula>
    </cfRule>
  </conditionalFormatting>
  <conditionalFormatting sqref="D26">
    <cfRule type="cellIs" dxfId="2" priority="1475" operator="equal">
      <formula>"Y"</formula>
    </cfRule>
    <cfRule type="cellIs" dxfId="3" priority="1476" operator="equal">
      <formula>"N"</formula>
    </cfRule>
  </conditionalFormatting>
  <conditionalFormatting sqref="D260:CV260">
    <cfRule type="expression" dxfId="4" priority="3174">
      <formula>$C$11&lt;&gt;"Y"</formula>
    </cfRule>
  </conditionalFormatting>
  <conditionalFormatting sqref="D261:CV261">
    <cfRule type="expression" dxfId="4" priority="3177">
      <formula>$D$11&lt;&gt;"Y"</formula>
    </cfRule>
  </conditionalFormatting>
  <conditionalFormatting sqref="D262:CV262">
    <cfRule type="expression" dxfId="4" priority="3180">
      <formula>$E$11&lt;&gt;"Y"</formula>
    </cfRule>
  </conditionalFormatting>
  <conditionalFormatting sqref="D263:CV263">
    <cfRule type="expression" dxfId="4" priority="3183">
      <formula>$F$11&lt;&gt;"Y"</formula>
    </cfRule>
  </conditionalFormatting>
  <conditionalFormatting sqref="D264:CV264">
    <cfRule type="expression" dxfId="4" priority="3186">
      <formula>$G$11&lt;&gt;"Y"</formula>
    </cfRule>
  </conditionalFormatting>
  <conditionalFormatting sqref="D265:CV265">
    <cfRule type="expression" dxfId="4" priority="3189">
      <formula>$H$11&lt;&gt;"Y"</formula>
    </cfRule>
  </conditionalFormatting>
  <conditionalFormatting sqref="D266:CV266">
    <cfRule type="expression" dxfId="4" priority="3192">
      <formula>$I$11&lt;&gt;"Y"</formula>
    </cfRule>
  </conditionalFormatting>
  <conditionalFormatting sqref="D267:CV267">
    <cfRule type="expression" dxfId="4" priority="3195">
      <formula>$J$11&lt;&gt;"Y"</formula>
    </cfRule>
  </conditionalFormatting>
  <conditionalFormatting sqref="D268:CV268">
    <cfRule type="expression" dxfId="4" priority="3198">
      <formula>$K$11&lt;&gt;"Y"</formula>
    </cfRule>
  </conditionalFormatting>
  <conditionalFormatting sqref="D269:CV269">
    <cfRule type="expression" dxfId="4" priority="3201">
      <formula>$L$11&lt;&gt;"Y"</formula>
    </cfRule>
  </conditionalFormatting>
  <conditionalFormatting sqref="D27">
    <cfRule type="cellIs" dxfId="2" priority="1545" operator="equal">
      <formula>"Y"</formula>
    </cfRule>
    <cfRule type="cellIs" dxfId="3" priority="1546" operator="equal">
      <formula>"N"</formula>
    </cfRule>
  </conditionalFormatting>
  <conditionalFormatting sqref="D270:CV270">
    <cfRule type="expression" dxfId="4" priority="3204">
      <formula>$M$11&lt;&gt;"Y"</formula>
    </cfRule>
  </conditionalFormatting>
  <conditionalFormatting sqref="D271:CV271">
    <cfRule type="expression" dxfId="4" priority="3207">
      <formula>$N$11&lt;&gt;"Y"</formula>
    </cfRule>
  </conditionalFormatting>
  <conditionalFormatting sqref="D272:CV272">
    <cfRule type="expression" dxfId="4" priority="3210">
      <formula>$O$11&lt;&gt;"Y"</formula>
    </cfRule>
  </conditionalFormatting>
  <conditionalFormatting sqref="D273:CV273">
    <cfRule type="expression" dxfId="4" priority="3213">
      <formula>$P$11&lt;&gt;"Y"</formula>
    </cfRule>
  </conditionalFormatting>
  <conditionalFormatting sqref="D274:CV274">
    <cfRule type="expression" dxfId="4" priority="3216">
      <formula>$Q$11&lt;&gt;"Y"</formula>
    </cfRule>
  </conditionalFormatting>
  <conditionalFormatting sqref="D275:CV275">
    <cfRule type="expression" dxfId="4" priority="3219">
      <formula>$R$11&lt;&gt;"Y"</formula>
    </cfRule>
  </conditionalFormatting>
  <conditionalFormatting sqref="D276:CV276">
    <cfRule type="expression" dxfId="4" priority="3222">
      <formula>$S$11&lt;&gt;"Y"</formula>
    </cfRule>
  </conditionalFormatting>
  <conditionalFormatting sqref="D277:CV277">
    <cfRule type="expression" dxfId="4" priority="3225">
      <formula>$T$11&lt;&gt;"Y"</formula>
    </cfRule>
  </conditionalFormatting>
  <conditionalFormatting sqref="D278:CV278">
    <cfRule type="expression" dxfId="4" priority="3228">
      <formula>$U$11&lt;&gt;"Y"</formula>
    </cfRule>
  </conditionalFormatting>
  <conditionalFormatting sqref="D279:CV279">
    <cfRule type="expression" dxfId="4" priority="3231">
      <formula>$V$11&lt;&gt;"Y"</formula>
    </cfRule>
  </conditionalFormatting>
  <conditionalFormatting sqref="D28">
    <cfRule type="cellIs" dxfId="2" priority="1615" operator="equal">
      <formula>"Y"</formula>
    </cfRule>
    <cfRule type="cellIs" dxfId="3" priority="1616" operator="equal">
      <formula>"N"</formula>
    </cfRule>
  </conditionalFormatting>
  <conditionalFormatting sqref="D280:CV280">
    <cfRule type="expression" dxfId="4" priority="3234">
      <formula>$W$11&lt;&gt;"Y"</formula>
    </cfRule>
  </conditionalFormatting>
  <conditionalFormatting sqref="D281:CV281">
    <cfRule type="expression" dxfId="4" priority="3237">
      <formula>$X$11&lt;&gt;"Y"</formula>
    </cfRule>
  </conditionalFormatting>
  <conditionalFormatting sqref="D282:CV282">
    <cfRule type="expression" dxfId="4" priority="3240">
      <formula>$Y$11&lt;&gt;"Y"</formula>
    </cfRule>
  </conditionalFormatting>
  <conditionalFormatting sqref="D283:CV283">
    <cfRule type="expression" dxfId="4" priority="3243">
      <formula>$Z$11&lt;&gt;"Y"</formula>
    </cfRule>
  </conditionalFormatting>
  <conditionalFormatting sqref="D284:CV284">
    <cfRule type="expression" dxfId="4" priority="3246">
      <formula>$AA$11&lt;&gt;"Y"</formula>
    </cfRule>
  </conditionalFormatting>
  <conditionalFormatting sqref="D285:CV285">
    <cfRule type="expression" dxfId="4" priority="3249">
      <formula>$AB$11&lt;&gt;"Y"</formula>
    </cfRule>
  </conditionalFormatting>
  <conditionalFormatting sqref="D286:CV286">
    <cfRule type="expression" dxfId="4" priority="3252">
      <formula>$AC$11&lt;&gt;"Y"</formula>
    </cfRule>
  </conditionalFormatting>
  <conditionalFormatting sqref="D287:CV287">
    <cfRule type="expression" dxfId="4" priority="3255">
      <formula>$AD$11&lt;&gt;"Y"</formula>
    </cfRule>
  </conditionalFormatting>
  <conditionalFormatting sqref="D288:CV288">
    <cfRule type="expression" dxfId="4" priority="3258">
      <formula>$AE$11&lt;&gt;"Y"</formula>
    </cfRule>
  </conditionalFormatting>
  <conditionalFormatting sqref="D289:CV289">
    <cfRule type="expression" dxfId="4" priority="3261">
      <formula>$AF$11&lt;&gt;"Y"</formula>
    </cfRule>
  </conditionalFormatting>
  <conditionalFormatting sqref="D29">
    <cfRule type="cellIs" dxfId="2" priority="1685" operator="equal">
      <formula>"Y"</formula>
    </cfRule>
    <cfRule type="cellIs" dxfId="3" priority="1686" operator="equal">
      <formula>"N"</formula>
    </cfRule>
  </conditionalFormatting>
  <conditionalFormatting sqref="D290:CV290">
    <cfRule type="expression" dxfId="4" priority="3264">
      <formula>$AG$11&lt;&gt;"Y"</formula>
    </cfRule>
  </conditionalFormatting>
  <conditionalFormatting sqref="D291:CV291">
    <cfRule type="expression" dxfId="4" priority="3267">
      <formula>$AH$11&lt;&gt;"Y"</formula>
    </cfRule>
  </conditionalFormatting>
  <conditionalFormatting sqref="D292:CV292">
    <cfRule type="expression" dxfId="4" priority="3270">
      <formula>$AI$11&lt;&gt;"Y"</formula>
    </cfRule>
  </conditionalFormatting>
  <conditionalFormatting sqref="D293:CV293">
    <cfRule type="expression" dxfId="4" priority="3273">
      <formula>$AJ$11&lt;&gt;"Y"</formula>
    </cfRule>
  </conditionalFormatting>
  <conditionalFormatting sqref="D294:CV294">
    <cfRule type="expression" dxfId="4" priority="3276">
      <formula>$AK$11&lt;&gt;"Y"</formula>
    </cfRule>
  </conditionalFormatting>
  <conditionalFormatting sqref="D295:CV295">
    <cfRule type="expression" dxfId="4" priority="3279">
      <formula>$B$12&lt;&gt;"Y"</formula>
    </cfRule>
  </conditionalFormatting>
  <conditionalFormatting sqref="D296:CV296">
    <cfRule type="expression" dxfId="4" priority="3282">
      <formula>$C$12&lt;&gt;"Y"</formula>
    </cfRule>
  </conditionalFormatting>
  <conditionalFormatting sqref="D297:CV297">
    <cfRule type="expression" dxfId="4" priority="3285">
      <formula>$D$12&lt;&gt;"Y"</formula>
    </cfRule>
  </conditionalFormatting>
  <conditionalFormatting sqref="D298:CV298">
    <cfRule type="expression" dxfId="4" priority="3288">
      <formula>$E$12&lt;&gt;"Y"</formula>
    </cfRule>
  </conditionalFormatting>
  <conditionalFormatting sqref="D299:CV299">
    <cfRule type="expression" dxfId="4" priority="3291">
      <formula>$F$12&lt;&gt;"Y"</formula>
    </cfRule>
  </conditionalFormatting>
  <conditionalFormatting sqref="D30">
    <cfRule type="cellIs" dxfId="2" priority="1755" operator="equal">
      <formula>"Y"</formula>
    </cfRule>
    <cfRule type="cellIs" dxfId="3" priority="1756" operator="equal">
      <formula>"N"</formula>
    </cfRule>
  </conditionalFormatting>
  <conditionalFormatting sqref="D300:CV300">
    <cfRule type="expression" dxfId="4" priority="3294">
      <formula>$G$12&lt;&gt;"Y"</formula>
    </cfRule>
  </conditionalFormatting>
  <conditionalFormatting sqref="D301:CV301">
    <cfRule type="expression" dxfId="4" priority="3297">
      <formula>$H$12&lt;&gt;"Y"</formula>
    </cfRule>
  </conditionalFormatting>
  <conditionalFormatting sqref="D302:CV302">
    <cfRule type="expression" dxfId="4" priority="3300">
      <formula>$I$12&lt;&gt;"Y"</formula>
    </cfRule>
  </conditionalFormatting>
  <conditionalFormatting sqref="D303:CV303">
    <cfRule type="expression" dxfId="4" priority="3303">
      <formula>$J$12&lt;&gt;"Y"</formula>
    </cfRule>
  </conditionalFormatting>
  <conditionalFormatting sqref="D304:CV304">
    <cfRule type="expression" dxfId="4" priority="3306">
      <formula>$K$12&lt;&gt;"Y"</formula>
    </cfRule>
  </conditionalFormatting>
  <conditionalFormatting sqref="D305:CV305">
    <cfRule type="expression" dxfId="4" priority="3309">
      <formula>$L$12&lt;&gt;"Y"</formula>
    </cfRule>
  </conditionalFormatting>
  <conditionalFormatting sqref="D306:CV306">
    <cfRule type="expression" dxfId="4" priority="3312">
      <formula>$M$12&lt;&gt;"Y"</formula>
    </cfRule>
  </conditionalFormatting>
  <conditionalFormatting sqref="D307:CV307">
    <cfRule type="expression" dxfId="4" priority="3315">
      <formula>$N$12&lt;&gt;"Y"</formula>
    </cfRule>
  </conditionalFormatting>
  <conditionalFormatting sqref="D308:CV308">
    <cfRule type="expression" dxfId="4" priority="3318">
      <formula>$O$12&lt;&gt;"Y"</formula>
    </cfRule>
  </conditionalFormatting>
  <conditionalFormatting sqref="D309:CV309">
    <cfRule type="expression" dxfId="4" priority="3321">
      <formula>$P$12&lt;&gt;"Y"</formula>
    </cfRule>
  </conditionalFormatting>
  <conditionalFormatting sqref="D31">
    <cfRule type="cellIs" dxfId="2" priority="1825" operator="equal">
      <formula>"Y"</formula>
    </cfRule>
    <cfRule type="cellIs" dxfId="3" priority="1826" operator="equal">
      <formula>"N"</formula>
    </cfRule>
  </conditionalFormatting>
  <conditionalFormatting sqref="D310:CV310">
    <cfRule type="expression" dxfId="4" priority="3324">
      <formula>$Q$12&lt;&gt;"Y"</formula>
    </cfRule>
  </conditionalFormatting>
  <conditionalFormatting sqref="D311:CV311">
    <cfRule type="expression" dxfId="4" priority="3327">
      <formula>$R$12&lt;&gt;"Y"</formula>
    </cfRule>
  </conditionalFormatting>
  <conditionalFormatting sqref="D312:CV312">
    <cfRule type="expression" dxfId="4" priority="3330">
      <formula>$S$12&lt;&gt;"Y"</formula>
    </cfRule>
  </conditionalFormatting>
  <conditionalFormatting sqref="D313:CV313">
    <cfRule type="expression" dxfId="4" priority="3333">
      <formula>$T$12&lt;&gt;"Y"</formula>
    </cfRule>
  </conditionalFormatting>
  <conditionalFormatting sqref="D314:CV314">
    <cfRule type="expression" dxfId="4" priority="3336">
      <formula>$U$12&lt;&gt;"Y"</formula>
    </cfRule>
  </conditionalFormatting>
  <conditionalFormatting sqref="D315:CV315">
    <cfRule type="expression" dxfId="4" priority="3339">
      <formula>$V$12&lt;&gt;"Y"</formula>
    </cfRule>
  </conditionalFormatting>
  <conditionalFormatting sqref="D316:CV316">
    <cfRule type="expression" dxfId="4" priority="3342">
      <formula>$W$12&lt;&gt;"Y"</formula>
    </cfRule>
  </conditionalFormatting>
  <conditionalFormatting sqref="D317:CV317">
    <cfRule type="expression" dxfId="4" priority="3345">
      <formula>$X$12&lt;&gt;"Y"</formula>
    </cfRule>
  </conditionalFormatting>
  <conditionalFormatting sqref="D318:CV318">
    <cfRule type="expression" dxfId="4" priority="3348">
      <formula>$Y$12&lt;&gt;"Y"</formula>
    </cfRule>
  </conditionalFormatting>
  <conditionalFormatting sqref="D319:CV319">
    <cfRule type="expression" dxfId="4" priority="3351">
      <formula>$Z$12&lt;&gt;"Y"</formula>
    </cfRule>
  </conditionalFormatting>
  <conditionalFormatting sqref="D32">
    <cfRule type="cellIs" dxfId="2" priority="1895" operator="equal">
      <formula>"Y"</formula>
    </cfRule>
    <cfRule type="cellIs" dxfId="3" priority="1896" operator="equal">
      <formula>"N"</formula>
    </cfRule>
  </conditionalFormatting>
  <conditionalFormatting sqref="D320:CV320">
    <cfRule type="expression" dxfId="4" priority="3354">
      <formula>$AA$12&lt;&gt;"Y"</formula>
    </cfRule>
  </conditionalFormatting>
  <conditionalFormatting sqref="D321:CV321">
    <cfRule type="expression" dxfId="4" priority="3357">
      <formula>$AB$12&lt;&gt;"Y"</formula>
    </cfRule>
  </conditionalFormatting>
  <conditionalFormatting sqref="D322:CV322">
    <cfRule type="expression" dxfId="4" priority="3360">
      <formula>$AC$12&lt;&gt;"Y"</formula>
    </cfRule>
  </conditionalFormatting>
  <conditionalFormatting sqref="D323:CV323">
    <cfRule type="expression" dxfId="4" priority="3363">
      <formula>$AD$12&lt;&gt;"Y"</formula>
    </cfRule>
  </conditionalFormatting>
  <conditionalFormatting sqref="D324:CV324">
    <cfRule type="expression" dxfId="4" priority="3366">
      <formula>$AE$12&lt;&gt;"Y"</formula>
    </cfRule>
  </conditionalFormatting>
  <conditionalFormatting sqref="D325:CV325">
    <cfRule type="expression" dxfId="4" priority="3369">
      <formula>$AF$12&lt;&gt;"Y"</formula>
    </cfRule>
  </conditionalFormatting>
  <conditionalFormatting sqref="D326:CV326">
    <cfRule type="expression" dxfId="4" priority="3372">
      <formula>$AG$12&lt;&gt;"Y"</formula>
    </cfRule>
  </conditionalFormatting>
  <conditionalFormatting sqref="D327:CV327">
    <cfRule type="expression" dxfId="4" priority="3375">
      <formula>$AH$12&lt;&gt;"Y"</formula>
    </cfRule>
  </conditionalFormatting>
  <conditionalFormatting sqref="D328:CV328">
    <cfRule type="expression" dxfId="4" priority="3378">
      <formula>$AI$12&lt;&gt;"Y"</formula>
    </cfRule>
  </conditionalFormatting>
  <conditionalFormatting sqref="D329:CV329">
    <cfRule type="expression" dxfId="4" priority="3381">
      <formula>$AJ$12&lt;&gt;"Y"</formula>
    </cfRule>
  </conditionalFormatting>
  <conditionalFormatting sqref="D33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D330:CV330">
    <cfRule type="expression" dxfId="4" priority="3384">
      <formula>$AK$12&lt;&gt;"Y"</formula>
    </cfRule>
  </conditionalFormatting>
  <conditionalFormatting sqref="D331:CV331">
    <cfRule type="expression" dxfId="4" priority="3387">
      <formula>$B$13&lt;&gt;"Y"</formula>
    </cfRule>
  </conditionalFormatting>
  <conditionalFormatting sqref="D332:CV332">
    <cfRule type="expression" dxfId="4" priority="3390">
      <formula>$C$13&lt;&gt;"Y"</formula>
    </cfRule>
  </conditionalFormatting>
  <conditionalFormatting sqref="D333:CV333">
    <cfRule type="expression" dxfId="4" priority="3393">
      <formula>$D$13&lt;&gt;"Y"</formula>
    </cfRule>
  </conditionalFormatting>
  <conditionalFormatting sqref="D334:CV334">
    <cfRule type="expression" dxfId="4" priority="3396">
      <formula>$E$13&lt;&gt;"Y"</formula>
    </cfRule>
  </conditionalFormatting>
  <conditionalFormatting sqref="D335:CV335">
    <cfRule type="expression" dxfId="4" priority="3399">
      <formula>$F$13&lt;&gt;"Y"</formula>
    </cfRule>
  </conditionalFormatting>
  <conditionalFormatting sqref="D336:CV336">
    <cfRule type="expression" dxfId="4" priority="3402">
      <formula>$G$13&lt;&gt;"Y"</formula>
    </cfRule>
  </conditionalFormatting>
  <conditionalFormatting sqref="D337:CV337">
    <cfRule type="expression" dxfId="4" priority="3405">
      <formula>$H$13&lt;&gt;"Y"</formula>
    </cfRule>
  </conditionalFormatting>
  <conditionalFormatting sqref="D338:CV338">
    <cfRule type="expression" dxfId="4" priority="3408">
      <formula>$I$13&lt;&gt;"Y"</formula>
    </cfRule>
  </conditionalFormatting>
  <conditionalFormatting sqref="D339:CV339">
    <cfRule type="expression" dxfId="4" priority="3411">
      <formula>$J$13&lt;&gt;"Y"</formula>
    </cfRule>
  </conditionalFormatting>
  <conditionalFormatting sqref="D3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D340:CV340">
    <cfRule type="expression" dxfId="4" priority="3414">
      <formula>$K$13&lt;&gt;"Y"</formula>
    </cfRule>
  </conditionalFormatting>
  <conditionalFormatting sqref="D341:CV341">
    <cfRule type="expression" dxfId="4" priority="3417">
      <formula>$L$13&lt;&gt;"Y"</formula>
    </cfRule>
  </conditionalFormatting>
  <conditionalFormatting sqref="D342:CV342">
    <cfRule type="expression" dxfId="4" priority="3420">
      <formula>$M$13&lt;&gt;"Y"</formula>
    </cfRule>
  </conditionalFormatting>
  <conditionalFormatting sqref="D343:CV343">
    <cfRule type="expression" dxfId="4" priority="3423">
      <formula>$N$13&lt;&gt;"Y"</formula>
    </cfRule>
  </conditionalFormatting>
  <conditionalFormatting sqref="D344:CV344">
    <cfRule type="expression" dxfId="4" priority="3426">
      <formula>$O$13&lt;&gt;"Y"</formula>
    </cfRule>
  </conditionalFormatting>
  <conditionalFormatting sqref="D345:CV345">
    <cfRule type="expression" dxfId="4" priority="3429">
      <formula>$P$13&lt;&gt;"Y"</formula>
    </cfRule>
  </conditionalFormatting>
  <conditionalFormatting sqref="D346:CV346">
    <cfRule type="expression" dxfId="4" priority="3432">
      <formula>$Q$13&lt;&gt;"Y"</formula>
    </cfRule>
  </conditionalFormatting>
  <conditionalFormatting sqref="D347:CV347">
    <cfRule type="expression" dxfId="4" priority="3435">
      <formula>$R$13&lt;&gt;"Y"</formula>
    </cfRule>
  </conditionalFormatting>
  <conditionalFormatting sqref="D348:CV348">
    <cfRule type="expression" dxfId="4" priority="3438">
      <formula>$S$13&lt;&gt;"Y"</formula>
    </cfRule>
  </conditionalFormatting>
  <conditionalFormatting sqref="D349:CV349">
    <cfRule type="expression" dxfId="4" priority="3441">
      <formula>$T$13&lt;&gt;"Y"</formula>
    </cfRule>
  </conditionalFormatting>
  <conditionalFormatting sqref="D35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D350:CV350">
    <cfRule type="expression" dxfId="4" priority="3444">
      <formula>$U$13&lt;&gt;"Y"</formula>
    </cfRule>
  </conditionalFormatting>
  <conditionalFormatting sqref="D351:CV351">
    <cfRule type="expression" dxfId="4" priority="3447">
      <formula>$V$13&lt;&gt;"Y"</formula>
    </cfRule>
  </conditionalFormatting>
  <conditionalFormatting sqref="D352:CV352">
    <cfRule type="expression" dxfId="4" priority="3450">
      <formula>$W$13&lt;&gt;"Y"</formula>
    </cfRule>
  </conditionalFormatting>
  <conditionalFormatting sqref="D353:CV353">
    <cfRule type="expression" dxfId="4" priority="3453">
      <formula>$X$13&lt;&gt;"Y"</formula>
    </cfRule>
  </conditionalFormatting>
  <conditionalFormatting sqref="D354:CV354">
    <cfRule type="expression" dxfId="4" priority="3456">
      <formula>$Y$13&lt;&gt;"Y"</formula>
    </cfRule>
  </conditionalFormatting>
  <conditionalFormatting sqref="D355:CV355">
    <cfRule type="expression" dxfId="4" priority="3459">
      <formula>$Z$13&lt;&gt;"Y"</formula>
    </cfRule>
  </conditionalFormatting>
  <conditionalFormatting sqref="D356:CV356">
    <cfRule type="expression" dxfId="4" priority="3462">
      <formula>$AA$13&lt;&gt;"Y"</formula>
    </cfRule>
  </conditionalFormatting>
  <conditionalFormatting sqref="D357:CV357">
    <cfRule type="expression" dxfId="4" priority="3465">
      <formula>$AB$13&lt;&gt;"Y"</formula>
    </cfRule>
  </conditionalFormatting>
  <conditionalFormatting sqref="D358:CV358">
    <cfRule type="expression" dxfId="4" priority="3468">
      <formula>$AC$13&lt;&gt;"Y"</formula>
    </cfRule>
  </conditionalFormatting>
  <conditionalFormatting sqref="D359:CV359">
    <cfRule type="expression" dxfId="4" priority="3471">
      <formula>$AD$13&lt;&gt;"Y"</formula>
    </cfRule>
  </conditionalFormatting>
  <conditionalFormatting sqref="D36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D360:CV360">
    <cfRule type="expression" dxfId="4" priority="3474">
      <formula>$AE$13&lt;&gt;"Y"</formula>
    </cfRule>
  </conditionalFormatting>
  <conditionalFormatting sqref="D361:CV361">
    <cfRule type="expression" dxfId="4" priority="3477">
      <formula>$AF$13&lt;&gt;"Y"</formula>
    </cfRule>
  </conditionalFormatting>
  <conditionalFormatting sqref="D362:CV362">
    <cfRule type="expression" dxfId="4" priority="3480">
      <formula>$AG$13&lt;&gt;"Y"</formula>
    </cfRule>
  </conditionalFormatting>
  <conditionalFormatting sqref="D363:CV363">
    <cfRule type="expression" dxfId="4" priority="3483">
      <formula>$AH$13&lt;&gt;"Y"</formula>
    </cfRule>
  </conditionalFormatting>
  <conditionalFormatting sqref="D364:CV364">
    <cfRule type="expression" dxfId="4" priority="3486">
      <formula>$AI$13&lt;&gt;"Y"</formula>
    </cfRule>
  </conditionalFormatting>
  <conditionalFormatting sqref="D365:CV365">
    <cfRule type="expression" dxfId="4" priority="3489">
      <formula>$AJ$13&lt;&gt;"Y"</formula>
    </cfRule>
  </conditionalFormatting>
  <conditionalFormatting sqref="D366:CV366">
    <cfRule type="expression" dxfId="4" priority="3492">
      <formula>$AK$13&lt;&gt;"Y"</formula>
    </cfRule>
  </conditionalFormatting>
  <conditionalFormatting sqref="D367:CV367">
    <cfRule type="expression" dxfId="4" priority="3495">
      <formula>$B$14&lt;&gt;"Y"</formula>
    </cfRule>
  </conditionalFormatting>
  <conditionalFormatting sqref="D368:CV368">
    <cfRule type="expression" dxfId="4" priority="3498">
      <formula>$C$14&lt;&gt;"Y"</formula>
    </cfRule>
  </conditionalFormatting>
  <conditionalFormatting sqref="D369:CV369">
    <cfRule type="expression" dxfId="4" priority="3501">
      <formula>$D$14&lt;&gt;"Y"</formula>
    </cfRule>
  </conditionalFormatting>
  <conditionalFormatting sqref="D37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D370:CV370">
    <cfRule type="expression" dxfId="4" priority="3504">
      <formula>$E$14&lt;&gt;"Y"</formula>
    </cfRule>
  </conditionalFormatting>
  <conditionalFormatting sqref="D371:CV371">
    <cfRule type="expression" dxfId="4" priority="3507">
      <formula>$F$14&lt;&gt;"Y"</formula>
    </cfRule>
  </conditionalFormatting>
  <conditionalFormatting sqref="D372:CV372">
    <cfRule type="expression" dxfId="4" priority="3510">
      <formula>$G$14&lt;&gt;"Y"</formula>
    </cfRule>
  </conditionalFormatting>
  <conditionalFormatting sqref="D373:CV373">
    <cfRule type="expression" dxfId="4" priority="3513">
      <formula>$H$14&lt;&gt;"Y"</formula>
    </cfRule>
  </conditionalFormatting>
  <conditionalFormatting sqref="D374:CV374">
    <cfRule type="expression" dxfId="4" priority="3516">
      <formula>$I$14&lt;&gt;"Y"</formula>
    </cfRule>
  </conditionalFormatting>
  <conditionalFormatting sqref="D375:CV375">
    <cfRule type="expression" dxfId="4" priority="3519">
      <formula>$J$14&lt;&gt;"Y"</formula>
    </cfRule>
  </conditionalFormatting>
  <conditionalFormatting sqref="D376:CV376">
    <cfRule type="expression" dxfId="4" priority="3522">
      <formula>$K$14&lt;&gt;"Y"</formula>
    </cfRule>
  </conditionalFormatting>
  <conditionalFormatting sqref="D377:CV377">
    <cfRule type="expression" dxfId="4" priority="3525">
      <formula>$L$14&lt;&gt;"Y"</formula>
    </cfRule>
  </conditionalFormatting>
  <conditionalFormatting sqref="D378:CV378">
    <cfRule type="expression" dxfId="4" priority="3528">
      <formula>$M$14&lt;&gt;"Y"</formula>
    </cfRule>
  </conditionalFormatting>
  <conditionalFormatting sqref="D379:CV379">
    <cfRule type="expression" dxfId="4" priority="3531">
      <formula>$N$14&lt;&gt;"Y"</formula>
    </cfRule>
  </conditionalFormatting>
  <conditionalFormatting sqref="D38">
    <cfRule type="cellIs" dxfId="2" priority="2315" operator="equal">
      <formula>"Y"</formula>
    </cfRule>
    <cfRule type="cellIs" dxfId="3" priority="2316" operator="equal">
      <formula>"N"</formula>
    </cfRule>
  </conditionalFormatting>
  <conditionalFormatting sqref="D380:CV380">
    <cfRule type="expression" dxfId="4" priority="3534">
      <formula>$O$14&lt;&gt;"Y"</formula>
    </cfRule>
  </conditionalFormatting>
  <conditionalFormatting sqref="D381:CV381">
    <cfRule type="expression" dxfId="4" priority="3537">
      <formula>$P$14&lt;&gt;"Y"</formula>
    </cfRule>
  </conditionalFormatting>
  <conditionalFormatting sqref="D382:CV382">
    <cfRule type="expression" dxfId="4" priority="3540">
      <formula>$Q$14&lt;&gt;"Y"</formula>
    </cfRule>
  </conditionalFormatting>
  <conditionalFormatting sqref="D383:CV383">
    <cfRule type="expression" dxfId="4" priority="3543">
      <formula>$R$14&lt;&gt;"Y"</formula>
    </cfRule>
  </conditionalFormatting>
  <conditionalFormatting sqref="D384:CV384">
    <cfRule type="expression" dxfId="4" priority="3546">
      <formula>$S$14&lt;&gt;"Y"</formula>
    </cfRule>
  </conditionalFormatting>
  <conditionalFormatting sqref="D385:CV385">
    <cfRule type="expression" dxfId="4" priority="3549">
      <formula>$T$14&lt;&gt;"Y"</formula>
    </cfRule>
  </conditionalFormatting>
  <conditionalFormatting sqref="D386:CV386">
    <cfRule type="expression" dxfId="4" priority="3552">
      <formula>$U$14&lt;&gt;"Y"</formula>
    </cfRule>
  </conditionalFormatting>
  <conditionalFormatting sqref="D387:CV387">
    <cfRule type="expression" dxfId="4" priority="3555">
      <formula>$V$14&lt;&gt;"Y"</formula>
    </cfRule>
  </conditionalFormatting>
  <conditionalFormatting sqref="D388:CV388">
    <cfRule type="expression" dxfId="4" priority="3558">
      <formula>$W$14&lt;&gt;"Y"</formula>
    </cfRule>
  </conditionalFormatting>
  <conditionalFormatting sqref="D389:CV389">
    <cfRule type="expression" dxfId="4" priority="3561">
      <formula>$X$14&lt;&gt;"Y"</formula>
    </cfRule>
  </conditionalFormatting>
  <conditionalFormatting sqref="D39">
    <cfRule type="cellIs" dxfId="2" priority="2385" operator="equal">
      <formula>"Y"</formula>
    </cfRule>
    <cfRule type="cellIs" dxfId="3" priority="2386" operator="equal">
      <formula>"N"</formula>
    </cfRule>
  </conditionalFormatting>
  <conditionalFormatting sqref="D390:CV390">
    <cfRule type="expression" dxfId="4" priority="3564">
      <formula>$Y$14&lt;&gt;"Y"</formula>
    </cfRule>
  </conditionalFormatting>
  <conditionalFormatting sqref="D391:CV391">
    <cfRule type="expression" dxfId="4" priority="3567">
      <formula>$Z$14&lt;&gt;"Y"</formula>
    </cfRule>
  </conditionalFormatting>
  <conditionalFormatting sqref="D392:CV392">
    <cfRule type="expression" dxfId="4" priority="3570">
      <formula>$AA$14&lt;&gt;"Y"</formula>
    </cfRule>
  </conditionalFormatting>
  <conditionalFormatting sqref="D393:CV393">
    <cfRule type="expression" dxfId="4" priority="3573">
      <formula>$AB$14&lt;&gt;"Y"</formula>
    </cfRule>
  </conditionalFormatting>
  <conditionalFormatting sqref="D394:CV394">
    <cfRule type="expression" dxfId="4" priority="3576">
      <formula>$AC$14&lt;&gt;"Y"</formula>
    </cfRule>
  </conditionalFormatting>
  <conditionalFormatting sqref="D395:CV395">
    <cfRule type="expression" dxfId="4" priority="3579">
      <formula>$AD$14&lt;&gt;"Y"</formula>
    </cfRule>
  </conditionalFormatting>
  <conditionalFormatting sqref="D396:CV396">
    <cfRule type="expression" dxfId="4" priority="3582">
      <formula>$AE$14&lt;&gt;"Y"</formula>
    </cfRule>
  </conditionalFormatting>
  <conditionalFormatting sqref="D397:CV397">
    <cfRule type="expression" dxfId="4" priority="3585">
      <formula>$AF$14&lt;&gt;"Y"</formula>
    </cfRule>
  </conditionalFormatting>
  <conditionalFormatting sqref="D398:CV398">
    <cfRule type="expression" dxfId="4" priority="3588">
      <formula>$AG$14&lt;&gt;"Y"</formula>
    </cfRule>
  </conditionalFormatting>
  <conditionalFormatting sqref="D399:CV399">
    <cfRule type="expression" dxfId="4" priority="3591">
      <formula>$AH$14&lt;&gt;"Y"</formula>
    </cfRule>
  </conditionalFormatting>
  <conditionalFormatting sqref="D40">
    <cfRule type="cellIs" dxfId="2" priority="2455" operator="equal">
      <formula>"Y"</formula>
    </cfRule>
    <cfRule type="cellIs" dxfId="3" priority="2456" operator="equal">
      <formula>"N"</formula>
    </cfRule>
  </conditionalFormatting>
  <conditionalFormatting sqref="D400:CV400">
    <cfRule type="expression" dxfId="4" priority="3594">
      <formula>$AI$14&lt;&gt;"Y"</formula>
    </cfRule>
  </conditionalFormatting>
  <conditionalFormatting sqref="D401:CV401">
    <cfRule type="expression" dxfId="4" priority="3597">
      <formula>$AJ$14&lt;&gt;"Y"</formula>
    </cfRule>
  </conditionalFormatting>
  <conditionalFormatting sqref="D402:CV402">
    <cfRule type="expression" dxfId="4" priority="3600">
      <formula>$AK$14&lt;&gt;"Y"</formula>
    </cfRule>
  </conditionalFormatting>
  <conditionalFormatting sqref="D403:CV403">
    <cfRule type="expression" dxfId="4" priority="3603">
      <formula>$B$15&lt;&gt;"Y"</formula>
    </cfRule>
  </conditionalFormatting>
  <conditionalFormatting sqref="D404:CV404">
    <cfRule type="expression" dxfId="4" priority="3606">
      <formula>$C$15&lt;&gt;"Y"</formula>
    </cfRule>
  </conditionalFormatting>
  <conditionalFormatting sqref="D405:CV405">
    <cfRule type="expression" dxfId="4" priority="3609">
      <formula>$D$15&lt;&gt;"Y"</formula>
    </cfRule>
  </conditionalFormatting>
  <conditionalFormatting sqref="D406:CV406">
    <cfRule type="expression" dxfId="4" priority="3612">
      <formula>$E$15&lt;&gt;"Y"</formula>
    </cfRule>
  </conditionalFormatting>
  <conditionalFormatting sqref="D407:CV407">
    <cfRule type="expression" dxfId="4" priority="3615">
      <formula>$F$15&lt;&gt;"Y"</formula>
    </cfRule>
  </conditionalFormatting>
  <conditionalFormatting sqref="D408:CV408">
    <cfRule type="expression" dxfId="4" priority="3618">
      <formula>$G$15&lt;&gt;"Y"</formula>
    </cfRule>
  </conditionalFormatting>
  <conditionalFormatting sqref="D409:CV409">
    <cfRule type="expression" dxfId="4" priority="3621">
      <formula>$H$15&lt;&gt;"Y"</formula>
    </cfRule>
  </conditionalFormatting>
  <conditionalFormatting sqref="D410:CV410">
    <cfRule type="expression" dxfId="4" priority="3624">
      <formula>$I$15&lt;&gt;"Y"</formula>
    </cfRule>
  </conditionalFormatting>
  <conditionalFormatting sqref="D411:CV411">
    <cfRule type="expression" dxfId="4" priority="3627">
      <formula>$J$15&lt;&gt;"Y"</formula>
    </cfRule>
  </conditionalFormatting>
  <conditionalFormatting sqref="D412:CV412">
    <cfRule type="expression" dxfId="4" priority="3630">
      <formula>$K$15&lt;&gt;"Y"</formula>
    </cfRule>
  </conditionalFormatting>
  <conditionalFormatting sqref="D413:CV413">
    <cfRule type="expression" dxfId="4" priority="3633">
      <formula>$L$15&lt;&gt;"Y"</formula>
    </cfRule>
  </conditionalFormatting>
  <conditionalFormatting sqref="D414:CV414">
    <cfRule type="expression" dxfId="4" priority="3636">
      <formula>$M$15&lt;&gt;"Y"</formula>
    </cfRule>
  </conditionalFormatting>
  <conditionalFormatting sqref="D415:CV415">
    <cfRule type="expression" dxfId="4" priority="3639">
      <formula>$N$15&lt;&gt;"Y"</formula>
    </cfRule>
  </conditionalFormatting>
  <conditionalFormatting sqref="D416:CV416">
    <cfRule type="expression" dxfId="4" priority="3642">
      <formula>$O$15&lt;&gt;"Y"</formula>
    </cfRule>
  </conditionalFormatting>
  <conditionalFormatting sqref="D417:CV417">
    <cfRule type="expression" dxfId="4" priority="3645">
      <formula>$P$15&lt;&gt;"Y"</formula>
    </cfRule>
  </conditionalFormatting>
  <conditionalFormatting sqref="D418:CV418">
    <cfRule type="expression" dxfId="4" priority="3648">
      <formula>$Q$15&lt;&gt;"Y"</formula>
    </cfRule>
  </conditionalFormatting>
  <conditionalFormatting sqref="D419:CV419">
    <cfRule type="expression" dxfId="4" priority="3651">
      <formula>$R$15&lt;&gt;"Y"</formula>
    </cfRule>
  </conditionalFormatting>
  <conditionalFormatting sqref="D420:CV420">
    <cfRule type="expression" dxfId="4" priority="3654">
      <formula>$S$15&lt;&gt;"Y"</formula>
    </cfRule>
  </conditionalFormatting>
  <conditionalFormatting sqref="D421:CV421">
    <cfRule type="expression" dxfId="4" priority="3657">
      <formula>$T$15&lt;&gt;"Y"</formula>
    </cfRule>
  </conditionalFormatting>
  <conditionalFormatting sqref="D422:CV422">
    <cfRule type="expression" dxfId="4" priority="3660">
      <formula>$U$15&lt;&gt;"Y"</formula>
    </cfRule>
  </conditionalFormatting>
  <conditionalFormatting sqref="D423:CV423">
    <cfRule type="expression" dxfId="4" priority="3663">
      <formula>$V$15&lt;&gt;"Y"</formula>
    </cfRule>
  </conditionalFormatting>
  <conditionalFormatting sqref="D424:CV424">
    <cfRule type="expression" dxfId="4" priority="3666">
      <formula>$W$15&lt;&gt;"Y"</formula>
    </cfRule>
  </conditionalFormatting>
  <conditionalFormatting sqref="D425:CV425">
    <cfRule type="expression" dxfId="4" priority="3669">
      <formula>$X$15&lt;&gt;"Y"</formula>
    </cfRule>
  </conditionalFormatting>
  <conditionalFormatting sqref="D426:CV426">
    <cfRule type="expression" dxfId="4" priority="3672">
      <formula>$Y$15&lt;&gt;"Y"</formula>
    </cfRule>
  </conditionalFormatting>
  <conditionalFormatting sqref="D427:CV427">
    <cfRule type="expression" dxfId="4" priority="3675">
      <formula>$Z$15&lt;&gt;"Y"</formula>
    </cfRule>
  </conditionalFormatting>
  <conditionalFormatting sqref="D428:CV428">
    <cfRule type="expression" dxfId="4" priority="3678">
      <formula>$AA$15&lt;&gt;"Y"</formula>
    </cfRule>
  </conditionalFormatting>
  <conditionalFormatting sqref="D429:CV429">
    <cfRule type="expression" dxfId="4" priority="3681">
      <formula>$AB$15&lt;&gt;"Y"</formula>
    </cfRule>
  </conditionalFormatting>
  <conditionalFormatting sqref="D430:CV430">
    <cfRule type="expression" dxfId="4" priority="3684">
      <formula>$AC$15&lt;&gt;"Y"</formula>
    </cfRule>
  </conditionalFormatting>
  <conditionalFormatting sqref="D431:CV431">
    <cfRule type="expression" dxfId="4" priority="3687">
      <formula>$AD$15&lt;&gt;"Y"</formula>
    </cfRule>
  </conditionalFormatting>
  <conditionalFormatting sqref="D432:CV432">
    <cfRule type="expression" dxfId="4" priority="3690">
      <formula>$AE$15&lt;&gt;"Y"</formula>
    </cfRule>
  </conditionalFormatting>
  <conditionalFormatting sqref="D433:CV433">
    <cfRule type="expression" dxfId="4" priority="3693">
      <formula>$AF$15&lt;&gt;"Y"</formula>
    </cfRule>
  </conditionalFormatting>
  <conditionalFormatting sqref="D434:CV434">
    <cfRule type="expression" dxfId="4" priority="3696">
      <formula>$AG$15&lt;&gt;"Y"</formula>
    </cfRule>
  </conditionalFormatting>
  <conditionalFormatting sqref="D435:CV435">
    <cfRule type="expression" dxfId="4" priority="3699">
      <formula>$AH$15&lt;&gt;"Y"</formula>
    </cfRule>
  </conditionalFormatting>
  <conditionalFormatting sqref="D436:CV436">
    <cfRule type="expression" dxfId="4" priority="3702">
      <formula>$AI$15&lt;&gt;"Y"</formula>
    </cfRule>
  </conditionalFormatting>
  <conditionalFormatting sqref="D437:CV437">
    <cfRule type="expression" dxfId="4" priority="3705">
      <formula>$AJ$15&lt;&gt;"Y"</formula>
    </cfRule>
  </conditionalFormatting>
  <conditionalFormatting sqref="D438:CV438">
    <cfRule type="expression" dxfId="4" priority="3708">
      <formula>$AK$15&lt;&gt;"Y"</formula>
    </cfRule>
  </conditionalFormatting>
  <conditionalFormatting sqref="D439:CV439">
    <cfRule type="expression" dxfId="4" priority="3711">
      <formula>$B$16&lt;&gt;"Y"</formula>
    </cfRule>
  </conditionalFormatting>
  <conditionalFormatting sqref="D43:CV43">
    <cfRule type="expression" dxfId="4" priority="2523">
      <formula>$B$5&lt;&gt;"Y"</formula>
    </cfRule>
  </conditionalFormatting>
  <conditionalFormatting sqref="D440:CV440">
    <cfRule type="expression" dxfId="4" priority="3714">
      <formula>$C$16&lt;&gt;"Y"</formula>
    </cfRule>
  </conditionalFormatting>
  <conditionalFormatting sqref="D441:CV441">
    <cfRule type="expression" dxfId="4" priority="3717">
      <formula>$D$16&lt;&gt;"Y"</formula>
    </cfRule>
  </conditionalFormatting>
  <conditionalFormatting sqref="D442:CV442">
    <cfRule type="expression" dxfId="4" priority="3720">
      <formula>$E$16&lt;&gt;"Y"</formula>
    </cfRule>
  </conditionalFormatting>
  <conditionalFormatting sqref="D443:CV443">
    <cfRule type="expression" dxfId="4" priority="3723">
      <formula>$F$16&lt;&gt;"Y"</formula>
    </cfRule>
  </conditionalFormatting>
  <conditionalFormatting sqref="D444:CV444">
    <cfRule type="expression" dxfId="4" priority="3726">
      <formula>$G$16&lt;&gt;"Y"</formula>
    </cfRule>
  </conditionalFormatting>
  <conditionalFormatting sqref="D445:CV445">
    <cfRule type="expression" dxfId="4" priority="3729">
      <formula>$H$16&lt;&gt;"Y"</formula>
    </cfRule>
  </conditionalFormatting>
  <conditionalFormatting sqref="D446:CV446">
    <cfRule type="expression" dxfId="4" priority="3732">
      <formula>$I$16&lt;&gt;"Y"</formula>
    </cfRule>
  </conditionalFormatting>
  <conditionalFormatting sqref="D447:CV447">
    <cfRule type="expression" dxfId="4" priority="3735">
      <formula>$J$16&lt;&gt;"Y"</formula>
    </cfRule>
  </conditionalFormatting>
  <conditionalFormatting sqref="D448:CV448">
    <cfRule type="expression" dxfId="4" priority="3738">
      <formula>$K$16&lt;&gt;"Y"</formula>
    </cfRule>
  </conditionalFormatting>
  <conditionalFormatting sqref="D449:CV449">
    <cfRule type="expression" dxfId="4" priority="3741">
      <formula>$L$16&lt;&gt;"Y"</formula>
    </cfRule>
  </conditionalFormatting>
  <conditionalFormatting sqref="D44:CV44">
    <cfRule type="expression" dxfId="4" priority="2526">
      <formula>$C$5&lt;&gt;"Y"</formula>
    </cfRule>
  </conditionalFormatting>
  <conditionalFormatting sqref="D450:CV450">
    <cfRule type="expression" dxfId="4" priority="3744">
      <formula>$M$16&lt;&gt;"Y"</formula>
    </cfRule>
  </conditionalFormatting>
  <conditionalFormatting sqref="D451:CV451">
    <cfRule type="expression" dxfId="4" priority="3747">
      <formula>$N$16&lt;&gt;"Y"</formula>
    </cfRule>
  </conditionalFormatting>
  <conditionalFormatting sqref="D452:CV452">
    <cfRule type="expression" dxfId="4" priority="3750">
      <formula>$O$16&lt;&gt;"Y"</formula>
    </cfRule>
  </conditionalFormatting>
  <conditionalFormatting sqref="D453:CV453">
    <cfRule type="expression" dxfId="4" priority="3753">
      <formula>$P$16&lt;&gt;"Y"</formula>
    </cfRule>
  </conditionalFormatting>
  <conditionalFormatting sqref="D454:CV454">
    <cfRule type="expression" dxfId="4" priority="3756">
      <formula>$Q$16&lt;&gt;"Y"</formula>
    </cfRule>
  </conditionalFormatting>
  <conditionalFormatting sqref="D455:CV455">
    <cfRule type="expression" dxfId="4" priority="3759">
      <formula>$R$16&lt;&gt;"Y"</formula>
    </cfRule>
  </conditionalFormatting>
  <conditionalFormatting sqref="D456:CV456">
    <cfRule type="expression" dxfId="4" priority="3762">
      <formula>$S$16&lt;&gt;"Y"</formula>
    </cfRule>
  </conditionalFormatting>
  <conditionalFormatting sqref="D457:CV457">
    <cfRule type="expression" dxfId="4" priority="3765">
      <formula>$T$16&lt;&gt;"Y"</formula>
    </cfRule>
  </conditionalFormatting>
  <conditionalFormatting sqref="D458:CV458">
    <cfRule type="expression" dxfId="4" priority="3768">
      <formula>$U$16&lt;&gt;"Y"</formula>
    </cfRule>
  </conditionalFormatting>
  <conditionalFormatting sqref="D459:CV459">
    <cfRule type="expression" dxfId="4" priority="3771">
      <formula>$V$16&lt;&gt;"Y"</formula>
    </cfRule>
  </conditionalFormatting>
  <conditionalFormatting sqref="D45:CV45">
    <cfRule type="expression" dxfId="4" priority="2529">
      <formula>$D$5&lt;&gt;"Y"</formula>
    </cfRule>
  </conditionalFormatting>
  <conditionalFormatting sqref="D460:CV460">
    <cfRule type="expression" dxfId="4" priority="3774">
      <formula>$W$16&lt;&gt;"Y"</formula>
    </cfRule>
  </conditionalFormatting>
  <conditionalFormatting sqref="D461:CV461">
    <cfRule type="expression" dxfId="4" priority="3777">
      <formula>$X$16&lt;&gt;"Y"</formula>
    </cfRule>
  </conditionalFormatting>
  <conditionalFormatting sqref="D462:CV462">
    <cfRule type="expression" dxfId="4" priority="3780">
      <formula>$Y$16&lt;&gt;"Y"</formula>
    </cfRule>
  </conditionalFormatting>
  <conditionalFormatting sqref="D463:CV463">
    <cfRule type="expression" dxfId="4" priority="3783">
      <formula>$Z$16&lt;&gt;"Y"</formula>
    </cfRule>
  </conditionalFormatting>
  <conditionalFormatting sqref="D464:CV464">
    <cfRule type="expression" dxfId="4" priority="3786">
      <formula>$AA$16&lt;&gt;"Y"</formula>
    </cfRule>
  </conditionalFormatting>
  <conditionalFormatting sqref="D465:CV465">
    <cfRule type="expression" dxfId="4" priority="3789">
      <formula>$AB$16&lt;&gt;"Y"</formula>
    </cfRule>
  </conditionalFormatting>
  <conditionalFormatting sqref="D466:CV466">
    <cfRule type="expression" dxfId="4" priority="3792">
      <formula>$AC$16&lt;&gt;"Y"</formula>
    </cfRule>
  </conditionalFormatting>
  <conditionalFormatting sqref="D467:CV467">
    <cfRule type="expression" dxfId="4" priority="3795">
      <formula>$AD$16&lt;&gt;"Y"</formula>
    </cfRule>
  </conditionalFormatting>
  <conditionalFormatting sqref="D468:CV468">
    <cfRule type="expression" dxfId="4" priority="3798">
      <formula>$AE$16&lt;&gt;"Y"</formula>
    </cfRule>
  </conditionalFormatting>
  <conditionalFormatting sqref="D469:CV469">
    <cfRule type="expression" dxfId="4" priority="3801">
      <formula>$AF$16&lt;&gt;"Y"</formula>
    </cfRule>
  </conditionalFormatting>
  <conditionalFormatting sqref="D46:CV46">
    <cfRule type="expression" dxfId="4" priority="2532">
      <formula>$E$5&lt;&gt;"Y"</formula>
    </cfRule>
  </conditionalFormatting>
  <conditionalFormatting sqref="D470:CV470">
    <cfRule type="expression" dxfId="4" priority="3804">
      <formula>$AG$16&lt;&gt;"Y"</formula>
    </cfRule>
  </conditionalFormatting>
  <conditionalFormatting sqref="D471:CV471">
    <cfRule type="expression" dxfId="4" priority="3807">
      <formula>$AH$16&lt;&gt;"Y"</formula>
    </cfRule>
  </conditionalFormatting>
  <conditionalFormatting sqref="D472:CV472">
    <cfRule type="expression" dxfId="4" priority="3810">
      <formula>$AI$16&lt;&gt;"Y"</formula>
    </cfRule>
  </conditionalFormatting>
  <conditionalFormatting sqref="D473:CV473">
    <cfRule type="expression" dxfId="4" priority="3813">
      <formula>$AJ$16&lt;&gt;"Y"</formula>
    </cfRule>
  </conditionalFormatting>
  <conditionalFormatting sqref="D474:CV474">
    <cfRule type="expression" dxfId="4" priority="3816">
      <formula>$AK$16&lt;&gt;"Y"</formula>
    </cfRule>
  </conditionalFormatting>
  <conditionalFormatting sqref="D475:CV475">
    <cfRule type="expression" dxfId="4" priority="3819">
      <formula>$B$17&lt;&gt;"Y"</formula>
    </cfRule>
  </conditionalFormatting>
  <conditionalFormatting sqref="D476:CV476">
    <cfRule type="expression" dxfId="4" priority="3822">
      <formula>$C$17&lt;&gt;"Y"</formula>
    </cfRule>
  </conditionalFormatting>
  <conditionalFormatting sqref="D477:CV477">
    <cfRule type="expression" dxfId="4" priority="3825">
      <formula>$D$17&lt;&gt;"Y"</formula>
    </cfRule>
  </conditionalFormatting>
  <conditionalFormatting sqref="D478:CV478">
    <cfRule type="expression" dxfId="4" priority="3828">
      <formula>$E$17&lt;&gt;"Y"</formula>
    </cfRule>
  </conditionalFormatting>
  <conditionalFormatting sqref="D479:CV479">
    <cfRule type="expression" dxfId="4" priority="3831">
      <formula>$F$17&lt;&gt;"Y"</formula>
    </cfRule>
  </conditionalFormatting>
  <conditionalFormatting sqref="D47:CV47">
    <cfRule type="expression" dxfId="4" priority="2535">
      <formula>$F$5&lt;&gt;"Y"</formula>
    </cfRule>
  </conditionalFormatting>
  <conditionalFormatting sqref="D480:CV480">
    <cfRule type="expression" dxfId="4" priority="3834">
      <formula>$G$17&lt;&gt;"Y"</formula>
    </cfRule>
  </conditionalFormatting>
  <conditionalFormatting sqref="D481:CV481">
    <cfRule type="expression" dxfId="4" priority="3837">
      <formula>$H$17&lt;&gt;"Y"</formula>
    </cfRule>
  </conditionalFormatting>
  <conditionalFormatting sqref="D482:CV482">
    <cfRule type="expression" dxfId="4" priority="3840">
      <formula>$I$17&lt;&gt;"Y"</formula>
    </cfRule>
  </conditionalFormatting>
  <conditionalFormatting sqref="D483:CV483">
    <cfRule type="expression" dxfId="4" priority="3843">
      <formula>$J$17&lt;&gt;"Y"</formula>
    </cfRule>
  </conditionalFormatting>
  <conditionalFormatting sqref="D484:CV484">
    <cfRule type="expression" dxfId="4" priority="3846">
      <formula>$K$17&lt;&gt;"Y"</formula>
    </cfRule>
  </conditionalFormatting>
  <conditionalFormatting sqref="D485:CV485">
    <cfRule type="expression" dxfId="4" priority="3849">
      <formula>$L$17&lt;&gt;"Y"</formula>
    </cfRule>
  </conditionalFormatting>
  <conditionalFormatting sqref="D486:CV486">
    <cfRule type="expression" dxfId="4" priority="3852">
      <formula>$M$17&lt;&gt;"Y"</formula>
    </cfRule>
  </conditionalFormatting>
  <conditionalFormatting sqref="D487:CV487">
    <cfRule type="expression" dxfId="4" priority="3855">
      <formula>$N$17&lt;&gt;"Y"</formula>
    </cfRule>
  </conditionalFormatting>
  <conditionalFormatting sqref="D488:CV488">
    <cfRule type="expression" dxfId="4" priority="3858">
      <formula>$O$17&lt;&gt;"Y"</formula>
    </cfRule>
  </conditionalFormatting>
  <conditionalFormatting sqref="D489:CV489">
    <cfRule type="expression" dxfId="4" priority="3861">
      <formula>$P$17&lt;&gt;"Y"</formula>
    </cfRule>
  </conditionalFormatting>
  <conditionalFormatting sqref="D48:CV48">
    <cfRule type="expression" dxfId="4" priority="2538">
      <formula>$G$5&lt;&gt;"Y"</formula>
    </cfRule>
  </conditionalFormatting>
  <conditionalFormatting sqref="D490:CV490">
    <cfRule type="expression" dxfId="4" priority="3864">
      <formula>$Q$17&lt;&gt;"Y"</formula>
    </cfRule>
  </conditionalFormatting>
  <conditionalFormatting sqref="D491:CV491">
    <cfRule type="expression" dxfId="4" priority="3867">
      <formula>$R$17&lt;&gt;"Y"</formula>
    </cfRule>
  </conditionalFormatting>
  <conditionalFormatting sqref="D492:CV492">
    <cfRule type="expression" dxfId="4" priority="3870">
      <formula>$S$17&lt;&gt;"Y"</formula>
    </cfRule>
  </conditionalFormatting>
  <conditionalFormatting sqref="D493:CV493">
    <cfRule type="expression" dxfId="4" priority="3873">
      <formula>$T$17&lt;&gt;"Y"</formula>
    </cfRule>
  </conditionalFormatting>
  <conditionalFormatting sqref="D494:CV494">
    <cfRule type="expression" dxfId="4" priority="3876">
      <formula>$U$17&lt;&gt;"Y"</formula>
    </cfRule>
  </conditionalFormatting>
  <conditionalFormatting sqref="D495:CV495">
    <cfRule type="expression" dxfId="4" priority="3879">
      <formula>$V$17&lt;&gt;"Y"</formula>
    </cfRule>
  </conditionalFormatting>
  <conditionalFormatting sqref="D496:CV496">
    <cfRule type="expression" dxfId="4" priority="3882">
      <formula>$W$17&lt;&gt;"Y"</formula>
    </cfRule>
  </conditionalFormatting>
  <conditionalFormatting sqref="D497:CV497">
    <cfRule type="expression" dxfId="4" priority="3885">
      <formula>$X$17&lt;&gt;"Y"</formula>
    </cfRule>
  </conditionalFormatting>
  <conditionalFormatting sqref="D498:CV498">
    <cfRule type="expression" dxfId="4" priority="3888">
      <formula>$Y$17&lt;&gt;"Y"</formula>
    </cfRule>
  </conditionalFormatting>
  <conditionalFormatting sqref="D499:CV499">
    <cfRule type="expression" dxfId="4" priority="3891">
      <formula>$Z$17&lt;&gt;"Y"</formula>
    </cfRule>
  </conditionalFormatting>
  <conditionalFormatting sqref="D49:CV49">
    <cfRule type="expression" dxfId="4" priority="2541">
      <formula>$H$5&lt;&gt;"Y"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CV500">
    <cfRule type="expression" dxfId="4" priority="3894">
      <formula>$AA$17&lt;&gt;"Y"</formula>
    </cfRule>
  </conditionalFormatting>
  <conditionalFormatting sqref="D501:CV501">
    <cfRule type="expression" dxfId="4" priority="3897">
      <formula>$AB$17&lt;&gt;"Y"</formula>
    </cfRule>
  </conditionalFormatting>
  <conditionalFormatting sqref="D502:CV502">
    <cfRule type="expression" dxfId="4" priority="3900">
      <formula>$AC$17&lt;&gt;"Y"</formula>
    </cfRule>
  </conditionalFormatting>
  <conditionalFormatting sqref="D503:CV503">
    <cfRule type="expression" dxfId="4" priority="3903">
      <formula>$AD$17&lt;&gt;"Y"</formula>
    </cfRule>
  </conditionalFormatting>
  <conditionalFormatting sqref="D504:CV504">
    <cfRule type="expression" dxfId="4" priority="3906">
      <formula>$AE$17&lt;&gt;"Y"</formula>
    </cfRule>
  </conditionalFormatting>
  <conditionalFormatting sqref="D505:CV505">
    <cfRule type="expression" dxfId="4" priority="3909">
      <formula>$AF$17&lt;&gt;"Y"</formula>
    </cfRule>
  </conditionalFormatting>
  <conditionalFormatting sqref="D506:CV506">
    <cfRule type="expression" dxfId="4" priority="3912">
      <formula>$AG$17&lt;&gt;"Y"</formula>
    </cfRule>
  </conditionalFormatting>
  <conditionalFormatting sqref="D507:CV507">
    <cfRule type="expression" dxfId="4" priority="3915">
      <formula>$AH$17&lt;&gt;"Y"</formula>
    </cfRule>
  </conditionalFormatting>
  <conditionalFormatting sqref="D508:CV508">
    <cfRule type="expression" dxfId="4" priority="3918">
      <formula>$AI$17&lt;&gt;"Y"</formula>
    </cfRule>
  </conditionalFormatting>
  <conditionalFormatting sqref="D509:CV509">
    <cfRule type="expression" dxfId="4" priority="3921">
      <formula>$AJ$17&lt;&gt;"Y"</formula>
    </cfRule>
  </conditionalFormatting>
  <conditionalFormatting sqref="D50:CV50">
    <cfRule type="expression" dxfId="4" priority="2544">
      <formula>$I$5&lt;&gt;"Y"</formula>
    </cfRule>
  </conditionalFormatting>
  <conditionalFormatting sqref="D510:CV510">
    <cfRule type="expression" dxfId="4" priority="3924">
      <formula>$AK$17&lt;&gt;"Y"</formula>
    </cfRule>
  </conditionalFormatting>
  <conditionalFormatting sqref="D511:CV511">
    <cfRule type="expression" dxfId="4" priority="3927">
      <formula>$B$18&lt;&gt;"Y"</formula>
    </cfRule>
  </conditionalFormatting>
  <conditionalFormatting sqref="D512:CV512">
    <cfRule type="expression" dxfId="4" priority="3930">
      <formula>$C$18&lt;&gt;"Y"</formula>
    </cfRule>
  </conditionalFormatting>
  <conditionalFormatting sqref="D513:CV513">
    <cfRule type="expression" dxfId="4" priority="3933">
      <formula>$D$18&lt;&gt;"Y"</formula>
    </cfRule>
  </conditionalFormatting>
  <conditionalFormatting sqref="D514:CV514">
    <cfRule type="expression" dxfId="4" priority="3936">
      <formula>$E$18&lt;&gt;"Y"</formula>
    </cfRule>
  </conditionalFormatting>
  <conditionalFormatting sqref="D515:CV515">
    <cfRule type="expression" dxfId="4" priority="3939">
      <formula>$F$18&lt;&gt;"Y"</formula>
    </cfRule>
  </conditionalFormatting>
  <conditionalFormatting sqref="D516:CV516">
    <cfRule type="expression" dxfId="4" priority="3942">
      <formula>$G$18&lt;&gt;"Y"</formula>
    </cfRule>
  </conditionalFormatting>
  <conditionalFormatting sqref="D517:CV517">
    <cfRule type="expression" dxfId="4" priority="3945">
      <formula>$H$18&lt;&gt;"Y"</formula>
    </cfRule>
  </conditionalFormatting>
  <conditionalFormatting sqref="D518:CV518">
    <cfRule type="expression" dxfId="4" priority="3948">
      <formula>$I$18&lt;&gt;"Y"</formula>
    </cfRule>
  </conditionalFormatting>
  <conditionalFormatting sqref="D519:CV519">
    <cfRule type="expression" dxfId="4" priority="3951">
      <formula>$J$18&lt;&gt;"Y"</formula>
    </cfRule>
  </conditionalFormatting>
  <conditionalFormatting sqref="D51:CV51">
    <cfRule type="expression" dxfId="4" priority="2547">
      <formula>$J$5&lt;&gt;"Y"</formula>
    </cfRule>
  </conditionalFormatting>
  <conditionalFormatting sqref="D520:CV520">
    <cfRule type="expression" dxfId="4" priority="3954">
      <formula>$K$18&lt;&gt;"Y"</formula>
    </cfRule>
  </conditionalFormatting>
  <conditionalFormatting sqref="D521:CV521">
    <cfRule type="expression" dxfId="4" priority="3957">
      <formula>$L$18&lt;&gt;"Y"</formula>
    </cfRule>
  </conditionalFormatting>
  <conditionalFormatting sqref="D522:CV522">
    <cfRule type="expression" dxfId="4" priority="3960">
      <formula>$M$18&lt;&gt;"Y"</formula>
    </cfRule>
  </conditionalFormatting>
  <conditionalFormatting sqref="D523:CV523">
    <cfRule type="expression" dxfId="4" priority="3963">
      <formula>$N$18&lt;&gt;"Y"</formula>
    </cfRule>
  </conditionalFormatting>
  <conditionalFormatting sqref="D524:CV524">
    <cfRule type="expression" dxfId="4" priority="3966">
      <formula>$O$18&lt;&gt;"Y"</formula>
    </cfRule>
  </conditionalFormatting>
  <conditionalFormatting sqref="D525:CV525">
    <cfRule type="expression" dxfId="4" priority="3969">
      <formula>$P$18&lt;&gt;"Y"</formula>
    </cfRule>
  </conditionalFormatting>
  <conditionalFormatting sqref="D526:CV526">
    <cfRule type="expression" dxfId="4" priority="3972">
      <formula>$Q$18&lt;&gt;"Y"</formula>
    </cfRule>
  </conditionalFormatting>
  <conditionalFormatting sqref="D527:CV527">
    <cfRule type="expression" dxfId="4" priority="3975">
      <formula>$R$18&lt;&gt;"Y"</formula>
    </cfRule>
  </conditionalFormatting>
  <conditionalFormatting sqref="D528:CV528">
    <cfRule type="expression" dxfId="4" priority="3978">
      <formula>$S$18&lt;&gt;"Y"</formula>
    </cfRule>
  </conditionalFormatting>
  <conditionalFormatting sqref="D529:CV529">
    <cfRule type="expression" dxfId="4" priority="3981">
      <formula>$T$18&lt;&gt;"Y"</formula>
    </cfRule>
  </conditionalFormatting>
  <conditionalFormatting sqref="D52:CV52">
    <cfRule type="expression" dxfId="4" priority="2550">
      <formula>$K$5&lt;&gt;"Y"</formula>
    </cfRule>
  </conditionalFormatting>
  <conditionalFormatting sqref="D530:CV530">
    <cfRule type="expression" dxfId="4" priority="3984">
      <formula>$U$18&lt;&gt;"Y"</formula>
    </cfRule>
  </conditionalFormatting>
  <conditionalFormatting sqref="D531:CV531">
    <cfRule type="expression" dxfId="4" priority="3987">
      <formula>$V$18&lt;&gt;"Y"</formula>
    </cfRule>
  </conditionalFormatting>
  <conditionalFormatting sqref="D532:CV532">
    <cfRule type="expression" dxfId="4" priority="3990">
      <formula>$W$18&lt;&gt;"Y"</formula>
    </cfRule>
  </conditionalFormatting>
  <conditionalFormatting sqref="D533:CV533">
    <cfRule type="expression" dxfId="4" priority="3993">
      <formula>$X$18&lt;&gt;"Y"</formula>
    </cfRule>
  </conditionalFormatting>
  <conditionalFormatting sqref="D534:CV534">
    <cfRule type="expression" dxfId="4" priority="3996">
      <formula>$Y$18&lt;&gt;"Y"</formula>
    </cfRule>
  </conditionalFormatting>
  <conditionalFormatting sqref="D535:CV535">
    <cfRule type="expression" dxfId="4" priority="3999">
      <formula>$Z$18&lt;&gt;"Y"</formula>
    </cfRule>
  </conditionalFormatting>
  <conditionalFormatting sqref="D536:CV536">
    <cfRule type="expression" dxfId="4" priority="4002">
      <formula>$AA$18&lt;&gt;"Y"</formula>
    </cfRule>
  </conditionalFormatting>
  <conditionalFormatting sqref="D537:CV537">
    <cfRule type="expression" dxfId="4" priority="4005">
      <formula>$AB$18&lt;&gt;"Y"</formula>
    </cfRule>
  </conditionalFormatting>
  <conditionalFormatting sqref="D538:CV538">
    <cfRule type="expression" dxfId="4" priority="4008">
      <formula>$AC$18&lt;&gt;"Y"</formula>
    </cfRule>
  </conditionalFormatting>
  <conditionalFormatting sqref="D539:CV539">
    <cfRule type="expression" dxfId="4" priority="4011">
      <formula>$AD$18&lt;&gt;"Y"</formula>
    </cfRule>
  </conditionalFormatting>
  <conditionalFormatting sqref="D53:CV53">
    <cfRule type="expression" dxfId="4" priority="2553">
      <formula>$L$5&lt;&gt;"Y"</formula>
    </cfRule>
  </conditionalFormatting>
  <conditionalFormatting sqref="D540:CV540">
    <cfRule type="expression" dxfId="4" priority="4014">
      <formula>$AE$18&lt;&gt;"Y"</formula>
    </cfRule>
  </conditionalFormatting>
  <conditionalFormatting sqref="D541:CV541">
    <cfRule type="expression" dxfId="4" priority="4017">
      <formula>$AF$18&lt;&gt;"Y"</formula>
    </cfRule>
  </conditionalFormatting>
  <conditionalFormatting sqref="D542:CV542">
    <cfRule type="expression" dxfId="4" priority="4020">
      <formula>$AG$18&lt;&gt;"Y"</formula>
    </cfRule>
  </conditionalFormatting>
  <conditionalFormatting sqref="D543:CV543">
    <cfRule type="expression" dxfId="4" priority="4023">
      <formula>$AH$18&lt;&gt;"Y"</formula>
    </cfRule>
  </conditionalFormatting>
  <conditionalFormatting sqref="D544:CV544">
    <cfRule type="expression" dxfId="4" priority="4026">
      <formula>$AI$18&lt;&gt;"Y"</formula>
    </cfRule>
  </conditionalFormatting>
  <conditionalFormatting sqref="D545:CV545">
    <cfRule type="expression" dxfId="4" priority="4029">
      <formula>$AJ$18&lt;&gt;"Y"</formula>
    </cfRule>
  </conditionalFormatting>
  <conditionalFormatting sqref="D546:CV546">
    <cfRule type="expression" dxfId="4" priority="4032">
      <formula>$AK$18&lt;&gt;"Y"</formula>
    </cfRule>
  </conditionalFormatting>
  <conditionalFormatting sqref="D547:CV547">
    <cfRule type="expression" dxfId="4" priority="4035">
      <formula>$B$19&lt;&gt;"Y"</formula>
    </cfRule>
  </conditionalFormatting>
  <conditionalFormatting sqref="D548:CV548">
    <cfRule type="expression" dxfId="4" priority="4038">
      <formula>$C$19&lt;&gt;"Y"</formula>
    </cfRule>
  </conditionalFormatting>
  <conditionalFormatting sqref="D549:CV549">
    <cfRule type="expression" dxfId="4" priority="4041">
      <formula>$D$19&lt;&gt;"Y"</formula>
    </cfRule>
  </conditionalFormatting>
  <conditionalFormatting sqref="D54:CV54">
    <cfRule type="expression" dxfId="4" priority="2556">
      <formula>$M$5&lt;&gt;"Y"</formula>
    </cfRule>
  </conditionalFormatting>
  <conditionalFormatting sqref="D550:CV550">
    <cfRule type="expression" dxfId="4" priority="4044">
      <formula>$E$19&lt;&gt;"Y"</formula>
    </cfRule>
  </conditionalFormatting>
  <conditionalFormatting sqref="D551:CV551">
    <cfRule type="expression" dxfId="4" priority="4047">
      <formula>$F$19&lt;&gt;"Y"</formula>
    </cfRule>
  </conditionalFormatting>
  <conditionalFormatting sqref="D552:CV552">
    <cfRule type="expression" dxfId="4" priority="4050">
      <formula>$G$19&lt;&gt;"Y"</formula>
    </cfRule>
  </conditionalFormatting>
  <conditionalFormatting sqref="D553:CV553">
    <cfRule type="expression" dxfId="4" priority="4053">
      <formula>$H$19&lt;&gt;"Y"</formula>
    </cfRule>
  </conditionalFormatting>
  <conditionalFormatting sqref="D554:CV554">
    <cfRule type="expression" dxfId="4" priority="4056">
      <formula>$I$19&lt;&gt;"Y"</formula>
    </cfRule>
  </conditionalFormatting>
  <conditionalFormatting sqref="D555:CV555">
    <cfRule type="expression" dxfId="4" priority="4059">
      <formula>$J$19&lt;&gt;"Y"</formula>
    </cfRule>
  </conditionalFormatting>
  <conditionalFormatting sqref="D556:CV556">
    <cfRule type="expression" dxfId="4" priority="4062">
      <formula>$K$19&lt;&gt;"Y"</formula>
    </cfRule>
  </conditionalFormatting>
  <conditionalFormatting sqref="D557:CV557">
    <cfRule type="expression" dxfId="4" priority="4065">
      <formula>$L$19&lt;&gt;"Y"</formula>
    </cfRule>
  </conditionalFormatting>
  <conditionalFormatting sqref="D558:CV558">
    <cfRule type="expression" dxfId="4" priority="4068">
      <formula>$M$19&lt;&gt;"Y"</formula>
    </cfRule>
  </conditionalFormatting>
  <conditionalFormatting sqref="D559:CV559">
    <cfRule type="expression" dxfId="4" priority="4071">
      <formula>$N$19&lt;&gt;"Y"</formula>
    </cfRule>
  </conditionalFormatting>
  <conditionalFormatting sqref="D55:CV55">
    <cfRule type="expression" dxfId="4" priority="2559">
      <formula>$N$5&lt;&gt;"Y"</formula>
    </cfRule>
  </conditionalFormatting>
  <conditionalFormatting sqref="D560:CV560">
    <cfRule type="expression" dxfId="4" priority="4074">
      <formula>$O$19&lt;&gt;"Y"</formula>
    </cfRule>
  </conditionalFormatting>
  <conditionalFormatting sqref="D561:CV561">
    <cfRule type="expression" dxfId="4" priority="4077">
      <formula>$P$19&lt;&gt;"Y"</formula>
    </cfRule>
  </conditionalFormatting>
  <conditionalFormatting sqref="D562:CV562">
    <cfRule type="expression" dxfId="4" priority="4080">
      <formula>$Q$19&lt;&gt;"Y"</formula>
    </cfRule>
  </conditionalFormatting>
  <conditionalFormatting sqref="D563:CV563">
    <cfRule type="expression" dxfId="4" priority="4083">
      <formula>$R$19&lt;&gt;"Y"</formula>
    </cfRule>
  </conditionalFormatting>
  <conditionalFormatting sqref="D564:CV564">
    <cfRule type="expression" dxfId="4" priority="4086">
      <formula>$S$19&lt;&gt;"Y"</formula>
    </cfRule>
  </conditionalFormatting>
  <conditionalFormatting sqref="D565:CV565">
    <cfRule type="expression" dxfId="4" priority="4089">
      <formula>$T$19&lt;&gt;"Y"</formula>
    </cfRule>
  </conditionalFormatting>
  <conditionalFormatting sqref="D566:CV566">
    <cfRule type="expression" dxfId="4" priority="4092">
      <formula>$U$19&lt;&gt;"Y"</formula>
    </cfRule>
  </conditionalFormatting>
  <conditionalFormatting sqref="D567:CV567">
    <cfRule type="expression" dxfId="4" priority="4095">
      <formula>$V$19&lt;&gt;"Y"</formula>
    </cfRule>
  </conditionalFormatting>
  <conditionalFormatting sqref="D568:CV568">
    <cfRule type="expression" dxfId="4" priority="4098">
      <formula>$W$19&lt;&gt;"Y"</formula>
    </cfRule>
  </conditionalFormatting>
  <conditionalFormatting sqref="D569:CV569">
    <cfRule type="expression" dxfId="4" priority="4101">
      <formula>$X$19&lt;&gt;"Y"</formula>
    </cfRule>
  </conditionalFormatting>
  <conditionalFormatting sqref="D56:CV56">
    <cfRule type="expression" dxfId="4" priority="2562">
      <formula>$O$5&lt;&gt;"Y"</formula>
    </cfRule>
  </conditionalFormatting>
  <conditionalFormatting sqref="D570:CV570">
    <cfRule type="expression" dxfId="4" priority="4104">
      <formula>$Y$19&lt;&gt;"Y"</formula>
    </cfRule>
  </conditionalFormatting>
  <conditionalFormatting sqref="D571:CV571">
    <cfRule type="expression" dxfId="4" priority="4107">
      <formula>$Z$19&lt;&gt;"Y"</formula>
    </cfRule>
  </conditionalFormatting>
  <conditionalFormatting sqref="D572:CV572">
    <cfRule type="expression" dxfId="4" priority="4110">
      <formula>$AA$19&lt;&gt;"Y"</formula>
    </cfRule>
  </conditionalFormatting>
  <conditionalFormatting sqref="D573:CV573">
    <cfRule type="expression" dxfId="4" priority="4113">
      <formula>$AB$19&lt;&gt;"Y"</formula>
    </cfRule>
  </conditionalFormatting>
  <conditionalFormatting sqref="D574:CV574">
    <cfRule type="expression" dxfId="4" priority="4116">
      <formula>$AC$19&lt;&gt;"Y"</formula>
    </cfRule>
  </conditionalFormatting>
  <conditionalFormatting sqref="D575:CV575">
    <cfRule type="expression" dxfId="4" priority="4119">
      <formula>$AD$19&lt;&gt;"Y"</formula>
    </cfRule>
  </conditionalFormatting>
  <conditionalFormatting sqref="D576:CV576">
    <cfRule type="expression" dxfId="4" priority="4122">
      <formula>$AE$19&lt;&gt;"Y"</formula>
    </cfRule>
  </conditionalFormatting>
  <conditionalFormatting sqref="D577:CV577">
    <cfRule type="expression" dxfId="4" priority="4125">
      <formula>$AF$19&lt;&gt;"Y"</formula>
    </cfRule>
  </conditionalFormatting>
  <conditionalFormatting sqref="D578:CV578">
    <cfRule type="expression" dxfId="4" priority="4128">
      <formula>$AG$19&lt;&gt;"Y"</formula>
    </cfRule>
  </conditionalFormatting>
  <conditionalFormatting sqref="D579:CV579">
    <cfRule type="expression" dxfId="4" priority="4131">
      <formula>$AH$19&lt;&gt;"Y"</formula>
    </cfRule>
  </conditionalFormatting>
  <conditionalFormatting sqref="D57:CV57">
    <cfRule type="expression" dxfId="4" priority="2565">
      <formula>$P$5&lt;&gt;"Y"</formula>
    </cfRule>
  </conditionalFormatting>
  <conditionalFormatting sqref="D580:CV580">
    <cfRule type="expression" dxfId="4" priority="4134">
      <formula>$AI$19&lt;&gt;"Y"</formula>
    </cfRule>
  </conditionalFormatting>
  <conditionalFormatting sqref="D581:CV581">
    <cfRule type="expression" dxfId="4" priority="4137">
      <formula>$AJ$19&lt;&gt;"Y"</formula>
    </cfRule>
  </conditionalFormatting>
  <conditionalFormatting sqref="D582:CV582">
    <cfRule type="expression" dxfId="4" priority="4140">
      <formula>$AK$19&lt;&gt;"Y"</formula>
    </cfRule>
  </conditionalFormatting>
  <conditionalFormatting sqref="D583:CV583">
    <cfRule type="expression" dxfId="4" priority="4143">
      <formula>$B$20&lt;&gt;"Y"</formula>
    </cfRule>
  </conditionalFormatting>
  <conditionalFormatting sqref="D584:CV584">
    <cfRule type="expression" dxfId="4" priority="4146">
      <formula>$C$20&lt;&gt;"Y"</formula>
    </cfRule>
  </conditionalFormatting>
  <conditionalFormatting sqref="D585:CV585">
    <cfRule type="expression" dxfId="4" priority="4149">
      <formula>$D$20&lt;&gt;"Y"</formula>
    </cfRule>
  </conditionalFormatting>
  <conditionalFormatting sqref="D586:CV586">
    <cfRule type="expression" dxfId="4" priority="4152">
      <formula>$E$20&lt;&gt;"Y"</formula>
    </cfRule>
  </conditionalFormatting>
  <conditionalFormatting sqref="D587:CV587">
    <cfRule type="expression" dxfId="4" priority="4155">
      <formula>$F$20&lt;&gt;"Y"</formula>
    </cfRule>
  </conditionalFormatting>
  <conditionalFormatting sqref="D588:CV588">
    <cfRule type="expression" dxfId="4" priority="4158">
      <formula>$G$20&lt;&gt;"Y"</formula>
    </cfRule>
  </conditionalFormatting>
  <conditionalFormatting sqref="D589:CV589">
    <cfRule type="expression" dxfId="4" priority="4161">
      <formula>$H$20&lt;&gt;"Y"</formula>
    </cfRule>
  </conditionalFormatting>
  <conditionalFormatting sqref="D58:CV58">
    <cfRule type="expression" dxfId="4" priority="2568">
      <formula>$Q$5&lt;&gt;"Y"</formula>
    </cfRule>
  </conditionalFormatting>
  <conditionalFormatting sqref="D590:CV590">
    <cfRule type="expression" dxfId="4" priority="4164">
      <formula>$I$20&lt;&gt;"Y"</formula>
    </cfRule>
  </conditionalFormatting>
  <conditionalFormatting sqref="D591:CV591">
    <cfRule type="expression" dxfId="4" priority="4167">
      <formula>$J$20&lt;&gt;"Y"</formula>
    </cfRule>
  </conditionalFormatting>
  <conditionalFormatting sqref="D592:CV592">
    <cfRule type="expression" dxfId="4" priority="4170">
      <formula>$K$20&lt;&gt;"Y"</formula>
    </cfRule>
  </conditionalFormatting>
  <conditionalFormatting sqref="D593:CV593">
    <cfRule type="expression" dxfId="4" priority="4173">
      <formula>$L$20&lt;&gt;"Y"</formula>
    </cfRule>
  </conditionalFormatting>
  <conditionalFormatting sqref="D594:CV594">
    <cfRule type="expression" dxfId="4" priority="4176">
      <formula>$M$20&lt;&gt;"Y"</formula>
    </cfRule>
  </conditionalFormatting>
  <conditionalFormatting sqref="D595:CV595">
    <cfRule type="expression" dxfId="4" priority="4179">
      <formula>$N$20&lt;&gt;"Y"</formula>
    </cfRule>
  </conditionalFormatting>
  <conditionalFormatting sqref="D596:CV596">
    <cfRule type="expression" dxfId="4" priority="4182">
      <formula>$O$20&lt;&gt;"Y"</formula>
    </cfRule>
  </conditionalFormatting>
  <conditionalFormatting sqref="D597:CV597">
    <cfRule type="expression" dxfId="4" priority="4185">
      <formula>$P$20&lt;&gt;"Y"</formula>
    </cfRule>
  </conditionalFormatting>
  <conditionalFormatting sqref="D598:CV598">
    <cfRule type="expression" dxfId="4" priority="4188">
      <formula>$Q$20&lt;&gt;"Y"</formula>
    </cfRule>
  </conditionalFormatting>
  <conditionalFormatting sqref="D599:CV599">
    <cfRule type="expression" dxfId="4" priority="4191">
      <formula>$R$20&lt;&gt;"Y"</formula>
    </cfRule>
  </conditionalFormatting>
  <conditionalFormatting sqref="D59:CV59">
    <cfRule type="expression" dxfId="4" priority="2571">
      <formula>$R$5&lt;&gt;"Y"</formula>
    </cfRule>
  </conditionalFormatting>
  <conditionalFormatting sqref="D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D600:CV600">
    <cfRule type="expression" dxfId="4" priority="4194">
      <formula>$S$20&lt;&gt;"Y"</formula>
    </cfRule>
  </conditionalFormatting>
  <conditionalFormatting sqref="D601:CV601">
    <cfRule type="expression" dxfId="4" priority="4197">
      <formula>$T$20&lt;&gt;"Y"</formula>
    </cfRule>
  </conditionalFormatting>
  <conditionalFormatting sqref="D602:CV602">
    <cfRule type="expression" dxfId="4" priority="4200">
      <formula>$U$20&lt;&gt;"Y"</formula>
    </cfRule>
  </conditionalFormatting>
  <conditionalFormatting sqref="D603:CV603">
    <cfRule type="expression" dxfId="4" priority="4203">
      <formula>$V$20&lt;&gt;"Y"</formula>
    </cfRule>
  </conditionalFormatting>
  <conditionalFormatting sqref="D604:CV604">
    <cfRule type="expression" dxfId="4" priority="4206">
      <formula>$W$20&lt;&gt;"Y"</formula>
    </cfRule>
  </conditionalFormatting>
  <conditionalFormatting sqref="D605:CV605">
    <cfRule type="expression" dxfId="4" priority="4209">
      <formula>$X$20&lt;&gt;"Y"</formula>
    </cfRule>
  </conditionalFormatting>
  <conditionalFormatting sqref="D606:CV606">
    <cfRule type="expression" dxfId="4" priority="4212">
      <formula>$Y$20&lt;&gt;"Y"</formula>
    </cfRule>
  </conditionalFormatting>
  <conditionalFormatting sqref="D607:CV607">
    <cfRule type="expression" dxfId="4" priority="4215">
      <formula>$Z$20&lt;&gt;"Y"</formula>
    </cfRule>
  </conditionalFormatting>
  <conditionalFormatting sqref="D608:CV608">
    <cfRule type="expression" dxfId="4" priority="4218">
      <formula>$AA$20&lt;&gt;"Y"</formula>
    </cfRule>
  </conditionalFormatting>
  <conditionalFormatting sqref="D609:CV609">
    <cfRule type="expression" dxfId="4" priority="4221">
      <formula>$AB$20&lt;&gt;"Y"</formula>
    </cfRule>
  </conditionalFormatting>
  <conditionalFormatting sqref="D60:CV60">
    <cfRule type="expression" dxfId="4" priority="2574">
      <formula>$S$5&lt;&gt;"Y"</formula>
    </cfRule>
  </conditionalFormatting>
  <conditionalFormatting sqref="D610:CV610">
    <cfRule type="expression" dxfId="4" priority="4224">
      <formula>$AC$20&lt;&gt;"Y"</formula>
    </cfRule>
  </conditionalFormatting>
  <conditionalFormatting sqref="D611:CV611">
    <cfRule type="expression" dxfId="4" priority="4227">
      <formula>$AD$20&lt;&gt;"Y"</formula>
    </cfRule>
  </conditionalFormatting>
  <conditionalFormatting sqref="D612:CV612">
    <cfRule type="expression" dxfId="4" priority="4230">
      <formula>$AE$20&lt;&gt;"Y"</formula>
    </cfRule>
  </conditionalFormatting>
  <conditionalFormatting sqref="D613:CV613">
    <cfRule type="expression" dxfId="4" priority="4233">
      <formula>$AF$20&lt;&gt;"Y"</formula>
    </cfRule>
  </conditionalFormatting>
  <conditionalFormatting sqref="D614:CV614">
    <cfRule type="expression" dxfId="4" priority="4236">
      <formula>$AG$20&lt;&gt;"Y"</formula>
    </cfRule>
  </conditionalFormatting>
  <conditionalFormatting sqref="D615:CV615">
    <cfRule type="expression" dxfId="4" priority="4239">
      <formula>$AH$20&lt;&gt;"Y"</formula>
    </cfRule>
  </conditionalFormatting>
  <conditionalFormatting sqref="D616:CV616">
    <cfRule type="expression" dxfId="4" priority="4242">
      <formula>$AI$20&lt;&gt;"Y"</formula>
    </cfRule>
  </conditionalFormatting>
  <conditionalFormatting sqref="D617:CV617">
    <cfRule type="expression" dxfId="4" priority="4245">
      <formula>$AJ$20&lt;&gt;"Y"</formula>
    </cfRule>
  </conditionalFormatting>
  <conditionalFormatting sqref="D618:CV618">
    <cfRule type="expression" dxfId="4" priority="4248">
      <formula>$AK$20&lt;&gt;"Y"</formula>
    </cfRule>
  </conditionalFormatting>
  <conditionalFormatting sqref="D619:CV619">
    <cfRule type="expression" dxfId="4" priority="4251">
      <formula>$B$21&lt;&gt;"Y"</formula>
    </cfRule>
  </conditionalFormatting>
  <conditionalFormatting sqref="D61:CV61">
    <cfRule type="expression" dxfId="4" priority="2577">
      <formula>$T$5&lt;&gt;"Y"</formula>
    </cfRule>
  </conditionalFormatting>
  <conditionalFormatting sqref="D620:CV620">
    <cfRule type="expression" dxfId="4" priority="4254">
      <formula>$C$21&lt;&gt;"Y"</formula>
    </cfRule>
  </conditionalFormatting>
  <conditionalFormatting sqref="D621:CV621">
    <cfRule type="expression" dxfId="4" priority="4257">
      <formula>$D$21&lt;&gt;"Y"</formula>
    </cfRule>
  </conditionalFormatting>
  <conditionalFormatting sqref="D622:CV622">
    <cfRule type="expression" dxfId="4" priority="4260">
      <formula>$E$21&lt;&gt;"Y"</formula>
    </cfRule>
  </conditionalFormatting>
  <conditionalFormatting sqref="D623:CV623">
    <cfRule type="expression" dxfId="4" priority="4263">
      <formula>$F$21&lt;&gt;"Y"</formula>
    </cfRule>
  </conditionalFormatting>
  <conditionalFormatting sqref="D624:CV624">
    <cfRule type="expression" dxfId="4" priority="4266">
      <formula>$G$21&lt;&gt;"Y"</formula>
    </cfRule>
  </conditionalFormatting>
  <conditionalFormatting sqref="D625:CV625">
    <cfRule type="expression" dxfId="4" priority="4269">
      <formula>$H$21&lt;&gt;"Y"</formula>
    </cfRule>
  </conditionalFormatting>
  <conditionalFormatting sqref="D626:CV626">
    <cfRule type="expression" dxfId="4" priority="4272">
      <formula>$I$21&lt;&gt;"Y"</formula>
    </cfRule>
  </conditionalFormatting>
  <conditionalFormatting sqref="D627:CV627">
    <cfRule type="expression" dxfId="4" priority="4275">
      <formula>$J$21&lt;&gt;"Y"</formula>
    </cfRule>
  </conditionalFormatting>
  <conditionalFormatting sqref="D628:CV628">
    <cfRule type="expression" dxfId="4" priority="4278">
      <formula>$K$21&lt;&gt;"Y"</formula>
    </cfRule>
  </conditionalFormatting>
  <conditionalFormatting sqref="D629:CV629">
    <cfRule type="expression" dxfId="4" priority="4281">
      <formula>$L$21&lt;&gt;"Y"</formula>
    </cfRule>
  </conditionalFormatting>
  <conditionalFormatting sqref="D62:CV62">
    <cfRule type="expression" dxfId="4" priority="2580">
      <formula>$U$5&lt;&gt;"Y"</formula>
    </cfRule>
  </conditionalFormatting>
  <conditionalFormatting sqref="D630:CV630">
    <cfRule type="expression" dxfId="4" priority="4284">
      <formula>$M$21&lt;&gt;"Y"</formula>
    </cfRule>
  </conditionalFormatting>
  <conditionalFormatting sqref="D631:CV631">
    <cfRule type="expression" dxfId="4" priority="4287">
      <formula>$N$21&lt;&gt;"Y"</formula>
    </cfRule>
  </conditionalFormatting>
  <conditionalFormatting sqref="D632:CV632">
    <cfRule type="expression" dxfId="4" priority="4290">
      <formula>$O$21&lt;&gt;"Y"</formula>
    </cfRule>
  </conditionalFormatting>
  <conditionalFormatting sqref="D633:CV633">
    <cfRule type="expression" dxfId="4" priority="4293">
      <formula>$P$21&lt;&gt;"Y"</formula>
    </cfRule>
  </conditionalFormatting>
  <conditionalFormatting sqref="D634:CV634">
    <cfRule type="expression" dxfId="4" priority="4296">
      <formula>$Q$21&lt;&gt;"Y"</formula>
    </cfRule>
  </conditionalFormatting>
  <conditionalFormatting sqref="D635:CV635">
    <cfRule type="expression" dxfId="4" priority="4299">
      <formula>$R$21&lt;&gt;"Y"</formula>
    </cfRule>
  </conditionalFormatting>
  <conditionalFormatting sqref="D636:CV636">
    <cfRule type="expression" dxfId="4" priority="4302">
      <formula>$S$21&lt;&gt;"Y"</formula>
    </cfRule>
  </conditionalFormatting>
  <conditionalFormatting sqref="D637:CV637">
    <cfRule type="expression" dxfId="4" priority="4305">
      <formula>$T$21&lt;&gt;"Y"</formula>
    </cfRule>
  </conditionalFormatting>
  <conditionalFormatting sqref="D638:CV638">
    <cfRule type="expression" dxfId="4" priority="4308">
      <formula>$U$21&lt;&gt;"Y"</formula>
    </cfRule>
  </conditionalFormatting>
  <conditionalFormatting sqref="D639:CV639">
    <cfRule type="expression" dxfId="4" priority="4311">
      <formula>$V$21&lt;&gt;"Y"</formula>
    </cfRule>
  </conditionalFormatting>
  <conditionalFormatting sqref="D63:CV63">
    <cfRule type="expression" dxfId="4" priority="2583">
      <formula>$V$5&lt;&gt;"Y"</formula>
    </cfRule>
  </conditionalFormatting>
  <conditionalFormatting sqref="D640:CV640">
    <cfRule type="expression" dxfId="4" priority="4314">
      <formula>$W$21&lt;&gt;"Y"</formula>
    </cfRule>
  </conditionalFormatting>
  <conditionalFormatting sqref="D641:CV641">
    <cfRule type="expression" dxfId="4" priority="4317">
      <formula>$X$21&lt;&gt;"Y"</formula>
    </cfRule>
  </conditionalFormatting>
  <conditionalFormatting sqref="D642:CV642">
    <cfRule type="expression" dxfId="4" priority="4320">
      <formula>$Y$21&lt;&gt;"Y"</formula>
    </cfRule>
  </conditionalFormatting>
  <conditionalFormatting sqref="D643:CV643">
    <cfRule type="expression" dxfId="4" priority="4323">
      <formula>$Z$21&lt;&gt;"Y"</formula>
    </cfRule>
  </conditionalFormatting>
  <conditionalFormatting sqref="D644:CV644">
    <cfRule type="expression" dxfId="4" priority="4326">
      <formula>$AA$21&lt;&gt;"Y"</formula>
    </cfRule>
  </conditionalFormatting>
  <conditionalFormatting sqref="D645:CV645">
    <cfRule type="expression" dxfId="4" priority="4329">
      <formula>$AB$21&lt;&gt;"Y"</formula>
    </cfRule>
  </conditionalFormatting>
  <conditionalFormatting sqref="D646:CV646">
    <cfRule type="expression" dxfId="4" priority="4332">
      <formula>$AC$21&lt;&gt;"Y"</formula>
    </cfRule>
  </conditionalFormatting>
  <conditionalFormatting sqref="D647:CV647">
    <cfRule type="expression" dxfId="4" priority="4335">
      <formula>$AD$21&lt;&gt;"Y"</formula>
    </cfRule>
  </conditionalFormatting>
  <conditionalFormatting sqref="D648:CV648">
    <cfRule type="expression" dxfId="4" priority="4338">
      <formula>$AE$21&lt;&gt;"Y"</formula>
    </cfRule>
  </conditionalFormatting>
  <conditionalFormatting sqref="D649:CV649">
    <cfRule type="expression" dxfId="4" priority="4341">
      <formula>$AF$21&lt;&gt;"Y"</formula>
    </cfRule>
  </conditionalFormatting>
  <conditionalFormatting sqref="D64:CV64">
    <cfRule type="expression" dxfId="4" priority="2586">
      <formula>$W$5&lt;&gt;"Y"</formula>
    </cfRule>
  </conditionalFormatting>
  <conditionalFormatting sqref="D650:CV650">
    <cfRule type="expression" dxfId="4" priority="4344">
      <formula>$AG$21&lt;&gt;"Y"</formula>
    </cfRule>
  </conditionalFormatting>
  <conditionalFormatting sqref="D651:CV651">
    <cfRule type="expression" dxfId="4" priority="4347">
      <formula>$AH$21&lt;&gt;"Y"</formula>
    </cfRule>
  </conditionalFormatting>
  <conditionalFormatting sqref="D652:CV652">
    <cfRule type="expression" dxfId="4" priority="4350">
      <formula>$AI$21&lt;&gt;"Y"</formula>
    </cfRule>
  </conditionalFormatting>
  <conditionalFormatting sqref="D653:CV653">
    <cfRule type="expression" dxfId="4" priority="4353">
      <formula>$AJ$21&lt;&gt;"Y"</formula>
    </cfRule>
  </conditionalFormatting>
  <conditionalFormatting sqref="D654:CV654">
    <cfRule type="expression" dxfId="4" priority="4356">
      <formula>$AK$21&lt;&gt;"Y"</formula>
    </cfRule>
  </conditionalFormatting>
  <conditionalFormatting sqref="D655:CV655">
    <cfRule type="expression" dxfId="4" priority="4359">
      <formula>$B$22&lt;&gt;"Y"</formula>
    </cfRule>
  </conditionalFormatting>
  <conditionalFormatting sqref="D656:CV656">
    <cfRule type="expression" dxfId="4" priority="4362">
      <formula>$C$22&lt;&gt;"Y"</formula>
    </cfRule>
  </conditionalFormatting>
  <conditionalFormatting sqref="D657:CV657">
    <cfRule type="expression" dxfId="4" priority="4365">
      <formula>$D$22&lt;&gt;"Y"</formula>
    </cfRule>
  </conditionalFormatting>
  <conditionalFormatting sqref="D658:CV658">
    <cfRule type="expression" dxfId="4" priority="4368">
      <formula>$E$22&lt;&gt;"Y"</formula>
    </cfRule>
  </conditionalFormatting>
  <conditionalFormatting sqref="D659:CV659">
    <cfRule type="expression" dxfId="4" priority="4371">
      <formula>$F$22&lt;&gt;"Y"</formula>
    </cfRule>
  </conditionalFormatting>
  <conditionalFormatting sqref="D65:CV65">
    <cfRule type="expression" dxfId="4" priority="2589">
      <formula>$X$5&lt;&gt;"Y"</formula>
    </cfRule>
  </conditionalFormatting>
  <conditionalFormatting sqref="D660:CV660">
    <cfRule type="expression" dxfId="4" priority="4374">
      <formula>$G$22&lt;&gt;"Y"</formula>
    </cfRule>
  </conditionalFormatting>
  <conditionalFormatting sqref="D661:CV661">
    <cfRule type="expression" dxfId="4" priority="4377">
      <formula>$H$22&lt;&gt;"Y"</formula>
    </cfRule>
  </conditionalFormatting>
  <conditionalFormatting sqref="D662:CV662">
    <cfRule type="expression" dxfId="4" priority="4380">
      <formula>$I$22&lt;&gt;"Y"</formula>
    </cfRule>
  </conditionalFormatting>
  <conditionalFormatting sqref="D663:CV663">
    <cfRule type="expression" dxfId="4" priority="4383">
      <formula>$J$22&lt;&gt;"Y"</formula>
    </cfRule>
  </conditionalFormatting>
  <conditionalFormatting sqref="D664:CV664">
    <cfRule type="expression" dxfId="4" priority="4386">
      <formula>$K$22&lt;&gt;"Y"</formula>
    </cfRule>
  </conditionalFormatting>
  <conditionalFormatting sqref="D665:CV665">
    <cfRule type="expression" dxfId="4" priority="4389">
      <formula>$L$22&lt;&gt;"Y"</formula>
    </cfRule>
  </conditionalFormatting>
  <conditionalFormatting sqref="D666:CV666">
    <cfRule type="expression" dxfId="4" priority="4392">
      <formula>$M$22&lt;&gt;"Y"</formula>
    </cfRule>
  </conditionalFormatting>
  <conditionalFormatting sqref="D667:CV667">
    <cfRule type="expression" dxfId="4" priority="4395">
      <formula>$N$22&lt;&gt;"Y"</formula>
    </cfRule>
  </conditionalFormatting>
  <conditionalFormatting sqref="D668:CV668">
    <cfRule type="expression" dxfId="4" priority="4398">
      <formula>$O$22&lt;&gt;"Y"</formula>
    </cfRule>
  </conditionalFormatting>
  <conditionalFormatting sqref="D669:CV669">
    <cfRule type="expression" dxfId="4" priority="4401">
      <formula>$P$22&lt;&gt;"Y"</formula>
    </cfRule>
  </conditionalFormatting>
  <conditionalFormatting sqref="D66:CV66">
    <cfRule type="expression" dxfId="4" priority="2592">
      <formula>$Y$5&lt;&gt;"Y"</formula>
    </cfRule>
  </conditionalFormatting>
  <conditionalFormatting sqref="D670:CV670">
    <cfRule type="expression" dxfId="4" priority="4404">
      <formula>$Q$22&lt;&gt;"Y"</formula>
    </cfRule>
  </conditionalFormatting>
  <conditionalFormatting sqref="D671:CV671">
    <cfRule type="expression" dxfId="4" priority="4407">
      <formula>$R$22&lt;&gt;"Y"</formula>
    </cfRule>
  </conditionalFormatting>
  <conditionalFormatting sqref="D672:CV672">
    <cfRule type="expression" dxfId="4" priority="4410">
      <formula>$S$22&lt;&gt;"Y"</formula>
    </cfRule>
  </conditionalFormatting>
  <conditionalFormatting sqref="D673:CV673">
    <cfRule type="expression" dxfId="4" priority="4413">
      <formula>$T$22&lt;&gt;"Y"</formula>
    </cfRule>
  </conditionalFormatting>
  <conditionalFormatting sqref="D674:CV674">
    <cfRule type="expression" dxfId="4" priority="4416">
      <formula>$U$22&lt;&gt;"Y"</formula>
    </cfRule>
  </conditionalFormatting>
  <conditionalFormatting sqref="D675:CV675">
    <cfRule type="expression" dxfId="4" priority="4419">
      <formula>$V$22&lt;&gt;"Y"</formula>
    </cfRule>
  </conditionalFormatting>
  <conditionalFormatting sqref="D676:CV676">
    <cfRule type="expression" dxfId="4" priority="4422">
      <formula>$W$22&lt;&gt;"Y"</formula>
    </cfRule>
  </conditionalFormatting>
  <conditionalFormatting sqref="D677:CV677">
    <cfRule type="expression" dxfId="4" priority="4425">
      <formula>$X$22&lt;&gt;"Y"</formula>
    </cfRule>
  </conditionalFormatting>
  <conditionalFormatting sqref="D678:CV678">
    <cfRule type="expression" dxfId="4" priority="4428">
      <formula>$Y$22&lt;&gt;"Y"</formula>
    </cfRule>
  </conditionalFormatting>
  <conditionalFormatting sqref="D679:CV679">
    <cfRule type="expression" dxfId="4" priority="4431">
      <formula>$Z$22&lt;&gt;"Y"</formula>
    </cfRule>
  </conditionalFormatting>
  <conditionalFormatting sqref="D67:CV67">
    <cfRule type="expression" dxfId="4" priority="2595">
      <formula>$Z$5&lt;&gt;"Y"</formula>
    </cfRule>
  </conditionalFormatting>
  <conditionalFormatting sqref="D680:CV680">
    <cfRule type="expression" dxfId="4" priority="4434">
      <formula>$AA$22&lt;&gt;"Y"</formula>
    </cfRule>
  </conditionalFormatting>
  <conditionalFormatting sqref="D681:CV681">
    <cfRule type="expression" dxfId="4" priority="4437">
      <formula>$AB$22&lt;&gt;"Y"</formula>
    </cfRule>
  </conditionalFormatting>
  <conditionalFormatting sqref="D682:CV682">
    <cfRule type="expression" dxfId="4" priority="4440">
      <formula>$AC$22&lt;&gt;"Y"</formula>
    </cfRule>
  </conditionalFormatting>
  <conditionalFormatting sqref="D683:CV683">
    <cfRule type="expression" dxfId="4" priority="4443">
      <formula>$AD$22&lt;&gt;"Y"</formula>
    </cfRule>
  </conditionalFormatting>
  <conditionalFormatting sqref="D684:CV684">
    <cfRule type="expression" dxfId="4" priority="4446">
      <formula>$AE$22&lt;&gt;"Y"</formula>
    </cfRule>
  </conditionalFormatting>
  <conditionalFormatting sqref="D685:CV685">
    <cfRule type="expression" dxfId="4" priority="4449">
      <formula>$AF$22&lt;&gt;"Y"</formula>
    </cfRule>
  </conditionalFormatting>
  <conditionalFormatting sqref="D686:CV686">
    <cfRule type="expression" dxfId="4" priority="4452">
      <formula>$AG$22&lt;&gt;"Y"</formula>
    </cfRule>
  </conditionalFormatting>
  <conditionalFormatting sqref="D687:CV687">
    <cfRule type="expression" dxfId="4" priority="4455">
      <formula>$AH$22&lt;&gt;"Y"</formula>
    </cfRule>
  </conditionalFormatting>
  <conditionalFormatting sqref="D688:CV688">
    <cfRule type="expression" dxfId="4" priority="4458">
      <formula>$AI$22&lt;&gt;"Y"</formula>
    </cfRule>
  </conditionalFormatting>
  <conditionalFormatting sqref="D689:CV689">
    <cfRule type="expression" dxfId="4" priority="4461">
      <formula>$AJ$22&lt;&gt;"Y"</formula>
    </cfRule>
  </conditionalFormatting>
  <conditionalFormatting sqref="D68:CV68">
    <cfRule type="expression" dxfId="4" priority="2598">
      <formula>$AA$5&lt;&gt;"Y"</formula>
    </cfRule>
  </conditionalFormatting>
  <conditionalFormatting sqref="D690:CV690">
    <cfRule type="expression" dxfId="4" priority="4464">
      <formula>$AK$22&lt;&gt;"Y"</formula>
    </cfRule>
  </conditionalFormatting>
  <conditionalFormatting sqref="D691:CV691">
    <cfRule type="expression" dxfId="4" priority="4467">
      <formula>$B$23&lt;&gt;"Y"</formula>
    </cfRule>
  </conditionalFormatting>
  <conditionalFormatting sqref="D692:CV692">
    <cfRule type="expression" dxfId="4" priority="4470">
      <formula>$C$23&lt;&gt;"Y"</formula>
    </cfRule>
  </conditionalFormatting>
  <conditionalFormatting sqref="D693:CV693">
    <cfRule type="expression" dxfId="4" priority="4473">
      <formula>$D$23&lt;&gt;"Y"</formula>
    </cfRule>
  </conditionalFormatting>
  <conditionalFormatting sqref="D694:CV694">
    <cfRule type="expression" dxfId="4" priority="4476">
      <formula>$E$23&lt;&gt;"Y"</formula>
    </cfRule>
  </conditionalFormatting>
  <conditionalFormatting sqref="D695:CV695">
    <cfRule type="expression" dxfId="4" priority="4479">
      <formula>$F$23&lt;&gt;"Y"</formula>
    </cfRule>
  </conditionalFormatting>
  <conditionalFormatting sqref="D696:CV696">
    <cfRule type="expression" dxfId="4" priority="4482">
      <formula>$G$23&lt;&gt;"Y"</formula>
    </cfRule>
  </conditionalFormatting>
  <conditionalFormatting sqref="D697:CV697">
    <cfRule type="expression" dxfId="4" priority="4485">
      <formula>$H$23&lt;&gt;"Y"</formula>
    </cfRule>
  </conditionalFormatting>
  <conditionalFormatting sqref="D698:CV698">
    <cfRule type="expression" dxfId="4" priority="4488">
      <formula>$I$23&lt;&gt;"Y"</formula>
    </cfRule>
  </conditionalFormatting>
  <conditionalFormatting sqref="D699:CV699">
    <cfRule type="expression" dxfId="4" priority="4491">
      <formula>$J$23&lt;&gt;"Y"</formula>
    </cfRule>
  </conditionalFormatting>
  <conditionalFormatting sqref="D69:CV69">
    <cfRule type="expression" dxfId="4" priority="2601">
      <formula>$AB$5&lt;&gt;"Y"</formula>
    </cfRule>
  </conditionalFormatting>
  <conditionalFormatting sqref="D700:CV700">
    <cfRule type="expression" dxfId="4" priority="4494">
      <formula>$K$23&lt;&gt;"Y"</formula>
    </cfRule>
  </conditionalFormatting>
  <conditionalFormatting sqref="D701:CV701">
    <cfRule type="expression" dxfId="4" priority="4497">
      <formula>$L$23&lt;&gt;"Y"</formula>
    </cfRule>
  </conditionalFormatting>
  <conditionalFormatting sqref="D702:CV702">
    <cfRule type="expression" dxfId="4" priority="4500">
      <formula>$M$23&lt;&gt;"Y"</formula>
    </cfRule>
  </conditionalFormatting>
  <conditionalFormatting sqref="D703:CV703">
    <cfRule type="expression" dxfId="4" priority="4503">
      <formula>$N$23&lt;&gt;"Y"</formula>
    </cfRule>
  </conditionalFormatting>
  <conditionalFormatting sqref="D704:CV704">
    <cfRule type="expression" dxfId="4" priority="4506">
      <formula>$O$23&lt;&gt;"Y"</formula>
    </cfRule>
  </conditionalFormatting>
  <conditionalFormatting sqref="D705:CV705">
    <cfRule type="expression" dxfId="4" priority="4509">
      <formula>$P$23&lt;&gt;"Y"</formula>
    </cfRule>
  </conditionalFormatting>
  <conditionalFormatting sqref="D706:CV706">
    <cfRule type="expression" dxfId="4" priority="4512">
      <formula>$Q$23&lt;&gt;"Y"</formula>
    </cfRule>
  </conditionalFormatting>
  <conditionalFormatting sqref="D707:CV707">
    <cfRule type="expression" dxfId="4" priority="4515">
      <formula>$R$23&lt;&gt;"Y"</formula>
    </cfRule>
  </conditionalFormatting>
  <conditionalFormatting sqref="D708:CV708">
    <cfRule type="expression" dxfId="4" priority="4518">
      <formula>$S$23&lt;&gt;"Y"</formula>
    </cfRule>
  </conditionalFormatting>
  <conditionalFormatting sqref="D709:CV709">
    <cfRule type="expression" dxfId="4" priority="4521">
      <formula>$T$23&lt;&gt;"Y"</formula>
    </cfRule>
  </conditionalFormatting>
  <conditionalFormatting sqref="D70:CV70">
    <cfRule type="expression" dxfId="4" priority="2604">
      <formula>$AC$5&lt;&gt;"Y"</formula>
    </cfRule>
  </conditionalFormatting>
  <conditionalFormatting sqref="D710:CV710">
    <cfRule type="expression" dxfId="4" priority="4524">
      <formula>$U$23&lt;&gt;"Y"</formula>
    </cfRule>
  </conditionalFormatting>
  <conditionalFormatting sqref="D711:CV711">
    <cfRule type="expression" dxfId="4" priority="4527">
      <formula>$V$23&lt;&gt;"Y"</formula>
    </cfRule>
  </conditionalFormatting>
  <conditionalFormatting sqref="D712:CV712">
    <cfRule type="expression" dxfId="4" priority="4530">
      <formula>$W$23&lt;&gt;"Y"</formula>
    </cfRule>
  </conditionalFormatting>
  <conditionalFormatting sqref="D713:CV713">
    <cfRule type="expression" dxfId="4" priority="4533">
      <formula>$X$23&lt;&gt;"Y"</formula>
    </cfRule>
  </conditionalFormatting>
  <conditionalFormatting sqref="D714:CV714">
    <cfRule type="expression" dxfId="4" priority="4536">
      <formula>$Y$23&lt;&gt;"Y"</formula>
    </cfRule>
  </conditionalFormatting>
  <conditionalFormatting sqref="D715:CV715">
    <cfRule type="expression" dxfId="4" priority="4539">
      <formula>$Z$23&lt;&gt;"Y"</formula>
    </cfRule>
  </conditionalFormatting>
  <conditionalFormatting sqref="D716:CV716">
    <cfRule type="expression" dxfId="4" priority="4542">
      <formula>$AA$23&lt;&gt;"Y"</formula>
    </cfRule>
  </conditionalFormatting>
  <conditionalFormatting sqref="D717:CV717">
    <cfRule type="expression" dxfId="4" priority="4545">
      <formula>$AB$23&lt;&gt;"Y"</formula>
    </cfRule>
  </conditionalFormatting>
  <conditionalFormatting sqref="D718:CV718">
    <cfRule type="expression" dxfId="4" priority="4548">
      <formula>$AC$23&lt;&gt;"Y"</formula>
    </cfRule>
  </conditionalFormatting>
  <conditionalFormatting sqref="D719:CV719">
    <cfRule type="expression" dxfId="4" priority="4551">
      <formula>$AD$23&lt;&gt;"Y"</formula>
    </cfRule>
  </conditionalFormatting>
  <conditionalFormatting sqref="D71:CV71">
    <cfRule type="expression" dxfId="4" priority="2607">
      <formula>$AD$5&lt;&gt;"Y"</formula>
    </cfRule>
  </conditionalFormatting>
  <conditionalFormatting sqref="D720:CV720">
    <cfRule type="expression" dxfId="4" priority="4554">
      <formula>$AE$23&lt;&gt;"Y"</formula>
    </cfRule>
  </conditionalFormatting>
  <conditionalFormatting sqref="D721:CV721">
    <cfRule type="expression" dxfId="4" priority="4557">
      <formula>$AF$23&lt;&gt;"Y"</formula>
    </cfRule>
  </conditionalFormatting>
  <conditionalFormatting sqref="D722:CV722">
    <cfRule type="expression" dxfId="4" priority="4560">
      <formula>$AG$23&lt;&gt;"Y"</formula>
    </cfRule>
  </conditionalFormatting>
  <conditionalFormatting sqref="D723:CV723">
    <cfRule type="expression" dxfId="4" priority="4563">
      <formula>$AH$23&lt;&gt;"Y"</formula>
    </cfRule>
  </conditionalFormatting>
  <conditionalFormatting sqref="D724:CV724">
    <cfRule type="expression" dxfId="4" priority="4566">
      <formula>$AI$23&lt;&gt;"Y"</formula>
    </cfRule>
  </conditionalFormatting>
  <conditionalFormatting sqref="D725:CV725">
    <cfRule type="expression" dxfId="4" priority="4569">
      <formula>$AJ$23&lt;&gt;"Y"</formula>
    </cfRule>
  </conditionalFormatting>
  <conditionalFormatting sqref="D726:CV726">
    <cfRule type="expression" dxfId="4" priority="4572">
      <formula>$AK$23&lt;&gt;"Y"</formula>
    </cfRule>
  </conditionalFormatting>
  <conditionalFormatting sqref="D727:CV727">
    <cfRule type="expression" dxfId="4" priority="4575">
      <formula>$B$24&lt;&gt;"Y"</formula>
    </cfRule>
  </conditionalFormatting>
  <conditionalFormatting sqref="D728:CV728">
    <cfRule type="expression" dxfId="4" priority="4578">
      <formula>$C$24&lt;&gt;"Y"</formula>
    </cfRule>
  </conditionalFormatting>
  <conditionalFormatting sqref="D729:CV729">
    <cfRule type="expression" dxfId="4" priority="4581">
      <formula>$D$24&lt;&gt;"Y"</formula>
    </cfRule>
  </conditionalFormatting>
  <conditionalFormatting sqref="D72:CV72">
    <cfRule type="expression" dxfId="4" priority="2610">
      <formula>$AE$5&lt;&gt;"Y"</formula>
    </cfRule>
  </conditionalFormatting>
  <conditionalFormatting sqref="D730:CV730">
    <cfRule type="expression" dxfId="4" priority="4584">
      <formula>$E$24&lt;&gt;"Y"</formula>
    </cfRule>
  </conditionalFormatting>
  <conditionalFormatting sqref="D731:CV731">
    <cfRule type="expression" dxfId="4" priority="4587">
      <formula>$F$24&lt;&gt;"Y"</formula>
    </cfRule>
  </conditionalFormatting>
  <conditionalFormatting sqref="D732:CV732">
    <cfRule type="expression" dxfId="4" priority="4590">
      <formula>$G$24&lt;&gt;"Y"</formula>
    </cfRule>
  </conditionalFormatting>
  <conditionalFormatting sqref="D733:CV733">
    <cfRule type="expression" dxfId="4" priority="4593">
      <formula>$H$24&lt;&gt;"Y"</formula>
    </cfRule>
  </conditionalFormatting>
  <conditionalFormatting sqref="D734:CV734">
    <cfRule type="expression" dxfId="4" priority="4596">
      <formula>$I$24&lt;&gt;"Y"</formula>
    </cfRule>
  </conditionalFormatting>
  <conditionalFormatting sqref="D735:CV735">
    <cfRule type="expression" dxfId="4" priority="4599">
      <formula>$J$24&lt;&gt;"Y"</formula>
    </cfRule>
  </conditionalFormatting>
  <conditionalFormatting sqref="D736:CV736">
    <cfRule type="expression" dxfId="4" priority="4602">
      <formula>$K$24&lt;&gt;"Y"</formula>
    </cfRule>
  </conditionalFormatting>
  <conditionalFormatting sqref="D737:CV737">
    <cfRule type="expression" dxfId="4" priority="4605">
      <formula>$L$24&lt;&gt;"Y"</formula>
    </cfRule>
  </conditionalFormatting>
  <conditionalFormatting sqref="D738:CV738">
    <cfRule type="expression" dxfId="4" priority="4608">
      <formula>$M$24&lt;&gt;"Y"</formula>
    </cfRule>
  </conditionalFormatting>
  <conditionalFormatting sqref="D739:CV739">
    <cfRule type="expression" dxfId="4" priority="4611">
      <formula>$N$24&lt;&gt;"Y"</formula>
    </cfRule>
  </conditionalFormatting>
  <conditionalFormatting sqref="D73:CV73">
    <cfRule type="expression" dxfId="4" priority="2613">
      <formula>$AF$5&lt;&gt;"Y"</formula>
    </cfRule>
  </conditionalFormatting>
  <conditionalFormatting sqref="D740:CV740">
    <cfRule type="expression" dxfId="4" priority="4614">
      <formula>$O$24&lt;&gt;"Y"</formula>
    </cfRule>
  </conditionalFormatting>
  <conditionalFormatting sqref="D741:CV741">
    <cfRule type="expression" dxfId="4" priority="4617">
      <formula>$P$24&lt;&gt;"Y"</formula>
    </cfRule>
  </conditionalFormatting>
  <conditionalFormatting sqref="D742:CV742">
    <cfRule type="expression" dxfId="4" priority="4620">
      <formula>$Q$24&lt;&gt;"Y"</formula>
    </cfRule>
  </conditionalFormatting>
  <conditionalFormatting sqref="D743:CV743">
    <cfRule type="expression" dxfId="4" priority="4623">
      <formula>$R$24&lt;&gt;"Y"</formula>
    </cfRule>
  </conditionalFormatting>
  <conditionalFormatting sqref="D744:CV744">
    <cfRule type="expression" dxfId="4" priority="4626">
      <formula>$S$24&lt;&gt;"Y"</formula>
    </cfRule>
  </conditionalFormatting>
  <conditionalFormatting sqref="D745:CV745">
    <cfRule type="expression" dxfId="4" priority="4629">
      <formula>$T$24&lt;&gt;"Y"</formula>
    </cfRule>
  </conditionalFormatting>
  <conditionalFormatting sqref="D746:CV746">
    <cfRule type="expression" dxfId="4" priority="4632">
      <formula>$U$24&lt;&gt;"Y"</formula>
    </cfRule>
  </conditionalFormatting>
  <conditionalFormatting sqref="D747:CV747">
    <cfRule type="expression" dxfId="4" priority="4635">
      <formula>$V$24&lt;&gt;"Y"</formula>
    </cfRule>
  </conditionalFormatting>
  <conditionalFormatting sqref="D748:CV748">
    <cfRule type="expression" dxfId="4" priority="4638">
      <formula>$W$24&lt;&gt;"Y"</formula>
    </cfRule>
  </conditionalFormatting>
  <conditionalFormatting sqref="D749:CV749">
    <cfRule type="expression" dxfId="4" priority="4641">
      <formula>$X$24&lt;&gt;"Y"</formula>
    </cfRule>
  </conditionalFormatting>
  <conditionalFormatting sqref="D74:CV74">
    <cfRule type="expression" dxfId="4" priority="2616">
      <formula>$AG$5&lt;&gt;"Y"</formula>
    </cfRule>
  </conditionalFormatting>
  <conditionalFormatting sqref="D750:CV750">
    <cfRule type="expression" dxfId="4" priority="4644">
      <formula>$Y$24&lt;&gt;"Y"</formula>
    </cfRule>
  </conditionalFormatting>
  <conditionalFormatting sqref="D751:CV751">
    <cfRule type="expression" dxfId="4" priority="4647">
      <formula>$Z$24&lt;&gt;"Y"</formula>
    </cfRule>
  </conditionalFormatting>
  <conditionalFormatting sqref="D752:CV752">
    <cfRule type="expression" dxfId="4" priority="4650">
      <formula>$AA$24&lt;&gt;"Y"</formula>
    </cfRule>
  </conditionalFormatting>
  <conditionalFormatting sqref="D753:CV753">
    <cfRule type="expression" dxfId="4" priority="4653">
      <formula>$AB$24&lt;&gt;"Y"</formula>
    </cfRule>
  </conditionalFormatting>
  <conditionalFormatting sqref="D754:CV754">
    <cfRule type="expression" dxfId="4" priority="4656">
      <formula>$AC$24&lt;&gt;"Y"</formula>
    </cfRule>
  </conditionalFormatting>
  <conditionalFormatting sqref="D755:CV755">
    <cfRule type="expression" dxfId="4" priority="4659">
      <formula>$AD$24&lt;&gt;"Y"</formula>
    </cfRule>
  </conditionalFormatting>
  <conditionalFormatting sqref="D756:CV756">
    <cfRule type="expression" dxfId="4" priority="4662">
      <formula>$AE$24&lt;&gt;"Y"</formula>
    </cfRule>
  </conditionalFormatting>
  <conditionalFormatting sqref="D757:CV757">
    <cfRule type="expression" dxfId="4" priority="4665">
      <formula>$AF$24&lt;&gt;"Y"</formula>
    </cfRule>
  </conditionalFormatting>
  <conditionalFormatting sqref="D758:CV758">
    <cfRule type="expression" dxfId="4" priority="4668">
      <formula>$AG$24&lt;&gt;"Y"</formula>
    </cfRule>
  </conditionalFormatting>
  <conditionalFormatting sqref="D759:CV759">
    <cfRule type="expression" dxfId="4" priority="4671">
      <formula>$AH$24&lt;&gt;"Y"</formula>
    </cfRule>
  </conditionalFormatting>
  <conditionalFormatting sqref="D75:CV75">
    <cfRule type="expression" dxfId="4" priority="2619">
      <formula>$AH$5&lt;&gt;"Y"</formula>
    </cfRule>
  </conditionalFormatting>
  <conditionalFormatting sqref="D760:CV760">
    <cfRule type="expression" dxfId="4" priority="4674">
      <formula>$AI$24&lt;&gt;"Y"</formula>
    </cfRule>
  </conditionalFormatting>
  <conditionalFormatting sqref="D761:CV761">
    <cfRule type="expression" dxfId="4" priority="4677">
      <formula>$AJ$24&lt;&gt;"Y"</formula>
    </cfRule>
  </conditionalFormatting>
  <conditionalFormatting sqref="D762:CV762">
    <cfRule type="expression" dxfId="4" priority="4680">
      <formula>$AK$24&lt;&gt;"Y"</formula>
    </cfRule>
  </conditionalFormatting>
  <conditionalFormatting sqref="D763:CV763">
    <cfRule type="expression" dxfId="4" priority="4683">
      <formula>$B$25&lt;&gt;"Y"</formula>
    </cfRule>
  </conditionalFormatting>
  <conditionalFormatting sqref="D764:CV764">
    <cfRule type="expression" dxfId="4" priority="4686">
      <formula>$C$25&lt;&gt;"Y"</formula>
    </cfRule>
  </conditionalFormatting>
  <conditionalFormatting sqref="D765:CV765">
    <cfRule type="expression" dxfId="4" priority="4689">
      <formula>$D$25&lt;&gt;"Y"</formula>
    </cfRule>
  </conditionalFormatting>
  <conditionalFormatting sqref="D766:CV766">
    <cfRule type="expression" dxfId="4" priority="4692">
      <formula>$E$25&lt;&gt;"Y"</formula>
    </cfRule>
  </conditionalFormatting>
  <conditionalFormatting sqref="D767:CV767">
    <cfRule type="expression" dxfId="4" priority="4695">
      <formula>$F$25&lt;&gt;"Y"</formula>
    </cfRule>
  </conditionalFormatting>
  <conditionalFormatting sqref="D768:CV768">
    <cfRule type="expression" dxfId="4" priority="4698">
      <formula>$G$25&lt;&gt;"Y"</formula>
    </cfRule>
  </conditionalFormatting>
  <conditionalFormatting sqref="D769:CV769">
    <cfRule type="expression" dxfId="4" priority="4701">
      <formula>$H$25&lt;&gt;"Y"</formula>
    </cfRule>
  </conditionalFormatting>
  <conditionalFormatting sqref="D76:CV76">
    <cfRule type="expression" dxfId="4" priority="2622">
      <formula>$AI$5&lt;&gt;"Y"</formula>
    </cfRule>
  </conditionalFormatting>
  <conditionalFormatting sqref="D770:CV770">
    <cfRule type="expression" dxfId="4" priority="4704">
      <formula>$I$25&lt;&gt;"Y"</formula>
    </cfRule>
  </conditionalFormatting>
  <conditionalFormatting sqref="D771:CV771">
    <cfRule type="expression" dxfId="4" priority="4707">
      <formula>$J$25&lt;&gt;"Y"</formula>
    </cfRule>
  </conditionalFormatting>
  <conditionalFormatting sqref="D772:CV772">
    <cfRule type="expression" dxfId="4" priority="4710">
      <formula>$K$25&lt;&gt;"Y"</formula>
    </cfRule>
  </conditionalFormatting>
  <conditionalFormatting sqref="D773:CV773">
    <cfRule type="expression" dxfId="4" priority="4713">
      <formula>$L$25&lt;&gt;"Y"</formula>
    </cfRule>
  </conditionalFormatting>
  <conditionalFormatting sqref="D774:CV774">
    <cfRule type="expression" dxfId="4" priority="4716">
      <formula>$M$25&lt;&gt;"Y"</formula>
    </cfRule>
  </conditionalFormatting>
  <conditionalFormatting sqref="D775:CV775">
    <cfRule type="expression" dxfId="4" priority="4719">
      <formula>$N$25&lt;&gt;"Y"</formula>
    </cfRule>
  </conditionalFormatting>
  <conditionalFormatting sqref="D776:CV776">
    <cfRule type="expression" dxfId="4" priority="4722">
      <formula>$O$25&lt;&gt;"Y"</formula>
    </cfRule>
  </conditionalFormatting>
  <conditionalFormatting sqref="D777:CV777">
    <cfRule type="expression" dxfId="4" priority="4725">
      <formula>$P$25&lt;&gt;"Y"</formula>
    </cfRule>
  </conditionalFormatting>
  <conditionalFormatting sqref="D778:CV778">
    <cfRule type="expression" dxfId="4" priority="4728">
      <formula>$Q$25&lt;&gt;"Y"</formula>
    </cfRule>
  </conditionalFormatting>
  <conditionalFormatting sqref="D779:CV779">
    <cfRule type="expression" dxfId="4" priority="4731">
      <formula>$R$25&lt;&gt;"Y"</formula>
    </cfRule>
  </conditionalFormatting>
  <conditionalFormatting sqref="D77:CV77">
    <cfRule type="expression" dxfId="4" priority="2625">
      <formula>$AJ$5&lt;&gt;"Y"</formula>
    </cfRule>
  </conditionalFormatting>
  <conditionalFormatting sqref="D780:CV780">
    <cfRule type="expression" dxfId="4" priority="4734">
      <formula>$S$25&lt;&gt;"Y"</formula>
    </cfRule>
  </conditionalFormatting>
  <conditionalFormatting sqref="D781:CV781">
    <cfRule type="expression" dxfId="4" priority="4737">
      <formula>$T$25&lt;&gt;"Y"</formula>
    </cfRule>
  </conditionalFormatting>
  <conditionalFormatting sqref="D782:CV782">
    <cfRule type="expression" dxfId="4" priority="4740">
      <formula>$U$25&lt;&gt;"Y"</formula>
    </cfRule>
  </conditionalFormatting>
  <conditionalFormatting sqref="D783:CV783">
    <cfRule type="expression" dxfId="4" priority="4743">
      <formula>$V$25&lt;&gt;"Y"</formula>
    </cfRule>
  </conditionalFormatting>
  <conditionalFormatting sqref="D784:CV784">
    <cfRule type="expression" dxfId="4" priority="4746">
      <formula>$W$25&lt;&gt;"Y"</formula>
    </cfRule>
  </conditionalFormatting>
  <conditionalFormatting sqref="D785:CV785">
    <cfRule type="expression" dxfId="4" priority="4749">
      <formula>$X$25&lt;&gt;"Y"</formula>
    </cfRule>
  </conditionalFormatting>
  <conditionalFormatting sqref="D786:CV786">
    <cfRule type="expression" dxfId="4" priority="4752">
      <formula>$Y$25&lt;&gt;"Y"</formula>
    </cfRule>
  </conditionalFormatting>
  <conditionalFormatting sqref="D787:CV787">
    <cfRule type="expression" dxfId="4" priority="4755">
      <formula>$Z$25&lt;&gt;"Y"</formula>
    </cfRule>
  </conditionalFormatting>
  <conditionalFormatting sqref="D788:CV788">
    <cfRule type="expression" dxfId="4" priority="4758">
      <formula>$AA$25&lt;&gt;"Y"</formula>
    </cfRule>
  </conditionalFormatting>
  <conditionalFormatting sqref="D789:CV789">
    <cfRule type="expression" dxfId="4" priority="4761">
      <formula>$AB$25&lt;&gt;"Y"</formula>
    </cfRule>
  </conditionalFormatting>
  <conditionalFormatting sqref="D78:CV78">
    <cfRule type="expression" dxfId="4" priority="2628">
      <formula>$AK$5&lt;&gt;"Y"</formula>
    </cfRule>
  </conditionalFormatting>
  <conditionalFormatting sqref="D790:CV790">
    <cfRule type="expression" dxfId="4" priority="4764">
      <formula>$AC$25&lt;&gt;"Y"</formula>
    </cfRule>
  </conditionalFormatting>
  <conditionalFormatting sqref="D791:CV791">
    <cfRule type="expression" dxfId="4" priority="4767">
      <formula>$AD$25&lt;&gt;"Y"</formula>
    </cfRule>
  </conditionalFormatting>
  <conditionalFormatting sqref="D792:CV792">
    <cfRule type="expression" dxfId="4" priority="4770">
      <formula>$AE$25&lt;&gt;"Y"</formula>
    </cfRule>
  </conditionalFormatting>
  <conditionalFormatting sqref="D793:CV793">
    <cfRule type="expression" dxfId="4" priority="4773">
      <formula>$AF$25&lt;&gt;"Y"</formula>
    </cfRule>
  </conditionalFormatting>
  <conditionalFormatting sqref="D794:CV794">
    <cfRule type="expression" dxfId="4" priority="4776">
      <formula>$AG$25&lt;&gt;"Y"</formula>
    </cfRule>
  </conditionalFormatting>
  <conditionalFormatting sqref="D795:CV795">
    <cfRule type="expression" dxfId="4" priority="4779">
      <formula>$AH$25&lt;&gt;"Y"</formula>
    </cfRule>
  </conditionalFormatting>
  <conditionalFormatting sqref="D796:CV796">
    <cfRule type="expression" dxfId="4" priority="4782">
      <formula>$AI$25&lt;&gt;"Y"</formula>
    </cfRule>
  </conditionalFormatting>
  <conditionalFormatting sqref="D797:CV797">
    <cfRule type="expression" dxfId="4" priority="4785">
      <formula>$AJ$25&lt;&gt;"Y"</formula>
    </cfRule>
  </conditionalFormatting>
  <conditionalFormatting sqref="D798:CV798">
    <cfRule type="expression" dxfId="4" priority="4788">
      <formula>$AK$25&lt;&gt;"Y"</formula>
    </cfRule>
  </conditionalFormatting>
  <conditionalFormatting sqref="D799:CV799">
    <cfRule type="expression" dxfId="4" priority="4791">
      <formula>$B$26&lt;&gt;"Y"</formula>
    </cfRule>
  </conditionalFormatting>
  <conditionalFormatting sqref="D79:CV79">
    <cfRule type="expression" dxfId="4" priority="2631">
      <formula>$B$6&lt;&gt;"Y"</formula>
    </cfRule>
  </conditionalFormatting>
  <conditionalFormatting sqref="D8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D800:CV800">
    <cfRule type="expression" dxfId="4" priority="4794">
      <formula>$C$26&lt;&gt;"Y"</formula>
    </cfRule>
  </conditionalFormatting>
  <conditionalFormatting sqref="D801:CV801">
    <cfRule type="expression" dxfId="4" priority="4797">
      <formula>$D$26&lt;&gt;"Y"</formula>
    </cfRule>
  </conditionalFormatting>
  <conditionalFormatting sqref="D802:CV802">
    <cfRule type="expression" dxfId="4" priority="4800">
      <formula>$E$26&lt;&gt;"Y"</formula>
    </cfRule>
  </conditionalFormatting>
  <conditionalFormatting sqref="D803:CV803">
    <cfRule type="expression" dxfId="4" priority="4803">
      <formula>$F$26&lt;&gt;"Y"</formula>
    </cfRule>
  </conditionalFormatting>
  <conditionalFormatting sqref="D804:CV804">
    <cfRule type="expression" dxfId="4" priority="4806">
      <formula>$G$26&lt;&gt;"Y"</formula>
    </cfRule>
  </conditionalFormatting>
  <conditionalFormatting sqref="D805:CV805">
    <cfRule type="expression" dxfId="4" priority="4809">
      <formula>$H$26&lt;&gt;"Y"</formula>
    </cfRule>
  </conditionalFormatting>
  <conditionalFormatting sqref="D806:CV806">
    <cfRule type="expression" dxfId="4" priority="4812">
      <formula>$I$26&lt;&gt;"Y"</formula>
    </cfRule>
  </conditionalFormatting>
  <conditionalFormatting sqref="D807:CV807">
    <cfRule type="expression" dxfId="4" priority="4815">
      <formula>$J$26&lt;&gt;"Y"</formula>
    </cfRule>
  </conditionalFormatting>
  <conditionalFormatting sqref="D808:CV808">
    <cfRule type="expression" dxfId="4" priority="4818">
      <formula>$K$26&lt;&gt;"Y"</formula>
    </cfRule>
  </conditionalFormatting>
  <conditionalFormatting sqref="D809:CV809">
    <cfRule type="expression" dxfId="4" priority="4821">
      <formula>$L$26&lt;&gt;"Y"</formula>
    </cfRule>
  </conditionalFormatting>
  <conditionalFormatting sqref="D80:CV80">
    <cfRule type="expression" dxfId="4" priority="2634">
      <formula>$C$6&lt;&gt;"Y"</formula>
    </cfRule>
  </conditionalFormatting>
  <conditionalFormatting sqref="D810:CV810">
    <cfRule type="expression" dxfId="4" priority="4824">
      <formula>$M$26&lt;&gt;"Y"</formula>
    </cfRule>
  </conditionalFormatting>
  <conditionalFormatting sqref="D811:CV811">
    <cfRule type="expression" dxfId="4" priority="4827">
      <formula>$N$26&lt;&gt;"Y"</formula>
    </cfRule>
  </conditionalFormatting>
  <conditionalFormatting sqref="D812:CV812">
    <cfRule type="expression" dxfId="4" priority="4830">
      <formula>$O$26&lt;&gt;"Y"</formula>
    </cfRule>
  </conditionalFormatting>
  <conditionalFormatting sqref="D813:CV813">
    <cfRule type="expression" dxfId="4" priority="4833">
      <formula>$P$26&lt;&gt;"Y"</formula>
    </cfRule>
  </conditionalFormatting>
  <conditionalFormatting sqref="D814:CV814">
    <cfRule type="expression" dxfId="4" priority="4836">
      <formula>$Q$26&lt;&gt;"Y"</formula>
    </cfRule>
  </conditionalFormatting>
  <conditionalFormatting sqref="D815:CV815">
    <cfRule type="expression" dxfId="4" priority="4839">
      <formula>$R$26&lt;&gt;"Y"</formula>
    </cfRule>
  </conditionalFormatting>
  <conditionalFormatting sqref="D816:CV816">
    <cfRule type="expression" dxfId="4" priority="4842">
      <formula>$S$26&lt;&gt;"Y"</formula>
    </cfRule>
  </conditionalFormatting>
  <conditionalFormatting sqref="D817:CV817">
    <cfRule type="expression" dxfId="4" priority="4845">
      <formula>$T$26&lt;&gt;"Y"</formula>
    </cfRule>
  </conditionalFormatting>
  <conditionalFormatting sqref="D818:CV818">
    <cfRule type="expression" dxfId="4" priority="4848">
      <formula>$U$26&lt;&gt;"Y"</formula>
    </cfRule>
  </conditionalFormatting>
  <conditionalFormatting sqref="D819:CV819">
    <cfRule type="expression" dxfId="4" priority="4851">
      <formula>$V$26&lt;&gt;"Y"</formula>
    </cfRule>
  </conditionalFormatting>
  <conditionalFormatting sqref="D81:CV81">
    <cfRule type="expression" dxfId="4" priority="2637">
      <formula>$D$6&lt;&gt;"Y"</formula>
    </cfRule>
  </conditionalFormatting>
  <conditionalFormatting sqref="D820:CV820">
    <cfRule type="expression" dxfId="4" priority="4854">
      <formula>$W$26&lt;&gt;"Y"</formula>
    </cfRule>
  </conditionalFormatting>
  <conditionalFormatting sqref="D821:CV821">
    <cfRule type="expression" dxfId="4" priority="4857">
      <formula>$X$26&lt;&gt;"Y"</formula>
    </cfRule>
  </conditionalFormatting>
  <conditionalFormatting sqref="D822:CV822">
    <cfRule type="expression" dxfId="4" priority="4860">
      <formula>$Y$26&lt;&gt;"Y"</formula>
    </cfRule>
  </conditionalFormatting>
  <conditionalFormatting sqref="D823:CV823">
    <cfRule type="expression" dxfId="4" priority="4863">
      <formula>$Z$26&lt;&gt;"Y"</formula>
    </cfRule>
  </conditionalFormatting>
  <conditionalFormatting sqref="D824:CV824">
    <cfRule type="expression" dxfId="4" priority="4866">
      <formula>$AA$26&lt;&gt;"Y"</formula>
    </cfRule>
  </conditionalFormatting>
  <conditionalFormatting sqref="D825:CV825">
    <cfRule type="expression" dxfId="4" priority="4869">
      <formula>$AB$26&lt;&gt;"Y"</formula>
    </cfRule>
  </conditionalFormatting>
  <conditionalFormatting sqref="D826:CV826">
    <cfRule type="expression" dxfId="4" priority="4872">
      <formula>$AC$26&lt;&gt;"Y"</formula>
    </cfRule>
  </conditionalFormatting>
  <conditionalFormatting sqref="D827:CV827">
    <cfRule type="expression" dxfId="4" priority="4875">
      <formula>$AD$26&lt;&gt;"Y"</formula>
    </cfRule>
  </conditionalFormatting>
  <conditionalFormatting sqref="D828:CV828">
    <cfRule type="expression" dxfId="4" priority="4878">
      <formula>$AE$26&lt;&gt;"Y"</formula>
    </cfRule>
  </conditionalFormatting>
  <conditionalFormatting sqref="D829:CV829">
    <cfRule type="expression" dxfId="4" priority="4881">
      <formula>$AF$26&lt;&gt;"Y"</formula>
    </cfRule>
  </conditionalFormatting>
  <conditionalFormatting sqref="D82:CV82">
    <cfRule type="expression" dxfId="4" priority="2640">
      <formula>$E$6&lt;&gt;"Y"</formula>
    </cfRule>
  </conditionalFormatting>
  <conditionalFormatting sqref="D830:CV830">
    <cfRule type="expression" dxfId="4" priority="4884">
      <formula>$AG$26&lt;&gt;"Y"</formula>
    </cfRule>
  </conditionalFormatting>
  <conditionalFormatting sqref="D831:CV831">
    <cfRule type="expression" dxfId="4" priority="4887">
      <formula>$AH$26&lt;&gt;"Y"</formula>
    </cfRule>
  </conditionalFormatting>
  <conditionalFormatting sqref="D832:CV832">
    <cfRule type="expression" dxfId="4" priority="4890">
      <formula>$AI$26&lt;&gt;"Y"</formula>
    </cfRule>
  </conditionalFormatting>
  <conditionalFormatting sqref="D833:CV833">
    <cfRule type="expression" dxfId="4" priority="4893">
      <formula>$AJ$26&lt;&gt;"Y"</formula>
    </cfRule>
  </conditionalFormatting>
  <conditionalFormatting sqref="D834:CV834">
    <cfRule type="expression" dxfId="4" priority="4896">
      <formula>$AK$26&lt;&gt;"Y"</formula>
    </cfRule>
  </conditionalFormatting>
  <conditionalFormatting sqref="D835:CV835">
    <cfRule type="expression" dxfId="4" priority="4899">
      <formula>$B$27&lt;&gt;"Y"</formula>
    </cfRule>
  </conditionalFormatting>
  <conditionalFormatting sqref="D836:CV836">
    <cfRule type="expression" dxfId="4" priority="4902">
      <formula>$C$27&lt;&gt;"Y"</formula>
    </cfRule>
  </conditionalFormatting>
  <conditionalFormatting sqref="D837:CV837">
    <cfRule type="expression" dxfId="4" priority="4905">
      <formula>$D$27&lt;&gt;"Y"</formula>
    </cfRule>
  </conditionalFormatting>
  <conditionalFormatting sqref="D838:CV838">
    <cfRule type="expression" dxfId="4" priority="4908">
      <formula>$E$27&lt;&gt;"Y"</formula>
    </cfRule>
  </conditionalFormatting>
  <conditionalFormatting sqref="D839:CV839">
    <cfRule type="expression" dxfId="4" priority="4911">
      <formula>$F$27&lt;&gt;"Y"</formula>
    </cfRule>
  </conditionalFormatting>
  <conditionalFormatting sqref="D83:CV83">
    <cfRule type="expression" dxfId="4" priority="2643">
      <formula>$F$6&lt;&gt;"Y"</formula>
    </cfRule>
  </conditionalFormatting>
  <conditionalFormatting sqref="D840:CV840">
    <cfRule type="expression" dxfId="4" priority="4914">
      <formula>$G$27&lt;&gt;"Y"</formula>
    </cfRule>
  </conditionalFormatting>
  <conditionalFormatting sqref="D841:CV841">
    <cfRule type="expression" dxfId="4" priority="4917">
      <formula>$H$27&lt;&gt;"Y"</formula>
    </cfRule>
  </conditionalFormatting>
  <conditionalFormatting sqref="D842:CV842">
    <cfRule type="expression" dxfId="4" priority="4920">
      <formula>$I$27&lt;&gt;"Y"</formula>
    </cfRule>
  </conditionalFormatting>
  <conditionalFormatting sqref="D843:CV843">
    <cfRule type="expression" dxfId="4" priority="4923">
      <formula>$J$27&lt;&gt;"Y"</formula>
    </cfRule>
  </conditionalFormatting>
  <conditionalFormatting sqref="D844:CV844">
    <cfRule type="expression" dxfId="4" priority="4926">
      <formula>$K$27&lt;&gt;"Y"</formula>
    </cfRule>
  </conditionalFormatting>
  <conditionalFormatting sqref="D845:CV845">
    <cfRule type="expression" dxfId="4" priority="4929">
      <formula>$L$27&lt;&gt;"Y"</formula>
    </cfRule>
  </conditionalFormatting>
  <conditionalFormatting sqref="D846:CV846">
    <cfRule type="expression" dxfId="4" priority="4932">
      <formula>$M$27&lt;&gt;"Y"</formula>
    </cfRule>
  </conditionalFormatting>
  <conditionalFormatting sqref="D847:CV847">
    <cfRule type="expression" dxfId="4" priority="4935">
      <formula>$N$27&lt;&gt;"Y"</formula>
    </cfRule>
  </conditionalFormatting>
  <conditionalFormatting sqref="D848:CV848">
    <cfRule type="expression" dxfId="4" priority="4938">
      <formula>$O$27&lt;&gt;"Y"</formula>
    </cfRule>
  </conditionalFormatting>
  <conditionalFormatting sqref="D849:CV849">
    <cfRule type="expression" dxfId="4" priority="4941">
      <formula>$P$27&lt;&gt;"Y"</formula>
    </cfRule>
  </conditionalFormatting>
  <conditionalFormatting sqref="D84:CV84">
    <cfRule type="expression" dxfId="4" priority="2646">
      <formula>$G$6&lt;&gt;"Y"</formula>
    </cfRule>
  </conditionalFormatting>
  <conditionalFormatting sqref="D850:CV850">
    <cfRule type="expression" dxfId="4" priority="4944">
      <formula>$Q$27&lt;&gt;"Y"</formula>
    </cfRule>
  </conditionalFormatting>
  <conditionalFormatting sqref="D851:CV851">
    <cfRule type="expression" dxfId="4" priority="4947">
      <formula>$R$27&lt;&gt;"Y"</formula>
    </cfRule>
  </conditionalFormatting>
  <conditionalFormatting sqref="D852:CV852">
    <cfRule type="expression" dxfId="4" priority="4950">
      <formula>$S$27&lt;&gt;"Y"</formula>
    </cfRule>
  </conditionalFormatting>
  <conditionalFormatting sqref="D853:CV853">
    <cfRule type="expression" dxfId="4" priority="4953">
      <formula>$T$27&lt;&gt;"Y"</formula>
    </cfRule>
  </conditionalFormatting>
  <conditionalFormatting sqref="D854:CV854">
    <cfRule type="expression" dxfId="4" priority="4956">
      <formula>$U$27&lt;&gt;"Y"</formula>
    </cfRule>
  </conditionalFormatting>
  <conditionalFormatting sqref="D855:CV855">
    <cfRule type="expression" dxfId="4" priority="4959">
      <formula>$V$27&lt;&gt;"Y"</formula>
    </cfRule>
  </conditionalFormatting>
  <conditionalFormatting sqref="D856:CV856">
    <cfRule type="expression" dxfId="4" priority="4962">
      <formula>$W$27&lt;&gt;"Y"</formula>
    </cfRule>
  </conditionalFormatting>
  <conditionalFormatting sqref="D857:CV857">
    <cfRule type="expression" dxfId="4" priority="4965">
      <formula>$X$27&lt;&gt;"Y"</formula>
    </cfRule>
  </conditionalFormatting>
  <conditionalFormatting sqref="D858:CV858">
    <cfRule type="expression" dxfId="4" priority="4968">
      <formula>$Y$27&lt;&gt;"Y"</formula>
    </cfRule>
  </conditionalFormatting>
  <conditionalFormatting sqref="D859:CV859">
    <cfRule type="expression" dxfId="4" priority="4971">
      <formula>$Z$27&lt;&gt;"Y"</formula>
    </cfRule>
  </conditionalFormatting>
  <conditionalFormatting sqref="D85:CV85">
    <cfRule type="expression" dxfId="4" priority="2649">
      <formula>$H$6&lt;&gt;"Y"</formula>
    </cfRule>
  </conditionalFormatting>
  <conditionalFormatting sqref="D860:CV860">
    <cfRule type="expression" dxfId="4" priority="4974">
      <formula>$AA$27&lt;&gt;"Y"</formula>
    </cfRule>
  </conditionalFormatting>
  <conditionalFormatting sqref="D861:CV861">
    <cfRule type="expression" dxfId="4" priority="4977">
      <formula>$AB$27&lt;&gt;"Y"</formula>
    </cfRule>
  </conditionalFormatting>
  <conditionalFormatting sqref="D862:CV862">
    <cfRule type="expression" dxfId="4" priority="4980">
      <formula>$AC$27&lt;&gt;"Y"</formula>
    </cfRule>
  </conditionalFormatting>
  <conditionalFormatting sqref="D863:CV863">
    <cfRule type="expression" dxfId="4" priority="4983">
      <formula>$AD$27&lt;&gt;"Y"</formula>
    </cfRule>
  </conditionalFormatting>
  <conditionalFormatting sqref="D864:CV864">
    <cfRule type="expression" dxfId="4" priority="4986">
      <formula>$AE$27&lt;&gt;"Y"</formula>
    </cfRule>
  </conditionalFormatting>
  <conditionalFormatting sqref="D865:CV865">
    <cfRule type="expression" dxfId="4" priority="4989">
      <formula>$AF$27&lt;&gt;"Y"</formula>
    </cfRule>
  </conditionalFormatting>
  <conditionalFormatting sqref="D866:CV866">
    <cfRule type="expression" dxfId="4" priority="4992">
      <formula>$AG$27&lt;&gt;"Y"</formula>
    </cfRule>
  </conditionalFormatting>
  <conditionalFormatting sqref="D867:CV867">
    <cfRule type="expression" dxfId="4" priority="4995">
      <formula>$AH$27&lt;&gt;"Y"</formula>
    </cfRule>
  </conditionalFormatting>
  <conditionalFormatting sqref="D868:CV868">
    <cfRule type="expression" dxfId="4" priority="4998">
      <formula>$AI$27&lt;&gt;"Y"</formula>
    </cfRule>
  </conditionalFormatting>
  <conditionalFormatting sqref="D869:CV869">
    <cfRule type="expression" dxfId="4" priority="5001">
      <formula>$AJ$27&lt;&gt;"Y"</formula>
    </cfRule>
  </conditionalFormatting>
  <conditionalFormatting sqref="D86:CV86">
    <cfRule type="expression" dxfId="4" priority="2652">
      <formula>$I$6&lt;&gt;"Y"</formula>
    </cfRule>
  </conditionalFormatting>
  <conditionalFormatting sqref="D870:CV870">
    <cfRule type="expression" dxfId="4" priority="5004">
      <formula>$AK$27&lt;&gt;"Y"</formula>
    </cfRule>
  </conditionalFormatting>
  <conditionalFormatting sqref="D871:CV871">
    <cfRule type="expression" dxfId="4" priority="5007">
      <formula>$B$28&lt;&gt;"Y"</formula>
    </cfRule>
  </conditionalFormatting>
  <conditionalFormatting sqref="D872:CV872">
    <cfRule type="expression" dxfId="4" priority="5010">
      <formula>$C$28&lt;&gt;"Y"</formula>
    </cfRule>
  </conditionalFormatting>
  <conditionalFormatting sqref="D873:CV873">
    <cfRule type="expression" dxfId="4" priority="5013">
      <formula>$D$28&lt;&gt;"Y"</formula>
    </cfRule>
  </conditionalFormatting>
  <conditionalFormatting sqref="D874:CV874">
    <cfRule type="expression" dxfId="4" priority="5016">
      <formula>$E$28&lt;&gt;"Y"</formula>
    </cfRule>
  </conditionalFormatting>
  <conditionalFormatting sqref="D875:CV875">
    <cfRule type="expression" dxfId="4" priority="5019">
      <formula>$F$28&lt;&gt;"Y"</formula>
    </cfRule>
  </conditionalFormatting>
  <conditionalFormatting sqref="D876:CV876">
    <cfRule type="expression" dxfId="4" priority="5022">
      <formula>$G$28&lt;&gt;"Y"</formula>
    </cfRule>
  </conditionalFormatting>
  <conditionalFormatting sqref="D877:CV877">
    <cfRule type="expression" dxfId="4" priority="5025">
      <formula>$H$28&lt;&gt;"Y"</formula>
    </cfRule>
  </conditionalFormatting>
  <conditionalFormatting sqref="D878:CV878">
    <cfRule type="expression" dxfId="4" priority="5028">
      <formula>$I$28&lt;&gt;"Y"</formula>
    </cfRule>
  </conditionalFormatting>
  <conditionalFormatting sqref="D879:CV879">
    <cfRule type="expression" dxfId="4" priority="5031">
      <formula>$J$28&lt;&gt;"Y"</formula>
    </cfRule>
  </conditionalFormatting>
  <conditionalFormatting sqref="D87:CV87">
    <cfRule type="expression" dxfId="4" priority="2655">
      <formula>$J$6&lt;&gt;"Y"</formula>
    </cfRule>
  </conditionalFormatting>
  <conditionalFormatting sqref="D880:CV880">
    <cfRule type="expression" dxfId="4" priority="5034">
      <formula>$K$28&lt;&gt;"Y"</formula>
    </cfRule>
  </conditionalFormatting>
  <conditionalFormatting sqref="D881:CV881">
    <cfRule type="expression" dxfId="4" priority="5037">
      <formula>$L$28&lt;&gt;"Y"</formula>
    </cfRule>
  </conditionalFormatting>
  <conditionalFormatting sqref="D882:CV882">
    <cfRule type="expression" dxfId="4" priority="5040">
      <formula>$M$28&lt;&gt;"Y"</formula>
    </cfRule>
  </conditionalFormatting>
  <conditionalFormatting sqref="D883:CV883">
    <cfRule type="expression" dxfId="4" priority="5043">
      <formula>$N$28&lt;&gt;"Y"</formula>
    </cfRule>
  </conditionalFormatting>
  <conditionalFormatting sqref="D884:CV884">
    <cfRule type="expression" dxfId="4" priority="5046">
      <formula>$O$28&lt;&gt;"Y"</formula>
    </cfRule>
  </conditionalFormatting>
  <conditionalFormatting sqref="D885:CV885">
    <cfRule type="expression" dxfId="4" priority="5049">
      <formula>$P$28&lt;&gt;"Y"</formula>
    </cfRule>
  </conditionalFormatting>
  <conditionalFormatting sqref="D886:CV886">
    <cfRule type="expression" dxfId="4" priority="5052">
      <formula>$Q$28&lt;&gt;"Y"</formula>
    </cfRule>
  </conditionalFormatting>
  <conditionalFormatting sqref="D887:CV887">
    <cfRule type="expression" dxfId="4" priority="5055">
      <formula>$R$28&lt;&gt;"Y"</formula>
    </cfRule>
  </conditionalFormatting>
  <conditionalFormatting sqref="D888:CV888">
    <cfRule type="expression" dxfId="4" priority="5058">
      <formula>$S$28&lt;&gt;"Y"</formula>
    </cfRule>
  </conditionalFormatting>
  <conditionalFormatting sqref="D889:CV889">
    <cfRule type="expression" dxfId="4" priority="5061">
      <formula>$T$28&lt;&gt;"Y"</formula>
    </cfRule>
  </conditionalFormatting>
  <conditionalFormatting sqref="D88:CV88">
    <cfRule type="expression" dxfId="4" priority="2658">
      <formula>$K$6&lt;&gt;"Y"</formula>
    </cfRule>
  </conditionalFormatting>
  <conditionalFormatting sqref="D890:CV890">
    <cfRule type="expression" dxfId="4" priority="5064">
      <formula>$U$28&lt;&gt;"Y"</formula>
    </cfRule>
  </conditionalFormatting>
  <conditionalFormatting sqref="D891:CV891">
    <cfRule type="expression" dxfId="4" priority="5067">
      <formula>$V$28&lt;&gt;"Y"</formula>
    </cfRule>
  </conditionalFormatting>
  <conditionalFormatting sqref="D892:CV892">
    <cfRule type="expression" dxfId="4" priority="5070">
      <formula>$W$28&lt;&gt;"Y"</formula>
    </cfRule>
  </conditionalFormatting>
  <conditionalFormatting sqref="D893:CV893">
    <cfRule type="expression" dxfId="4" priority="5073">
      <formula>$X$28&lt;&gt;"Y"</formula>
    </cfRule>
  </conditionalFormatting>
  <conditionalFormatting sqref="D894:CV894">
    <cfRule type="expression" dxfId="4" priority="5076">
      <formula>$Y$28&lt;&gt;"Y"</formula>
    </cfRule>
  </conditionalFormatting>
  <conditionalFormatting sqref="D895:CV895">
    <cfRule type="expression" dxfId="4" priority="5079">
      <formula>$Z$28&lt;&gt;"Y"</formula>
    </cfRule>
  </conditionalFormatting>
  <conditionalFormatting sqref="D896:CV896">
    <cfRule type="expression" dxfId="4" priority="5082">
      <formula>$AA$28&lt;&gt;"Y"</formula>
    </cfRule>
  </conditionalFormatting>
  <conditionalFormatting sqref="D897:CV897">
    <cfRule type="expression" dxfId="4" priority="5085">
      <formula>$AB$28&lt;&gt;"Y"</formula>
    </cfRule>
  </conditionalFormatting>
  <conditionalFormatting sqref="D898:CV898">
    <cfRule type="expression" dxfId="4" priority="5088">
      <formula>$AC$28&lt;&gt;"Y"</formula>
    </cfRule>
  </conditionalFormatting>
  <conditionalFormatting sqref="D899:CV899">
    <cfRule type="expression" dxfId="4" priority="5091">
      <formula>$AD$28&lt;&gt;"Y"</formula>
    </cfRule>
  </conditionalFormatting>
  <conditionalFormatting sqref="D89:CV89">
    <cfRule type="expression" dxfId="4" priority="2661">
      <formula>$L$6&lt;&gt;"Y"</formula>
    </cfRule>
  </conditionalFormatting>
  <conditionalFormatting sqref="D9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900:CV900">
    <cfRule type="expression" dxfId="4" priority="5094">
      <formula>$AE$28&lt;&gt;"Y"</formula>
    </cfRule>
  </conditionalFormatting>
  <conditionalFormatting sqref="D901:CV901">
    <cfRule type="expression" dxfId="4" priority="5097">
      <formula>$AF$28&lt;&gt;"Y"</formula>
    </cfRule>
  </conditionalFormatting>
  <conditionalFormatting sqref="D902:CV902">
    <cfRule type="expression" dxfId="4" priority="5100">
      <formula>$AG$28&lt;&gt;"Y"</formula>
    </cfRule>
  </conditionalFormatting>
  <conditionalFormatting sqref="D903:CV903">
    <cfRule type="expression" dxfId="4" priority="5103">
      <formula>$AH$28&lt;&gt;"Y"</formula>
    </cfRule>
  </conditionalFormatting>
  <conditionalFormatting sqref="D904:CV904">
    <cfRule type="expression" dxfId="4" priority="5106">
      <formula>$AI$28&lt;&gt;"Y"</formula>
    </cfRule>
  </conditionalFormatting>
  <conditionalFormatting sqref="D905:CV905">
    <cfRule type="expression" dxfId="4" priority="5109">
      <formula>$AJ$28&lt;&gt;"Y"</formula>
    </cfRule>
  </conditionalFormatting>
  <conditionalFormatting sqref="D906:CV906">
    <cfRule type="expression" dxfId="4" priority="5112">
      <formula>$AK$28&lt;&gt;"Y"</formula>
    </cfRule>
  </conditionalFormatting>
  <conditionalFormatting sqref="D907:CV907">
    <cfRule type="expression" dxfId="4" priority="5115">
      <formula>$B$29&lt;&gt;"Y"</formula>
    </cfRule>
  </conditionalFormatting>
  <conditionalFormatting sqref="D908:CV908">
    <cfRule type="expression" dxfId="4" priority="5118">
      <formula>$C$29&lt;&gt;"Y"</formula>
    </cfRule>
  </conditionalFormatting>
  <conditionalFormatting sqref="D909:CV909">
    <cfRule type="expression" dxfId="4" priority="5121">
      <formula>$D$29&lt;&gt;"Y"</formula>
    </cfRule>
  </conditionalFormatting>
  <conditionalFormatting sqref="D90:CV90">
    <cfRule type="expression" dxfId="4" priority="2664">
      <formula>$M$6&lt;&gt;"Y"</formula>
    </cfRule>
  </conditionalFormatting>
  <conditionalFormatting sqref="D910:CV910">
    <cfRule type="expression" dxfId="4" priority="5124">
      <formula>$E$29&lt;&gt;"Y"</formula>
    </cfRule>
  </conditionalFormatting>
  <conditionalFormatting sqref="D911:CV911">
    <cfRule type="expression" dxfId="4" priority="5127">
      <formula>$F$29&lt;&gt;"Y"</formula>
    </cfRule>
  </conditionalFormatting>
  <conditionalFormatting sqref="D912:CV912">
    <cfRule type="expression" dxfId="4" priority="5130">
      <formula>$G$29&lt;&gt;"Y"</formula>
    </cfRule>
  </conditionalFormatting>
  <conditionalFormatting sqref="D913:CV913">
    <cfRule type="expression" dxfId="4" priority="5133">
      <formula>$H$29&lt;&gt;"Y"</formula>
    </cfRule>
  </conditionalFormatting>
  <conditionalFormatting sqref="D914:CV914">
    <cfRule type="expression" dxfId="4" priority="5136">
      <formula>$I$29&lt;&gt;"Y"</formula>
    </cfRule>
  </conditionalFormatting>
  <conditionalFormatting sqref="D915:CV915">
    <cfRule type="expression" dxfId="4" priority="5139">
      <formula>$J$29&lt;&gt;"Y"</formula>
    </cfRule>
  </conditionalFormatting>
  <conditionalFormatting sqref="D916:CV916">
    <cfRule type="expression" dxfId="4" priority="5142">
      <formula>$K$29&lt;&gt;"Y"</formula>
    </cfRule>
  </conditionalFormatting>
  <conditionalFormatting sqref="D917:CV917">
    <cfRule type="expression" dxfId="4" priority="5145">
      <formula>$L$29&lt;&gt;"Y"</formula>
    </cfRule>
  </conditionalFormatting>
  <conditionalFormatting sqref="D918:CV918">
    <cfRule type="expression" dxfId="4" priority="5148">
      <formula>$M$29&lt;&gt;"Y"</formula>
    </cfRule>
  </conditionalFormatting>
  <conditionalFormatting sqref="D919:CV919">
    <cfRule type="expression" dxfId="4" priority="5151">
      <formula>$N$29&lt;&gt;"Y"</formula>
    </cfRule>
  </conditionalFormatting>
  <conditionalFormatting sqref="D91:CV91">
    <cfRule type="expression" dxfId="4" priority="2667">
      <formula>$N$6&lt;&gt;"Y"</formula>
    </cfRule>
  </conditionalFormatting>
  <conditionalFormatting sqref="D920:CV920">
    <cfRule type="expression" dxfId="4" priority="5154">
      <formula>$O$29&lt;&gt;"Y"</formula>
    </cfRule>
  </conditionalFormatting>
  <conditionalFormatting sqref="D921:CV921">
    <cfRule type="expression" dxfId="4" priority="5157">
      <formula>$P$29&lt;&gt;"Y"</formula>
    </cfRule>
  </conditionalFormatting>
  <conditionalFormatting sqref="D922:CV922">
    <cfRule type="expression" dxfId="4" priority="5160">
      <formula>$Q$29&lt;&gt;"Y"</formula>
    </cfRule>
  </conditionalFormatting>
  <conditionalFormatting sqref="D923:CV923">
    <cfRule type="expression" dxfId="4" priority="5163">
      <formula>$R$29&lt;&gt;"Y"</formula>
    </cfRule>
  </conditionalFormatting>
  <conditionalFormatting sqref="D924:CV924">
    <cfRule type="expression" dxfId="4" priority="5166">
      <formula>$S$29&lt;&gt;"Y"</formula>
    </cfRule>
  </conditionalFormatting>
  <conditionalFormatting sqref="D925:CV925">
    <cfRule type="expression" dxfId="4" priority="5169">
      <formula>$T$29&lt;&gt;"Y"</formula>
    </cfRule>
  </conditionalFormatting>
  <conditionalFormatting sqref="D926:CV926">
    <cfRule type="expression" dxfId="4" priority="5172">
      <formula>$U$29&lt;&gt;"Y"</formula>
    </cfRule>
  </conditionalFormatting>
  <conditionalFormatting sqref="D927:CV927">
    <cfRule type="expression" dxfId="4" priority="5175">
      <formula>$V$29&lt;&gt;"Y"</formula>
    </cfRule>
  </conditionalFormatting>
  <conditionalFormatting sqref="D928:CV928">
    <cfRule type="expression" dxfId="4" priority="5178">
      <formula>$W$29&lt;&gt;"Y"</formula>
    </cfRule>
  </conditionalFormatting>
  <conditionalFormatting sqref="D929:CV929">
    <cfRule type="expression" dxfId="4" priority="5181">
      <formula>$X$29&lt;&gt;"Y"</formula>
    </cfRule>
  </conditionalFormatting>
  <conditionalFormatting sqref="D92:CV92">
    <cfRule type="expression" dxfId="4" priority="2670">
      <formula>$O$6&lt;&gt;"Y"</formula>
    </cfRule>
  </conditionalFormatting>
  <conditionalFormatting sqref="D930:CV930">
    <cfRule type="expression" dxfId="4" priority="5184">
      <formula>$Y$29&lt;&gt;"Y"</formula>
    </cfRule>
  </conditionalFormatting>
  <conditionalFormatting sqref="D931:CV931">
    <cfRule type="expression" dxfId="4" priority="5187">
      <formula>$Z$29&lt;&gt;"Y"</formula>
    </cfRule>
  </conditionalFormatting>
  <conditionalFormatting sqref="D932:CV932">
    <cfRule type="expression" dxfId="4" priority="5190">
      <formula>$AA$29&lt;&gt;"Y"</formula>
    </cfRule>
  </conditionalFormatting>
  <conditionalFormatting sqref="D933:CV933">
    <cfRule type="expression" dxfId="4" priority="5193">
      <formula>$AB$29&lt;&gt;"Y"</formula>
    </cfRule>
  </conditionalFormatting>
  <conditionalFormatting sqref="D934:CV934">
    <cfRule type="expression" dxfId="4" priority="5196">
      <formula>$AC$29&lt;&gt;"Y"</formula>
    </cfRule>
  </conditionalFormatting>
  <conditionalFormatting sqref="D935:CV935">
    <cfRule type="expression" dxfId="4" priority="5199">
      <formula>$AD$29&lt;&gt;"Y"</formula>
    </cfRule>
  </conditionalFormatting>
  <conditionalFormatting sqref="D936:CV936">
    <cfRule type="expression" dxfId="4" priority="5202">
      <formula>$AE$29&lt;&gt;"Y"</formula>
    </cfRule>
  </conditionalFormatting>
  <conditionalFormatting sqref="D937:CV937">
    <cfRule type="expression" dxfId="4" priority="5205">
      <formula>$AF$29&lt;&gt;"Y"</formula>
    </cfRule>
  </conditionalFormatting>
  <conditionalFormatting sqref="D938:CV938">
    <cfRule type="expression" dxfId="4" priority="5208">
      <formula>$AG$29&lt;&gt;"Y"</formula>
    </cfRule>
  </conditionalFormatting>
  <conditionalFormatting sqref="D939:CV939">
    <cfRule type="expression" dxfId="4" priority="5211">
      <formula>$AH$29&lt;&gt;"Y"</formula>
    </cfRule>
  </conditionalFormatting>
  <conditionalFormatting sqref="D93:CV93">
    <cfRule type="expression" dxfId="4" priority="2673">
      <formula>$P$6&lt;&gt;"Y"</formula>
    </cfRule>
  </conditionalFormatting>
  <conditionalFormatting sqref="D940:CV940">
    <cfRule type="expression" dxfId="4" priority="5214">
      <formula>$AI$29&lt;&gt;"Y"</formula>
    </cfRule>
  </conditionalFormatting>
  <conditionalFormatting sqref="D941:CV941">
    <cfRule type="expression" dxfId="4" priority="5217">
      <formula>$AJ$29&lt;&gt;"Y"</formula>
    </cfRule>
  </conditionalFormatting>
  <conditionalFormatting sqref="D942:CV942">
    <cfRule type="expression" dxfId="4" priority="5220">
      <formula>$AK$29&lt;&gt;"Y"</formula>
    </cfRule>
  </conditionalFormatting>
  <conditionalFormatting sqref="D943:CV943">
    <cfRule type="expression" dxfId="4" priority="5223">
      <formula>$B$30&lt;&gt;"Y"</formula>
    </cfRule>
  </conditionalFormatting>
  <conditionalFormatting sqref="D944:CV944">
    <cfRule type="expression" dxfId="4" priority="5226">
      <formula>$C$30&lt;&gt;"Y"</formula>
    </cfRule>
  </conditionalFormatting>
  <conditionalFormatting sqref="D945:CV945">
    <cfRule type="expression" dxfId="4" priority="5229">
      <formula>$D$30&lt;&gt;"Y"</formula>
    </cfRule>
  </conditionalFormatting>
  <conditionalFormatting sqref="D946:CV946">
    <cfRule type="expression" dxfId="4" priority="5232">
      <formula>$E$30&lt;&gt;"Y"</formula>
    </cfRule>
  </conditionalFormatting>
  <conditionalFormatting sqref="D947:CV947">
    <cfRule type="expression" dxfId="4" priority="5235">
      <formula>$F$30&lt;&gt;"Y"</formula>
    </cfRule>
  </conditionalFormatting>
  <conditionalFormatting sqref="D948:CV948">
    <cfRule type="expression" dxfId="4" priority="5238">
      <formula>$G$30&lt;&gt;"Y"</formula>
    </cfRule>
  </conditionalFormatting>
  <conditionalFormatting sqref="D949:CV949">
    <cfRule type="expression" dxfId="4" priority="5241">
      <formula>$H$30&lt;&gt;"Y"</formula>
    </cfRule>
  </conditionalFormatting>
  <conditionalFormatting sqref="D94:CV94">
    <cfRule type="expression" dxfId="4" priority="2676">
      <formula>$Q$6&lt;&gt;"Y"</formula>
    </cfRule>
  </conditionalFormatting>
  <conditionalFormatting sqref="D950:CV950">
    <cfRule type="expression" dxfId="4" priority="5244">
      <formula>$I$30&lt;&gt;"Y"</formula>
    </cfRule>
  </conditionalFormatting>
  <conditionalFormatting sqref="D951:CV951">
    <cfRule type="expression" dxfId="4" priority="5247">
      <formula>$J$30&lt;&gt;"Y"</formula>
    </cfRule>
  </conditionalFormatting>
  <conditionalFormatting sqref="D952:CV952">
    <cfRule type="expression" dxfId="4" priority="5250">
      <formula>$K$30&lt;&gt;"Y"</formula>
    </cfRule>
  </conditionalFormatting>
  <conditionalFormatting sqref="D953:CV953">
    <cfRule type="expression" dxfId="4" priority="5253">
      <formula>$L$30&lt;&gt;"Y"</formula>
    </cfRule>
  </conditionalFormatting>
  <conditionalFormatting sqref="D954:CV954">
    <cfRule type="expression" dxfId="4" priority="5256">
      <formula>$M$30&lt;&gt;"Y"</formula>
    </cfRule>
  </conditionalFormatting>
  <conditionalFormatting sqref="D955:CV955">
    <cfRule type="expression" dxfId="4" priority="5259">
      <formula>$N$30&lt;&gt;"Y"</formula>
    </cfRule>
  </conditionalFormatting>
  <conditionalFormatting sqref="D956:CV956">
    <cfRule type="expression" dxfId="4" priority="5262">
      <formula>$O$30&lt;&gt;"Y"</formula>
    </cfRule>
  </conditionalFormatting>
  <conditionalFormatting sqref="D957:CV957">
    <cfRule type="expression" dxfId="4" priority="5265">
      <formula>$P$30&lt;&gt;"Y"</formula>
    </cfRule>
  </conditionalFormatting>
  <conditionalFormatting sqref="D958:CV958">
    <cfRule type="expression" dxfId="4" priority="5268">
      <formula>$Q$30&lt;&gt;"Y"</formula>
    </cfRule>
  </conditionalFormatting>
  <conditionalFormatting sqref="D959:CV959">
    <cfRule type="expression" dxfId="4" priority="5271">
      <formula>$R$30&lt;&gt;"Y"</formula>
    </cfRule>
  </conditionalFormatting>
  <conditionalFormatting sqref="D95:CV95">
    <cfRule type="expression" dxfId="4" priority="2679">
      <formula>$R$6&lt;&gt;"Y"</formula>
    </cfRule>
  </conditionalFormatting>
  <conditionalFormatting sqref="D960:CV960">
    <cfRule type="expression" dxfId="4" priority="5274">
      <formula>$S$30&lt;&gt;"Y"</formula>
    </cfRule>
  </conditionalFormatting>
  <conditionalFormatting sqref="D961:CV961">
    <cfRule type="expression" dxfId="4" priority="5277">
      <formula>$T$30&lt;&gt;"Y"</formula>
    </cfRule>
  </conditionalFormatting>
  <conditionalFormatting sqref="D962:CV962">
    <cfRule type="expression" dxfId="4" priority="5280">
      <formula>$U$30&lt;&gt;"Y"</formula>
    </cfRule>
  </conditionalFormatting>
  <conditionalFormatting sqref="D963:CV963">
    <cfRule type="expression" dxfId="4" priority="5283">
      <formula>$V$30&lt;&gt;"Y"</formula>
    </cfRule>
  </conditionalFormatting>
  <conditionalFormatting sqref="D964:CV964">
    <cfRule type="expression" dxfId="4" priority="5286">
      <formula>$W$30&lt;&gt;"Y"</formula>
    </cfRule>
  </conditionalFormatting>
  <conditionalFormatting sqref="D965:CV965">
    <cfRule type="expression" dxfId="4" priority="5289">
      <formula>$X$30&lt;&gt;"Y"</formula>
    </cfRule>
  </conditionalFormatting>
  <conditionalFormatting sqref="D966:CV966">
    <cfRule type="expression" dxfId="4" priority="5292">
      <formula>$Y$30&lt;&gt;"Y"</formula>
    </cfRule>
  </conditionalFormatting>
  <conditionalFormatting sqref="D967:CV967">
    <cfRule type="expression" dxfId="4" priority="5295">
      <formula>$Z$30&lt;&gt;"Y"</formula>
    </cfRule>
  </conditionalFormatting>
  <conditionalFormatting sqref="D968:CV968">
    <cfRule type="expression" dxfId="4" priority="5298">
      <formula>$AA$30&lt;&gt;"Y"</formula>
    </cfRule>
  </conditionalFormatting>
  <conditionalFormatting sqref="D969:CV969">
    <cfRule type="expression" dxfId="4" priority="5301">
      <formula>$AB$30&lt;&gt;"Y"</formula>
    </cfRule>
  </conditionalFormatting>
  <conditionalFormatting sqref="D96:CV96">
    <cfRule type="expression" dxfId="4" priority="2682">
      <formula>$S$6&lt;&gt;"Y"</formula>
    </cfRule>
  </conditionalFormatting>
  <conditionalFormatting sqref="D970:CV970">
    <cfRule type="expression" dxfId="4" priority="5304">
      <formula>$AC$30&lt;&gt;"Y"</formula>
    </cfRule>
  </conditionalFormatting>
  <conditionalFormatting sqref="D971:CV971">
    <cfRule type="expression" dxfId="4" priority="5307">
      <formula>$AD$30&lt;&gt;"Y"</formula>
    </cfRule>
  </conditionalFormatting>
  <conditionalFormatting sqref="D972:CV972">
    <cfRule type="expression" dxfId="4" priority="5310">
      <formula>$AE$30&lt;&gt;"Y"</formula>
    </cfRule>
  </conditionalFormatting>
  <conditionalFormatting sqref="D973:CV973">
    <cfRule type="expression" dxfId="4" priority="5313">
      <formula>$AF$30&lt;&gt;"Y"</formula>
    </cfRule>
  </conditionalFormatting>
  <conditionalFormatting sqref="D974:CV974">
    <cfRule type="expression" dxfId="4" priority="5316">
      <formula>$AG$30&lt;&gt;"Y"</formula>
    </cfRule>
  </conditionalFormatting>
  <conditionalFormatting sqref="D975:CV975">
    <cfRule type="expression" dxfId="4" priority="5319">
      <formula>$AH$30&lt;&gt;"Y"</formula>
    </cfRule>
  </conditionalFormatting>
  <conditionalFormatting sqref="D976:CV976">
    <cfRule type="expression" dxfId="4" priority="5322">
      <formula>$AI$30&lt;&gt;"Y"</formula>
    </cfRule>
  </conditionalFormatting>
  <conditionalFormatting sqref="D977:CV977">
    <cfRule type="expression" dxfId="4" priority="5325">
      <formula>$AJ$30&lt;&gt;"Y"</formula>
    </cfRule>
  </conditionalFormatting>
  <conditionalFormatting sqref="D978:CV978">
    <cfRule type="expression" dxfId="4" priority="5328">
      <formula>$AK$30&lt;&gt;"Y"</formula>
    </cfRule>
  </conditionalFormatting>
  <conditionalFormatting sqref="D979:CV979">
    <cfRule type="expression" dxfId="4" priority="5331">
      <formula>$B$31&lt;&gt;"Y"</formula>
    </cfRule>
  </conditionalFormatting>
  <conditionalFormatting sqref="D97:CV97">
    <cfRule type="expression" dxfId="4" priority="2685">
      <formula>$T$6&lt;&gt;"Y"</formula>
    </cfRule>
  </conditionalFormatting>
  <conditionalFormatting sqref="D980:CV980">
    <cfRule type="expression" dxfId="4" priority="5334">
      <formula>$C$31&lt;&gt;"Y"</formula>
    </cfRule>
  </conditionalFormatting>
  <conditionalFormatting sqref="D981:CV981">
    <cfRule type="expression" dxfId="4" priority="5337">
      <formula>$D$31&lt;&gt;"Y"</formula>
    </cfRule>
  </conditionalFormatting>
  <conditionalFormatting sqref="D982:CV982">
    <cfRule type="expression" dxfId="4" priority="5340">
      <formula>$E$31&lt;&gt;"Y"</formula>
    </cfRule>
  </conditionalFormatting>
  <conditionalFormatting sqref="D983:CV983">
    <cfRule type="expression" dxfId="4" priority="5343">
      <formula>$F$31&lt;&gt;"Y"</formula>
    </cfRule>
  </conditionalFormatting>
  <conditionalFormatting sqref="D984:CV984">
    <cfRule type="expression" dxfId="4" priority="5346">
      <formula>$G$31&lt;&gt;"Y"</formula>
    </cfRule>
  </conditionalFormatting>
  <conditionalFormatting sqref="D985:CV985">
    <cfRule type="expression" dxfId="4" priority="5349">
      <formula>$H$31&lt;&gt;"Y"</formula>
    </cfRule>
  </conditionalFormatting>
  <conditionalFormatting sqref="D986:CV986">
    <cfRule type="expression" dxfId="4" priority="5352">
      <formula>$I$31&lt;&gt;"Y"</formula>
    </cfRule>
  </conditionalFormatting>
  <conditionalFormatting sqref="D987:CV987">
    <cfRule type="expression" dxfId="4" priority="5355">
      <formula>$J$31&lt;&gt;"Y"</formula>
    </cfRule>
  </conditionalFormatting>
  <conditionalFormatting sqref="D988:CV988">
    <cfRule type="expression" dxfId="4" priority="5358">
      <formula>$K$31&lt;&gt;"Y"</formula>
    </cfRule>
  </conditionalFormatting>
  <conditionalFormatting sqref="D989:CV989">
    <cfRule type="expression" dxfId="4" priority="5361">
      <formula>$L$31&lt;&gt;"Y"</formula>
    </cfRule>
  </conditionalFormatting>
  <conditionalFormatting sqref="D98:CV98">
    <cfRule type="expression" dxfId="4" priority="2688">
      <formula>$U$6&lt;&gt;"Y"</formula>
    </cfRule>
  </conditionalFormatting>
  <conditionalFormatting sqref="D990:CV990">
    <cfRule type="expression" dxfId="4" priority="5364">
      <formula>$M$31&lt;&gt;"Y"</formula>
    </cfRule>
  </conditionalFormatting>
  <conditionalFormatting sqref="D991:CV991">
    <cfRule type="expression" dxfId="4" priority="5367">
      <formula>$N$31&lt;&gt;"Y"</formula>
    </cfRule>
  </conditionalFormatting>
  <conditionalFormatting sqref="D992:CV992">
    <cfRule type="expression" dxfId="4" priority="5370">
      <formula>$O$31&lt;&gt;"Y"</formula>
    </cfRule>
  </conditionalFormatting>
  <conditionalFormatting sqref="D993:CV993">
    <cfRule type="expression" dxfId="4" priority="5373">
      <formula>$P$31&lt;&gt;"Y"</formula>
    </cfRule>
  </conditionalFormatting>
  <conditionalFormatting sqref="D994:CV994">
    <cfRule type="expression" dxfId="4" priority="5376">
      <formula>$Q$31&lt;&gt;"Y"</formula>
    </cfRule>
  </conditionalFormatting>
  <conditionalFormatting sqref="D995:CV995">
    <cfRule type="expression" dxfId="4" priority="5379">
      <formula>$R$31&lt;&gt;"Y"</formula>
    </cfRule>
  </conditionalFormatting>
  <conditionalFormatting sqref="D996:CV996">
    <cfRule type="expression" dxfId="4" priority="5382">
      <formula>$S$31&lt;&gt;"Y"</formula>
    </cfRule>
  </conditionalFormatting>
  <conditionalFormatting sqref="D997:CV997">
    <cfRule type="expression" dxfId="4" priority="5385">
      <formula>$T$31&lt;&gt;"Y"</formula>
    </cfRule>
  </conditionalFormatting>
  <conditionalFormatting sqref="D998:CV998">
    <cfRule type="expression" dxfId="4" priority="5388">
      <formula>$U$31&lt;&gt;"Y"</formula>
    </cfRule>
  </conditionalFormatting>
  <conditionalFormatting sqref="D999:CV999">
    <cfRule type="expression" dxfId="4" priority="5391">
      <formula>$V$31&lt;&gt;"Y"</formula>
    </cfRule>
  </conditionalFormatting>
  <conditionalFormatting sqref="D99:CV99">
    <cfRule type="expression" dxfId="4" priority="2691">
      <formula>$V$6&lt;&gt;"Y"</formula>
    </cfRule>
  </conditionalFormatting>
  <conditionalFormatting sqref="E10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E11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E12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E13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E14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E15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E16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E17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E18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E19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0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E21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E23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E25">
    <cfRule type="cellIs" dxfId="2" priority="1407" operator="equal">
      <formula>"Y"</formula>
    </cfRule>
    <cfRule type="cellIs" dxfId="3" priority="1408" operator="equal">
      <formula>"N"</formula>
    </cfRule>
  </conditionalFormatting>
  <conditionalFormatting sqref="E26">
    <cfRule type="cellIs" dxfId="2" priority="1477" operator="equal">
      <formula>"Y"</formula>
    </cfRule>
    <cfRule type="cellIs" dxfId="3" priority="1478" operator="equal">
      <formula>"N"</formula>
    </cfRule>
  </conditionalFormatting>
  <conditionalFormatting sqref="E27">
    <cfRule type="cellIs" dxfId="2" priority="1547" operator="equal">
      <formula>"Y"</formula>
    </cfRule>
    <cfRule type="cellIs" dxfId="3" priority="1548" operator="equal">
      <formula>"N"</formula>
    </cfRule>
  </conditionalFormatting>
  <conditionalFormatting sqref="E28">
    <cfRule type="cellIs" dxfId="2" priority="1617" operator="equal">
      <formula>"Y"</formula>
    </cfRule>
    <cfRule type="cellIs" dxfId="3" priority="1618" operator="equal">
      <formula>"N"</formula>
    </cfRule>
  </conditionalFormatting>
  <conditionalFormatting sqref="E29">
    <cfRule type="cellIs" dxfId="2" priority="1687" operator="equal">
      <formula>"Y"</formula>
    </cfRule>
    <cfRule type="cellIs" dxfId="3" priority="1688" operator="equal">
      <formula>"N"</formula>
    </cfRule>
  </conditionalFormatting>
  <conditionalFormatting sqref="E30">
    <cfRule type="cellIs" dxfId="2" priority="1757" operator="equal">
      <formula>"Y"</formula>
    </cfRule>
    <cfRule type="cellIs" dxfId="3" priority="1758" operator="equal">
      <formula>"N"</formula>
    </cfRule>
  </conditionalFormatting>
  <conditionalFormatting sqref="E31">
    <cfRule type="cellIs" dxfId="2" priority="1827" operator="equal">
      <formula>"Y"</formula>
    </cfRule>
    <cfRule type="cellIs" dxfId="3" priority="1828" operator="equal">
      <formula>"N"</formula>
    </cfRule>
  </conditionalFormatting>
  <conditionalFormatting sqref="E32">
    <cfRule type="cellIs" dxfId="2" priority="1897" operator="equal">
      <formula>"Y"</formula>
    </cfRule>
    <cfRule type="cellIs" dxfId="3" priority="1898" operator="equal">
      <formula>"N"</formula>
    </cfRule>
  </conditionalFormatting>
  <conditionalFormatting sqref="E33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E3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E35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E36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E37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E38">
    <cfRule type="cellIs" dxfId="2" priority="2317" operator="equal">
      <formula>"Y"</formula>
    </cfRule>
    <cfRule type="cellIs" dxfId="3" priority="2318" operator="equal">
      <formula>"N"</formula>
    </cfRule>
  </conditionalFormatting>
  <conditionalFormatting sqref="E39">
    <cfRule type="cellIs" dxfId="2" priority="2387" operator="equal">
      <formula>"Y"</formula>
    </cfRule>
    <cfRule type="cellIs" dxfId="3" priority="2388" operator="equal">
      <formula>"N"</formula>
    </cfRule>
  </conditionalFormatting>
  <conditionalFormatting sqref="E40">
    <cfRule type="cellIs" dxfId="2" priority="2457" operator="equal">
      <formula>"Y"</formula>
    </cfRule>
    <cfRule type="cellIs" dxfId="3" priority="2458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E7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E9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F10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F11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F12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F13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F14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F15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F16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F17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F18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F19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0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F21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F23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F25">
    <cfRule type="cellIs" dxfId="2" priority="1409" operator="equal">
      <formula>"Y"</formula>
    </cfRule>
    <cfRule type="cellIs" dxfId="3" priority="1410" operator="equal">
      <formula>"N"</formula>
    </cfRule>
  </conditionalFormatting>
  <conditionalFormatting sqref="F26">
    <cfRule type="cellIs" dxfId="2" priority="1479" operator="equal">
      <formula>"Y"</formula>
    </cfRule>
    <cfRule type="cellIs" dxfId="3" priority="1480" operator="equal">
      <formula>"N"</formula>
    </cfRule>
  </conditionalFormatting>
  <conditionalFormatting sqref="F27">
    <cfRule type="cellIs" dxfId="2" priority="1549" operator="equal">
      <formula>"Y"</formula>
    </cfRule>
    <cfRule type="cellIs" dxfId="3" priority="1550" operator="equal">
      <formula>"N"</formula>
    </cfRule>
  </conditionalFormatting>
  <conditionalFormatting sqref="F28">
    <cfRule type="cellIs" dxfId="2" priority="1619" operator="equal">
      <formula>"Y"</formula>
    </cfRule>
    <cfRule type="cellIs" dxfId="3" priority="1620" operator="equal">
      <formula>"N"</formula>
    </cfRule>
  </conditionalFormatting>
  <conditionalFormatting sqref="F29">
    <cfRule type="cellIs" dxfId="2" priority="1689" operator="equal">
      <formula>"Y"</formula>
    </cfRule>
    <cfRule type="cellIs" dxfId="3" priority="1690" operator="equal">
      <formula>"N"</formula>
    </cfRule>
  </conditionalFormatting>
  <conditionalFormatting sqref="F30">
    <cfRule type="cellIs" dxfId="2" priority="1759" operator="equal">
      <formula>"Y"</formula>
    </cfRule>
    <cfRule type="cellIs" dxfId="3" priority="1760" operator="equal">
      <formula>"N"</formula>
    </cfRule>
  </conditionalFormatting>
  <conditionalFormatting sqref="F31">
    <cfRule type="cellIs" dxfId="2" priority="1829" operator="equal">
      <formula>"Y"</formula>
    </cfRule>
    <cfRule type="cellIs" dxfId="3" priority="1830" operator="equal">
      <formula>"N"</formula>
    </cfRule>
  </conditionalFormatting>
  <conditionalFormatting sqref="F32">
    <cfRule type="cellIs" dxfId="2" priority="1899" operator="equal">
      <formula>"Y"</formula>
    </cfRule>
    <cfRule type="cellIs" dxfId="3" priority="1900" operator="equal">
      <formula>"N"</formula>
    </cfRule>
  </conditionalFormatting>
  <conditionalFormatting sqref="F33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F3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F35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F36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F37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F38">
    <cfRule type="cellIs" dxfId="2" priority="2319" operator="equal">
      <formula>"Y"</formula>
    </cfRule>
    <cfRule type="cellIs" dxfId="3" priority="2320" operator="equal">
      <formula>"N"</formula>
    </cfRule>
  </conditionalFormatting>
  <conditionalFormatting sqref="F39">
    <cfRule type="cellIs" dxfId="2" priority="2389" operator="equal">
      <formula>"Y"</formula>
    </cfRule>
    <cfRule type="cellIs" dxfId="3" priority="2390" operator="equal">
      <formula>"N"</formula>
    </cfRule>
  </conditionalFormatting>
  <conditionalFormatting sqref="F40">
    <cfRule type="cellIs" dxfId="2" priority="2459" operator="equal">
      <formula>"Y"</formula>
    </cfRule>
    <cfRule type="cellIs" dxfId="3" priority="2460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F7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F8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G100">
    <cfRule type="expression" dxfId="0" priority="2692">
      <formula>COUNTIF(I100:CV100,"&lt;&gt;" &amp; "")&gt;0</formula>
    </cfRule>
    <cfRule type="expression" dxfId="1" priority="2693">
      <formula>AND(COUNTIF(I100:CV100,"&lt;&gt;" &amp; "")&gt;0,NOT(ISBLANK(G100)))</formula>
    </cfRule>
  </conditionalFormatting>
  <conditionalFormatting sqref="G1000">
    <cfRule type="expression" dxfId="0" priority="5392">
      <formula>COUNTIF(I1000:CV1000,"&lt;&gt;" &amp; "")&gt;0</formula>
    </cfRule>
    <cfRule type="expression" dxfId="1" priority="5393">
      <formula>AND(COUNTIF(I1000:CV1000,"&lt;&gt;" &amp; "")&gt;0,NOT(ISBLANK(G1000)))</formula>
    </cfRule>
  </conditionalFormatting>
  <conditionalFormatting sqref="G1001">
    <cfRule type="expression" dxfId="0" priority="5395">
      <formula>COUNTIF(I1001:CV1001,"&lt;&gt;" &amp; "")&gt;0</formula>
    </cfRule>
    <cfRule type="expression" dxfId="1" priority="5396">
      <formula>AND(COUNTIF(I1001:CV1001,"&lt;&gt;" &amp; "")&gt;0,NOT(ISBLANK(G1001)))</formula>
    </cfRule>
  </conditionalFormatting>
  <conditionalFormatting sqref="G1002">
    <cfRule type="expression" dxfId="0" priority="5398">
      <formula>COUNTIF(I1002:CV1002,"&lt;&gt;" &amp; "")&gt;0</formula>
    </cfRule>
    <cfRule type="expression" dxfId="1" priority="5399">
      <formula>AND(COUNTIF(I1002:CV1002,"&lt;&gt;" &amp; "")&gt;0,NOT(ISBLANK(G1002)))</formula>
    </cfRule>
  </conditionalFormatting>
  <conditionalFormatting sqref="G1003">
    <cfRule type="expression" dxfId="0" priority="5401">
      <formula>COUNTIF(I1003:CV1003,"&lt;&gt;" &amp; "")&gt;0</formula>
    </cfRule>
    <cfRule type="expression" dxfId="1" priority="5402">
      <formula>AND(COUNTIF(I1003:CV1003,"&lt;&gt;" &amp; "")&gt;0,NOT(ISBLANK(G1003)))</formula>
    </cfRule>
  </conditionalFormatting>
  <conditionalFormatting sqref="G1004">
    <cfRule type="expression" dxfId="0" priority="5404">
      <formula>COUNTIF(I1004:CV1004,"&lt;&gt;" &amp; "")&gt;0</formula>
    </cfRule>
    <cfRule type="expression" dxfId="1" priority="5405">
      <formula>AND(COUNTIF(I1004:CV1004,"&lt;&gt;" &amp; "")&gt;0,NOT(ISBLANK(G1004)))</formula>
    </cfRule>
  </conditionalFormatting>
  <conditionalFormatting sqref="G1005">
    <cfRule type="expression" dxfId="0" priority="5407">
      <formula>COUNTIF(I1005:CV1005,"&lt;&gt;" &amp; "")&gt;0</formula>
    </cfRule>
    <cfRule type="expression" dxfId="1" priority="5408">
      <formula>AND(COUNTIF(I1005:CV1005,"&lt;&gt;" &amp; "")&gt;0,NOT(ISBLANK(G1005)))</formula>
    </cfRule>
  </conditionalFormatting>
  <conditionalFormatting sqref="G1006">
    <cfRule type="expression" dxfId="0" priority="5410">
      <formula>COUNTIF(I1006:CV1006,"&lt;&gt;" &amp; "")&gt;0</formula>
    </cfRule>
    <cfRule type="expression" dxfId="1" priority="5411">
      <formula>AND(COUNTIF(I1006:CV1006,"&lt;&gt;" &amp; "")&gt;0,NOT(ISBLANK(G1006)))</formula>
    </cfRule>
  </conditionalFormatting>
  <conditionalFormatting sqref="G1007">
    <cfRule type="expression" dxfId="0" priority="5413">
      <formula>COUNTIF(I1007:CV1007,"&lt;&gt;" &amp; "")&gt;0</formula>
    </cfRule>
    <cfRule type="expression" dxfId="1" priority="5414">
      <formula>AND(COUNTIF(I1007:CV1007,"&lt;&gt;" &amp; "")&gt;0,NOT(ISBLANK(G1007)))</formula>
    </cfRule>
  </conditionalFormatting>
  <conditionalFormatting sqref="G1008">
    <cfRule type="expression" dxfId="0" priority="5416">
      <formula>COUNTIF(I1008:CV1008,"&lt;&gt;" &amp; "")&gt;0</formula>
    </cfRule>
    <cfRule type="expression" dxfId="1" priority="5417">
      <formula>AND(COUNTIF(I1008:CV1008,"&lt;&gt;" &amp; "")&gt;0,NOT(ISBLANK(G1008)))</formula>
    </cfRule>
  </conditionalFormatting>
  <conditionalFormatting sqref="G1009">
    <cfRule type="expression" dxfId="0" priority="5419">
      <formula>COUNTIF(I1009:CV1009,"&lt;&gt;" &amp; "")&gt;0</formula>
    </cfRule>
    <cfRule type="expression" dxfId="1" priority="5420">
      <formula>AND(COUNTIF(I1009:CV1009,"&lt;&gt;" &amp; "")&gt;0,NOT(ISBLANK(G1009)))</formula>
    </cfRule>
  </conditionalFormatting>
  <conditionalFormatting sqref="G101">
    <cfRule type="expression" dxfId="0" priority="2695">
      <formula>COUNTIF(I101:CV101,"&lt;&gt;" &amp; "")&gt;0</formula>
    </cfRule>
    <cfRule type="expression" dxfId="1" priority="2696">
      <formula>AND(COUNTIF(I101:CV101,"&lt;&gt;" &amp; "")&gt;0,NOT(ISBLANK(G101)))</formula>
    </cfRule>
  </conditionalFormatting>
  <conditionalFormatting sqref="G1010">
    <cfRule type="expression" dxfId="0" priority="5422">
      <formula>COUNTIF(I1010:CV1010,"&lt;&gt;" &amp; "")&gt;0</formula>
    </cfRule>
    <cfRule type="expression" dxfId="1" priority="5423">
      <formula>AND(COUNTIF(I1010:CV1010,"&lt;&gt;" &amp; "")&gt;0,NOT(ISBLANK(G1010)))</formula>
    </cfRule>
  </conditionalFormatting>
  <conditionalFormatting sqref="G1011">
    <cfRule type="expression" dxfId="0" priority="5425">
      <formula>COUNTIF(I1011:CV1011,"&lt;&gt;" &amp; "")&gt;0</formula>
    </cfRule>
    <cfRule type="expression" dxfId="1" priority="5426">
      <formula>AND(COUNTIF(I1011:CV1011,"&lt;&gt;" &amp; "")&gt;0,NOT(ISBLANK(G1011)))</formula>
    </cfRule>
  </conditionalFormatting>
  <conditionalFormatting sqref="G1012">
    <cfRule type="expression" dxfId="0" priority="5428">
      <formula>COUNTIF(I1012:CV1012,"&lt;&gt;" &amp; "")&gt;0</formula>
    </cfRule>
    <cfRule type="expression" dxfId="1" priority="5429">
      <formula>AND(COUNTIF(I1012:CV1012,"&lt;&gt;" &amp; "")&gt;0,NOT(ISBLANK(G1012)))</formula>
    </cfRule>
  </conditionalFormatting>
  <conditionalFormatting sqref="G1013">
    <cfRule type="expression" dxfId="0" priority="5431">
      <formula>COUNTIF(I1013:CV1013,"&lt;&gt;" &amp; "")&gt;0</formula>
    </cfRule>
    <cfRule type="expression" dxfId="1" priority="5432">
      <formula>AND(COUNTIF(I1013:CV1013,"&lt;&gt;" &amp; "")&gt;0,NOT(ISBLANK(G1013)))</formula>
    </cfRule>
  </conditionalFormatting>
  <conditionalFormatting sqref="G1014">
    <cfRule type="expression" dxfId="0" priority="5434">
      <formula>COUNTIF(I1014:CV1014,"&lt;&gt;" &amp; "")&gt;0</formula>
    </cfRule>
    <cfRule type="expression" dxfId="1" priority="5435">
      <formula>AND(COUNTIF(I1014:CV1014,"&lt;&gt;" &amp; "")&gt;0,NOT(ISBLANK(G1014)))</formula>
    </cfRule>
  </conditionalFormatting>
  <conditionalFormatting sqref="G1015">
    <cfRule type="expression" dxfId="0" priority="5437">
      <formula>COUNTIF(I1015:CV1015,"&lt;&gt;" &amp; "")&gt;0</formula>
    </cfRule>
    <cfRule type="expression" dxfId="1" priority="5438">
      <formula>AND(COUNTIF(I1015:CV1015,"&lt;&gt;" &amp; "")&gt;0,NOT(ISBLANK(G1015)))</formula>
    </cfRule>
  </conditionalFormatting>
  <conditionalFormatting sqref="G1016">
    <cfRule type="expression" dxfId="0" priority="5440">
      <formula>COUNTIF(I1016:CV1016,"&lt;&gt;" &amp; "")&gt;0</formula>
    </cfRule>
    <cfRule type="expression" dxfId="1" priority="5441">
      <formula>AND(COUNTIF(I1016:CV1016,"&lt;&gt;" &amp; "")&gt;0,NOT(ISBLANK(G1016)))</formula>
    </cfRule>
  </conditionalFormatting>
  <conditionalFormatting sqref="G1017">
    <cfRule type="expression" dxfId="0" priority="5443">
      <formula>COUNTIF(I1017:CV1017,"&lt;&gt;" &amp; "")&gt;0</formula>
    </cfRule>
    <cfRule type="expression" dxfId="1" priority="5444">
      <formula>AND(COUNTIF(I1017:CV1017,"&lt;&gt;" &amp; "")&gt;0,NOT(ISBLANK(G1017)))</formula>
    </cfRule>
  </conditionalFormatting>
  <conditionalFormatting sqref="G1018">
    <cfRule type="expression" dxfId="0" priority="5446">
      <formula>COUNTIF(I1018:CV1018,"&lt;&gt;" &amp; "")&gt;0</formula>
    </cfRule>
    <cfRule type="expression" dxfId="1" priority="5447">
      <formula>AND(COUNTIF(I1018:CV1018,"&lt;&gt;" &amp; "")&gt;0,NOT(ISBLANK(G1018)))</formula>
    </cfRule>
  </conditionalFormatting>
  <conditionalFormatting sqref="G1019">
    <cfRule type="expression" dxfId="0" priority="5449">
      <formula>COUNTIF(I1019:CV1019,"&lt;&gt;" &amp; "")&gt;0</formula>
    </cfRule>
    <cfRule type="expression" dxfId="1" priority="5450">
      <formula>AND(COUNTIF(I1019:CV1019,"&lt;&gt;" &amp; "")&gt;0,NOT(ISBLANK(G1019)))</formula>
    </cfRule>
  </conditionalFormatting>
  <conditionalFormatting sqref="G102">
    <cfRule type="expression" dxfId="0" priority="2698">
      <formula>COUNTIF(I102:CV102,"&lt;&gt;" &amp; "")&gt;0</formula>
    </cfRule>
    <cfRule type="expression" dxfId="1" priority="2699">
      <formula>AND(COUNTIF(I102:CV102,"&lt;&gt;" &amp; "")&gt;0,NOT(ISBLANK(G102)))</formula>
    </cfRule>
  </conditionalFormatting>
  <conditionalFormatting sqref="G1020">
    <cfRule type="expression" dxfId="0" priority="5452">
      <formula>COUNTIF(I1020:CV1020,"&lt;&gt;" &amp; "")&gt;0</formula>
    </cfRule>
    <cfRule type="expression" dxfId="1" priority="5453">
      <formula>AND(COUNTIF(I1020:CV1020,"&lt;&gt;" &amp; "")&gt;0,NOT(ISBLANK(G1020)))</formula>
    </cfRule>
  </conditionalFormatting>
  <conditionalFormatting sqref="G1021">
    <cfRule type="expression" dxfId="0" priority="5455">
      <formula>COUNTIF(I1021:CV1021,"&lt;&gt;" &amp; "")&gt;0</formula>
    </cfRule>
    <cfRule type="expression" dxfId="1" priority="5456">
      <formula>AND(COUNTIF(I1021:CV1021,"&lt;&gt;" &amp; "")&gt;0,NOT(ISBLANK(G1021)))</formula>
    </cfRule>
  </conditionalFormatting>
  <conditionalFormatting sqref="G1022">
    <cfRule type="expression" dxfId="0" priority="5458">
      <formula>COUNTIF(I1022:CV1022,"&lt;&gt;" &amp; "")&gt;0</formula>
    </cfRule>
    <cfRule type="expression" dxfId="1" priority="5459">
      <formula>AND(COUNTIF(I1022:CV1022,"&lt;&gt;" &amp; "")&gt;0,NOT(ISBLANK(G1022)))</formula>
    </cfRule>
  </conditionalFormatting>
  <conditionalFormatting sqref="G1023">
    <cfRule type="expression" dxfId="0" priority="5461">
      <formula>COUNTIF(I1023:CV1023,"&lt;&gt;" &amp; "")&gt;0</formula>
    </cfRule>
    <cfRule type="expression" dxfId="1" priority="5462">
      <formula>AND(COUNTIF(I1023:CV1023,"&lt;&gt;" &amp; "")&gt;0,NOT(ISBLANK(G1023)))</formula>
    </cfRule>
  </conditionalFormatting>
  <conditionalFormatting sqref="G1024">
    <cfRule type="expression" dxfId="0" priority="5464">
      <formula>COUNTIF(I1024:CV1024,"&lt;&gt;" &amp; "")&gt;0</formula>
    </cfRule>
    <cfRule type="expression" dxfId="1" priority="5465">
      <formula>AND(COUNTIF(I1024:CV1024,"&lt;&gt;" &amp; "")&gt;0,NOT(ISBLANK(G1024)))</formula>
    </cfRule>
  </conditionalFormatting>
  <conditionalFormatting sqref="G1025">
    <cfRule type="expression" dxfId="0" priority="5467">
      <formula>COUNTIF(I1025:CV1025,"&lt;&gt;" &amp; "")&gt;0</formula>
    </cfRule>
    <cfRule type="expression" dxfId="1" priority="5468">
      <formula>AND(COUNTIF(I1025:CV1025,"&lt;&gt;" &amp; "")&gt;0,NOT(ISBLANK(G1025)))</formula>
    </cfRule>
  </conditionalFormatting>
  <conditionalFormatting sqref="G1026">
    <cfRule type="expression" dxfId="0" priority="5470">
      <formula>COUNTIF(I1026:CV1026,"&lt;&gt;" &amp; "")&gt;0</formula>
    </cfRule>
    <cfRule type="expression" dxfId="1" priority="5471">
      <formula>AND(COUNTIF(I1026:CV1026,"&lt;&gt;" &amp; "")&gt;0,NOT(ISBLANK(G1026)))</formula>
    </cfRule>
  </conditionalFormatting>
  <conditionalFormatting sqref="G1027">
    <cfRule type="expression" dxfId="0" priority="5473">
      <formula>COUNTIF(I1027:CV1027,"&lt;&gt;" &amp; "")&gt;0</formula>
    </cfRule>
    <cfRule type="expression" dxfId="1" priority="5474">
      <formula>AND(COUNTIF(I1027:CV1027,"&lt;&gt;" &amp; "")&gt;0,NOT(ISBLANK(G1027)))</formula>
    </cfRule>
  </conditionalFormatting>
  <conditionalFormatting sqref="G1028">
    <cfRule type="expression" dxfId="0" priority="5476">
      <formula>COUNTIF(I1028:CV1028,"&lt;&gt;" &amp; "")&gt;0</formula>
    </cfRule>
    <cfRule type="expression" dxfId="1" priority="5477">
      <formula>AND(COUNTIF(I1028:CV1028,"&lt;&gt;" &amp; "")&gt;0,NOT(ISBLANK(G1028)))</formula>
    </cfRule>
  </conditionalFormatting>
  <conditionalFormatting sqref="G1029">
    <cfRule type="expression" dxfId="0" priority="5479">
      <formula>COUNTIF(I1029:CV1029,"&lt;&gt;" &amp; "")&gt;0</formula>
    </cfRule>
    <cfRule type="expression" dxfId="1" priority="5480">
      <formula>AND(COUNTIF(I1029:CV1029,"&lt;&gt;" &amp; "")&gt;0,NOT(ISBLANK(G1029)))</formula>
    </cfRule>
  </conditionalFormatting>
  <conditionalFormatting sqref="G103">
    <cfRule type="expression" dxfId="0" priority="2701">
      <formula>COUNTIF(I103:CV103,"&lt;&gt;" &amp; "")&gt;0</formula>
    </cfRule>
    <cfRule type="expression" dxfId="1" priority="2702">
      <formula>AND(COUNTIF(I103:CV103,"&lt;&gt;" &amp; "")&gt;0,NOT(ISBLANK(G103)))</formula>
    </cfRule>
  </conditionalFormatting>
  <conditionalFormatting sqref="G1030">
    <cfRule type="expression" dxfId="0" priority="5482">
      <formula>COUNTIF(I1030:CV1030,"&lt;&gt;" &amp; "")&gt;0</formula>
    </cfRule>
    <cfRule type="expression" dxfId="1" priority="5483">
      <formula>AND(COUNTIF(I1030:CV1030,"&lt;&gt;" &amp; "")&gt;0,NOT(ISBLANK(G1030)))</formula>
    </cfRule>
  </conditionalFormatting>
  <conditionalFormatting sqref="G1031">
    <cfRule type="expression" dxfId="0" priority="5485">
      <formula>COUNTIF(I1031:CV1031,"&lt;&gt;" &amp; "")&gt;0</formula>
    </cfRule>
    <cfRule type="expression" dxfId="1" priority="5486">
      <formula>AND(COUNTIF(I1031:CV1031,"&lt;&gt;" &amp; "")&gt;0,NOT(ISBLANK(G1031)))</formula>
    </cfRule>
  </conditionalFormatting>
  <conditionalFormatting sqref="G1032">
    <cfRule type="expression" dxfId="0" priority="5488">
      <formula>COUNTIF(I1032:CV1032,"&lt;&gt;" &amp; "")&gt;0</formula>
    </cfRule>
    <cfRule type="expression" dxfId="1" priority="5489">
      <formula>AND(COUNTIF(I1032:CV1032,"&lt;&gt;" &amp; "")&gt;0,NOT(ISBLANK(G1032)))</formula>
    </cfRule>
  </conditionalFormatting>
  <conditionalFormatting sqref="G1033">
    <cfRule type="expression" dxfId="0" priority="5491">
      <formula>COUNTIF(I1033:CV1033,"&lt;&gt;" &amp; "")&gt;0</formula>
    </cfRule>
    <cfRule type="expression" dxfId="1" priority="5492">
      <formula>AND(COUNTIF(I1033:CV1033,"&lt;&gt;" &amp; "")&gt;0,NOT(ISBLANK(G1033)))</formula>
    </cfRule>
  </conditionalFormatting>
  <conditionalFormatting sqref="G1034">
    <cfRule type="expression" dxfId="0" priority="5494">
      <formula>COUNTIF(I1034:CV1034,"&lt;&gt;" &amp; "")&gt;0</formula>
    </cfRule>
    <cfRule type="expression" dxfId="1" priority="5495">
      <formula>AND(COUNTIF(I1034:CV1034,"&lt;&gt;" &amp; "")&gt;0,NOT(ISBLANK(G1034)))</formula>
    </cfRule>
  </conditionalFormatting>
  <conditionalFormatting sqref="G1035">
    <cfRule type="expression" dxfId="0" priority="5497">
      <formula>COUNTIF(I1035:CV1035,"&lt;&gt;" &amp; "")&gt;0</formula>
    </cfRule>
    <cfRule type="expression" dxfId="1" priority="5498">
      <formula>AND(COUNTIF(I1035:CV1035,"&lt;&gt;" &amp; "")&gt;0,NOT(ISBLANK(G1035)))</formula>
    </cfRule>
  </conditionalFormatting>
  <conditionalFormatting sqref="G1036">
    <cfRule type="expression" dxfId="0" priority="5500">
      <formula>COUNTIF(I1036:CV1036,"&lt;&gt;" &amp; "")&gt;0</formula>
    </cfRule>
    <cfRule type="expression" dxfId="1" priority="5501">
      <formula>AND(COUNTIF(I1036:CV1036,"&lt;&gt;" &amp; "")&gt;0,NOT(ISBLANK(G1036)))</formula>
    </cfRule>
  </conditionalFormatting>
  <conditionalFormatting sqref="G1037">
    <cfRule type="expression" dxfId="0" priority="5503">
      <formula>COUNTIF(I1037:CV1037,"&lt;&gt;" &amp; "")&gt;0</formula>
    </cfRule>
    <cfRule type="expression" dxfId="1" priority="5504">
      <formula>AND(COUNTIF(I1037:CV1037,"&lt;&gt;" &amp; "")&gt;0,NOT(ISBLANK(G1037)))</formula>
    </cfRule>
  </conditionalFormatting>
  <conditionalFormatting sqref="G1038">
    <cfRule type="expression" dxfId="0" priority="5506">
      <formula>COUNTIF(I1038:CV1038,"&lt;&gt;" &amp; "")&gt;0</formula>
    </cfRule>
    <cfRule type="expression" dxfId="1" priority="5507">
      <formula>AND(COUNTIF(I1038:CV1038,"&lt;&gt;" &amp; "")&gt;0,NOT(ISBLANK(G1038)))</formula>
    </cfRule>
  </conditionalFormatting>
  <conditionalFormatting sqref="G1039">
    <cfRule type="expression" dxfId="0" priority="5509">
      <formula>COUNTIF(I1039:CV1039,"&lt;&gt;" &amp; "")&gt;0</formula>
    </cfRule>
    <cfRule type="expression" dxfId="1" priority="5510">
      <formula>AND(COUNTIF(I1039:CV1039,"&lt;&gt;" &amp; "")&gt;0,NOT(ISBLANK(G1039)))</formula>
    </cfRule>
  </conditionalFormatting>
  <conditionalFormatting sqref="G104">
    <cfRule type="expression" dxfId="0" priority="2704">
      <formula>COUNTIF(I104:CV104,"&lt;&gt;" &amp; "")&gt;0</formula>
    </cfRule>
    <cfRule type="expression" dxfId="1" priority="2705">
      <formula>AND(COUNTIF(I104:CV104,"&lt;&gt;" &amp; "")&gt;0,NOT(ISBLANK(G104)))</formula>
    </cfRule>
  </conditionalFormatting>
  <conditionalFormatting sqref="G1040">
    <cfRule type="expression" dxfId="0" priority="5512">
      <formula>COUNTIF(I1040:CV1040,"&lt;&gt;" &amp; "")&gt;0</formula>
    </cfRule>
    <cfRule type="expression" dxfId="1" priority="5513">
      <formula>AND(COUNTIF(I1040:CV1040,"&lt;&gt;" &amp; "")&gt;0,NOT(ISBLANK(G1040)))</formula>
    </cfRule>
  </conditionalFormatting>
  <conditionalFormatting sqref="G1041">
    <cfRule type="expression" dxfId="0" priority="5515">
      <formula>COUNTIF(I1041:CV1041,"&lt;&gt;" &amp; "")&gt;0</formula>
    </cfRule>
    <cfRule type="expression" dxfId="1" priority="5516">
      <formula>AND(COUNTIF(I1041:CV1041,"&lt;&gt;" &amp; "")&gt;0,NOT(ISBLANK(G1041)))</formula>
    </cfRule>
  </conditionalFormatting>
  <conditionalFormatting sqref="G1042">
    <cfRule type="expression" dxfId="0" priority="5518">
      <formula>COUNTIF(I1042:CV1042,"&lt;&gt;" &amp; "")&gt;0</formula>
    </cfRule>
    <cfRule type="expression" dxfId="1" priority="5519">
      <formula>AND(COUNTIF(I1042:CV1042,"&lt;&gt;" &amp; "")&gt;0,NOT(ISBLANK(G1042)))</formula>
    </cfRule>
  </conditionalFormatting>
  <conditionalFormatting sqref="G1043">
    <cfRule type="expression" dxfId="0" priority="5521">
      <formula>COUNTIF(I1043:CV1043,"&lt;&gt;" &amp; "")&gt;0</formula>
    </cfRule>
    <cfRule type="expression" dxfId="1" priority="5522">
      <formula>AND(COUNTIF(I1043:CV1043,"&lt;&gt;" &amp; "")&gt;0,NOT(ISBLANK(G1043)))</formula>
    </cfRule>
  </conditionalFormatting>
  <conditionalFormatting sqref="G1044">
    <cfRule type="expression" dxfId="0" priority="5524">
      <formula>COUNTIF(I1044:CV1044,"&lt;&gt;" &amp; "")&gt;0</formula>
    </cfRule>
    <cfRule type="expression" dxfId="1" priority="5525">
      <formula>AND(COUNTIF(I1044:CV1044,"&lt;&gt;" &amp; "")&gt;0,NOT(ISBLANK(G1044)))</formula>
    </cfRule>
  </conditionalFormatting>
  <conditionalFormatting sqref="G1045">
    <cfRule type="expression" dxfId="0" priority="5527">
      <formula>COUNTIF(I1045:CV1045,"&lt;&gt;" &amp; "")&gt;0</formula>
    </cfRule>
    <cfRule type="expression" dxfId="1" priority="5528">
      <formula>AND(COUNTIF(I1045:CV1045,"&lt;&gt;" &amp; "")&gt;0,NOT(ISBLANK(G1045)))</formula>
    </cfRule>
  </conditionalFormatting>
  <conditionalFormatting sqref="G1046">
    <cfRule type="expression" dxfId="0" priority="5530">
      <formula>COUNTIF(I1046:CV1046,"&lt;&gt;" &amp; "")&gt;0</formula>
    </cfRule>
    <cfRule type="expression" dxfId="1" priority="5531">
      <formula>AND(COUNTIF(I1046:CV1046,"&lt;&gt;" &amp; "")&gt;0,NOT(ISBLANK(G1046)))</formula>
    </cfRule>
  </conditionalFormatting>
  <conditionalFormatting sqref="G1047">
    <cfRule type="expression" dxfId="0" priority="5533">
      <formula>COUNTIF(I1047:CV1047,"&lt;&gt;" &amp; "")&gt;0</formula>
    </cfRule>
    <cfRule type="expression" dxfId="1" priority="5534">
      <formula>AND(COUNTIF(I1047:CV1047,"&lt;&gt;" &amp; "")&gt;0,NOT(ISBLANK(G1047)))</formula>
    </cfRule>
  </conditionalFormatting>
  <conditionalFormatting sqref="G1048">
    <cfRule type="expression" dxfId="0" priority="5536">
      <formula>COUNTIF(I1048:CV1048,"&lt;&gt;" &amp; "")&gt;0</formula>
    </cfRule>
    <cfRule type="expression" dxfId="1" priority="5537">
      <formula>AND(COUNTIF(I1048:CV1048,"&lt;&gt;" &amp; "")&gt;0,NOT(ISBLANK(G1048)))</formula>
    </cfRule>
  </conditionalFormatting>
  <conditionalFormatting sqref="G1049">
    <cfRule type="expression" dxfId="0" priority="5539">
      <formula>COUNTIF(I1049:CV1049,"&lt;&gt;" &amp; "")&gt;0</formula>
    </cfRule>
    <cfRule type="expression" dxfId="1" priority="5540">
      <formula>AND(COUNTIF(I1049:CV1049,"&lt;&gt;" &amp; "")&gt;0,NOT(ISBLANK(G1049)))</formula>
    </cfRule>
  </conditionalFormatting>
  <conditionalFormatting sqref="G105">
    <cfRule type="expression" dxfId="0" priority="2707">
      <formula>COUNTIF(I105:CV105,"&lt;&gt;" &amp; "")&gt;0</formula>
    </cfRule>
    <cfRule type="expression" dxfId="1" priority="2708">
      <formula>AND(COUNTIF(I105:CV105,"&lt;&gt;" &amp; "")&gt;0,NOT(ISBLANK(G105)))</formula>
    </cfRule>
  </conditionalFormatting>
  <conditionalFormatting sqref="G1050">
    <cfRule type="expression" dxfId="0" priority="5542">
      <formula>COUNTIF(I1050:CV1050,"&lt;&gt;" &amp; "")&gt;0</formula>
    </cfRule>
    <cfRule type="expression" dxfId="1" priority="5543">
      <formula>AND(COUNTIF(I1050:CV1050,"&lt;&gt;" &amp; "")&gt;0,NOT(ISBLANK(G1050)))</formula>
    </cfRule>
  </conditionalFormatting>
  <conditionalFormatting sqref="G1051">
    <cfRule type="expression" dxfId="0" priority="5545">
      <formula>COUNTIF(I1051:CV1051,"&lt;&gt;" &amp; "")&gt;0</formula>
    </cfRule>
    <cfRule type="expression" dxfId="1" priority="5546">
      <formula>AND(COUNTIF(I1051:CV1051,"&lt;&gt;" &amp; "")&gt;0,NOT(ISBLANK(G1051)))</formula>
    </cfRule>
  </conditionalFormatting>
  <conditionalFormatting sqref="G1052">
    <cfRule type="expression" dxfId="0" priority="5548">
      <formula>COUNTIF(I1052:CV1052,"&lt;&gt;" &amp; "")&gt;0</formula>
    </cfRule>
    <cfRule type="expression" dxfId="1" priority="5549">
      <formula>AND(COUNTIF(I1052:CV1052,"&lt;&gt;" &amp; "")&gt;0,NOT(ISBLANK(G1052)))</formula>
    </cfRule>
  </conditionalFormatting>
  <conditionalFormatting sqref="G1053">
    <cfRule type="expression" dxfId="0" priority="5551">
      <formula>COUNTIF(I1053:CV1053,"&lt;&gt;" &amp; "")&gt;0</formula>
    </cfRule>
    <cfRule type="expression" dxfId="1" priority="5552">
      <formula>AND(COUNTIF(I1053:CV1053,"&lt;&gt;" &amp; "")&gt;0,NOT(ISBLANK(G1053)))</formula>
    </cfRule>
  </conditionalFormatting>
  <conditionalFormatting sqref="G1054">
    <cfRule type="expression" dxfId="0" priority="5554">
      <formula>COUNTIF(I1054:CV1054,"&lt;&gt;" &amp; "")&gt;0</formula>
    </cfRule>
    <cfRule type="expression" dxfId="1" priority="5555">
      <formula>AND(COUNTIF(I1054:CV1054,"&lt;&gt;" &amp; "")&gt;0,NOT(ISBLANK(G1054)))</formula>
    </cfRule>
  </conditionalFormatting>
  <conditionalFormatting sqref="G1055">
    <cfRule type="expression" dxfId="0" priority="5557">
      <formula>COUNTIF(I1055:CV1055,"&lt;&gt;" &amp; "")&gt;0</formula>
    </cfRule>
    <cfRule type="expression" dxfId="1" priority="5558">
      <formula>AND(COUNTIF(I1055:CV1055,"&lt;&gt;" &amp; "")&gt;0,NOT(ISBLANK(G1055)))</formula>
    </cfRule>
  </conditionalFormatting>
  <conditionalFormatting sqref="G1056">
    <cfRule type="expression" dxfId="0" priority="5560">
      <formula>COUNTIF(I1056:CV1056,"&lt;&gt;" &amp; "")&gt;0</formula>
    </cfRule>
    <cfRule type="expression" dxfId="1" priority="5561">
      <formula>AND(COUNTIF(I1056:CV1056,"&lt;&gt;" &amp; "")&gt;0,NOT(ISBLANK(G1056)))</formula>
    </cfRule>
  </conditionalFormatting>
  <conditionalFormatting sqref="G1057">
    <cfRule type="expression" dxfId="0" priority="5563">
      <formula>COUNTIF(I1057:CV1057,"&lt;&gt;" &amp; "")&gt;0</formula>
    </cfRule>
    <cfRule type="expression" dxfId="1" priority="5564">
      <formula>AND(COUNTIF(I1057:CV1057,"&lt;&gt;" &amp; "")&gt;0,NOT(ISBLANK(G1057)))</formula>
    </cfRule>
  </conditionalFormatting>
  <conditionalFormatting sqref="G1058">
    <cfRule type="expression" dxfId="0" priority="5566">
      <formula>COUNTIF(I1058:CV1058,"&lt;&gt;" &amp; "")&gt;0</formula>
    </cfRule>
    <cfRule type="expression" dxfId="1" priority="5567">
      <formula>AND(COUNTIF(I1058:CV1058,"&lt;&gt;" &amp; "")&gt;0,NOT(ISBLANK(G1058)))</formula>
    </cfRule>
  </conditionalFormatting>
  <conditionalFormatting sqref="G1059">
    <cfRule type="expression" dxfId="0" priority="5569">
      <formula>COUNTIF(I1059:CV1059,"&lt;&gt;" &amp; "")&gt;0</formula>
    </cfRule>
    <cfRule type="expression" dxfId="1" priority="5570">
      <formula>AND(COUNTIF(I1059:CV1059,"&lt;&gt;" &amp; "")&gt;0,NOT(ISBLANK(G1059)))</formula>
    </cfRule>
  </conditionalFormatting>
  <conditionalFormatting sqref="G106">
    <cfRule type="expression" dxfId="0" priority="2710">
      <formula>COUNTIF(I106:CV106,"&lt;&gt;" &amp; "")&gt;0</formula>
    </cfRule>
    <cfRule type="expression" dxfId="1" priority="2711">
      <formula>AND(COUNTIF(I106:CV106,"&lt;&gt;" &amp; "")&gt;0,NOT(ISBLANK(G106)))</formula>
    </cfRule>
  </conditionalFormatting>
  <conditionalFormatting sqref="G1060">
    <cfRule type="expression" dxfId="0" priority="5572">
      <formula>COUNTIF(I1060:CV1060,"&lt;&gt;" &amp; "")&gt;0</formula>
    </cfRule>
    <cfRule type="expression" dxfId="1" priority="5573">
      <formula>AND(COUNTIF(I1060:CV1060,"&lt;&gt;" &amp; "")&gt;0,NOT(ISBLANK(G1060)))</formula>
    </cfRule>
  </conditionalFormatting>
  <conditionalFormatting sqref="G1061">
    <cfRule type="expression" dxfId="0" priority="5575">
      <formula>COUNTIF(I1061:CV1061,"&lt;&gt;" &amp; "")&gt;0</formula>
    </cfRule>
    <cfRule type="expression" dxfId="1" priority="5576">
      <formula>AND(COUNTIF(I1061:CV1061,"&lt;&gt;" &amp; "")&gt;0,NOT(ISBLANK(G1061)))</formula>
    </cfRule>
  </conditionalFormatting>
  <conditionalFormatting sqref="G1062">
    <cfRule type="expression" dxfId="0" priority="5578">
      <formula>COUNTIF(I1062:CV1062,"&lt;&gt;" &amp; "")&gt;0</formula>
    </cfRule>
    <cfRule type="expression" dxfId="1" priority="5579">
      <formula>AND(COUNTIF(I1062:CV1062,"&lt;&gt;" &amp; "")&gt;0,NOT(ISBLANK(G1062)))</formula>
    </cfRule>
  </conditionalFormatting>
  <conditionalFormatting sqref="G1063">
    <cfRule type="expression" dxfId="0" priority="5581">
      <formula>COUNTIF(I1063:CV1063,"&lt;&gt;" &amp; "")&gt;0</formula>
    </cfRule>
    <cfRule type="expression" dxfId="1" priority="5582">
      <formula>AND(COUNTIF(I1063:CV1063,"&lt;&gt;" &amp; "")&gt;0,NOT(ISBLANK(G1063)))</formula>
    </cfRule>
  </conditionalFormatting>
  <conditionalFormatting sqref="G1064">
    <cfRule type="expression" dxfId="0" priority="5584">
      <formula>COUNTIF(I1064:CV1064,"&lt;&gt;" &amp; "")&gt;0</formula>
    </cfRule>
    <cfRule type="expression" dxfId="1" priority="5585">
      <formula>AND(COUNTIF(I1064:CV1064,"&lt;&gt;" &amp; "")&gt;0,NOT(ISBLANK(G1064)))</formula>
    </cfRule>
  </conditionalFormatting>
  <conditionalFormatting sqref="G1065">
    <cfRule type="expression" dxfId="0" priority="5587">
      <formula>COUNTIF(I1065:CV1065,"&lt;&gt;" &amp; "")&gt;0</formula>
    </cfRule>
    <cfRule type="expression" dxfId="1" priority="5588">
      <formula>AND(COUNTIF(I1065:CV1065,"&lt;&gt;" &amp; "")&gt;0,NOT(ISBLANK(G1065)))</formula>
    </cfRule>
  </conditionalFormatting>
  <conditionalFormatting sqref="G1066">
    <cfRule type="expression" dxfId="0" priority="5590">
      <formula>COUNTIF(I1066:CV1066,"&lt;&gt;" &amp; "")&gt;0</formula>
    </cfRule>
    <cfRule type="expression" dxfId="1" priority="5591">
      <formula>AND(COUNTIF(I1066:CV1066,"&lt;&gt;" &amp; "")&gt;0,NOT(ISBLANK(G1066)))</formula>
    </cfRule>
  </conditionalFormatting>
  <conditionalFormatting sqref="G1067">
    <cfRule type="expression" dxfId="0" priority="5593">
      <formula>COUNTIF(I1067:CV1067,"&lt;&gt;" &amp; "")&gt;0</formula>
    </cfRule>
    <cfRule type="expression" dxfId="1" priority="5594">
      <formula>AND(COUNTIF(I1067:CV1067,"&lt;&gt;" &amp; "")&gt;0,NOT(ISBLANK(G1067)))</formula>
    </cfRule>
  </conditionalFormatting>
  <conditionalFormatting sqref="G1068">
    <cfRule type="expression" dxfId="0" priority="5596">
      <formula>COUNTIF(I1068:CV1068,"&lt;&gt;" &amp; "")&gt;0</formula>
    </cfRule>
    <cfRule type="expression" dxfId="1" priority="5597">
      <formula>AND(COUNTIF(I1068:CV1068,"&lt;&gt;" &amp; "")&gt;0,NOT(ISBLANK(G1068)))</formula>
    </cfRule>
  </conditionalFormatting>
  <conditionalFormatting sqref="G1069">
    <cfRule type="expression" dxfId="0" priority="5599">
      <formula>COUNTIF(I1069:CV1069,"&lt;&gt;" &amp; "")&gt;0</formula>
    </cfRule>
    <cfRule type="expression" dxfId="1" priority="5600">
      <formula>AND(COUNTIF(I1069:CV1069,"&lt;&gt;" &amp; "")&gt;0,NOT(ISBLANK(G1069)))</formula>
    </cfRule>
  </conditionalFormatting>
  <conditionalFormatting sqref="G107">
    <cfRule type="expression" dxfId="0" priority="2713">
      <formula>COUNTIF(I107:CV107,"&lt;&gt;" &amp; "")&gt;0</formula>
    </cfRule>
    <cfRule type="expression" dxfId="1" priority="2714">
      <formula>AND(COUNTIF(I107:CV107,"&lt;&gt;" &amp; "")&gt;0,NOT(ISBLANK(G107)))</formula>
    </cfRule>
  </conditionalFormatting>
  <conditionalFormatting sqref="G1070">
    <cfRule type="expression" dxfId="0" priority="5602">
      <formula>COUNTIF(I1070:CV1070,"&lt;&gt;" &amp; "")&gt;0</formula>
    </cfRule>
    <cfRule type="expression" dxfId="1" priority="5603">
      <formula>AND(COUNTIF(I1070:CV1070,"&lt;&gt;" &amp; "")&gt;0,NOT(ISBLANK(G1070)))</formula>
    </cfRule>
  </conditionalFormatting>
  <conditionalFormatting sqref="G1071">
    <cfRule type="expression" dxfId="0" priority="5605">
      <formula>COUNTIF(I1071:CV1071,"&lt;&gt;" &amp; "")&gt;0</formula>
    </cfRule>
    <cfRule type="expression" dxfId="1" priority="5606">
      <formula>AND(COUNTIF(I1071:CV1071,"&lt;&gt;" &amp; "")&gt;0,NOT(ISBLANK(G1071)))</formula>
    </cfRule>
  </conditionalFormatting>
  <conditionalFormatting sqref="G1072">
    <cfRule type="expression" dxfId="0" priority="5608">
      <formula>COUNTIF(I1072:CV1072,"&lt;&gt;" &amp; "")&gt;0</formula>
    </cfRule>
    <cfRule type="expression" dxfId="1" priority="5609">
      <formula>AND(COUNTIF(I1072:CV1072,"&lt;&gt;" &amp; "")&gt;0,NOT(ISBLANK(G1072)))</formula>
    </cfRule>
  </conditionalFormatting>
  <conditionalFormatting sqref="G1073">
    <cfRule type="expression" dxfId="0" priority="5611">
      <formula>COUNTIF(I1073:CV1073,"&lt;&gt;" &amp; "")&gt;0</formula>
    </cfRule>
    <cfRule type="expression" dxfId="1" priority="5612">
      <formula>AND(COUNTIF(I1073:CV1073,"&lt;&gt;" &amp; "")&gt;0,NOT(ISBLANK(G1073)))</formula>
    </cfRule>
  </conditionalFormatting>
  <conditionalFormatting sqref="G1074">
    <cfRule type="expression" dxfId="0" priority="5614">
      <formula>COUNTIF(I1074:CV1074,"&lt;&gt;" &amp; "")&gt;0</formula>
    </cfRule>
    <cfRule type="expression" dxfId="1" priority="5615">
      <formula>AND(COUNTIF(I1074:CV1074,"&lt;&gt;" &amp; "")&gt;0,NOT(ISBLANK(G1074)))</formula>
    </cfRule>
  </conditionalFormatting>
  <conditionalFormatting sqref="G1075">
    <cfRule type="expression" dxfId="0" priority="5617">
      <formula>COUNTIF(I1075:CV1075,"&lt;&gt;" &amp; "")&gt;0</formula>
    </cfRule>
    <cfRule type="expression" dxfId="1" priority="5618">
      <formula>AND(COUNTIF(I1075:CV1075,"&lt;&gt;" &amp; "")&gt;0,NOT(ISBLANK(G1075)))</formula>
    </cfRule>
  </conditionalFormatting>
  <conditionalFormatting sqref="G1076">
    <cfRule type="expression" dxfId="0" priority="5620">
      <formula>COUNTIF(I1076:CV1076,"&lt;&gt;" &amp; "")&gt;0</formula>
    </cfRule>
    <cfRule type="expression" dxfId="1" priority="5621">
      <formula>AND(COUNTIF(I1076:CV1076,"&lt;&gt;" &amp; "")&gt;0,NOT(ISBLANK(G1076)))</formula>
    </cfRule>
  </conditionalFormatting>
  <conditionalFormatting sqref="G1077">
    <cfRule type="expression" dxfId="0" priority="5623">
      <formula>COUNTIF(I1077:CV1077,"&lt;&gt;" &amp; "")&gt;0</formula>
    </cfRule>
    <cfRule type="expression" dxfId="1" priority="5624">
      <formula>AND(COUNTIF(I1077:CV1077,"&lt;&gt;" &amp; "")&gt;0,NOT(ISBLANK(G1077)))</formula>
    </cfRule>
  </conditionalFormatting>
  <conditionalFormatting sqref="G1078">
    <cfRule type="expression" dxfId="0" priority="5626">
      <formula>COUNTIF(I1078:CV1078,"&lt;&gt;" &amp; "")&gt;0</formula>
    </cfRule>
    <cfRule type="expression" dxfId="1" priority="5627">
      <formula>AND(COUNTIF(I1078:CV1078,"&lt;&gt;" &amp; "")&gt;0,NOT(ISBLANK(G1078)))</formula>
    </cfRule>
  </conditionalFormatting>
  <conditionalFormatting sqref="G1079">
    <cfRule type="expression" dxfId="0" priority="5629">
      <formula>COUNTIF(I1079:CV1079,"&lt;&gt;" &amp; "")&gt;0</formula>
    </cfRule>
    <cfRule type="expression" dxfId="1" priority="5630">
      <formula>AND(COUNTIF(I1079:CV1079,"&lt;&gt;" &amp; "")&gt;0,NOT(ISBLANK(G1079)))</formula>
    </cfRule>
  </conditionalFormatting>
  <conditionalFormatting sqref="G108">
    <cfRule type="expression" dxfId="0" priority="2716">
      <formula>COUNTIF(I108:CV108,"&lt;&gt;" &amp; "")&gt;0</formula>
    </cfRule>
    <cfRule type="expression" dxfId="1" priority="2717">
      <formula>AND(COUNTIF(I108:CV108,"&lt;&gt;" &amp; "")&gt;0,NOT(ISBLANK(G108)))</formula>
    </cfRule>
  </conditionalFormatting>
  <conditionalFormatting sqref="G1080">
    <cfRule type="expression" dxfId="0" priority="5632">
      <formula>COUNTIF(I1080:CV1080,"&lt;&gt;" &amp; "")&gt;0</formula>
    </cfRule>
    <cfRule type="expression" dxfId="1" priority="5633">
      <formula>AND(COUNTIF(I1080:CV1080,"&lt;&gt;" &amp; "")&gt;0,NOT(ISBLANK(G1080)))</formula>
    </cfRule>
  </conditionalFormatting>
  <conditionalFormatting sqref="G1081">
    <cfRule type="expression" dxfId="0" priority="5635">
      <formula>COUNTIF(I1081:CV1081,"&lt;&gt;" &amp; "")&gt;0</formula>
    </cfRule>
    <cfRule type="expression" dxfId="1" priority="5636">
      <formula>AND(COUNTIF(I1081:CV1081,"&lt;&gt;" &amp; "")&gt;0,NOT(ISBLANK(G1081)))</formula>
    </cfRule>
  </conditionalFormatting>
  <conditionalFormatting sqref="G1082">
    <cfRule type="expression" dxfId="0" priority="5638">
      <formula>COUNTIF(I1082:CV1082,"&lt;&gt;" &amp; "")&gt;0</formula>
    </cfRule>
    <cfRule type="expression" dxfId="1" priority="5639">
      <formula>AND(COUNTIF(I1082:CV1082,"&lt;&gt;" &amp; "")&gt;0,NOT(ISBLANK(G1082)))</formula>
    </cfRule>
  </conditionalFormatting>
  <conditionalFormatting sqref="G1083">
    <cfRule type="expression" dxfId="0" priority="5641">
      <formula>COUNTIF(I1083:CV1083,"&lt;&gt;" &amp; "")&gt;0</formula>
    </cfRule>
    <cfRule type="expression" dxfId="1" priority="5642">
      <formula>AND(COUNTIF(I1083:CV1083,"&lt;&gt;" &amp; "")&gt;0,NOT(ISBLANK(G1083)))</formula>
    </cfRule>
  </conditionalFormatting>
  <conditionalFormatting sqref="G1084">
    <cfRule type="expression" dxfId="0" priority="5644">
      <formula>COUNTIF(I1084:CV1084,"&lt;&gt;" &amp; "")&gt;0</formula>
    </cfRule>
    <cfRule type="expression" dxfId="1" priority="5645">
      <formula>AND(COUNTIF(I1084:CV1084,"&lt;&gt;" &amp; "")&gt;0,NOT(ISBLANK(G1084)))</formula>
    </cfRule>
  </conditionalFormatting>
  <conditionalFormatting sqref="G1085">
    <cfRule type="expression" dxfId="0" priority="5647">
      <formula>COUNTIF(I1085:CV1085,"&lt;&gt;" &amp; "")&gt;0</formula>
    </cfRule>
    <cfRule type="expression" dxfId="1" priority="5648">
      <formula>AND(COUNTIF(I1085:CV1085,"&lt;&gt;" &amp; "")&gt;0,NOT(ISBLANK(G1085)))</formula>
    </cfRule>
  </conditionalFormatting>
  <conditionalFormatting sqref="G1086">
    <cfRule type="expression" dxfId="0" priority="5650">
      <formula>COUNTIF(I1086:CV1086,"&lt;&gt;" &amp; "")&gt;0</formula>
    </cfRule>
    <cfRule type="expression" dxfId="1" priority="5651">
      <formula>AND(COUNTIF(I1086:CV1086,"&lt;&gt;" &amp; "")&gt;0,NOT(ISBLANK(G1086)))</formula>
    </cfRule>
  </conditionalFormatting>
  <conditionalFormatting sqref="G1087">
    <cfRule type="expression" dxfId="0" priority="5653">
      <formula>COUNTIF(I1087:CV1087,"&lt;&gt;" &amp; "")&gt;0</formula>
    </cfRule>
    <cfRule type="expression" dxfId="1" priority="5654">
      <formula>AND(COUNTIF(I1087:CV1087,"&lt;&gt;" &amp; "")&gt;0,NOT(ISBLANK(G1087)))</formula>
    </cfRule>
  </conditionalFormatting>
  <conditionalFormatting sqref="G1088">
    <cfRule type="expression" dxfId="0" priority="5656">
      <formula>COUNTIF(I1088:CV1088,"&lt;&gt;" &amp; "")&gt;0</formula>
    </cfRule>
    <cfRule type="expression" dxfId="1" priority="5657">
      <formula>AND(COUNTIF(I1088:CV1088,"&lt;&gt;" &amp; "")&gt;0,NOT(ISBLANK(G1088)))</formula>
    </cfRule>
  </conditionalFormatting>
  <conditionalFormatting sqref="G1089">
    <cfRule type="expression" dxfId="0" priority="5659">
      <formula>COUNTIF(I1089:CV1089,"&lt;&gt;" &amp; "")&gt;0</formula>
    </cfRule>
    <cfRule type="expression" dxfId="1" priority="5660">
      <formula>AND(COUNTIF(I1089:CV1089,"&lt;&gt;" &amp; "")&gt;0,NOT(ISBLANK(G1089)))</formula>
    </cfRule>
  </conditionalFormatting>
  <conditionalFormatting sqref="G109">
    <cfRule type="expression" dxfId="0" priority="2719">
      <formula>COUNTIF(I109:CV109,"&lt;&gt;" &amp; "")&gt;0</formula>
    </cfRule>
    <cfRule type="expression" dxfId="1" priority="2720">
      <formula>AND(COUNTIF(I109:CV109,"&lt;&gt;" &amp; "")&gt;0,NOT(ISBLANK(G109)))</formula>
    </cfRule>
  </conditionalFormatting>
  <conditionalFormatting sqref="G1090">
    <cfRule type="expression" dxfId="0" priority="5662">
      <formula>COUNTIF(I1090:CV1090,"&lt;&gt;" &amp; "")&gt;0</formula>
    </cfRule>
    <cfRule type="expression" dxfId="1" priority="5663">
      <formula>AND(COUNTIF(I1090:CV1090,"&lt;&gt;" &amp; "")&gt;0,NOT(ISBLANK(G1090)))</formula>
    </cfRule>
  </conditionalFormatting>
  <conditionalFormatting sqref="G1091">
    <cfRule type="expression" dxfId="0" priority="5665">
      <formula>COUNTIF(I1091:CV1091,"&lt;&gt;" &amp; "")&gt;0</formula>
    </cfRule>
    <cfRule type="expression" dxfId="1" priority="5666">
      <formula>AND(COUNTIF(I1091:CV1091,"&lt;&gt;" &amp; "")&gt;0,NOT(ISBLANK(G1091)))</formula>
    </cfRule>
  </conditionalFormatting>
  <conditionalFormatting sqref="G1092">
    <cfRule type="expression" dxfId="0" priority="5668">
      <formula>COUNTIF(I1092:CV1092,"&lt;&gt;" &amp; "")&gt;0</formula>
    </cfRule>
    <cfRule type="expression" dxfId="1" priority="5669">
      <formula>AND(COUNTIF(I1092:CV1092,"&lt;&gt;" &amp; "")&gt;0,NOT(ISBLANK(G1092)))</formula>
    </cfRule>
  </conditionalFormatting>
  <conditionalFormatting sqref="G1093">
    <cfRule type="expression" dxfId="0" priority="5671">
      <formula>COUNTIF(I1093:CV1093,"&lt;&gt;" &amp; "")&gt;0</formula>
    </cfRule>
    <cfRule type="expression" dxfId="1" priority="5672">
      <formula>AND(COUNTIF(I1093:CV1093,"&lt;&gt;" &amp; "")&gt;0,NOT(ISBLANK(G1093)))</formula>
    </cfRule>
  </conditionalFormatting>
  <conditionalFormatting sqref="G1094">
    <cfRule type="expression" dxfId="0" priority="5674">
      <formula>COUNTIF(I1094:CV1094,"&lt;&gt;" &amp; "")&gt;0</formula>
    </cfRule>
    <cfRule type="expression" dxfId="1" priority="5675">
      <formula>AND(COUNTIF(I1094:CV1094,"&lt;&gt;" &amp; "")&gt;0,NOT(ISBLANK(G1094)))</formula>
    </cfRule>
  </conditionalFormatting>
  <conditionalFormatting sqref="G1095">
    <cfRule type="expression" dxfId="0" priority="5677">
      <formula>COUNTIF(I1095:CV1095,"&lt;&gt;" &amp; "")&gt;0</formula>
    </cfRule>
    <cfRule type="expression" dxfId="1" priority="5678">
      <formula>AND(COUNTIF(I1095:CV1095,"&lt;&gt;" &amp; "")&gt;0,NOT(ISBLANK(G1095)))</formula>
    </cfRule>
  </conditionalFormatting>
  <conditionalFormatting sqref="G1096">
    <cfRule type="expression" dxfId="0" priority="5680">
      <formula>COUNTIF(I1096:CV1096,"&lt;&gt;" &amp; "")&gt;0</formula>
    </cfRule>
    <cfRule type="expression" dxfId="1" priority="5681">
      <formula>AND(COUNTIF(I1096:CV1096,"&lt;&gt;" &amp; "")&gt;0,NOT(ISBLANK(G1096)))</formula>
    </cfRule>
  </conditionalFormatting>
  <conditionalFormatting sqref="G1097">
    <cfRule type="expression" dxfId="0" priority="5683">
      <formula>COUNTIF(I1097:CV1097,"&lt;&gt;" &amp; "")&gt;0</formula>
    </cfRule>
    <cfRule type="expression" dxfId="1" priority="5684">
      <formula>AND(COUNTIF(I1097:CV1097,"&lt;&gt;" &amp; "")&gt;0,NOT(ISBLANK(G1097)))</formula>
    </cfRule>
  </conditionalFormatting>
  <conditionalFormatting sqref="G1098">
    <cfRule type="expression" dxfId="0" priority="5686">
      <formula>COUNTIF(I1098:CV1098,"&lt;&gt;" &amp; "")&gt;0</formula>
    </cfRule>
    <cfRule type="expression" dxfId="1" priority="5687">
      <formula>AND(COUNTIF(I1098:CV1098,"&lt;&gt;" &amp; "")&gt;0,NOT(ISBLANK(G1098)))</formula>
    </cfRule>
  </conditionalFormatting>
  <conditionalFormatting sqref="G1099">
    <cfRule type="expression" dxfId="0" priority="5689">
      <formula>COUNTIF(I1099:CV1099,"&lt;&gt;" &amp; "")&gt;0</formula>
    </cfRule>
    <cfRule type="expression" dxfId="1" priority="5690">
      <formula>AND(COUNTIF(I1099:CV1099,"&lt;&gt;" &amp; "")&gt;0,NOT(ISBLANK(G1099)))</formula>
    </cfRule>
  </conditionalFormatting>
  <conditionalFormatting sqref="G11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G110">
    <cfRule type="expression" dxfId="0" priority="2722">
      <formula>COUNTIF(I110:CV110,"&lt;&gt;" &amp; "")&gt;0</formula>
    </cfRule>
    <cfRule type="expression" dxfId="1" priority="2723">
      <formula>AND(COUNTIF(I110:CV110,"&lt;&gt;" &amp; "")&gt;0,NOT(ISBLANK(G110)))</formula>
    </cfRule>
  </conditionalFormatting>
  <conditionalFormatting sqref="G1100">
    <cfRule type="expression" dxfId="0" priority="5692">
      <formula>COUNTIF(I1100:CV1100,"&lt;&gt;" &amp; "")&gt;0</formula>
    </cfRule>
    <cfRule type="expression" dxfId="1" priority="5693">
      <formula>AND(COUNTIF(I1100:CV1100,"&lt;&gt;" &amp; "")&gt;0,NOT(ISBLANK(G1100)))</formula>
    </cfRule>
  </conditionalFormatting>
  <conditionalFormatting sqref="G1101">
    <cfRule type="expression" dxfId="0" priority="5695">
      <formula>COUNTIF(I1101:CV1101,"&lt;&gt;" &amp; "")&gt;0</formula>
    </cfRule>
    <cfRule type="expression" dxfId="1" priority="5696">
      <formula>AND(COUNTIF(I1101:CV1101,"&lt;&gt;" &amp; "")&gt;0,NOT(ISBLANK(G1101)))</formula>
    </cfRule>
  </conditionalFormatting>
  <conditionalFormatting sqref="G1102">
    <cfRule type="expression" dxfId="0" priority="5698">
      <formula>COUNTIF(I1102:CV1102,"&lt;&gt;" &amp; "")&gt;0</formula>
    </cfRule>
    <cfRule type="expression" dxfId="1" priority="5699">
      <formula>AND(COUNTIF(I1102:CV1102,"&lt;&gt;" &amp; "")&gt;0,NOT(ISBLANK(G1102)))</formula>
    </cfRule>
  </conditionalFormatting>
  <conditionalFormatting sqref="G1103">
    <cfRule type="expression" dxfId="0" priority="5701">
      <formula>COUNTIF(I1103:CV1103,"&lt;&gt;" &amp; "")&gt;0</formula>
    </cfRule>
    <cfRule type="expression" dxfId="1" priority="5702">
      <formula>AND(COUNTIF(I1103:CV1103,"&lt;&gt;" &amp; "")&gt;0,NOT(ISBLANK(G1103)))</formula>
    </cfRule>
  </conditionalFormatting>
  <conditionalFormatting sqref="G1104">
    <cfRule type="expression" dxfId="0" priority="5704">
      <formula>COUNTIF(I1104:CV1104,"&lt;&gt;" &amp; "")&gt;0</formula>
    </cfRule>
    <cfRule type="expression" dxfId="1" priority="5705">
      <formula>AND(COUNTIF(I1104:CV1104,"&lt;&gt;" &amp; "")&gt;0,NOT(ISBLANK(G1104)))</formula>
    </cfRule>
  </conditionalFormatting>
  <conditionalFormatting sqref="G1105">
    <cfRule type="expression" dxfId="0" priority="5707">
      <formula>COUNTIF(I1105:CV1105,"&lt;&gt;" &amp; "")&gt;0</formula>
    </cfRule>
    <cfRule type="expression" dxfId="1" priority="5708">
      <formula>AND(COUNTIF(I1105:CV1105,"&lt;&gt;" &amp; "")&gt;0,NOT(ISBLANK(G1105)))</formula>
    </cfRule>
  </conditionalFormatting>
  <conditionalFormatting sqref="G1106">
    <cfRule type="expression" dxfId="0" priority="5710">
      <formula>COUNTIF(I1106:CV1106,"&lt;&gt;" &amp; "")&gt;0</formula>
    </cfRule>
    <cfRule type="expression" dxfId="1" priority="5711">
      <formula>AND(COUNTIF(I1106:CV1106,"&lt;&gt;" &amp; "")&gt;0,NOT(ISBLANK(G1106)))</formula>
    </cfRule>
  </conditionalFormatting>
  <conditionalFormatting sqref="G1107">
    <cfRule type="expression" dxfId="0" priority="5713">
      <formula>COUNTIF(I1107:CV1107,"&lt;&gt;" &amp; "")&gt;0</formula>
    </cfRule>
    <cfRule type="expression" dxfId="1" priority="5714">
      <formula>AND(COUNTIF(I1107:CV1107,"&lt;&gt;" &amp; "")&gt;0,NOT(ISBLANK(G1107)))</formula>
    </cfRule>
  </conditionalFormatting>
  <conditionalFormatting sqref="G1108">
    <cfRule type="expression" dxfId="0" priority="5716">
      <formula>COUNTIF(I1108:CV1108,"&lt;&gt;" &amp; "")&gt;0</formula>
    </cfRule>
    <cfRule type="expression" dxfId="1" priority="5717">
      <formula>AND(COUNTIF(I1108:CV1108,"&lt;&gt;" &amp; "")&gt;0,NOT(ISBLANK(G1108)))</formula>
    </cfRule>
  </conditionalFormatting>
  <conditionalFormatting sqref="G1109">
    <cfRule type="expression" dxfId="0" priority="5719">
      <formula>COUNTIF(I1109:CV1109,"&lt;&gt;" &amp; "")&gt;0</formula>
    </cfRule>
    <cfRule type="expression" dxfId="1" priority="5720">
      <formula>AND(COUNTIF(I1109:CV1109,"&lt;&gt;" &amp; "")&gt;0,NOT(ISBLANK(G1109)))</formula>
    </cfRule>
  </conditionalFormatting>
  <conditionalFormatting sqref="G111">
    <cfRule type="expression" dxfId="0" priority="2725">
      <formula>COUNTIF(I111:CV111,"&lt;&gt;" &amp; "")&gt;0</formula>
    </cfRule>
    <cfRule type="expression" dxfId="1" priority="2726">
      <formula>AND(COUNTIF(I111:CV111,"&lt;&gt;" &amp; "")&gt;0,NOT(ISBLANK(G111)))</formula>
    </cfRule>
  </conditionalFormatting>
  <conditionalFormatting sqref="G1110">
    <cfRule type="expression" dxfId="0" priority="5722">
      <formula>COUNTIF(I1110:CV1110,"&lt;&gt;" &amp; "")&gt;0</formula>
    </cfRule>
    <cfRule type="expression" dxfId="1" priority="5723">
      <formula>AND(COUNTIF(I1110:CV1110,"&lt;&gt;" &amp; "")&gt;0,NOT(ISBLANK(G1110)))</formula>
    </cfRule>
  </conditionalFormatting>
  <conditionalFormatting sqref="G1111">
    <cfRule type="expression" dxfId="0" priority="5725">
      <formula>COUNTIF(I1111:CV1111,"&lt;&gt;" &amp; "")&gt;0</formula>
    </cfRule>
    <cfRule type="expression" dxfId="1" priority="5726">
      <formula>AND(COUNTIF(I1111:CV1111,"&lt;&gt;" &amp; "")&gt;0,NOT(ISBLANK(G1111)))</formula>
    </cfRule>
  </conditionalFormatting>
  <conditionalFormatting sqref="G1112">
    <cfRule type="expression" dxfId="0" priority="5728">
      <formula>COUNTIF(I1112:CV1112,"&lt;&gt;" &amp; "")&gt;0</formula>
    </cfRule>
    <cfRule type="expression" dxfId="1" priority="5729">
      <formula>AND(COUNTIF(I1112:CV1112,"&lt;&gt;" &amp; "")&gt;0,NOT(ISBLANK(G1112)))</formula>
    </cfRule>
  </conditionalFormatting>
  <conditionalFormatting sqref="G1113">
    <cfRule type="expression" dxfId="0" priority="5731">
      <formula>COUNTIF(I1113:CV1113,"&lt;&gt;" &amp; "")&gt;0</formula>
    </cfRule>
    <cfRule type="expression" dxfId="1" priority="5732">
      <formula>AND(COUNTIF(I1113:CV1113,"&lt;&gt;" &amp; "")&gt;0,NOT(ISBLANK(G1113)))</formula>
    </cfRule>
  </conditionalFormatting>
  <conditionalFormatting sqref="G1114">
    <cfRule type="expression" dxfId="0" priority="5734">
      <formula>COUNTIF(I1114:CV1114,"&lt;&gt;" &amp; "")&gt;0</formula>
    </cfRule>
    <cfRule type="expression" dxfId="1" priority="5735">
      <formula>AND(COUNTIF(I1114:CV1114,"&lt;&gt;" &amp; "")&gt;0,NOT(ISBLANK(G1114)))</formula>
    </cfRule>
  </conditionalFormatting>
  <conditionalFormatting sqref="G1115">
    <cfRule type="expression" dxfId="0" priority="5737">
      <formula>COUNTIF(I1115:CV1115,"&lt;&gt;" &amp; "")&gt;0</formula>
    </cfRule>
    <cfRule type="expression" dxfId="1" priority="5738">
      <formula>AND(COUNTIF(I1115:CV1115,"&lt;&gt;" &amp; "")&gt;0,NOT(ISBLANK(G1115)))</formula>
    </cfRule>
  </conditionalFormatting>
  <conditionalFormatting sqref="G1116">
    <cfRule type="expression" dxfId="0" priority="5740">
      <formula>COUNTIF(I1116:CV1116,"&lt;&gt;" &amp; "")&gt;0</formula>
    </cfRule>
    <cfRule type="expression" dxfId="1" priority="5741">
      <formula>AND(COUNTIF(I1116:CV1116,"&lt;&gt;" &amp; "")&gt;0,NOT(ISBLANK(G1116)))</formula>
    </cfRule>
  </conditionalFormatting>
  <conditionalFormatting sqref="G1117">
    <cfRule type="expression" dxfId="0" priority="5743">
      <formula>COUNTIF(I1117:CV1117,"&lt;&gt;" &amp; "")&gt;0</formula>
    </cfRule>
    <cfRule type="expression" dxfId="1" priority="5744">
      <formula>AND(COUNTIF(I1117:CV1117,"&lt;&gt;" &amp; "")&gt;0,NOT(ISBLANK(G1117)))</formula>
    </cfRule>
  </conditionalFormatting>
  <conditionalFormatting sqref="G1118">
    <cfRule type="expression" dxfId="0" priority="5746">
      <formula>COUNTIF(I1118:CV1118,"&lt;&gt;" &amp; "")&gt;0</formula>
    </cfRule>
    <cfRule type="expression" dxfId="1" priority="5747">
      <formula>AND(COUNTIF(I1118:CV1118,"&lt;&gt;" &amp; "")&gt;0,NOT(ISBLANK(G1118)))</formula>
    </cfRule>
  </conditionalFormatting>
  <conditionalFormatting sqref="G1119">
    <cfRule type="expression" dxfId="0" priority="5749">
      <formula>COUNTIF(I1119:CV1119,"&lt;&gt;" &amp; "")&gt;0</formula>
    </cfRule>
    <cfRule type="expression" dxfId="1" priority="5750">
      <formula>AND(COUNTIF(I1119:CV1119,"&lt;&gt;" &amp; "")&gt;0,NOT(ISBLANK(G1119)))</formula>
    </cfRule>
  </conditionalFormatting>
  <conditionalFormatting sqref="G112">
    <cfRule type="expression" dxfId="0" priority="2728">
      <formula>COUNTIF(I112:CV112,"&lt;&gt;" &amp; "")&gt;0</formula>
    </cfRule>
    <cfRule type="expression" dxfId="1" priority="2729">
      <formula>AND(COUNTIF(I112:CV112,"&lt;&gt;" &amp; "")&gt;0,NOT(ISBLANK(G112)))</formula>
    </cfRule>
  </conditionalFormatting>
  <conditionalFormatting sqref="G1120">
    <cfRule type="expression" dxfId="0" priority="5752">
      <formula>COUNTIF(I1120:CV1120,"&lt;&gt;" &amp; "")&gt;0</formula>
    </cfRule>
    <cfRule type="expression" dxfId="1" priority="5753">
      <formula>AND(COUNTIF(I1120:CV1120,"&lt;&gt;" &amp; "")&gt;0,NOT(ISBLANK(G1120)))</formula>
    </cfRule>
  </conditionalFormatting>
  <conditionalFormatting sqref="G1121">
    <cfRule type="expression" dxfId="0" priority="5755">
      <formula>COUNTIF(I1121:CV1121,"&lt;&gt;" &amp; "")&gt;0</formula>
    </cfRule>
    <cfRule type="expression" dxfId="1" priority="5756">
      <formula>AND(COUNTIF(I1121:CV1121,"&lt;&gt;" &amp; "")&gt;0,NOT(ISBLANK(G1121)))</formula>
    </cfRule>
  </conditionalFormatting>
  <conditionalFormatting sqref="G1122">
    <cfRule type="expression" dxfId="0" priority="5758">
      <formula>COUNTIF(I1122:CV1122,"&lt;&gt;" &amp; "")&gt;0</formula>
    </cfRule>
    <cfRule type="expression" dxfId="1" priority="5759">
      <formula>AND(COUNTIF(I1122:CV1122,"&lt;&gt;" &amp; "")&gt;0,NOT(ISBLANK(G1122)))</formula>
    </cfRule>
  </conditionalFormatting>
  <conditionalFormatting sqref="G1123">
    <cfRule type="expression" dxfId="0" priority="5761">
      <formula>COUNTIF(I1123:CV1123,"&lt;&gt;" &amp; "")&gt;0</formula>
    </cfRule>
    <cfRule type="expression" dxfId="1" priority="5762">
      <formula>AND(COUNTIF(I1123:CV1123,"&lt;&gt;" &amp; "")&gt;0,NOT(ISBLANK(G1123)))</formula>
    </cfRule>
  </conditionalFormatting>
  <conditionalFormatting sqref="G1124">
    <cfRule type="expression" dxfId="0" priority="5764">
      <formula>COUNTIF(I1124:CV1124,"&lt;&gt;" &amp; "")&gt;0</formula>
    </cfRule>
    <cfRule type="expression" dxfId="1" priority="5765">
      <formula>AND(COUNTIF(I1124:CV1124,"&lt;&gt;" &amp; "")&gt;0,NOT(ISBLANK(G1124)))</formula>
    </cfRule>
  </conditionalFormatting>
  <conditionalFormatting sqref="G1125">
    <cfRule type="expression" dxfId="0" priority="5767">
      <formula>COUNTIF(I1125:CV1125,"&lt;&gt;" &amp; "")&gt;0</formula>
    </cfRule>
    <cfRule type="expression" dxfId="1" priority="5768">
      <formula>AND(COUNTIF(I1125:CV1125,"&lt;&gt;" &amp; "")&gt;0,NOT(ISBLANK(G1125)))</formula>
    </cfRule>
  </conditionalFormatting>
  <conditionalFormatting sqref="G1126">
    <cfRule type="expression" dxfId="0" priority="5770">
      <formula>COUNTIF(I1126:CV1126,"&lt;&gt;" &amp; "")&gt;0</formula>
    </cfRule>
    <cfRule type="expression" dxfId="1" priority="5771">
      <formula>AND(COUNTIF(I1126:CV1126,"&lt;&gt;" &amp; "")&gt;0,NOT(ISBLANK(G1126)))</formula>
    </cfRule>
  </conditionalFormatting>
  <conditionalFormatting sqref="G1127">
    <cfRule type="expression" dxfId="0" priority="5773">
      <formula>COUNTIF(I1127:CV1127,"&lt;&gt;" &amp; "")&gt;0</formula>
    </cfRule>
    <cfRule type="expression" dxfId="1" priority="5774">
      <formula>AND(COUNTIF(I1127:CV1127,"&lt;&gt;" &amp; "")&gt;0,NOT(ISBLANK(G1127)))</formula>
    </cfRule>
  </conditionalFormatting>
  <conditionalFormatting sqref="G1128">
    <cfRule type="expression" dxfId="0" priority="5776">
      <formula>COUNTIF(I1128:CV1128,"&lt;&gt;" &amp; "")&gt;0</formula>
    </cfRule>
    <cfRule type="expression" dxfId="1" priority="5777">
      <formula>AND(COUNTIF(I1128:CV1128,"&lt;&gt;" &amp; "")&gt;0,NOT(ISBLANK(G1128)))</formula>
    </cfRule>
  </conditionalFormatting>
  <conditionalFormatting sqref="G1129">
    <cfRule type="expression" dxfId="0" priority="5779">
      <formula>COUNTIF(I1129:CV1129,"&lt;&gt;" &amp; "")&gt;0</formula>
    </cfRule>
    <cfRule type="expression" dxfId="1" priority="5780">
      <formula>AND(COUNTIF(I1129:CV1129,"&lt;&gt;" &amp; "")&gt;0,NOT(ISBLANK(G1129)))</formula>
    </cfRule>
  </conditionalFormatting>
  <conditionalFormatting sqref="G113">
    <cfRule type="expression" dxfId="0" priority="2731">
      <formula>COUNTIF(I113:CV113,"&lt;&gt;" &amp; "")&gt;0</formula>
    </cfRule>
    <cfRule type="expression" dxfId="1" priority="2732">
      <formula>AND(COUNTIF(I113:CV113,"&lt;&gt;" &amp; "")&gt;0,NOT(ISBLANK(G113)))</formula>
    </cfRule>
  </conditionalFormatting>
  <conditionalFormatting sqref="G1130">
    <cfRule type="expression" dxfId="0" priority="5782">
      <formula>COUNTIF(I1130:CV1130,"&lt;&gt;" &amp; "")&gt;0</formula>
    </cfRule>
    <cfRule type="expression" dxfId="1" priority="5783">
      <formula>AND(COUNTIF(I1130:CV1130,"&lt;&gt;" &amp; "")&gt;0,NOT(ISBLANK(G1130)))</formula>
    </cfRule>
  </conditionalFormatting>
  <conditionalFormatting sqref="G1131">
    <cfRule type="expression" dxfId="0" priority="5785">
      <formula>COUNTIF(I1131:CV1131,"&lt;&gt;" &amp; "")&gt;0</formula>
    </cfRule>
    <cfRule type="expression" dxfId="1" priority="5786">
      <formula>AND(COUNTIF(I1131:CV1131,"&lt;&gt;" &amp; "")&gt;0,NOT(ISBLANK(G1131)))</formula>
    </cfRule>
  </conditionalFormatting>
  <conditionalFormatting sqref="G1132">
    <cfRule type="expression" dxfId="0" priority="5788">
      <formula>COUNTIF(I1132:CV1132,"&lt;&gt;" &amp; "")&gt;0</formula>
    </cfRule>
    <cfRule type="expression" dxfId="1" priority="5789">
      <formula>AND(COUNTIF(I1132:CV1132,"&lt;&gt;" &amp; "")&gt;0,NOT(ISBLANK(G1132)))</formula>
    </cfRule>
  </conditionalFormatting>
  <conditionalFormatting sqref="G1133">
    <cfRule type="expression" dxfId="0" priority="5791">
      <formula>COUNTIF(I1133:CV1133,"&lt;&gt;" &amp; "")&gt;0</formula>
    </cfRule>
    <cfRule type="expression" dxfId="1" priority="5792">
      <formula>AND(COUNTIF(I1133:CV1133,"&lt;&gt;" &amp; "")&gt;0,NOT(ISBLANK(G1133)))</formula>
    </cfRule>
  </conditionalFormatting>
  <conditionalFormatting sqref="G1134">
    <cfRule type="expression" dxfId="0" priority="5794">
      <formula>COUNTIF(I1134:CV1134,"&lt;&gt;" &amp; "")&gt;0</formula>
    </cfRule>
    <cfRule type="expression" dxfId="1" priority="5795">
      <formula>AND(COUNTIF(I1134:CV1134,"&lt;&gt;" &amp; "")&gt;0,NOT(ISBLANK(G1134)))</formula>
    </cfRule>
  </conditionalFormatting>
  <conditionalFormatting sqref="G1135">
    <cfRule type="expression" dxfId="0" priority="5797">
      <formula>COUNTIF(I1135:CV1135,"&lt;&gt;" &amp; "")&gt;0</formula>
    </cfRule>
    <cfRule type="expression" dxfId="1" priority="5798">
      <formula>AND(COUNTIF(I1135:CV1135,"&lt;&gt;" &amp; "")&gt;0,NOT(ISBLANK(G1135)))</formula>
    </cfRule>
  </conditionalFormatting>
  <conditionalFormatting sqref="G1136">
    <cfRule type="expression" dxfId="0" priority="5800">
      <formula>COUNTIF(I1136:CV1136,"&lt;&gt;" &amp; "")&gt;0</formula>
    </cfRule>
    <cfRule type="expression" dxfId="1" priority="5801">
      <formula>AND(COUNTIF(I1136:CV1136,"&lt;&gt;" &amp; "")&gt;0,NOT(ISBLANK(G1136)))</formula>
    </cfRule>
  </conditionalFormatting>
  <conditionalFormatting sqref="G1137">
    <cfRule type="expression" dxfId="0" priority="5803">
      <formula>COUNTIF(I1137:CV1137,"&lt;&gt;" &amp; "")&gt;0</formula>
    </cfRule>
    <cfRule type="expression" dxfId="1" priority="5804">
      <formula>AND(COUNTIF(I1137:CV1137,"&lt;&gt;" &amp; "")&gt;0,NOT(ISBLANK(G1137)))</formula>
    </cfRule>
  </conditionalFormatting>
  <conditionalFormatting sqref="G1138">
    <cfRule type="expression" dxfId="0" priority="5806">
      <formula>COUNTIF(I1138:CV1138,"&lt;&gt;" &amp; "")&gt;0</formula>
    </cfRule>
    <cfRule type="expression" dxfId="1" priority="5807">
      <formula>AND(COUNTIF(I1138:CV1138,"&lt;&gt;" &amp; "")&gt;0,NOT(ISBLANK(G1138)))</formula>
    </cfRule>
  </conditionalFormatting>
  <conditionalFormatting sqref="G1139">
    <cfRule type="expression" dxfId="0" priority="5809">
      <formula>COUNTIF(I1139:CV1139,"&lt;&gt;" &amp; "")&gt;0</formula>
    </cfRule>
    <cfRule type="expression" dxfId="1" priority="5810">
      <formula>AND(COUNTIF(I1139:CV1139,"&lt;&gt;" &amp; "")&gt;0,NOT(ISBLANK(G1139)))</formula>
    </cfRule>
  </conditionalFormatting>
  <conditionalFormatting sqref="G114">
    <cfRule type="expression" dxfId="0" priority="2734">
      <formula>COUNTIF(I114:CV114,"&lt;&gt;" &amp; "")&gt;0</formula>
    </cfRule>
    <cfRule type="expression" dxfId="1" priority="2735">
      <formula>AND(COUNTIF(I114:CV114,"&lt;&gt;" &amp; "")&gt;0,NOT(ISBLANK(G114)))</formula>
    </cfRule>
  </conditionalFormatting>
  <conditionalFormatting sqref="G1140">
    <cfRule type="expression" dxfId="0" priority="5812">
      <formula>COUNTIF(I1140:CV1140,"&lt;&gt;" &amp; "")&gt;0</formula>
    </cfRule>
    <cfRule type="expression" dxfId="1" priority="5813">
      <formula>AND(COUNTIF(I1140:CV1140,"&lt;&gt;" &amp; "")&gt;0,NOT(ISBLANK(G1140)))</formula>
    </cfRule>
  </conditionalFormatting>
  <conditionalFormatting sqref="G1141">
    <cfRule type="expression" dxfId="0" priority="5815">
      <formula>COUNTIF(I1141:CV1141,"&lt;&gt;" &amp; "")&gt;0</formula>
    </cfRule>
    <cfRule type="expression" dxfId="1" priority="5816">
      <formula>AND(COUNTIF(I1141:CV1141,"&lt;&gt;" &amp; "")&gt;0,NOT(ISBLANK(G1141)))</formula>
    </cfRule>
  </conditionalFormatting>
  <conditionalFormatting sqref="G1142">
    <cfRule type="expression" dxfId="0" priority="5818">
      <formula>COUNTIF(I1142:CV1142,"&lt;&gt;" &amp; "")&gt;0</formula>
    </cfRule>
    <cfRule type="expression" dxfId="1" priority="5819">
      <formula>AND(COUNTIF(I1142:CV1142,"&lt;&gt;" &amp; "")&gt;0,NOT(ISBLANK(G1142)))</formula>
    </cfRule>
  </conditionalFormatting>
  <conditionalFormatting sqref="G1143">
    <cfRule type="expression" dxfId="0" priority="5821">
      <formula>COUNTIF(I1143:CV1143,"&lt;&gt;" &amp; "")&gt;0</formula>
    </cfRule>
    <cfRule type="expression" dxfId="1" priority="5822">
      <formula>AND(COUNTIF(I1143:CV1143,"&lt;&gt;" &amp; "")&gt;0,NOT(ISBLANK(G1143)))</formula>
    </cfRule>
  </conditionalFormatting>
  <conditionalFormatting sqref="G1144">
    <cfRule type="expression" dxfId="0" priority="5824">
      <formula>COUNTIF(I1144:CV1144,"&lt;&gt;" &amp; "")&gt;0</formula>
    </cfRule>
    <cfRule type="expression" dxfId="1" priority="5825">
      <formula>AND(COUNTIF(I1144:CV1144,"&lt;&gt;" &amp; "")&gt;0,NOT(ISBLANK(G1144)))</formula>
    </cfRule>
  </conditionalFormatting>
  <conditionalFormatting sqref="G1145">
    <cfRule type="expression" dxfId="0" priority="5827">
      <formula>COUNTIF(I1145:CV1145,"&lt;&gt;" &amp; "")&gt;0</formula>
    </cfRule>
    <cfRule type="expression" dxfId="1" priority="5828">
      <formula>AND(COUNTIF(I1145:CV1145,"&lt;&gt;" &amp; "")&gt;0,NOT(ISBLANK(G1145)))</formula>
    </cfRule>
  </conditionalFormatting>
  <conditionalFormatting sqref="G1146">
    <cfRule type="expression" dxfId="0" priority="5830">
      <formula>COUNTIF(I1146:CV1146,"&lt;&gt;" &amp; "")&gt;0</formula>
    </cfRule>
    <cfRule type="expression" dxfId="1" priority="5831">
      <formula>AND(COUNTIF(I1146:CV1146,"&lt;&gt;" &amp; "")&gt;0,NOT(ISBLANK(G1146)))</formula>
    </cfRule>
  </conditionalFormatting>
  <conditionalFormatting sqref="G1147">
    <cfRule type="expression" dxfId="0" priority="5833">
      <formula>COUNTIF(I1147:CV1147,"&lt;&gt;" &amp; "")&gt;0</formula>
    </cfRule>
    <cfRule type="expression" dxfId="1" priority="5834">
      <formula>AND(COUNTIF(I1147:CV1147,"&lt;&gt;" &amp; "")&gt;0,NOT(ISBLANK(G1147)))</formula>
    </cfRule>
  </conditionalFormatting>
  <conditionalFormatting sqref="G1148">
    <cfRule type="expression" dxfId="0" priority="5836">
      <formula>COUNTIF(I1148:CV1148,"&lt;&gt;" &amp; "")&gt;0</formula>
    </cfRule>
    <cfRule type="expression" dxfId="1" priority="5837">
      <formula>AND(COUNTIF(I1148:CV1148,"&lt;&gt;" &amp; "")&gt;0,NOT(ISBLANK(G1148)))</formula>
    </cfRule>
  </conditionalFormatting>
  <conditionalFormatting sqref="G1149">
    <cfRule type="expression" dxfId="0" priority="5839">
      <formula>COUNTIF(I1149:CV1149,"&lt;&gt;" &amp; "")&gt;0</formula>
    </cfRule>
    <cfRule type="expression" dxfId="1" priority="5840">
      <formula>AND(COUNTIF(I1149:CV1149,"&lt;&gt;" &amp; "")&gt;0,NOT(ISBLANK(G1149)))</formula>
    </cfRule>
  </conditionalFormatting>
  <conditionalFormatting sqref="G115">
    <cfRule type="expression" dxfId="0" priority="2737">
      <formula>COUNTIF(I115:CV115,"&lt;&gt;" &amp; "")&gt;0</formula>
    </cfRule>
    <cfRule type="expression" dxfId="1" priority="2738">
      <formula>AND(COUNTIF(I115:CV115,"&lt;&gt;" &amp; "")&gt;0,NOT(ISBLANK(G115)))</formula>
    </cfRule>
  </conditionalFormatting>
  <conditionalFormatting sqref="G1150">
    <cfRule type="expression" dxfId="0" priority="5842">
      <formula>COUNTIF(I1150:CV1150,"&lt;&gt;" &amp; "")&gt;0</formula>
    </cfRule>
    <cfRule type="expression" dxfId="1" priority="5843">
      <formula>AND(COUNTIF(I1150:CV1150,"&lt;&gt;" &amp; "")&gt;0,NOT(ISBLANK(G1150)))</formula>
    </cfRule>
  </conditionalFormatting>
  <conditionalFormatting sqref="G1151">
    <cfRule type="expression" dxfId="0" priority="5845">
      <formula>COUNTIF(I1151:CV1151,"&lt;&gt;" &amp; "")&gt;0</formula>
    </cfRule>
    <cfRule type="expression" dxfId="1" priority="5846">
      <formula>AND(COUNTIF(I1151:CV1151,"&lt;&gt;" &amp; "")&gt;0,NOT(ISBLANK(G1151)))</formula>
    </cfRule>
  </conditionalFormatting>
  <conditionalFormatting sqref="G1152">
    <cfRule type="expression" dxfId="0" priority="5848">
      <formula>COUNTIF(I1152:CV1152,"&lt;&gt;" &amp; "")&gt;0</formula>
    </cfRule>
    <cfRule type="expression" dxfId="1" priority="5849">
      <formula>AND(COUNTIF(I1152:CV1152,"&lt;&gt;" &amp; "")&gt;0,NOT(ISBLANK(G1152)))</formula>
    </cfRule>
  </conditionalFormatting>
  <conditionalFormatting sqref="G1153">
    <cfRule type="expression" dxfId="0" priority="5851">
      <formula>COUNTIF(I1153:CV1153,"&lt;&gt;" &amp; "")&gt;0</formula>
    </cfRule>
    <cfRule type="expression" dxfId="1" priority="5852">
      <formula>AND(COUNTIF(I1153:CV1153,"&lt;&gt;" &amp; "")&gt;0,NOT(ISBLANK(G1153)))</formula>
    </cfRule>
  </conditionalFormatting>
  <conditionalFormatting sqref="G1154">
    <cfRule type="expression" dxfId="0" priority="5854">
      <formula>COUNTIF(I1154:CV1154,"&lt;&gt;" &amp; "")&gt;0</formula>
    </cfRule>
    <cfRule type="expression" dxfId="1" priority="5855">
      <formula>AND(COUNTIF(I1154:CV1154,"&lt;&gt;" &amp; "")&gt;0,NOT(ISBLANK(G1154)))</formula>
    </cfRule>
  </conditionalFormatting>
  <conditionalFormatting sqref="G1155">
    <cfRule type="expression" dxfId="0" priority="5857">
      <formula>COUNTIF(I1155:CV1155,"&lt;&gt;" &amp; "")&gt;0</formula>
    </cfRule>
    <cfRule type="expression" dxfId="1" priority="5858">
      <formula>AND(COUNTIF(I1155:CV1155,"&lt;&gt;" &amp; "")&gt;0,NOT(ISBLANK(G1155)))</formula>
    </cfRule>
  </conditionalFormatting>
  <conditionalFormatting sqref="G1156">
    <cfRule type="expression" dxfId="0" priority="5860">
      <formula>COUNTIF(I1156:CV1156,"&lt;&gt;" &amp; "")&gt;0</formula>
    </cfRule>
    <cfRule type="expression" dxfId="1" priority="5861">
      <formula>AND(COUNTIF(I1156:CV1156,"&lt;&gt;" &amp; "")&gt;0,NOT(ISBLANK(G1156)))</formula>
    </cfRule>
  </conditionalFormatting>
  <conditionalFormatting sqref="G1157">
    <cfRule type="expression" dxfId="0" priority="5863">
      <formula>COUNTIF(I1157:CV1157,"&lt;&gt;" &amp; "")&gt;0</formula>
    </cfRule>
    <cfRule type="expression" dxfId="1" priority="5864">
      <formula>AND(COUNTIF(I1157:CV1157,"&lt;&gt;" &amp; "")&gt;0,NOT(ISBLANK(G1157)))</formula>
    </cfRule>
  </conditionalFormatting>
  <conditionalFormatting sqref="G1158">
    <cfRule type="expression" dxfId="0" priority="5866">
      <formula>COUNTIF(I1158:CV1158,"&lt;&gt;" &amp; "")&gt;0</formula>
    </cfRule>
    <cfRule type="expression" dxfId="1" priority="5867">
      <formula>AND(COUNTIF(I1158:CV1158,"&lt;&gt;" &amp; "")&gt;0,NOT(ISBLANK(G1158)))</formula>
    </cfRule>
  </conditionalFormatting>
  <conditionalFormatting sqref="G1159">
    <cfRule type="expression" dxfId="0" priority="5869">
      <formula>COUNTIF(I1159:CV1159,"&lt;&gt;" &amp; "")&gt;0</formula>
    </cfRule>
    <cfRule type="expression" dxfId="1" priority="5870">
      <formula>AND(COUNTIF(I1159:CV1159,"&lt;&gt;" &amp; "")&gt;0,NOT(ISBLANK(G1159)))</formula>
    </cfRule>
  </conditionalFormatting>
  <conditionalFormatting sqref="G116">
    <cfRule type="expression" dxfId="0" priority="2740">
      <formula>COUNTIF(I116:CV116,"&lt;&gt;" &amp; "")&gt;0</formula>
    </cfRule>
    <cfRule type="expression" dxfId="1" priority="2741">
      <formula>AND(COUNTIF(I116:CV116,"&lt;&gt;" &amp; "")&gt;0,NOT(ISBLANK(G116)))</formula>
    </cfRule>
  </conditionalFormatting>
  <conditionalFormatting sqref="G1160">
    <cfRule type="expression" dxfId="0" priority="5872">
      <formula>COUNTIF(I1160:CV1160,"&lt;&gt;" &amp; "")&gt;0</formula>
    </cfRule>
    <cfRule type="expression" dxfId="1" priority="5873">
      <formula>AND(COUNTIF(I1160:CV1160,"&lt;&gt;" &amp; "")&gt;0,NOT(ISBLANK(G1160)))</formula>
    </cfRule>
  </conditionalFormatting>
  <conditionalFormatting sqref="G1161">
    <cfRule type="expression" dxfId="0" priority="5875">
      <formula>COUNTIF(I1161:CV1161,"&lt;&gt;" &amp; "")&gt;0</formula>
    </cfRule>
    <cfRule type="expression" dxfId="1" priority="5876">
      <formula>AND(COUNTIF(I1161:CV1161,"&lt;&gt;" &amp; "")&gt;0,NOT(ISBLANK(G1161)))</formula>
    </cfRule>
  </conditionalFormatting>
  <conditionalFormatting sqref="G1162">
    <cfRule type="expression" dxfId="0" priority="5878">
      <formula>COUNTIF(I1162:CV1162,"&lt;&gt;" &amp; "")&gt;0</formula>
    </cfRule>
    <cfRule type="expression" dxfId="1" priority="5879">
      <formula>AND(COUNTIF(I1162:CV1162,"&lt;&gt;" &amp; "")&gt;0,NOT(ISBLANK(G1162)))</formula>
    </cfRule>
  </conditionalFormatting>
  <conditionalFormatting sqref="G1163">
    <cfRule type="expression" dxfId="0" priority="5881">
      <formula>COUNTIF(I1163:CV1163,"&lt;&gt;" &amp; "")&gt;0</formula>
    </cfRule>
    <cfRule type="expression" dxfId="1" priority="5882">
      <formula>AND(COUNTIF(I1163:CV1163,"&lt;&gt;" &amp; "")&gt;0,NOT(ISBLANK(G1163)))</formula>
    </cfRule>
  </conditionalFormatting>
  <conditionalFormatting sqref="G1164">
    <cfRule type="expression" dxfId="0" priority="5884">
      <formula>COUNTIF(I1164:CV1164,"&lt;&gt;" &amp; "")&gt;0</formula>
    </cfRule>
    <cfRule type="expression" dxfId="1" priority="5885">
      <formula>AND(COUNTIF(I1164:CV1164,"&lt;&gt;" &amp; "")&gt;0,NOT(ISBLANK(G1164)))</formula>
    </cfRule>
  </conditionalFormatting>
  <conditionalFormatting sqref="G1165">
    <cfRule type="expression" dxfId="0" priority="5887">
      <formula>COUNTIF(I1165:CV1165,"&lt;&gt;" &amp; "")&gt;0</formula>
    </cfRule>
    <cfRule type="expression" dxfId="1" priority="5888">
      <formula>AND(COUNTIF(I1165:CV1165,"&lt;&gt;" &amp; "")&gt;0,NOT(ISBLANK(G1165)))</formula>
    </cfRule>
  </conditionalFormatting>
  <conditionalFormatting sqref="G1166">
    <cfRule type="expression" dxfId="0" priority="5890">
      <formula>COUNTIF(I1166:CV1166,"&lt;&gt;" &amp; "")&gt;0</formula>
    </cfRule>
    <cfRule type="expression" dxfId="1" priority="5891">
      <formula>AND(COUNTIF(I1166:CV1166,"&lt;&gt;" &amp; "")&gt;0,NOT(ISBLANK(G1166)))</formula>
    </cfRule>
  </conditionalFormatting>
  <conditionalFormatting sqref="G1167">
    <cfRule type="expression" dxfId="0" priority="5893">
      <formula>COUNTIF(I1167:CV1167,"&lt;&gt;" &amp; "")&gt;0</formula>
    </cfRule>
    <cfRule type="expression" dxfId="1" priority="5894">
      <formula>AND(COUNTIF(I1167:CV1167,"&lt;&gt;" &amp; "")&gt;0,NOT(ISBLANK(G1167)))</formula>
    </cfRule>
  </conditionalFormatting>
  <conditionalFormatting sqref="G1168">
    <cfRule type="expression" dxfId="0" priority="5896">
      <formula>COUNTIF(I1168:CV1168,"&lt;&gt;" &amp; "")&gt;0</formula>
    </cfRule>
    <cfRule type="expression" dxfId="1" priority="5897">
      <formula>AND(COUNTIF(I1168:CV1168,"&lt;&gt;" &amp; "")&gt;0,NOT(ISBLANK(G1168)))</formula>
    </cfRule>
  </conditionalFormatting>
  <conditionalFormatting sqref="G1169">
    <cfRule type="expression" dxfId="0" priority="5899">
      <formula>COUNTIF(I1169:CV1169,"&lt;&gt;" &amp; "")&gt;0</formula>
    </cfRule>
    <cfRule type="expression" dxfId="1" priority="5900">
      <formula>AND(COUNTIF(I1169:CV1169,"&lt;&gt;" &amp; "")&gt;0,NOT(ISBLANK(G1169)))</formula>
    </cfRule>
  </conditionalFormatting>
  <conditionalFormatting sqref="G117">
    <cfRule type="expression" dxfId="0" priority="2743">
      <formula>COUNTIF(I117:CV117,"&lt;&gt;" &amp; "")&gt;0</formula>
    </cfRule>
    <cfRule type="expression" dxfId="1" priority="2744">
      <formula>AND(COUNTIF(I117:CV117,"&lt;&gt;" &amp; "")&gt;0,NOT(ISBLANK(G117)))</formula>
    </cfRule>
  </conditionalFormatting>
  <conditionalFormatting sqref="G1170">
    <cfRule type="expression" dxfId="0" priority="5902">
      <formula>COUNTIF(I1170:CV1170,"&lt;&gt;" &amp; "")&gt;0</formula>
    </cfRule>
    <cfRule type="expression" dxfId="1" priority="5903">
      <formula>AND(COUNTIF(I1170:CV1170,"&lt;&gt;" &amp; "")&gt;0,NOT(ISBLANK(G1170)))</formula>
    </cfRule>
  </conditionalFormatting>
  <conditionalFormatting sqref="G1171">
    <cfRule type="expression" dxfId="0" priority="5905">
      <formula>COUNTIF(I1171:CV1171,"&lt;&gt;" &amp; "")&gt;0</formula>
    </cfRule>
    <cfRule type="expression" dxfId="1" priority="5906">
      <formula>AND(COUNTIF(I1171:CV1171,"&lt;&gt;" &amp; "")&gt;0,NOT(ISBLANK(G1171)))</formula>
    </cfRule>
  </conditionalFormatting>
  <conditionalFormatting sqref="G1172">
    <cfRule type="expression" dxfId="0" priority="5908">
      <formula>COUNTIF(I1172:CV1172,"&lt;&gt;" &amp; "")&gt;0</formula>
    </cfRule>
    <cfRule type="expression" dxfId="1" priority="5909">
      <formula>AND(COUNTIF(I1172:CV1172,"&lt;&gt;" &amp; "")&gt;0,NOT(ISBLANK(G1172)))</formula>
    </cfRule>
  </conditionalFormatting>
  <conditionalFormatting sqref="G1173">
    <cfRule type="expression" dxfId="0" priority="5911">
      <formula>COUNTIF(I1173:CV1173,"&lt;&gt;" &amp; "")&gt;0</formula>
    </cfRule>
    <cfRule type="expression" dxfId="1" priority="5912">
      <formula>AND(COUNTIF(I1173:CV1173,"&lt;&gt;" &amp; "")&gt;0,NOT(ISBLANK(G1173)))</formula>
    </cfRule>
  </conditionalFormatting>
  <conditionalFormatting sqref="G1174">
    <cfRule type="expression" dxfId="0" priority="5914">
      <formula>COUNTIF(I1174:CV1174,"&lt;&gt;" &amp; "")&gt;0</formula>
    </cfRule>
    <cfRule type="expression" dxfId="1" priority="5915">
      <formula>AND(COUNTIF(I1174:CV1174,"&lt;&gt;" &amp; "")&gt;0,NOT(ISBLANK(G1174)))</formula>
    </cfRule>
  </conditionalFormatting>
  <conditionalFormatting sqref="G1175">
    <cfRule type="expression" dxfId="0" priority="5917">
      <formula>COUNTIF(I1175:CV1175,"&lt;&gt;" &amp; "")&gt;0</formula>
    </cfRule>
    <cfRule type="expression" dxfId="1" priority="5918">
      <formula>AND(COUNTIF(I1175:CV1175,"&lt;&gt;" &amp; "")&gt;0,NOT(ISBLANK(G1175)))</formula>
    </cfRule>
  </conditionalFormatting>
  <conditionalFormatting sqref="G1176">
    <cfRule type="expression" dxfId="0" priority="5920">
      <formula>COUNTIF(I1176:CV1176,"&lt;&gt;" &amp; "")&gt;0</formula>
    </cfRule>
    <cfRule type="expression" dxfId="1" priority="5921">
      <formula>AND(COUNTIF(I1176:CV1176,"&lt;&gt;" &amp; "")&gt;0,NOT(ISBLANK(G1176)))</formula>
    </cfRule>
  </conditionalFormatting>
  <conditionalFormatting sqref="G1177">
    <cfRule type="expression" dxfId="0" priority="5923">
      <formula>COUNTIF(I1177:CV1177,"&lt;&gt;" &amp; "")&gt;0</formula>
    </cfRule>
    <cfRule type="expression" dxfId="1" priority="5924">
      <formula>AND(COUNTIF(I1177:CV1177,"&lt;&gt;" &amp; "")&gt;0,NOT(ISBLANK(G1177)))</formula>
    </cfRule>
  </conditionalFormatting>
  <conditionalFormatting sqref="G1178">
    <cfRule type="expression" dxfId="0" priority="5926">
      <formula>COUNTIF(I1178:CV1178,"&lt;&gt;" &amp; "")&gt;0</formula>
    </cfRule>
    <cfRule type="expression" dxfId="1" priority="5927">
      <formula>AND(COUNTIF(I1178:CV1178,"&lt;&gt;" &amp; "")&gt;0,NOT(ISBLANK(G1178)))</formula>
    </cfRule>
  </conditionalFormatting>
  <conditionalFormatting sqref="G1179">
    <cfRule type="expression" dxfId="0" priority="5929">
      <formula>COUNTIF(I1179:CV1179,"&lt;&gt;" &amp; "")&gt;0</formula>
    </cfRule>
    <cfRule type="expression" dxfId="1" priority="5930">
      <formula>AND(COUNTIF(I1179:CV1179,"&lt;&gt;" &amp; "")&gt;0,NOT(ISBLANK(G1179)))</formula>
    </cfRule>
  </conditionalFormatting>
  <conditionalFormatting sqref="G118">
    <cfRule type="expression" dxfId="0" priority="2746">
      <formula>COUNTIF(I118:CV118,"&lt;&gt;" &amp; "")&gt;0</formula>
    </cfRule>
    <cfRule type="expression" dxfId="1" priority="2747">
      <formula>AND(COUNTIF(I118:CV118,"&lt;&gt;" &amp; "")&gt;0,NOT(ISBLANK(G118)))</formula>
    </cfRule>
  </conditionalFormatting>
  <conditionalFormatting sqref="G1180">
    <cfRule type="expression" dxfId="0" priority="5932">
      <formula>COUNTIF(I1180:CV1180,"&lt;&gt;" &amp; "")&gt;0</formula>
    </cfRule>
    <cfRule type="expression" dxfId="1" priority="5933">
      <formula>AND(COUNTIF(I1180:CV1180,"&lt;&gt;" &amp; "")&gt;0,NOT(ISBLANK(G1180)))</formula>
    </cfRule>
  </conditionalFormatting>
  <conditionalFormatting sqref="G1181">
    <cfRule type="expression" dxfId="0" priority="5935">
      <formula>COUNTIF(I1181:CV1181,"&lt;&gt;" &amp; "")&gt;0</formula>
    </cfRule>
    <cfRule type="expression" dxfId="1" priority="5936">
      <formula>AND(COUNTIF(I1181:CV1181,"&lt;&gt;" &amp; "")&gt;0,NOT(ISBLANK(G1181)))</formula>
    </cfRule>
  </conditionalFormatting>
  <conditionalFormatting sqref="G1182">
    <cfRule type="expression" dxfId="0" priority="5938">
      <formula>COUNTIF(I1182:CV1182,"&lt;&gt;" &amp; "")&gt;0</formula>
    </cfRule>
    <cfRule type="expression" dxfId="1" priority="5939">
      <formula>AND(COUNTIF(I1182:CV1182,"&lt;&gt;" &amp; "")&gt;0,NOT(ISBLANK(G1182)))</formula>
    </cfRule>
  </conditionalFormatting>
  <conditionalFormatting sqref="G1183">
    <cfRule type="expression" dxfId="0" priority="5941">
      <formula>COUNTIF(I1183:CV1183,"&lt;&gt;" &amp; "")&gt;0</formula>
    </cfRule>
    <cfRule type="expression" dxfId="1" priority="5942">
      <formula>AND(COUNTIF(I1183:CV1183,"&lt;&gt;" &amp; "")&gt;0,NOT(ISBLANK(G1183)))</formula>
    </cfRule>
  </conditionalFormatting>
  <conditionalFormatting sqref="G1184">
    <cfRule type="expression" dxfId="0" priority="5944">
      <formula>COUNTIF(I1184:CV1184,"&lt;&gt;" &amp; "")&gt;0</formula>
    </cfRule>
    <cfRule type="expression" dxfId="1" priority="5945">
      <formula>AND(COUNTIF(I1184:CV1184,"&lt;&gt;" &amp; "")&gt;0,NOT(ISBLANK(G1184)))</formula>
    </cfRule>
  </conditionalFormatting>
  <conditionalFormatting sqref="G1185">
    <cfRule type="expression" dxfId="0" priority="5947">
      <formula>COUNTIF(I1185:CV1185,"&lt;&gt;" &amp; "")&gt;0</formula>
    </cfRule>
    <cfRule type="expression" dxfId="1" priority="5948">
      <formula>AND(COUNTIF(I1185:CV1185,"&lt;&gt;" &amp; "")&gt;0,NOT(ISBLANK(G1185)))</formula>
    </cfRule>
  </conditionalFormatting>
  <conditionalFormatting sqref="G1186">
    <cfRule type="expression" dxfId="0" priority="5950">
      <formula>COUNTIF(I1186:CV1186,"&lt;&gt;" &amp; "")&gt;0</formula>
    </cfRule>
    <cfRule type="expression" dxfId="1" priority="5951">
      <formula>AND(COUNTIF(I1186:CV1186,"&lt;&gt;" &amp; "")&gt;0,NOT(ISBLANK(G1186)))</formula>
    </cfRule>
  </conditionalFormatting>
  <conditionalFormatting sqref="G1187">
    <cfRule type="expression" dxfId="0" priority="5953">
      <formula>COUNTIF(I1187:CV1187,"&lt;&gt;" &amp; "")&gt;0</formula>
    </cfRule>
    <cfRule type="expression" dxfId="1" priority="5954">
      <formula>AND(COUNTIF(I1187:CV1187,"&lt;&gt;" &amp; "")&gt;0,NOT(ISBLANK(G1187)))</formula>
    </cfRule>
  </conditionalFormatting>
  <conditionalFormatting sqref="G1188">
    <cfRule type="expression" dxfId="0" priority="5956">
      <formula>COUNTIF(I1188:CV1188,"&lt;&gt;" &amp; "")&gt;0</formula>
    </cfRule>
    <cfRule type="expression" dxfId="1" priority="5957">
      <formula>AND(COUNTIF(I1188:CV1188,"&lt;&gt;" &amp; "")&gt;0,NOT(ISBLANK(G1188)))</formula>
    </cfRule>
  </conditionalFormatting>
  <conditionalFormatting sqref="G1189">
    <cfRule type="expression" dxfId="0" priority="5959">
      <formula>COUNTIF(I1189:CV1189,"&lt;&gt;" &amp; "")&gt;0</formula>
    </cfRule>
    <cfRule type="expression" dxfId="1" priority="5960">
      <formula>AND(COUNTIF(I1189:CV1189,"&lt;&gt;" &amp; "")&gt;0,NOT(ISBLANK(G1189)))</formula>
    </cfRule>
  </conditionalFormatting>
  <conditionalFormatting sqref="G119">
    <cfRule type="expression" dxfId="0" priority="2749">
      <formula>COUNTIF(I119:CV119,"&lt;&gt;" &amp; "")&gt;0</formula>
    </cfRule>
    <cfRule type="expression" dxfId="1" priority="2750">
      <formula>AND(COUNTIF(I119:CV119,"&lt;&gt;" &amp; "")&gt;0,NOT(ISBLANK(G119)))</formula>
    </cfRule>
  </conditionalFormatting>
  <conditionalFormatting sqref="G1190">
    <cfRule type="expression" dxfId="0" priority="5962">
      <formula>COUNTIF(I1190:CV1190,"&lt;&gt;" &amp; "")&gt;0</formula>
    </cfRule>
    <cfRule type="expression" dxfId="1" priority="5963">
      <formula>AND(COUNTIF(I1190:CV1190,"&lt;&gt;" &amp; "")&gt;0,NOT(ISBLANK(G1190)))</formula>
    </cfRule>
  </conditionalFormatting>
  <conditionalFormatting sqref="G1191">
    <cfRule type="expression" dxfId="0" priority="5965">
      <formula>COUNTIF(I1191:CV1191,"&lt;&gt;" &amp; "")&gt;0</formula>
    </cfRule>
    <cfRule type="expression" dxfId="1" priority="5966">
      <formula>AND(COUNTIF(I1191:CV1191,"&lt;&gt;" &amp; "")&gt;0,NOT(ISBLANK(G1191)))</formula>
    </cfRule>
  </conditionalFormatting>
  <conditionalFormatting sqref="G1192">
    <cfRule type="expression" dxfId="0" priority="5968">
      <formula>COUNTIF(I1192:CV1192,"&lt;&gt;" &amp; "")&gt;0</formula>
    </cfRule>
    <cfRule type="expression" dxfId="1" priority="5969">
      <formula>AND(COUNTIF(I1192:CV1192,"&lt;&gt;" &amp; "")&gt;0,NOT(ISBLANK(G1192)))</formula>
    </cfRule>
  </conditionalFormatting>
  <conditionalFormatting sqref="G1193">
    <cfRule type="expression" dxfId="0" priority="5971">
      <formula>COUNTIF(I1193:CV1193,"&lt;&gt;" &amp; "")&gt;0</formula>
    </cfRule>
    <cfRule type="expression" dxfId="1" priority="5972">
      <formula>AND(COUNTIF(I1193:CV1193,"&lt;&gt;" &amp; "")&gt;0,NOT(ISBLANK(G1193)))</formula>
    </cfRule>
  </conditionalFormatting>
  <conditionalFormatting sqref="G1194">
    <cfRule type="expression" dxfId="0" priority="5974">
      <formula>COUNTIF(I1194:CV1194,"&lt;&gt;" &amp; "")&gt;0</formula>
    </cfRule>
    <cfRule type="expression" dxfId="1" priority="5975">
      <formula>AND(COUNTIF(I1194:CV1194,"&lt;&gt;" &amp; "")&gt;0,NOT(ISBLANK(G1194)))</formula>
    </cfRule>
  </conditionalFormatting>
  <conditionalFormatting sqref="G1195">
    <cfRule type="expression" dxfId="0" priority="5977">
      <formula>COUNTIF(I1195:CV1195,"&lt;&gt;" &amp; "")&gt;0</formula>
    </cfRule>
    <cfRule type="expression" dxfId="1" priority="5978">
      <formula>AND(COUNTIF(I1195:CV1195,"&lt;&gt;" &amp; "")&gt;0,NOT(ISBLANK(G1195)))</formula>
    </cfRule>
  </conditionalFormatting>
  <conditionalFormatting sqref="G1196">
    <cfRule type="expression" dxfId="0" priority="5980">
      <formula>COUNTIF(I1196:CV1196,"&lt;&gt;" &amp; "")&gt;0</formula>
    </cfRule>
    <cfRule type="expression" dxfId="1" priority="5981">
      <formula>AND(COUNTIF(I1196:CV1196,"&lt;&gt;" &amp; "")&gt;0,NOT(ISBLANK(G1196)))</formula>
    </cfRule>
  </conditionalFormatting>
  <conditionalFormatting sqref="G1197">
    <cfRule type="expression" dxfId="0" priority="5983">
      <formula>COUNTIF(I1197:CV1197,"&lt;&gt;" &amp; "")&gt;0</formula>
    </cfRule>
    <cfRule type="expression" dxfId="1" priority="5984">
      <formula>AND(COUNTIF(I1197:CV1197,"&lt;&gt;" &amp; "")&gt;0,NOT(ISBLANK(G1197)))</formula>
    </cfRule>
  </conditionalFormatting>
  <conditionalFormatting sqref="G1198">
    <cfRule type="expression" dxfId="0" priority="5986">
      <formula>COUNTIF(I1198:CV1198,"&lt;&gt;" &amp; "")&gt;0</formula>
    </cfRule>
    <cfRule type="expression" dxfId="1" priority="5987">
      <formula>AND(COUNTIF(I1198:CV1198,"&lt;&gt;" &amp; "")&gt;0,NOT(ISBLANK(G1198)))</formula>
    </cfRule>
  </conditionalFormatting>
  <conditionalFormatting sqref="G1199">
    <cfRule type="expression" dxfId="0" priority="5989">
      <formula>COUNTIF(I1199:CV1199,"&lt;&gt;" &amp; "")&gt;0</formula>
    </cfRule>
    <cfRule type="expression" dxfId="1" priority="5990">
      <formula>AND(COUNTIF(I1199:CV1199,"&lt;&gt;" &amp; "")&gt;0,NOT(ISBLANK(G1199)))</formula>
    </cfRule>
  </conditionalFormatting>
  <conditionalFormatting sqref="G12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G120">
    <cfRule type="expression" dxfId="0" priority="2752">
      <formula>COUNTIF(I120:CV120,"&lt;&gt;" &amp; "")&gt;0</formula>
    </cfRule>
    <cfRule type="expression" dxfId="1" priority="2753">
      <formula>AND(COUNTIF(I120:CV120,"&lt;&gt;" &amp; "")&gt;0,NOT(ISBLANK(G120)))</formula>
    </cfRule>
  </conditionalFormatting>
  <conditionalFormatting sqref="G1200">
    <cfRule type="expression" dxfId="0" priority="5992">
      <formula>COUNTIF(I1200:CV1200,"&lt;&gt;" &amp; "")&gt;0</formula>
    </cfRule>
    <cfRule type="expression" dxfId="1" priority="5993">
      <formula>AND(COUNTIF(I1200:CV1200,"&lt;&gt;" &amp; "")&gt;0,NOT(ISBLANK(G1200)))</formula>
    </cfRule>
  </conditionalFormatting>
  <conditionalFormatting sqref="G1201">
    <cfRule type="expression" dxfId="0" priority="5995">
      <formula>COUNTIF(I1201:CV1201,"&lt;&gt;" &amp; "")&gt;0</formula>
    </cfRule>
    <cfRule type="expression" dxfId="1" priority="5996">
      <formula>AND(COUNTIF(I1201:CV1201,"&lt;&gt;" &amp; "")&gt;0,NOT(ISBLANK(G1201)))</formula>
    </cfRule>
  </conditionalFormatting>
  <conditionalFormatting sqref="G1202">
    <cfRule type="expression" dxfId="0" priority="5998">
      <formula>COUNTIF(I1202:CV1202,"&lt;&gt;" &amp; "")&gt;0</formula>
    </cfRule>
    <cfRule type="expression" dxfId="1" priority="5999">
      <formula>AND(COUNTIF(I1202:CV1202,"&lt;&gt;" &amp; "")&gt;0,NOT(ISBLANK(G1202)))</formula>
    </cfRule>
  </conditionalFormatting>
  <conditionalFormatting sqref="G1203">
    <cfRule type="expression" dxfId="0" priority="6001">
      <formula>COUNTIF(I1203:CV1203,"&lt;&gt;" &amp; "")&gt;0</formula>
    </cfRule>
    <cfRule type="expression" dxfId="1" priority="6002">
      <formula>AND(COUNTIF(I1203:CV1203,"&lt;&gt;" &amp; "")&gt;0,NOT(ISBLANK(G1203)))</formula>
    </cfRule>
  </conditionalFormatting>
  <conditionalFormatting sqref="G1204">
    <cfRule type="expression" dxfId="0" priority="6004">
      <formula>COUNTIF(I1204:CV1204,"&lt;&gt;" &amp; "")&gt;0</formula>
    </cfRule>
    <cfRule type="expression" dxfId="1" priority="6005">
      <formula>AND(COUNTIF(I1204:CV1204,"&lt;&gt;" &amp; "")&gt;0,NOT(ISBLANK(G1204)))</formula>
    </cfRule>
  </conditionalFormatting>
  <conditionalFormatting sqref="G1205">
    <cfRule type="expression" dxfId="0" priority="6007">
      <formula>COUNTIF(I1205:CV1205,"&lt;&gt;" &amp; "")&gt;0</formula>
    </cfRule>
    <cfRule type="expression" dxfId="1" priority="6008">
      <formula>AND(COUNTIF(I1205:CV1205,"&lt;&gt;" &amp; "")&gt;0,NOT(ISBLANK(G1205)))</formula>
    </cfRule>
  </conditionalFormatting>
  <conditionalFormatting sqref="G1206">
    <cfRule type="expression" dxfId="0" priority="6010">
      <formula>COUNTIF(I1206:CV1206,"&lt;&gt;" &amp; "")&gt;0</formula>
    </cfRule>
    <cfRule type="expression" dxfId="1" priority="6011">
      <formula>AND(COUNTIF(I1206:CV1206,"&lt;&gt;" &amp; "")&gt;0,NOT(ISBLANK(G1206)))</formula>
    </cfRule>
  </conditionalFormatting>
  <conditionalFormatting sqref="G1207">
    <cfRule type="expression" dxfId="0" priority="6013">
      <formula>COUNTIF(I1207:CV1207,"&lt;&gt;" &amp; "")&gt;0</formula>
    </cfRule>
    <cfRule type="expression" dxfId="1" priority="6014">
      <formula>AND(COUNTIF(I1207:CV1207,"&lt;&gt;" &amp; "")&gt;0,NOT(ISBLANK(G1207)))</formula>
    </cfRule>
  </conditionalFormatting>
  <conditionalFormatting sqref="G1208">
    <cfRule type="expression" dxfId="0" priority="6016">
      <formula>COUNTIF(I1208:CV1208,"&lt;&gt;" &amp; "")&gt;0</formula>
    </cfRule>
    <cfRule type="expression" dxfId="1" priority="6017">
      <formula>AND(COUNTIF(I1208:CV1208,"&lt;&gt;" &amp; "")&gt;0,NOT(ISBLANK(G1208)))</formula>
    </cfRule>
  </conditionalFormatting>
  <conditionalFormatting sqref="G1209">
    <cfRule type="expression" dxfId="0" priority="6019">
      <formula>COUNTIF(I1209:CV1209,"&lt;&gt;" &amp; "")&gt;0</formula>
    </cfRule>
    <cfRule type="expression" dxfId="1" priority="6020">
      <formula>AND(COUNTIF(I1209:CV1209,"&lt;&gt;" &amp; "")&gt;0,NOT(ISBLANK(G1209)))</formula>
    </cfRule>
  </conditionalFormatting>
  <conditionalFormatting sqref="G121">
    <cfRule type="expression" dxfId="0" priority="2755">
      <formula>COUNTIF(I121:CV121,"&lt;&gt;" &amp; "")&gt;0</formula>
    </cfRule>
    <cfRule type="expression" dxfId="1" priority="2756">
      <formula>AND(COUNTIF(I121:CV121,"&lt;&gt;" &amp; "")&gt;0,NOT(ISBLANK(G121)))</formula>
    </cfRule>
  </conditionalFormatting>
  <conditionalFormatting sqref="G1210">
    <cfRule type="expression" dxfId="0" priority="6022">
      <formula>COUNTIF(I1210:CV1210,"&lt;&gt;" &amp; "")&gt;0</formula>
    </cfRule>
    <cfRule type="expression" dxfId="1" priority="6023">
      <formula>AND(COUNTIF(I1210:CV1210,"&lt;&gt;" &amp; "")&gt;0,NOT(ISBLANK(G1210)))</formula>
    </cfRule>
  </conditionalFormatting>
  <conditionalFormatting sqref="G1211">
    <cfRule type="expression" dxfId="0" priority="6025">
      <formula>COUNTIF(I1211:CV1211,"&lt;&gt;" &amp; "")&gt;0</formula>
    </cfRule>
    <cfRule type="expression" dxfId="1" priority="6026">
      <formula>AND(COUNTIF(I1211:CV1211,"&lt;&gt;" &amp; "")&gt;0,NOT(ISBLANK(G1211)))</formula>
    </cfRule>
  </conditionalFormatting>
  <conditionalFormatting sqref="G1212">
    <cfRule type="expression" dxfId="0" priority="6028">
      <formula>COUNTIF(I1212:CV1212,"&lt;&gt;" &amp; "")&gt;0</formula>
    </cfRule>
    <cfRule type="expression" dxfId="1" priority="6029">
      <formula>AND(COUNTIF(I1212:CV1212,"&lt;&gt;" &amp; "")&gt;0,NOT(ISBLANK(G1212)))</formula>
    </cfRule>
  </conditionalFormatting>
  <conditionalFormatting sqref="G1213">
    <cfRule type="expression" dxfId="0" priority="6031">
      <formula>COUNTIF(I1213:CV1213,"&lt;&gt;" &amp; "")&gt;0</formula>
    </cfRule>
    <cfRule type="expression" dxfId="1" priority="6032">
      <formula>AND(COUNTIF(I1213:CV1213,"&lt;&gt;" &amp; "")&gt;0,NOT(ISBLANK(G1213)))</formula>
    </cfRule>
  </conditionalFormatting>
  <conditionalFormatting sqref="G1214">
    <cfRule type="expression" dxfId="0" priority="6034">
      <formula>COUNTIF(I1214:CV1214,"&lt;&gt;" &amp; "")&gt;0</formula>
    </cfRule>
    <cfRule type="expression" dxfId="1" priority="6035">
      <formula>AND(COUNTIF(I1214:CV1214,"&lt;&gt;" &amp; "")&gt;0,NOT(ISBLANK(G1214)))</formula>
    </cfRule>
  </conditionalFormatting>
  <conditionalFormatting sqref="G1215">
    <cfRule type="expression" dxfId="0" priority="6037">
      <formula>COUNTIF(I1215:CV1215,"&lt;&gt;" &amp; "")&gt;0</formula>
    </cfRule>
    <cfRule type="expression" dxfId="1" priority="6038">
      <formula>AND(COUNTIF(I1215:CV1215,"&lt;&gt;" &amp; "")&gt;0,NOT(ISBLANK(G1215)))</formula>
    </cfRule>
  </conditionalFormatting>
  <conditionalFormatting sqref="G1216">
    <cfRule type="expression" dxfId="0" priority="6040">
      <formula>COUNTIF(I1216:CV1216,"&lt;&gt;" &amp; "")&gt;0</formula>
    </cfRule>
    <cfRule type="expression" dxfId="1" priority="6041">
      <formula>AND(COUNTIF(I1216:CV1216,"&lt;&gt;" &amp; "")&gt;0,NOT(ISBLANK(G1216)))</formula>
    </cfRule>
  </conditionalFormatting>
  <conditionalFormatting sqref="G1217">
    <cfRule type="expression" dxfId="0" priority="6043">
      <formula>COUNTIF(I1217:CV1217,"&lt;&gt;" &amp; "")&gt;0</formula>
    </cfRule>
    <cfRule type="expression" dxfId="1" priority="6044">
      <formula>AND(COUNTIF(I1217:CV1217,"&lt;&gt;" &amp; "")&gt;0,NOT(ISBLANK(G1217)))</formula>
    </cfRule>
  </conditionalFormatting>
  <conditionalFormatting sqref="G1218">
    <cfRule type="expression" dxfId="0" priority="6046">
      <formula>COUNTIF(I1218:CV1218,"&lt;&gt;" &amp; "")&gt;0</formula>
    </cfRule>
    <cfRule type="expression" dxfId="1" priority="6047">
      <formula>AND(COUNTIF(I1218:CV1218,"&lt;&gt;" &amp; "")&gt;0,NOT(ISBLANK(G1218)))</formula>
    </cfRule>
  </conditionalFormatting>
  <conditionalFormatting sqref="G1219">
    <cfRule type="expression" dxfId="0" priority="6049">
      <formula>COUNTIF(I1219:CV1219,"&lt;&gt;" &amp; "")&gt;0</formula>
    </cfRule>
    <cfRule type="expression" dxfId="1" priority="6050">
      <formula>AND(COUNTIF(I1219:CV1219,"&lt;&gt;" &amp; "")&gt;0,NOT(ISBLANK(G1219)))</formula>
    </cfRule>
  </conditionalFormatting>
  <conditionalFormatting sqref="G122">
    <cfRule type="expression" dxfId="0" priority="2758">
      <formula>COUNTIF(I122:CV122,"&lt;&gt;" &amp; "")&gt;0</formula>
    </cfRule>
    <cfRule type="expression" dxfId="1" priority="2759">
      <formula>AND(COUNTIF(I122:CV122,"&lt;&gt;" &amp; "")&gt;0,NOT(ISBLANK(G122)))</formula>
    </cfRule>
  </conditionalFormatting>
  <conditionalFormatting sqref="G1220">
    <cfRule type="expression" dxfId="0" priority="6052">
      <formula>COUNTIF(I1220:CV1220,"&lt;&gt;" &amp; "")&gt;0</formula>
    </cfRule>
    <cfRule type="expression" dxfId="1" priority="6053">
      <formula>AND(COUNTIF(I1220:CV1220,"&lt;&gt;" &amp; "")&gt;0,NOT(ISBLANK(G1220)))</formula>
    </cfRule>
  </conditionalFormatting>
  <conditionalFormatting sqref="G1221">
    <cfRule type="expression" dxfId="0" priority="6055">
      <formula>COUNTIF(I1221:CV1221,"&lt;&gt;" &amp; "")&gt;0</formula>
    </cfRule>
    <cfRule type="expression" dxfId="1" priority="6056">
      <formula>AND(COUNTIF(I1221:CV1221,"&lt;&gt;" &amp; "")&gt;0,NOT(ISBLANK(G1221)))</formula>
    </cfRule>
  </conditionalFormatting>
  <conditionalFormatting sqref="G1222">
    <cfRule type="expression" dxfId="0" priority="6058">
      <formula>COUNTIF(I1222:CV1222,"&lt;&gt;" &amp; "")&gt;0</formula>
    </cfRule>
    <cfRule type="expression" dxfId="1" priority="6059">
      <formula>AND(COUNTIF(I1222:CV1222,"&lt;&gt;" &amp; "")&gt;0,NOT(ISBLANK(G1222)))</formula>
    </cfRule>
  </conditionalFormatting>
  <conditionalFormatting sqref="G1223">
    <cfRule type="expression" dxfId="0" priority="6061">
      <formula>COUNTIF(I1223:CV1223,"&lt;&gt;" &amp; "")&gt;0</formula>
    </cfRule>
    <cfRule type="expression" dxfId="1" priority="6062">
      <formula>AND(COUNTIF(I1223:CV1223,"&lt;&gt;" &amp; "")&gt;0,NOT(ISBLANK(G1223)))</formula>
    </cfRule>
  </conditionalFormatting>
  <conditionalFormatting sqref="G1224">
    <cfRule type="expression" dxfId="0" priority="6064">
      <formula>COUNTIF(I1224:CV1224,"&lt;&gt;" &amp; "")&gt;0</formula>
    </cfRule>
    <cfRule type="expression" dxfId="1" priority="6065">
      <formula>AND(COUNTIF(I1224:CV1224,"&lt;&gt;" &amp; "")&gt;0,NOT(ISBLANK(G1224)))</formula>
    </cfRule>
  </conditionalFormatting>
  <conditionalFormatting sqref="G1225">
    <cfRule type="expression" dxfId="0" priority="6067">
      <formula>COUNTIF(I1225:CV1225,"&lt;&gt;" &amp; "")&gt;0</formula>
    </cfRule>
    <cfRule type="expression" dxfId="1" priority="6068">
      <formula>AND(COUNTIF(I1225:CV1225,"&lt;&gt;" &amp; "")&gt;0,NOT(ISBLANK(G1225)))</formula>
    </cfRule>
  </conditionalFormatting>
  <conditionalFormatting sqref="G1226">
    <cfRule type="expression" dxfId="0" priority="6070">
      <formula>COUNTIF(I1226:CV1226,"&lt;&gt;" &amp; "")&gt;0</formula>
    </cfRule>
    <cfRule type="expression" dxfId="1" priority="6071">
      <formula>AND(COUNTIF(I1226:CV1226,"&lt;&gt;" &amp; "")&gt;0,NOT(ISBLANK(G1226)))</formula>
    </cfRule>
  </conditionalFormatting>
  <conditionalFormatting sqref="G1227">
    <cfRule type="expression" dxfId="0" priority="6073">
      <formula>COUNTIF(I1227:CV1227,"&lt;&gt;" &amp; "")&gt;0</formula>
    </cfRule>
    <cfRule type="expression" dxfId="1" priority="6074">
      <formula>AND(COUNTIF(I1227:CV1227,"&lt;&gt;" &amp; "")&gt;0,NOT(ISBLANK(G1227)))</formula>
    </cfRule>
  </conditionalFormatting>
  <conditionalFormatting sqref="G1228">
    <cfRule type="expression" dxfId="0" priority="6076">
      <formula>COUNTIF(I1228:CV1228,"&lt;&gt;" &amp; "")&gt;0</formula>
    </cfRule>
    <cfRule type="expression" dxfId="1" priority="6077">
      <formula>AND(COUNTIF(I1228:CV1228,"&lt;&gt;" &amp; "")&gt;0,NOT(ISBLANK(G1228)))</formula>
    </cfRule>
  </conditionalFormatting>
  <conditionalFormatting sqref="G1229">
    <cfRule type="expression" dxfId="0" priority="6079">
      <formula>COUNTIF(I1229:CV1229,"&lt;&gt;" &amp; "")&gt;0</formula>
    </cfRule>
    <cfRule type="expression" dxfId="1" priority="6080">
      <formula>AND(COUNTIF(I1229:CV1229,"&lt;&gt;" &amp; "")&gt;0,NOT(ISBLANK(G1229)))</formula>
    </cfRule>
  </conditionalFormatting>
  <conditionalFormatting sqref="G123">
    <cfRule type="expression" dxfId="0" priority="2761">
      <formula>COUNTIF(I123:CV123,"&lt;&gt;" &amp; "")&gt;0</formula>
    </cfRule>
    <cfRule type="expression" dxfId="1" priority="2762">
      <formula>AND(COUNTIF(I123:CV123,"&lt;&gt;" &amp; "")&gt;0,NOT(ISBLANK(G123)))</formula>
    </cfRule>
  </conditionalFormatting>
  <conditionalFormatting sqref="G1230">
    <cfRule type="expression" dxfId="0" priority="6082">
      <formula>COUNTIF(I1230:CV1230,"&lt;&gt;" &amp; "")&gt;0</formula>
    </cfRule>
    <cfRule type="expression" dxfId="1" priority="6083">
      <formula>AND(COUNTIF(I1230:CV1230,"&lt;&gt;" &amp; "")&gt;0,NOT(ISBLANK(G1230)))</formula>
    </cfRule>
  </conditionalFormatting>
  <conditionalFormatting sqref="G1231">
    <cfRule type="expression" dxfId="0" priority="6085">
      <formula>COUNTIF(I1231:CV1231,"&lt;&gt;" &amp; "")&gt;0</formula>
    </cfRule>
    <cfRule type="expression" dxfId="1" priority="6086">
      <formula>AND(COUNTIF(I1231:CV1231,"&lt;&gt;" &amp; "")&gt;0,NOT(ISBLANK(G1231)))</formula>
    </cfRule>
  </conditionalFormatting>
  <conditionalFormatting sqref="G1232">
    <cfRule type="expression" dxfId="0" priority="6088">
      <formula>COUNTIF(I1232:CV1232,"&lt;&gt;" &amp; "")&gt;0</formula>
    </cfRule>
    <cfRule type="expression" dxfId="1" priority="6089">
      <formula>AND(COUNTIF(I1232:CV1232,"&lt;&gt;" &amp; "")&gt;0,NOT(ISBLANK(G1232)))</formula>
    </cfRule>
  </conditionalFormatting>
  <conditionalFormatting sqref="G1233">
    <cfRule type="expression" dxfId="0" priority="6091">
      <formula>COUNTIF(I1233:CV1233,"&lt;&gt;" &amp; "")&gt;0</formula>
    </cfRule>
    <cfRule type="expression" dxfId="1" priority="6092">
      <formula>AND(COUNTIF(I1233:CV1233,"&lt;&gt;" &amp; "")&gt;0,NOT(ISBLANK(G1233)))</formula>
    </cfRule>
  </conditionalFormatting>
  <conditionalFormatting sqref="G1234">
    <cfRule type="expression" dxfId="0" priority="6094">
      <formula>COUNTIF(I1234:CV1234,"&lt;&gt;" &amp; "")&gt;0</formula>
    </cfRule>
    <cfRule type="expression" dxfId="1" priority="6095">
      <formula>AND(COUNTIF(I1234:CV1234,"&lt;&gt;" &amp; "")&gt;0,NOT(ISBLANK(G1234)))</formula>
    </cfRule>
  </conditionalFormatting>
  <conditionalFormatting sqref="G1235">
    <cfRule type="expression" dxfId="0" priority="6097">
      <formula>COUNTIF(I1235:CV1235,"&lt;&gt;" &amp; "")&gt;0</formula>
    </cfRule>
    <cfRule type="expression" dxfId="1" priority="6098">
      <formula>AND(COUNTIF(I1235:CV1235,"&lt;&gt;" &amp; "")&gt;0,NOT(ISBLANK(G1235)))</formula>
    </cfRule>
  </conditionalFormatting>
  <conditionalFormatting sqref="G1236">
    <cfRule type="expression" dxfId="0" priority="6100">
      <formula>COUNTIF(I1236:CV1236,"&lt;&gt;" &amp; "")&gt;0</formula>
    </cfRule>
    <cfRule type="expression" dxfId="1" priority="6101">
      <formula>AND(COUNTIF(I1236:CV1236,"&lt;&gt;" &amp; "")&gt;0,NOT(ISBLANK(G1236)))</formula>
    </cfRule>
  </conditionalFormatting>
  <conditionalFormatting sqref="G1237">
    <cfRule type="expression" dxfId="0" priority="6103">
      <formula>COUNTIF(I1237:CV1237,"&lt;&gt;" &amp; "")&gt;0</formula>
    </cfRule>
    <cfRule type="expression" dxfId="1" priority="6104">
      <formula>AND(COUNTIF(I1237:CV1237,"&lt;&gt;" &amp; "")&gt;0,NOT(ISBLANK(G1237)))</formula>
    </cfRule>
  </conditionalFormatting>
  <conditionalFormatting sqref="G1238">
    <cfRule type="expression" dxfId="0" priority="6106">
      <formula>COUNTIF(I1238:CV1238,"&lt;&gt;" &amp; "")&gt;0</formula>
    </cfRule>
    <cfRule type="expression" dxfId="1" priority="6107">
      <formula>AND(COUNTIF(I1238:CV1238,"&lt;&gt;" &amp; "")&gt;0,NOT(ISBLANK(G1238)))</formula>
    </cfRule>
  </conditionalFormatting>
  <conditionalFormatting sqref="G1239">
    <cfRule type="expression" dxfId="0" priority="6109">
      <formula>COUNTIF(I1239:CV1239,"&lt;&gt;" &amp; "")&gt;0</formula>
    </cfRule>
    <cfRule type="expression" dxfId="1" priority="6110">
      <formula>AND(COUNTIF(I1239:CV1239,"&lt;&gt;" &amp; "")&gt;0,NOT(ISBLANK(G1239)))</formula>
    </cfRule>
  </conditionalFormatting>
  <conditionalFormatting sqref="G124">
    <cfRule type="expression" dxfId="0" priority="2764">
      <formula>COUNTIF(I124:CV124,"&lt;&gt;" &amp; "")&gt;0</formula>
    </cfRule>
    <cfRule type="expression" dxfId="1" priority="2765">
      <formula>AND(COUNTIF(I124:CV124,"&lt;&gt;" &amp; "")&gt;0,NOT(ISBLANK(G124)))</formula>
    </cfRule>
  </conditionalFormatting>
  <conditionalFormatting sqref="G1240">
    <cfRule type="expression" dxfId="0" priority="6112">
      <formula>COUNTIF(I1240:CV1240,"&lt;&gt;" &amp; "")&gt;0</formula>
    </cfRule>
    <cfRule type="expression" dxfId="1" priority="6113">
      <formula>AND(COUNTIF(I1240:CV1240,"&lt;&gt;" &amp; "")&gt;0,NOT(ISBLANK(G1240)))</formula>
    </cfRule>
  </conditionalFormatting>
  <conditionalFormatting sqref="G1241">
    <cfRule type="expression" dxfId="0" priority="6115">
      <formula>COUNTIF(I1241:CV1241,"&lt;&gt;" &amp; "")&gt;0</formula>
    </cfRule>
    <cfRule type="expression" dxfId="1" priority="6116">
      <formula>AND(COUNTIF(I1241:CV1241,"&lt;&gt;" &amp; "")&gt;0,NOT(ISBLANK(G1241)))</formula>
    </cfRule>
  </conditionalFormatting>
  <conditionalFormatting sqref="G1242">
    <cfRule type="expression" dxfId="0" priority="6118">
      <formula>COUNTIF(I1242:CV1242,"&lt;&gt;" &amp; "")&gt;0</formula>
    </cfRule>
    <cfRule type="expression" dxfId="1" priority="6119">
      <formula>AND(COUNTIF(I1242:CV1242,"&lt;&gt;" &amp; "")&gt;0,NOT(ISBLANK(G1242)))</formula>
    </cfRule>
  </conditionalFormatting>
  <conditionalFormatting sqref="G1243">
    <cfRule type="expression" dxfId="0" priority="6121">
      <formula>COUNTIF(I1243:CV1243,"&lt;&gt;" &amp; "")&gt;0</formula>
    </cfRule>
    <cfRule type="expression" dxfId="1" priority="6122">
      <formula>AND(COUNTIF(I1243:CV1243,"&lt;&gt;" &amp; "")&gt;0,NOT(ISBLANK(G1243)))</formula>
    </cfRule>
  </conditionalFormatting>
  <conditionalFormatting sqref="G1244">
    <cfRule type="expression" dxfId="0" priority="6124">
      <formula>COUNTIF(I1244:CV1244,"&lt;&gt;" &amp; "")&gt;0</formula>
    </cfRule>
    <cfRule type="expression" dxfId="1" priority="6125">
      <formula>AND(COUNTIF(I1244:CV1244,"&lt;&gt;" &amp; "")&gt;0,NOT(ISBLANK(G1244)))</formula>
    </cfRule>
  </conditionalFormatting>
  <conditionalFormatting sqref="G1245">
    <cfRule type="expression" dxfId="0" priority="6127">
      <formula>COUNTIF(I1245:CV1245,"&lt;&gt;" &amp; "")&gt;0</formula>
    </cfRule>
    <cfRule type="expression" dxfId="1" priority="6128">
      <formula>AND(COUNTIF(I1245:CV1245,"&lt;&gt;" &amp; "")&gt;0,NOT(ISBLANK(G1245)))</formula>
    </cfRule>
  </conditionalFormatting>
  <conditionalFormatting sqref="G1246">
    <cfRule type="expression" dxfId="0" priority="6130">
      <formula>COUNTIF(I1246:CV1246,"&lt;&gt;" &amp; "")&gt;0</formula>
    </cfRule>
    <cfRule type="expression" dxfId="1" priority="6131">
      <formula>AND(COUNTIF(I1246:CV1246,"&lt;&gt;" &amp; "")&gt;0,NOT(ISBLANK(G1246)))</formula>
    </cfRule>
  </conditionalFormatting>
  <conditionalFormatting sqref="G1247">
    <cfRule type="expression" dxfId="0" priority="6133">
      <formula>COUNTIF(I1247:CV1247,"&lt;&gt;" &amp; "")&gt;0</formula>
    </cfRule>
    <cfRule type="expression" dxfId="1" priority="6134">
      <formula>AND(COUNTIF(I1247:CV1247,"&lt;&gt;" &amp; "")&gt;0,NOT(ISBLANK(G1247)))</formula>
    </cfRule>
  </conditionalFormatting>
  <conditionalFormatting sqref="G1248">
    <cfRule type="expression" dxfId="0" priority="6136">
      <formula>COUNTIF(I1248:CV1248,"&lt;&gt;" &amp; "")&gt;0</formula>
    </cfRule>
    <cfRule type="expression" dxfId="1" priority="6137">
      <formula>AND(COUNTIF(I1248:CV1248,"&lt;&gt;" &amp; "")&gt;0,NOT(ISBLANK(G1248)))</formula>
    </cfRule>
  </conditionalFormatting>
  <conditionalFormatting sqref="G1249">
    <cfRule type="expression" dxfId="0" priority="6139">
      <formula>COUNTIF(I1249:CV1249,"&lt;&gt;" &amp; "")&gt;0</formula>
    </cfRule>
    <cfRule type="expression" dxfId="1" priority="6140">
      <formula>AND(COUNTIF(I1249:CV1249,"&lt;&gt;" &amp; "")&gt;0,NOT(ISBLANK(G1249)))</formula>
    </cfRule>
  </conditionalFormatting>
  <conditionalFormatting sqref="G125">
    <cfRule type="expression" dxfId="0" priority="2767">
      <formula>COUNTIF(I125:CV125,"&lt;&gt;" &amp; "")&gt;0</formula>
    </cfRule>
    <cfRule type="expression" dxfId="1" priority="2768">
      <formula>AND(COUNTIF(I125:CV125,"&lt;&gt;" &amp; "")&gt;0,NOT(ISBLANK(G125)))</formula>
    </cfRule>
  </conditionalFormatting>
  <conditionalFormatting sqref="G1250">
    <cfRule type="expression" dxfId="0" priority="6142">
      <formula>COUNTIF(I1250:CV1250,"&lt;&gt;" &amp; "")&gt;0</formula>
    </cfRule>
    <cfRule type="expression" dxfId="1" priority="6143">
      <formula>AND(COUNTIF(I1250:CV1250,"&lt;&gt;" &amp; "")&gt;0,NOT(ISBLANK(G1250)))</formula>
    </cfRule>
  </conditionalFormatting>
  <conditionalFormatting sqref="G1251">
    <cfRule type="expression" dxfId="0" priority="6145">
      <formula>COUNTIF(I1251:CV1251,"&lt;&gt;" &amp; "")&gt;0</formula>
    </cfRule>
    <cfRule type="expression" dxfId="1" priority="6146">
      <formula>AND(COUNTIF(I1251:CV1251,"&lt;&gt;" &amp; "")&gt;0,NOT(ISBLANK(G1251)))</formula>
    </cfRule>
  </conditionalFormatting>
  <conditionalFormatting sqref="G1252">
    <cfRule type="expression" dxfId="0" priority="6148">
      <formula>COUNTIF(I1252:CV1252,"&lt;&gt;" &amp; "")&gt;0</formula>
    </cfRule>
    <cfRule type="expression" dxfId="1" priority="6149">
      <formula>AND(COUNTIF(I1252:CV1252,"&lt;&gt;" &amp; "")&gt;0,NOT(ISBLANK(G1252)))</formula>
    </cfRule>
  </conditionalFormatting>
  <conditionalFormatting sqref="G1253">
    <cfRule type="expression" dxfId="0" priority="6151">
      <formula>COUNTIF(I1253:CV1253,"&lt;&gt;" &amp; "")&gt;0</formula>
    </cfRule>
    <cfRule type="expression" dxfId="1" priority="6152">
      <formula>AND(COUNTIF(I1253:CV1253,"&lt;&gt;" &amp; "")&gt;0,NOT(ISBLANK(G1253)))</formula>
    </cfRule>
  </conditionalFormatting>
  <conditionalFormatting sqref="G1254">
    <cfRule type="expression" dxfId="0" priority="6154">
      <formula>COUNTIF(I1254:CV1254,"&lt;&gt;" &amp; "")&gt;0</formula>
    </cfRule>
    <cfRule type="expression" dxfId="1" priority="6155">
      <formula>AND(COUNTIF(I1254:CV1254,"&lt;&gt;" &amp; "")&gt;0,NOT(ISBLANK(G1254)))</formula>
    </cfRule>
  </conditionalFormatting>
  <conditionalFormatting sqref="G1255">
    <cfRule type="expression" dxfId="0" priority="6157">
      <formula>COUNTIF(I1255:CV1255,"&lt;&gt;" &amp; "")&gt;0</formula>
    </cfRule>
    <cfRule type="expression" dxfId="1" priority="6158">
      <formula>AND(COUNTIF(I1255:CV1255,"&lt;&gt;" &amp; "")&gt;0,NOT(ISBLANK(G1255)))</formula>
    </cfRule>
  </conditionalFormatting>
  <conditionalFormatting sqref="G1256">
    <cfRule type="expression" dxfId="0" priority="6160">
      <formula>COUNTIF(I1256:CV1256,"&lt;&gt;" &amp; "")&gt;0</formula>
    </cfRule>
    <cfRule type="expression" dxfId="1" priority="6161">
      <formula>AND(COUNTIF(I1256:CV1256,"&lt;&gt;" &amp; "")&gt;0,NOT(ISBLANK(G1256)))</formula>
    </cfRule>
  </conditionalFormatting>
  <conditionalFormatting sqref="G1257">
    <cfRule type="expression" dxfId="0" priority="6163">
      <formula>COUNTIF(I1257:CV1257,"&lt;&gt;" &amp; "")&gt;0</formula>
    </cfRule>
    <cfRule type="expression" dxfId="1" priority="6164">
      <formula>AND(COUNTIF(I1257:CV1257,"&lt;&gt;" &amp; "")&gt;0,NOT(ISBLANK(G1257)))</formula>
    </cfRule>
  </conditionalFormatting>
  <conditionalFormatting sqref="G1258">
    <cfRule type="expression" dxfId="0" priority="6166">
      <formula>COUNTIF(I1258:CV1258,"&lt;&gt;" &amp; "")&gt;0</formula>
    </cfRule>
    <cfRule type="expression" dxfId="1" priority="6167">
      <formula>AND(COUNTIF(I1258:CV1258,"&lt;&gt;" &amp; "")&gt;0,NOT(ISBLANK(G1258)))</formula>
    </cfRule>
  </conditionalFormatting>
  <conditionalFormatting sqref="G1259">
    <cfRule type="expression" dxfId="0" priority="6169">
      <formula>COUNTIF(I1259:CV1259,"&lt;&gt;" &amp; "")&gt;0</formula>
    </cfRule>
    <cfRule type="expression" dxfId="1" priority="6170">
      <formula>AND(COUNTIF(I1259:CV1259,"&lt;&gt;" &amp; "")&gt;0,NOT(ISBLANK(G1259)))</formula>
    </cfRule>
  </conditionalFormatting>
  <conditionalFormatting sqref="G126">
    <cfRule type="expression" dxfId="0" priority="2770">
      <formula>COUNTIF(I126:CV126,"&lt;&gt;" &amp; "")&gt;0</formula>
    </cfRule>
    <cfRule type="expression" dxfId="1" priority="2771">
      <formula>AND(COUNTIF(I126:CV126,"&lt;&gt;" &amp; "")&gt;0,NOT(ISBLANK(G126)))</formula>
    </cfRule>
  </conditionalFormatting>
  <conditionalFormatting sqref="G1260">
    <cfRule type="expression" dxfId="0" priority="6172">
      <formula>COUNTIF(I1260:CV1260,"&lt;&gt;" &amp; "")&gt;0</formula>
    </cfRule>
    <cfRule type="expression" dxfId="1" priority="6173">
      <formula>AND(COUNTIF(I1260:CV1260,"&lt;&gt;" &amp; "")&gt;0,NOT(ISBLANK(G1260)))</formula>
    </cfRule>
  </conditionalFormatting>
  <conditionalFormatting sqref="G1261">
    <cfRule type="expression" dxfId="0" priority="6175">
      <formula>COUNTIF(I1261:CV1261,"&lt;&gt;" &amp; "")&gt;0</formula>
    </cfRule>
    <cfRule type="expression" dxfId="1" priority="6176">
      <formula>AND(COUNTIF(I1261:CV1261,"&lt;&gt;" &amp; "")&gt;0,NOT(ISBLANK(G1261)))</formula>
    </cfRule>
  </conditionalFormatting>
  <conditionalFormatting sqref="G1262">
    <cfRule type="expression" dxfId="0" priority="6178">
      <formula>COUNTIF(I1262:CV1262,"&lt;&gt;" &amp; "")&gt;0</formula>
    </cfRule>
    <cfRule type="expression" dxfId="1" priority="6179">
      <formula>AND(COUNTIF(I1262:CV1262,"&lt;&gt;" &amp; "")&gt;0,NOT(ISBLANK(G1262)))</formula>
    </cfRule>
  </conditionalFormatting>
  <conditionalFormatting sqref="G1263">
    <cfRule type="expression" dxfId="0" priority="6181">
      <formula>COUNTIF(I1263:CV1263,"&lt;&gt;" &amp; "")&gt;0</formula>
    </cfRule>
    <cfRule type="expression" dxfId="1" priority="6182">
      <formula>AND(COUNTIF(I1263:CV1263,"&lt;&gt;" &amp; "")&gt;0,NOT(ISBLANK(G1263)))</formula>
    </cfRule>
  </conditionalFormatting>
  <conditionalFormatting sqref="G1264">
    <cfRule type="expression" dxfId="0" priority="6184">
      <formula>COUNTIF(I1264:CV1264,"&lt;&gt;" &amp; "")&gt;0</formula>
    </cfRule>
    <cfRule type="expression" dxfId="1" priority="6185">
      <formula>AND(COUNTIF(I1264:CV1264,"&lt;&gt;" &amp; "")&gt;0,NOT(ISBLANK(G1264)))</formula>
    </cfRule>
  </conditionalFormatting>
  <conditionalFormatting sqref="G1265">
    <cfRule type="expression" dxfId="0" priority="6187">
      <formula>COUNTIF(I1265:CV1265,"&lt;&gt;" &amp; "")&gt;0</formula>
    </cfRule>
    <cfRule type="expression" dxfId="1" priority="6188">
      <formula>AND(COUNTIF(I1265:CV1265,"&lt;&gt;" &amp; "")&gt;0,NOT(ISBLANK(G1265)))</formula>
    </cfRule>
  </conditionalFormatting>
  <conditionalFormatting sqref="G1266">
    <cfRule type="expression" dxfId="0" priority="6190">
      <formula>COUNTIF(I1266:CV1266,"&lt;&gt;" &amp; "")&gt;0</formula>
    </cfRule>
    <cfRule type="expression" dxfId="1" priority="6191">
      <formula>AND(COUNTIF(I1266:CV1266,"&lt;&gt;" &amp; "")&gt;0,NOT(ISBLANK(G1266)))</formula>
    </cfRule>
  </conditionalFormatting>
  <conditionalFormatting sqref="G1267">
    <cfRule type="expression" dxfId="0" priority="6193">
      <formula>COUNTIF(I1267:CV1267,"&lt;&gt;" &amp; "")&gt;0</formula>
    </cfRule>
    <cfRule type="expression" dxfId="1" priority="6194">
      <formula>AND(COUNTIF(I1267:CV1267,"&lt;&gt;" &amp; "")&gt;0,NOT(ISBLANK(G1267)))</formula>
    </cfRule>
  </conditionalFormatting>
  <conditionalFormatting sqref="G1268">
    <cfRule type="expression" dxfId="0" priority="6196">
      <formula>COUNTIF(I1268:CV1268,"&lt;&gt;" &amp; "")&gt;0</formula>
    </cfRule>
    <cfRule type="expression" dxfId="1" priority="6197">
      <formula>AND(COUNTIF(I1268:CV1268,"&lt;&gt;" &amp; "")&gt;0,NOT(ISBLANK(G1268)))</formula>
    </cfRule>
  </conditionalFormatting>
  <conditionalFormatting sqref="G1269">
    <cfRule type="expression" dxfId="0" priority="6199">
      <formula>COUNTIF(I1269:CV1269,"&lt;&gt;" &amp; "")&gt;0</formula>
    </cfRule>
    <cfRule type="expression" dxfId="1" priority="6200">
      <formula>AND(COUNTIF(I1269:CV1269,"&lt;&gt;" &amp; "")&gt;0,NOT(ISBLANK(G1269)))</formula>
    </cfRule>
  </conditionalFormatting>
  <conditionalFormatting sqref="G127">
    <cfRule type="expression" dxfId="0" priority="2773">
      <formula>COUNTIF(I127:CV127,"&lt;&gt;" &amp; "")&gt;0</formula>
    </cfRule>
    <cfRule type="expression" dxfId="1" priority="2774">
      <formula>AND(COUNTIF(I127:CV127,"&lt;&gt;" &amp; "")&gt;0,NOT(ISBLANK(G127)))</formula>
    </cfRule>
  </conditionalFormatting>
  <conditionalFormatting sqref="G1270">
    <cfRule type="expression" dxfId="0" priority="6202">
      <formula>COUNTIF(I1270:CV1270,"&lt;&gt;" &amp; "")&gt;0</formula>
    </cfRule>
    <cfRule type="expression" dxfId="1" priority="6203">
      <formula>AND(COUNTIF(I1270:CV1270,"&lt;&gt;" &amp; "")&gt;0,NOT(ISBLANK(G1270)))</formula>
    </cfRule>
  </conditionalFormatting>
  <conditionalFormatting sqref="G1271">
    <cfRule type="expression" dxfId="0" priority="6205">
      <formula>COUNTIF(I1271:CV1271,"&lt;&gt;" &amp; "")&gt;0</formula>
    </cfRule>
    <cfRule type="expression" dxfId="1" priority="6206">
      <formula>AND(COUNTIF(I1271:CV1271,"&lt;&gt;" &amp; "")&gt;0,NOT(ISBLANK(G1271)))</formula>
    </cfRule>
  </conditionalFormatting>
  <conditionalFormatting sqref="G1272">
    <cfRule type="expression" dxfId="0" priority="6208">
      <formula>COUNTIF(I1272:CV1272,"&lt;&gt;" &amp; "")&gt;0</formula>
    </cfRule>
    <cfRule type="expression" dxfId="1" priority="6209">
      <formula>AND(COUNTIF(I1272:CV1272,"&lt;&gt;" &amp; "")&gt;0,NOT(ISBLANK(G1272)))</formula>
    </cfRule>
  </conditionalFormatting>
  <conditionalFormatting sqref="G1273">
    <cfRule type="expression" dxfId="0" priority="6211">
      <formula>COUNTIF(I1273:CV1273,"&lt;&gt;" &amp; "")&gt;0</formula>
    </cfRule>
    <cfRule type="expression" dxfId="1" priority="6212">
      <formula>AND(COUNTIF(I1273:CV1273,"&lt;&gt;" &amp; "")&gt;0,NOT(ISBLANK(G1273)))</formula>
    </cfRule>
  </conditionalFormatting>
  <conditionalFormatting sqref="G1274">
    <cfRule type="expression" dxfId="0" priority="6214">
      <formula>COUNTIF(I1274:CV1274,"&lt;&gt;" &amp; "")&gt;0</formula>
    </cfRule>
    <cfRule type="expression" dxfId="1" priority="6215">
      <formula>AND(COUNTIF(I1274:CV1274,"&lt;&gt;" &amp; "")&gt;0,NOT(ISBLANK(G1274)))</formula>
    </cfRule>
  </conditionalFormatting>
  <conditionalFormatting sqref="G1275">
    <cfRule type="expression" dxfId="0" priority="6217">
      <formula>COUNTIF(I1275:CV1275,"&lt;&gt;" &amp; "")&gt;0</formula>
    </cfRule>
    <cfRule type="expression" dxfId="1" priority="6218">
      <formula>AND(COUNTIF(I1275:CV1275,"&lt;&gt;" &amp; "")&gt;0,NOT(ISBLANK(G1275)))</formula>
    </cfRule>
  </conditionalFormatting>
  <conditionalFormatting sqref="G1276">
    <cfRule type="expression" dxfId="0" priority="6220">
      <formula>COUNTIF(I1276:CV1276,"&lt;&gt;" &amp; "")&gt;0</formula>
    </cfRule>
    <cfRule type="expression" dxfId="1" priority="6221">
      <formula>AND(COUNTIF(I1276:CV1276,"&lt;&gt;" &amp; "")&gt;0,NOT(ISBLANK(G1276)))</formula>
    </cfRule>
  </conditionalFormatting>
  <conditionalFormatting sqref="G1277">
    <cfRule type="expression" dxfId="0" priority="6223">
      <formula>COUNTIF(I1277:CV1277,"&lt;&gt;" &amp; "")&gt;0</formula>
    </cfRule>
    <cfRule type="expression" dxfId="1" priority="6224">
      <formula>AND(COUNTIF(I1277:CV1277,"&lt;&gt;" &amp; "")&gt;0,NOT(ISBLANK(G1277)))</formula>
    </cfRule>
  </conditionalFormatting>
  <conditionalFormatting sqref="G1278">
    <cfRule type="expression" dxfId="0" priority="6226">
      <formula>COUNTIF(I1278:CV1278,"&lt;&gt;" &amp; "")&gt;0</formula>
    </cfRule>
    <cfRule type="expression" dxfId="1" priority="6227">
      <formula>AND(COUNTIF(I1278:CV1278,"&lt;&gt;" &amp; "")&gt;0,NOT(ISBLANK(G1278)))</formula>
    </cfRule>
  </conditionalFormatting>
  <conditionalFormatting sqref="G1279">
    <cfRule type="expression" dxfId="0" priority="6229">
      <formula>COUNTIF(I1279:CV1279,"&lt;&gt;" &amp; "")&gt;0</formula>
    </cfRule>
    <cfRule type="expression" dxfId="1" priority="6230">
      <formula>AND(COUNTIF(I1279:CV1279,"&lt;&gt;" &amp; "")&gt;0,NOT(ISBLANK(G1279)))</formula>
    </cfRule>
  </conditionalFormatting>
  <conditionalFormatting sqref="G128">
    <cfRule type="expression" dxfId="0" priority="2776">
      <formula>COUNTIF(I128:CV128,"&lt;&gt;" &amp; "")&gt;0</formula>
    </cfRule>
    <cfRule type="expression" dxfId="1" priority="2777">
      <formula>AND(COUNTIF(I128:CV128,"&lt;&gt;" &amp; "")&gt;0,NOT(ISBLANK(G128)))</formula>
    </cfRule>
  </conditionalFormatting>
  <conditionalFormatting sqref="G1280">
    <cfRule type="expression" dxfId="0" priority="6232">
      <formula>COUNTIF(I1280:CV1280,"&lt;&gt;" &amp; "")&gt;0</formula>
    </cfRule>
    <cfRule type="expression" dxfId="1" priority="6233">
      <formula>AND(COUNTIF(I1280:CV1280,"&lt;&gt;" &amp; "")&gt;0,NOT(ISBLANK(G1280)))</formula>
    </cfRule>
  </conditionalFormatting>
  <conditionalFormatting sqref="G1281">
    <cfRule type="expression" dxfId="0" priority="6235">
      <formula>COUNTIF(I1281:CV1281,"&lt;&gt;" &amp; "")&gt;0</formula>
    </cfRule>
    <cfRule type="expression" dxfId="1" priority="6236">
      <formula>AND(COUNTIF(I1281:CV1281,"&lt;&gt;" &amp; "")&gt;0,NOT(ISBLANK(G1281)))</formula>
    </cfRule>
  </conditionalFormatting>
  <conditionalFormatting sqref="G1282">
    <cfRule type="expression" dxfId="0" priority="6238">
      <formula>COUNTIF(I1282:CV1282,"&lt;&gt;" &amp; "")&gt;0</formula>
    </cfRule>
    <cfRule type="expression" dxfId="1" priority="6239">
      <formula>AND(COUNTIF(I1282:CV1282,"&lt;&gt;" &amp; "")&gt;0,NOT(ISBLANK(G1282)))</formula>
    </cfRule>
  </conditionalFormatting>
  <conditionalFormatting sqref="G1283">
    <cfRule type="expression" dxfId="0" priority="6241">
      <formula>COUNTIF(I1283:CV1283,"&lt;&gt;" &amp; "")&gt;0</formula>
    </cfRule>
    <cfRule type="expression" dxfId="1" priority="6242">
      <formula>AND(COUNTIF(I1283:CV1283,"&lt;&gt;" &amp; "")&gt;0,NOT(ISBLANK(G1283)))</formula>
    </cfRule>
  </conditionalFormatting>
  <conditionalFormatting sqref="G1284">
    <cfRule type="expression" dxfId="0" priority="6244">
      <formula>COUNTIF(I1284:CV1284,"&lt;&gt;" &amp; "")&gt;0</formula>
    </cfRule>
    <cfRule type="expression" dxfId="1" priority="6245">
      <formula>AND(COUNTIF(I1284:CV1284,"&lt;&gt;" &amp; "")&gt;0,NOT(ISBLANK(G1284)))</formula>
    </cfRule>
  </conditionalFormatting>
  <conditionalFormatting sqref="G1285">
    <cfRule type="expression" dxfId="0" priority="6247">
      <formula>COUNTIF(I1285:CV1285,"&lt;&gt;" &amp; "")&gt;0</formula>
    </cfRule>
    <cfRule type="expression" dxfId="1" priority="6248">
      <formula>AND(COUNTIF(I1285:CV1285,"&lt;&gt;" &amp; "")&gt;0,NOT(ISBLANK(G1285)))</formula>
    </cfRule>
  </conditionalFormatting>
  <conditionalFormatting sqref="G1286">
    <cfRule type="expression" dxfId="0" priority="6250">
      <formula>COUNTIF(I1286:CV1286,"&lt;&gt;" &amp; "")&gt;0</formula>
    </cfRule>
    <cfRule type="expression" dxfId="1" priority="6251">
      <formula>AND(COUNTIF(I1286:CV1286,"&lt;&gt;" &amp; "")&gt;0,NOT(ISBLANK(G1286)))</formula>
    </cfRule>
  </conditionalFormatting>
  <conditionalFormatting sqref="G1287">
    <cfRule type="expression" dxfId="0" priority="6253">
      <formula>COUNTIF(I1287:CV1287,"&lt;&gt;" &amp; "")&gt;0</formula>
    </cfRule>
    <cfRule type="expression" dxfId="1" priority="6254">
      <formula>AND(COUNTIF(I1287:CV1287,"&lt;&gt;" &amp; "")&gt;0,NOT(ISBLANK(G1287)))</formula>
    </cfRule>
  </conditionalFormatting>
  <conditionalFormatting sqref="G1288">
    <cfRule type="expression" dxfId="0" priority="6256">
      <formula>COUNTIF(I1288:CV1288,"&lt;&gt;" &amp; "")&gt;0</formula>
    </cfRule>
    <cfRule type="expression" dxfId="1" priority="6257">
      <formula>AND(COUNTIF(I1288:CV1288,"&lt;&gt;" &amp; "")&gt;0,NOT(ISBLANK(G1288)))</formula>
    </cfRule>
  </conditionalFormatting>
  <conditionalFormatting sqref="G1289">
    <cfRule type="expression" dxfId="0" priority="6259">
      <formula>COUNTIF(I1289:CV1289,"&lt;&gt;" &amp; "")&gt;0</formula>
    </cfRule>
    <cfRule type="expression" dxfId="1" priority="6260">
      <formula>AND(COUNTIF(I1289:CV1289,"&lt;&gt;" &amp; "")&gt;0,NOT(ISBLANK(G1289)))</formula>
    </cfRule>
  </conditionalFormatting>
  <conditionalFormatting sqref="G129">
    <cfRule type="expression" dxfId="0" priority="2779">
      <formula>COUNTIF(I129:CV129,"&lt;&gt;" &amp; "")&gt;0</formula>
    </cfRule>
    <cfRule type="expression" dxfId="1" priority="2780">
      <formula>AND(COUNTIF(I129:CV129,"&lt;&gt;" &amp; "")&gt;0,NOT(ISBLANK(G129)))</formula>
    </cfRule>
  </conditionalFormatting>
  <conditionalFormatting sqref="G1290">
    <cfRule type="expression" dxfId="0" priority="6262">
      <formula>COUNTIF(I1290:CV1290,"&lt;&gt;" &amp; "")&gt;0</formula>
    </cfRule>
    <cfRule type="expression" dxfId="1" priority="6263">
      <formula>AND(COUNTIF(I1290:CV1290,"&lt;&gt;" &amp; "")&gt;0,NOT(ISBLANK(G1290)))</formula>
    </cfRule>
  </conditionalFormatting>
  <conditionalFormatting sqref="G1291">
    <cfRule type="expression" dxfId="0" priority="6265">
      <formula>COUNTIF(I1291:CV1291,"&lt;&gt;" &amp; "")&gt;0</formula>
    </cfRule>
    <cfRule type="expression" dxfId="1" priority="6266">
      <formula>AND(COUNTIF(I1291:CV1291,"&lt;&gt;" &amp; "")&gt;0,NOT(ISBLANK(G1291)))</formula>
    </cfRule>
  </conditionalFormatting>
  <conditionalFormatting sqref="G1292">
    <cfRule type="expression" dxfId="0" priority="6268">
      <formula>COUNTIF(I1292:CV1292,"&lt;&gt;" &amp; "")&gt;0</formula>
    </cfRule>
    <cfRule type="expression" dxfId="1" priority="6269">
      <formula>AND(COUNTIF(I1292:CV1292,"&lt;&gt;" &amp; "")&gt;0,NOT(ISBLANK(G1292)))</formula>
    </cfRule>
  </conditionalFormatting>
  <conditionalFormatting sqref="G1293">
    <cfRule type="expression" dxfId="0" priority="6271">
      <formula>COUNTIF(I1293:CV1293,"&lt;&gt;" &amp; "")&gt;0</formula>
    </cfRule>
    <cfRule type="expression" dxfId="1" priority="6272">
      <formula>AND(COUNTIF(I1293:CV1293,"&lt;&gt;" &amp; "")&gt;0,NOT(ISBLANK(G1293)))</formula>
    </cfRule>
  </conditionalFormatting>
  <conditionalFormatting sqref="G1294">
    <cfRule type="expression" dxfId="0" priority="6274">
      <formula>COUNTIF(I1294:CV1294,"&lt;&gt;" &amp; "")&gt;0</formula>
    </cfRule>
    <cfRule type="expression" dxfId="1" priority="6275">
      <formula>AND(COUNTIF(I1294:CV1294,"&lt;&gt;" &amp; "")&gt;0,NOT(ISBLANK(G1294)))</formula>
    </cfRule>
  </conditionalFormatting>
  <conditionalFormatting sqref="G1295">
    <cfRule type="expression" dxfId="0" priority="6277">
      <formula>COUNTIF(I1295:CV1295,"&lt;&gt;" &amp; "")&gt;0</formula>
    </cfRule>
    <cfRule type="expression" dxfId="1" priority="6278">
      <formula>AND(COUNTIF(I1295:CV1295,"&lt;&gt;" &amp; "")&gt;0,NOT(ISBLANK(G1295)))</formula>
    </cfRule>
  </conditionalFormatting>
  <conditionalFormatting sqref="G1296">
    <cfRule type="expression" dxfId="0" priority="6280">
      <formula>COUNTIF(I1296:CV1296,"&lt;&gt;" &amp; "")&gt;0</formula>
    </cfRule>
    <cfRule type="expression" dxfId="1" priority="6281">
      <formula>AND(COUNTIF(I1296:CV1296,"&lt;&gt;" &amp; "")&gt;0,NOT(ISBLANK(G1296)))</formula>
    </cfRule>
  </conditionalFormatting>
  <conditionalFormatting sqref="G1297">
    <cfRule type="expression" dxfId="0" priority="6283">
      <formula>COUNTIF(I1297:CV1297,"&lt;&gt;" &amp; "")&gt;0</formula>
    </cfRule>
    <cfRule type="expression" dxfId="1" priority="6284">
      <formula>AND(COUNTIF(I1297:CV1297,"&lt;&gt;" &amp; "")&gt;0,NOT(ISBLANK(G1297)))</formula>
    </cfRule>
  </conditionalFormatting>
  <conditionalFormatting sqref="G1298">
    <cfRule type="expression" dxfId="0" priority="6286">
      <formula>COUNTIF(I1298:CV1298,"&lt;&gt;" &amp; "")&gt;0</formula>
    </cfRule>
    <cfRule type="expression" dxfId="1" priority="6287">
      <formula>AND(COUNTIF(I1298:CV1298,"&lt;&gt;" &amp; "")&gt;0,NOT(ISBLANK(G1298)))</formula>
    </cfRule>
  </conditionalFormatting>
  <conditionalFormatting sqref="G1299">
    <cfRule type="expression" dxfId="0" priority="6289">
      <formula>COUNTIF(I1299:CV1299,"&lt;&gt;" &amp; "")&gt;0</formula>
    </cfRule>
    <cfRule type="expression" dxfId="1" priority="6290">
      <formula>AND(COUNTIF(I1299:CV1299,"&lt;&gt;" &amp; "")&gt;0,NOT(ISBLANK(G1299)))</formula>
    </cfRule>
  </conditionalFormatting>
  <conditionalFormatting sqref="G13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G130">
    <cfRule type="expression" dxfId="0" priority="2782">
      <formula>COUNTIF(I130:CV130,"&lt;&gt;" &amp; "")&gt;0</formula>
    </cfRule>
    <cfRule type="expression" dxfId="1" priority="2783">
      <formula>AND(COUNTIF(I130:CV130,"&lt;&gt;" &amp; "")&gt;0,NOT(ISBLANK(G130)))</formula>
    </cfRule>
  </conditionalFormatting>
  <conditionalFormatting sqref="G1300">
    <cfRule type="expression" dxfId="0" priority="6292">
      <formula>COUNTIF(I1300:CV1300,"&lt;&gt;" &amp; "")&gt;0</formula>
    </cfRule>
    <cfRule type="expression" dxfId="1" priority="6293">
      <formula>AND(COUNTIF(I1300:CV1300,"&lt;&gt;" &amp; "")&gt;0,NOT(ISBLANK(G1300)))</formula>
    </cfRule>
  </conditionalFormatting>
  <conditionalFormatting sqref="G1301">
    <cfRule type="expression" dxfId="0" priority="6295">
      <formula>COUNTIF(I1301:CV1301,"&lt;&gt;" &amp; "")&gt;0</formula>
    </cfRule>
    <cfRule type="expression" dxfId="1" priority="6296">
      <formula>AND(COUNTIF(I1301:CV1301,"&lt;&gt;" &amp; "")&gt;0,NOT(ISBLANK(G1301)))</formula>
    </cfRule>
  </conditionalFormatting>
  <conditionalFormatting sqref="G1302">
    <cfRule type="expression" dxfId="0" priority="6298">
      <formula>COUNTIF(I1302:CV1302,"&lt;&gt;" &amp; "")&gt;0</formula>
    </cfRule>
    <cfRule type="expression" dxfId="1" priority="6299">
      <formula>AND(COUNTIF(I1302:CV1302,"&lt;&gt;" &amp; "")&gt;0,NOT(ISBLANK(G1302)))</formula>
    </cfRule>
  </conditionalFormatting>
  <conditionalFormatting sqref="G1303">
    <cfRule type="expression" dxfId="0" priority="6301">
      <formula>COUNTIF(I1303:CV1303,"&lt;&gt;" &amp; "")&gt;0</formula>
    </cfRule>
    <cfRule type="expression" dxfId="1" priority="6302">
      <formula>AND(COUNTIF(I1303:CV1303,"&lt;&gt;" &amp; "")&gt;0,NOT(ISBLANK(G1303)))</formula>
    </cfRule>
  </conditionalFormatting>
  <conditionalFormatting sqref="G1304">
    <cfRule type="expression" dxfId="0" priority="6304">
      <formula>COUNTIF(I1304:CV1304,"&lt;&gt;" &amp; "")&gt;0</formula>
    </cfRule>
    <cfRule type="expression" dxfId="1" priority="6305">
      <formula>AND(COUNTIF(I1304:CV1304,"&lt;&gt;" &amp; "")&gt;0,NOT(ISBLANK(G1304)))</formula>
    </cfRule>
  </conditionalFormatting>
  <conditionalFormatting sqref="G1305">
    <cfRule type="expression" dxfId="0" priority="6307">
      <formula>COUNTIF(I1305:CV1305,"&lt;&gt;" &amp; "")&gt;0</formula>
    </cfRule>
    <cfRule type="expression" dxfId="1" priority="6308">
      <formula>AND(COUNTIF(I1305:CV1305,"&lt;&gt;" &amp; "")&gt;0,NOT(ISBLANK(G1305)))</formula>
    </cfRule>
  </conditionalFormatting>
  <conditionalFormatting sqref="G1306">
    <cfRule type="expression" dxfId="0" priority="6310">
      <formula>COUNTIF(I1306:CV1306,"&lt;&gt;" &amp; "")&gt;0</formula>
    </cfRule>
    <cfRule type="expression" dxfId="1" priority="6311">
      <formula>AND(COUNTIF(I1306:CV1306,"&lt;&gt;" &amp; "")&gt;0,NOT(ISBLANK(G1306)))</formula>
    </cfRule>
  </conditionalFormatting>
  <conditionalFormatting sqref="G1307">
    <cfRule type="expression" dxfId="0" priority="6313">
      <formula>COUNTIF(I1307:CV1307,"&lt;&gt;" &amp; "")&gt;0</formula>
    </cfRule>
    <cfRule type="expression" dxfId="1" priority="6314">
      <formula>AND(COUNTIF(I1307:CV1307,"&lt;&gt;" &amp; "")&gt;0,NOT(ISBLANK(G1307)))</formula>
    </cfRule>
  </conditionalFormatting>
  <conditionalFormatting sqref="G1308">
    <cfRule type="expression" dxfId="0" priority="6316">
      <formula>COUNTIF(I1308:CV1308,"&lt;&gt;" &amp; "")&gt;0</formula>
    </cfRule>
    <cfRule type="expression" dxfId="1" priority="6317">
      <formula>AND(COUNTIF(I1308:CV1308,"&lt;&gt;" &amp; "")&gt;0,NOT(ISBLANK(G1308)))</formula>
    </cfRule>
  </conditionalFormatting>
  <conditionalFormatting sqref="G1309">
    <cfRule type="expression" dxfId="0" priority="6319">
      <formula>COUNTIF(I1309:CV1309,"&lt;&gt;" &amp; "")&gt;0</formula>
    </cfRule>
    <cfRule type="expression" dxfId="1" priority="6320">
      <formula>AND(COUNTIF(I1309:CV1309,"&lt;&gt;" &amp; "")&gt;0,NOT(ISBLANK(G1309)))</formula>
    </cfRule>
  </conditionalFormatting>
  <conditionalFormatting sqref="G131">
    <cfRule type="expression" dxfId="0" priority="2785">
      <formula>COUNTIF(I131:CV131,"&lt;&gt;" &amp; "")&gt;0</formula>
    </cfRule>
    <cfRule type="expression" dxfId="1" priority="2786">
      <formula>AND(COUNTIF(I131:CV131,"&lt;&gt;" &amp; "")&gt;0,NOT(ISBLANK(G131)))</formula>
    </cfRule>
  </conditionalFormatting>
  <conditionalFormatting sqref="G1310">
    <cfRule type="expression" dxfId="0" priority="6322">
      <formula>COUNTIF(I1310:CV1310,"&lt;&gt;" &amp; "")&gt;0</formula>
    </cfRule>
    <cfRule type="expression" dxfId="1" priority="6323">
      <formula>AND(COUNTIF(I1310:CV1310,"&lt;&gt;" &amp; "")&gt;0,NOT(ISBLANK(G1310)))</formula>
    </cfRule>
  </conditionalFormatting>
  <conditionalFormatting sqref="G1311">
    <cfRule type="expression" dxfId="0" priority="6325">
      <formula>COUNTIF(I1311:CV1311,"&lt;&gt;" &amp; "")&gt;0</formula>
    </cfRule>
    <cfRule type="expression" dxfId="1" priority="6326">
      <formula>AND(COUNTIF(I1311:CV1311,"&lt;&gt;" &amp; "")&gt;0,NOT(ISBLANK(G1311)))</formula>
    </cfRule>
  </conditionalFormatting>
  <conditionalFormatting sqref="G1312">
    <cfRule type="expression" dxfId="0" priority="6328">
      <formula>COUNTIF(I1312:CV1312,"&lt;&gt;" &amp; "")&gt;0</formula>
    </cfRule>
    <cfRule type="expression" dxfId="1" priority="6329">
      <formula>AND(COUNTIF(I1312:CV1312,"&lt;&gt;" &amp; "")&gt;0,NOT(ISBLANK(G1312)))</formula>
    </cfRule>
  </conditionalFormatting>
  <conditionalFormatting sqref="G1313">
    <cfRule type="expression" dxfId="0" priority="6331">
      <formula>COUNTIF(I1313:CV1313,"&lt;&gt;" &amp; "")&gt;0</formula>
    </cfRule>
    <cfRule type="expression" dxfId="1" priority="6332">
      <formula>AND(COUNTIF(I1313:CV1313,"&lt;&gt;" &amp; "")&gt;0,NOT(ISBLANK(G1313)))</formula>
    </cfRule>
  </conditionalFormatting>
  <conditionalFormatting sqref="G1314">
    <cfRule type="expression" dxfId="0" priority="6334">
      <formula>COUNTIF(I1314:CV1314,"&lt;&gt;" &amp; "")&gt;0</formula>
    </cfRule>
    <cfRule type="expression" dxfId="1" priority="6335">
      <formula>AND(COUNTIF(I1314:CV1314,"&lt;&gt;" &amp; "")&gt;0,NOT(ISBLANK(G1314)))</formula>
    </cfRule>
  </conditionalFormatting>
  <conditionalFormatting sqref="G1315">
    <cfRule type="expression" dxfId="0" priority="6337">
      <formula>COUNTIF(I1315:CV1315,"&lt;&gt;" &amp; "")&gt;0</formula>
    </cfRule>
    <cfRule type="expression" dxfId="1" priority="6338">
      <formula>AND(COUNTIF(I1315:CV1315,"&lt;&gt;" &amp; "")&gt;0,NOT(ISBLANK(G1315)))</formula>
    </cfRule>
  </conditionalFormatting>
  <conditionalFormatting sqref="G1316">
    <cfRule type="expression" dxfId="0" priority="6340">
      <formula>COUNTIF(I1316:CV1316,"&lt;&gt;" &amp; "")&gt;0</formula>
    </cfRule>
    <cfRule type="expression" dxfId="1" priority="6341">
      <formula>AND(COUNTIF(I1316:CV1316,"&lt;&gt;" &amp; "")&gt;0,NOT(ISBLANK(G1316)))</formula>
    </cfRule>
  </conditionalFormatting>
  <conditionalFormatting sqref="G1317">
    <cfRule type="expression" dxfId="0" priority="6343">
      <formula>COUNTIF(I1317:CV1317,"&lt;&gt;" &amp; "")&gt;0</formula>
    </cfRule>
    <cfRule type="expression" dxfId="1" priority="6344">
      <formula>AND(COUNTIF(I1317:CV1317,"&lt;&gt;" &amp; "")&gt;0,NOT(ISBLANK(G1317)))</formula>
    </cfRule>
  </conditionalFormatting>
  <conditionalFormatting sqref="G1318">
    <cfRule type="expression" dxfId="0" priority="6346">
      <formula>COUNTIF(I1318:CV1318,"&lt;&gt;" &amp; "")&gt;0</formula>
    </cfRule>
    <cfRule type="expression" dxfId="1" priority="6347">
      <formula>AND(COUNTIF(I1318:CV1318,"&lt;&gt;" &amp; "")&gt;0,NOT(ISBLANK(G1318)))</formula>
    </cfRule>
  </conditionalFormatting>
  <conditionalFormatting sqref="G1319">
    <cfRule type="expression" dxfId="0" priority="6349">
      <formula>COUNTIF(I1319:CV1319,"&lt;&gt;" &amp; "")&gt;0</formula>
    </cfRule>
    <cfRule type="expression" dxfId="1" priority="6350">
      <formula>AND(COUNTIF(I1319:CV1319,"&lt;&gt;" &amp; "")&gt;0,NOT(ISBLANK(G1319)))</formula>
    </cfRule>
  </conditionalFormatting>
  <conditionalFormatting sqref="G132">
    <cfRule type="expression" dxfId="0" priority="2788">
      <formula>COUNTIF(I132:CV132,"&lt;&gt;" &amp; "")&gt;0</formula>
    </cfRule>
    <cfRule type="expression" dxfId="1" priority="2789">
      <formula>AND(COUNTIF(I132:CV132,"&lt;&gt;" &amp; "")&gt;0,NOT(ISBLANK(G132)))</formula>
    </cfRule>
  </conditionalFormatting>
  <conditionalFormatting sqref="G1320">
    <cfRule type="expression" dxfId="0" priority="6352">
      <formula>COUNTIF(I1320:CV1320,"&lt;&gt;" &amp; "")&gt;0</formula>
    </cfRule>
    <cfRule type="expression" dxfId="1" priority="6353">
      <formula>AND(COUNTIF(I1320:CV1320,"&lt;&gt;" &amp; "")&gt;0,NOT(ISBLANK(G1320)))</formula>
    </cfRule>
  </conditionalFormatting>
  <conditionalFormatting sqref="G1321">
    <cfRule type="expression" dxfId="0" priority="6355">
      <formula>COUNTIF(I1321:CV1321,"&lt;&gt;" &amp; "")&gt;0</formula>
    </cfRule>
    <cfRule type="expression" dxfId="1" priority="6356">
      <formula>AND(COUNTIF(I1321:CV1321,"&lt;&gt;" &amp; "")&gt;0,NOT(ISBLANK(G1321)))</formula>
    </cfRule>
  </conditionalFormatting>
  <conditionalFormatting sqref="G1322">
    <cfRule type="expression" dxfId="0" priority="6358">
      <formula>COUNTIF(I1322:CV1322,"&lt;&gt;" &amp; "")&gt;0</formula>
    </cfRule>
    <cfRule type="expression" dxfId="1" priority="6359">
      <formula>AND(COUNTIF(I1322:CV1322,"&lt;&gt;" &amp; "")&gt;0,NOT(ISBLANK(G1322)))</formula>
    </cfRule>
  </conditionalFormatting>
  <conditionalFormatting sqref="G1323">
    <cfRule type="expression" dxfId="0" priority="6361">
      <formula>COUNTIF(I1323:CV1323,"&lt;&gt;" &amp; "")&gt;0</formula>
    </cfRule>
    <cfRule type="expression" dxfId="1" priority="6362">
      <formula>AND(COUNTIF(I1323:CV1323,"&lt;&gt;" &amp; "")&gt;0,NOT(ISBLANK(G1323)))</formula>
    </cfRule>
  </conditionalFormatting>
  <conditionalFormatting sqref="G1324">
    <cfRule type="expression" dxfId="0" priority="6364">
      <formula>COUNTIF(I1324:CV1324,"&lt;&gt;" &amp; "")&gt;0</formula>
    </cfRule>
    <cfRule type="expression" dxfId="1" priority="6365">
      <formula>AND(COUNTIF(I1324:CV1324,"&lt;&gt;" &amp; "")&gt;0,NOT(ISBLANK(G1324)))</formula>
    </cfRule>
  </conditionalFormatting>
  <conditionalFormatting sqref="G1325">
    <cfRule type="expression" dxfId="0" priority="6367">
      <formula>COUNTIF(I1325:CV1325,"&lt;&gt;" &amp; "")&gt;0</formula>
    </cfRule>
    <cfRule type="expression" dxfId="1" priority="6368">
      <formula>AND(COUNTIF(I1325:CV1325,"&lt;&gt;" &amp; "")&gt;0,NOT(ISBLANK(G1325)))</formula>
    </cfRule>
  </conditionalFormatting>
  <conditionalFormatting sqref="G1326">
    <cfRule type="expression" dxfId="0" priority="6370">
      <formula>COUNTIF(I1326:CV1326,"&lt;&gt;" &amp; "")&gt;0</formula>
    </cfRule>
    <cfRule type="expression" dxfId="1" priority="6371">
      <formula>AND(COUNTIF(I1326:CV1326,"&lt;&gt;" &amp; "")&gt;0,NOT(ISBLANK(G1326)))</formula>
    </cfRule>
  </conditionalFormatting>
  <conditionalFormatting sqref="G1327">
    <cfRule type="expression" dxfId="0" priority="6373">
      <formula>COUNTIF(I1327:CV1327,"&lt;&gt;" &amp; "")&gt;0</formula>
    </cfRule>
    <cfRule type="expression" dxfId="1" priority="6374">
      <formula>AND(COUNTIF(I1327:CV1327,"&lt;&gt;" &amp; "")&gt;0,NOT(ISBLANK(G1327)))</formula>
    </cfRule>
  </conditionalFormatting>
  <conditionalFormatting sqref="G1328">
    <cfRule type="expression" dxfId="0" priority="6376">
      <formula>COUNTIF(I1328:CV1328,"&lt;&gt;" &amp; "")&gt;0</formula>
    </cfRule>
    <cfRule type="expression" dxfId="1" priority="6377">
      <formula>AND(COUNTIF(I1328:CV1328,"&lt;&gt;" &amp; "")&gt;0,NOT(ISBLANK(G1328)))</formula>
    </cfRule>
  </conditionalFormatting>
  <conditionalFormatting sqref="G1329">
    <cfRule type="expression" dxfId="0" priority="6379">
      <formula>COUNTIF(I1329:CV1329,"&lt;&gt;" &amp; "")&gt;0</formula>
    </cfRule>
    <cfRule type="expression" dxfId="1" priority="6380">
      <formula>AND(COUNTIF(I1329:CV1329,"&lt;&gt;" &amp; "")&gt;0,NOT(ISBLANK(G1329)))</formula>
    </cfRule>
  </conditionalFormatting>
  <conditionalFormatting sqref="G133">
    <cfRule type="expression" dxfId="0" priority="2791">
      <formula>COUNTIF(I133:CV133,"&lt;&gt;" &amp; "")&gt;0</formula>
    </cfRule>
    <cfRule type="expression" dxfId="1" priority="2792">
      <formula>AND(COUNTIF(I133:CV133,"&lt;&gt;" &amp; "")&gt;0,NOT(ISBLANK(G133)))</formula>
    </cfRule>
  </conditionalFormatting>
  <conditionalFormatting sqref="G1330">
    <cfRule type="expression" dxfId="0" priority="6382">
      <formula>COUNTIF(I1330:CV1330,"&lt;&gt;" &amp; "")&gt;0</formula>
    </cfRule>
    <cfRule type="expression" dxfId="1" priority="6383">
      <formula>AND(COUNTIF(I1330:CV1330,"&lt;&gt;" &amp; "")&gt;0,NOT(ISBLANK(G1330)))</formula>
    </cfRule>
  </conditionalFormatting>
  <conditionalFormatting sqref="G1331">
    <cfRule type="expression" dxfId="0" priority="6385">
      <formula>COUNTIF(I1331:CV1331,"&lt;&gt;" &amp; "")&gt;0</formula>
    </cfRule>
    <cfRule type="expression" dxfId="1" priority="6386">
      <formula>AND(COUNTIF(I1331:CV1331,"&lt;&gt;" &amp; "")&gt;0,NOT(ISBLANK(G1331)))</formula>
    </cfRule>
  </conditionalFormatting>
  <conditionalFormatting sqref="G1332">
    <cfRule type="expression" dxfId="0" priority="6388">
      <formula>COUNTIF(I1332:CV1332,"&lt;&gt;" &amp; "")&gt;0</formula>
    </cfRule>
    <cfRule type="expression" dxfId="1" priority="6389">
      <formula>AND(COUNTIF(I1332:CV1332,"&lt;&gt;" &amp; "")&gt;0,NOT(ISBLANK(G1332)))</formula>
    </cfRule>
  </conditionalFormatting>
  <conditionalFormatting sqref="G1333">
    <cfRule type="expression" dxfId="0" priority="6391">
      <formula>COUNTIF(I1333:CV1333,"&lt;&gt;" &amp; "")&gt;0</formula>
    </cfRule>
    <cfRule type="expression" dxfId="1" priority="6392">
      <formula>AND(COUNTIF(I1333:CV1333,"&lt;&gt;" &amp; "")&gt;0,NOT(ISBLANK(G1333)))</formula>
    </cfRule>
  </conditionalFormatting>
  <conditionalFormatting sqref="G1334">
    <cfRule type="expression" dxfId="0" priority="6394">
      <formula>COUNTIF(I1334:CV1334,"&lt;&gt;" &amp; "")&gt;0</formula>
    </cfRule>
    <cfRule type="expression" dxfId="1" priority="6395">
      <formula>AND(COUNTIF(I1334:CV1334,"&lt;&gt;" &amp; "")&gt;0,NOT(ISBLANK(G1334)))</formula>
    </cfRule>
  </conditionalFormatting>
  <conditionalFormatting sqref="G1335">
    <cfRule type="expression" dxfId="0" priority="6397">
      <formula>COUNTIF(I1335:CV1335,"&lt;&gt;" &amp; "")&gt;0</formula>
    </cfRule>
    <cfRule type="expression" dxfId="1" priority="6398">
      <formula>AND(COUNTIF(I1335:CV1335,"&lt;&gt;" &amp; "")&gt;0,NOT(ISBLANK(G1335)))</formula>
    </cfRule>
  </conditionalFormatting>
  <conditionalFormatting sqref="G1336">
    <cfRule type="expression" dxfId="0" priority="6400">
      <formula>COUNTIF(I1336:CV1336,"&lt;&gt;" &amp; "")&gt;0</formula>
    </cfRule>
    <cfRule type="expression" dxfId="1" priority="6401">
      <formula>AND(COUNTIF(I1336:CV1336,"&lt;&gt;" &amp; "")&gt;0,NOT(ISBLANK(G1336)))</formula>
    </cfRule>
  </conditionalFormatting>
  <conditionalFormatting sqref="G1337">
    <cfRule type="expression" dxfId="0" priority="6403">
      <formula>COUNTIF(I1337:CV1337,"&lt;&gt;" &amp; "")&gt;0</formula>
    </cfRule>
    <cfRule type="expression" dxfId="1" priority="6404">
      <formula>AND(COUNTIF(I1337:CV1337,"&lt;&gt;" &amp; "")&gt;0,NOT(ISBLANK(G1337)))</formula>
    </cfRule>
  </conditionalFormatting>
  <conditionalFormatting sqref="G1338">
    <cfRule type="expression" dxfId="0" priority="6406">
      <formula>COUNTIF(I1338:CV1338,"&lt;&gt;" &amp; "")&gt;0</formula>
    </cfRule>
    <cfRule type="expression" dxfId="1" priority="6407">
      <formula>AND(COUNTIF(I1338:CV1338,"&lt;&gt;" &amp; "")&gt;0,NOT(ISBLANK(G1338)))</formula>
    </cfRule>
  </conditionalFormatting>
  <conditionalFormatting sqref="G134">
    <cfRule type="expression" dxfId="0" priority="2794">
      <formula>COUNTIF(I134:CV134,"&lt;&gt;" &amp; "")&gt;0</formula>
    </cfRule>
    <cfRule type="expression" dxfId="1" priority="2795">
      <formula>AND(COUNTIF(I134:CV134,"&lt;&gt;" &amp; "")&gt;0,NOT(ISBLANK(G134)))</formula>
    </cfRule>
  </conditionalFormatting>
  <conditionalFormatting sqref="G135">
    <cfRule type="expression" dxfId="0" priority="2797">
      <formula>COUNTIF(I135:CV135,"&lt;&gt;" &amp; "")&gt;0</formula>
    </cfRule>
    <cfRule type="expression" dxfId="1" priority="2798">
      <formula>AND(COUNTIF(I135:CV135,"&lt;&gt;" &amp; "")&gt;0,NOT(ISBLANK(G135)))</formula>
    </cfRule>
  </conditionalFormatting>
  <conditionalFormatting sqref="G136">
    <cfRule type="expression" dxfId="0" priority="2800">
      <formula>COUNTIF(I136:CV136,"&lt;&gt;" &amp; "")&gt;0</formula>
    </cfRule>
    <cfRule type="expression" dxfId="1" priority="2801">
      <formula>AND(COUNTIF(I136:CV136,"&lt;&gt;" &amp; "")&gt;0,NOT(ISBLANK(G136)))</formula>
    </cfRule>
  </conditionalFormatting>
  <conditionalFormatting sqref="G137">
    <cfRule type="expression" dxfId="0" priority="2803">
      <formula>COUNTIF(I137:CV137,"&lt;&gt;" &amp; "")&gt;0</formula>
    </cfRule>
    <cfRule type="expression" dxfId="1" priority="2804">
      <formula>AND(COUNTIF(I137:CV137,"&lt;&gt;" &amp; "")&gt;0,NOT(ISBLANK(G137)))</formula>
    </cfRule>
  </conditionalFormatting>
  <conditionalFormatting sqref="G138">
    <cfRule type="expression" dxfId="0" priority="2806">
      <formula>COUNTIF(I138:CV138,"&lt;&gt;" &amp; "")&gt;0</formula>
    </cfRule>
    <cfRule type="expression" dxfId="1" priority="2807">
      <formula>AND(COUNTIF(I138:CV138,"&lt;&gt;" &amp; "")&gt;0,NOT(ISBLANK(G138)))</formula>
    </cfRule>
  </conditionalFormatting>
  <conditionalFormatting sqref="G139">
    <cfRule type="expression" dxfId="0" priority="2809">
      <formula>COUNTIF(I139:CV139,"&lt;&gt;" &amp; "")&gt;0</formula>
    </cfRule>
    <cfRule type="expression" dxfId="1" priority="2810">
      <formula>AND(COUNTIF(I139:CV139,"&lt;&gt;" &amp; "")&gt;0,NOT(ISBLANK(G139)))</formula>
    </cfRule>
  </conditionalFormatting>
  <conditionalFormatting sqref="G14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G140">
    <cfRule type="expression" dxfId="0" priority="2812">
      <formula>COUNTIF(I140:CV140,"&lt;&gt;" &amp; "")&gt;0</formula>
    </cfRule>
    <cfRule type="expression" dxfId="1" priority="2813">
      <formula>AND(COUNTIF(I140:CV140,"&lt;&gt;" &amp; "")&gt;0,NOT(ISBLANK(G140)))</formula>
    </cfRule>
  </conditionalFormatting>
  <conditionalFormatting sqref="G141">
    <cfRule type="expression" dxfId="0" priority="2815">
      <formula>COUNTIF(I141:CV141,"&lt;&gt;" &amp; "")&gt;0</formula>
    </cfRule>
    <cfRule type="expression" dxfId="1" priority="2816">
      <formula>AND(COUNTIF(I141:CV141,"&lt;&gt;" &amp; "")&gt;0,NOT(ISBLANK(G141)))</formula>
    </cfRule>
  </conditionalFormatting>
  <conditionalFormatting sqref="G142">
    <cfRule type="expression" dxfId="0" priority="2818">
      <formula>COUNTIF(I142:CV142,"&lt;&gt;" &amp; "")&gt;0</formula>
    </cfRule>
    <cfRule type="expression" dxfId="1" priority="2819">
      <formula>AND(COUNTIF(I142:CV142,"&lt;&gt;" &amp; "")&gt;0,NOT(ISBLANK(G142)))</formula>
    </cfRule>
  </conditionalFormatting>
  <conditionalFormatting sqref="G143">
    <cfRule type="expression" dxfId="0" priority="2821">
      <formula>COUNTIF(I143:CV143,"&lt;&gt;" &amp; "")&gt;0</formula>
    </cfRule>
    <cfRule type="expression" dxfId="1" priority="2822">
      <formula>AND(COUNTIF(I143:CV143,"&lt;&gt;" &amp; "")&gt;0,NOT(ISBLANK(G143)))</formula>
    </cfRule>
  </conditionalFormatting>
  <conditionalFormatting sqref="G144">
    <cfRule type="expression" dxfId="0" priority="2824">
      <formula>COUNTIF(I144:CV144,"&lt;&gt;" &amp; "")&gt;0</formula>
    </cfRule>
    <cfRule type="expression" dxfId="1" priority="2825">
      <formula>AND(COUNTIF(I144:CV144,"&lt;&gt;" &amp; "")&gt;0,NOT(ISBLANK(G144)))</formula>
    </cfRule>
  </conditionalFormatting>
  <conditionalFormatting sqref="G145">
    <cfRule type="expression" dxfId="0" priority="2827">
      <formula>COUNTIF(I145:CV145,"&lt;&gt;" &amp; "")&gt;0</formula>
    </cfRule>
    <cfRule type="expression" dxfId="1" priority="2828">
      <formula>AND(COUNTIF(I145:CV145,"&lt;&gt;" &amp; "")&gt;0,NOT(ISBLANK(G145)))</formula>
    </cfRule>
  </conditionalFormatting>
  <conditionalFormatting sqref="G146">
    <cfRule type="expression" dxfId="0" priority="2830">
      <formula>COUNTIF(I146:CV146,"&lt;&gt;" &amp; "")&gt;0</formula>
    </cfRule>
    <cfRule type="expression" dxfId="1" priority="2831">
      <formula>AND(COUNTIF(I146:CV146,"&lt;&gt;" &amp; "")&gt;0,NOT(ISBLANK(G146)))</formula>
    </cfRule>
  </conditionalFormatting>
  <conditionalFormatting sqref="G147">
    <cfRule type="expression" dxfId="0" priority="2833">
      <formula>COUNTIF(I147:CV147,"&lt;&gt;" &amp; "")&gt;0</formula>
    </cfRule>
    <cfRule type="expression" dxfId="1" priority="2834">
      <formula>AND(COUNTIF(I147:CV147,"&lt;&gt;" &amp; "")&gt;0,NOT(ISBLANK(G147)))</formula>
    </cfRule>
  </conditionalFormatting>
  <conditionalFormatting sqref="G148">
    <cfRule type="expression" dxfId="0" priority="2836">
      <formula>COUNTIF(I148:CV148,"&lt;&gt;" &amp; "")&gt;0</formula>
    </cfRule>
    <cfRule type="expression" dxfId="1" priority="2837">
      <formula>AND(COUNTIF(I148:CV148,"&lt;&gt;" &amp; "")&gt;0,NOT(ISBLANK(G148)))</formula>
    </cfRule>
  </conditionalFormatting>
  <conditionalFormatting sqref="G149">
    <cfRule type="expression" dxfId="0" priority="2839">
      <formula>COUNTIF(I149:CV149,"&lt;&gt;" &amp; "")&gt;0</formula>
    </cfRule>
    <cfRule type="expression" dxfId="1" priority="2840">
      <formula>AND(COUNTIF(I149:CV149,"&lt;&gt;" &amp; "")&gt;0,NOT(ISBLANK(G149)))</formula>
    </cfRule>
  </conditionalFormatting>
  <conditionalFormatting sqref="G15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G150">
    <cfRule type="expression" dxfId="0" priority="2842">
      <formula>COUNTIF(I150:CV150,"&lt;&gt;" &amp; "")&gt;0</formula>
    </cfRule>
    <cfRule type="expression" dxfId="1" priority="2843">
      <formula>AND(COUNTIF(I150:CV150,"&lt;&gt;" &amp; "")&gt;0,NOT(ISBLANK(G150)))</formula>
    </cfRule>
  </conditionalFormatting>
  <conditionalFormatting sqref="G151">
    <cfRule type="expression" dxfId="0" priority="2845">
      <formula>COUNTIF(I151:CV151,"&lt;&gt;" &amp; "")&gt;0</formula>
    </cfRule>
    <cfRule type="expression" dxfId="1" priority="2846">
      <formula>AND(COUNTIF(I151:CV151,"&lt;&gt;" &amp; "")&gt;0,NOT(ISBLANK(G151)))</formula>
    </cfRule>
  </conditionalFormatting>
  <conditionalFormatting sqref="G152">
    <cfRule type="expression" dxfId="0" priority="2848">
      <formula>COUNTIF(I152:CV152,"&lt;&gt;" &amp; "")&gt;0</formula>
    </cfRule>
    <cfRule type="expression" dxfId="1" priority="2849">
      <formula>AND(COUNTIF(I152:CV152,"&lt;&gt;" &amp; "")&gt;0,NOT(ISBLANK(G152)))</formula>
    </cfRule>
  </conditionalFormatting>
  <conditionalFormatting sqref="G153">
    <cfRule type="expression" dxfId="0" priority="2851">
      <formula>COUNTIF(I153:CV153,"&lt;&gt;" &amp; "")&gt;0</formula>
    </cfRule>
    <cfRule type="expression" dxfId="1" priority="2852">
      <formula>AND(COUNTIF(I153:CV153,"&lt;&gt;" &amp; "")&gt;0,NOT(ISBLANK(G153)))</formula>
    </cfRule>
  </conditionalFormatting>
  <conditionalFormatting sqref="G154">
    <cfRule type="expression" dxfId="0" priority="2854">
      <formula>COUNTIF(I154:CV154,"&lt;&gt;" &amp; "")&gt;0</formula>
    </cfRule>
    <cfRule type="expression" dxfId="1" priority="2855">
      <formula>AND(COUNTIF(I154:CV154,"&lt;&gt;" &amp; "")&gt;0,NOT(ISBLANK(G154)))</formula>
    </cfRule>
  </conditionalFormatting>
  <conditionalFormatting sqref="G155">
    <cfRule type="expression" dxfId="0" priority="2857">
      <formula>COUNTIF(I155:CV155,"&lt;&gt;" &amp; "")&gt;0</formula>
    </cfRule>
    <cfRule type="expression" dxfId="1" priority="2858">
      <formula>AND(COUNTIF(I155:CV155,"&lt;&gt;" &amp; "")&gt;0,NOT(ISBLANK(G155)))</formula>
    </cfRule>
  </conditionalFormatting>
  <conditionalFormatting sqref="G156">
    <cfRule type="expression" dxfId="0" priority="2860">
      <formula>COUNTIF(I156:CV156,"&lt;&gt;" &amp; "")&gt;0</formula>
    </cfRule>
    <cfRule type="expression" dxfId="1" priority="2861">
      <formula>AND(COUNTIF(I156:CV156,"&lt;&gt;" &amp; "")&gt;0,NOT(ISBLANK(G156)))</formula>
    </cfRule>
  </conditionalFormatting>
  <conditionalFormatting sqref="G157">
    <cfRule type="expression" dxfId="0" priority="2863">
      <formula>COUNTIF(I157:CV157,"&lt;&gt;" &amp; "")&gt;0</formula>
    </cfRule>
    <cfRule type="expression" dxfId="1" priority="2864">
      <formula>AND(COUNTIF(I157:CV157,"&lt;&gt;" &amp; "")&gt;0,NOT(ISBLANK(G157)))</formula>
    </cfRule>
  </conditionalFormatting>
  <conditionalFormatting sqref="G158">
    <cfRule type="expression" dxfId="0" priority="2866">
      <formula>COUNTIF(I158:CV158,"&lt;&gt;" &amp; "")&gt;0</formula>
    </cfRule>
    <cfRule type="expression" dxfId="1" priority="2867">
      <formula>AND(COUNTIF(I158:CV158,"&lt;&gt;" &amp; "")&gt;0,NOT(ISBLANK(G158)))</formula>
    </cfRule>
  </conditionalFormatting>
  <conditionalFormatting sqref="G159">
    <cfRule type="expression" dxfId="0" priority="2869">
      <formula>COUNTIF(I159:CV159,"&lt;&gt;" &amp; "")&gt;0</formula>
    </cfRule>
    <cfRule type="expression" dxfId="1" priority="2870">
      <formula>AND(COUNTIF(I159:CV159,"&lt;&gt;" &amp; "")&gt;0,NOT(ISBLANK(G159)))</formula>
    </cfRule>
  </conditionalFormatting>
  <conditionalFormatting sqref="G16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G160">
    <cfRule type="expression" dxfId="0" priority="2872">
      <formula>COUNTIF(I160:CV160,"&lt;&gt;" &amp; "")&gt;0</formula>
    </cfRule>
    <cfRule type="expression" dxfId="1" priority="2873">
      <formula>AND(COUNTIF(I160:CV160,"&lt;&gt;" &amp; "")&gt;0,NOT(ISBLANK(G160)))</formula>
    </cfRule>
  </conditionalFormatting>
  <conditionalFormatting sqref="G161">
    <cfRule type="expression" dxfId="0" priority="2875">
      <formula>COUNTIF(I161:CV161,"&lt;&gt;" &amp; "")&gt;0</formula>
    </cfRule>
    <cfRule type="expression" dxfId="1" priority="2876">
      <formula>AND(COUNTIF(I161:CV161,"&lt;&gt;" &amp; "")&gt;0,NOT(ISBLANK(G161)))</formula>
    </cfRule>
  </conditionalFormatting>
  <conditionalFormatting sqref="G162">
    <cfRule type="expression" dxfId="0" priority="2878">
      <formula>COUNTIF(I162:CV162,"&lt;&gt;" &amp; "")&gt;0</formula>
    </cfRule>
    <cfRule type="expression" dxfId="1" priority="2879">
      <formula>AND(COUNTIF(I162:CV162,"&lt;&gt;" &amp; "")&gt;0,NOT(ISBLANK(G162)))</formula>
    </cfRule>
  </conditionalFormatting>
  <conditionalFormatting sqref="G163">
    <cfRule type="expression" dxfId="0" priority="2881">
      <formula>COUNTIF(I163:CV163,"&lt;&gt;" &amp; "")&gt;0</formula>
    </cfRule>
    <cfRule type="expression" dxfId="1" priority="2882">
      <formula>AND(COUNTIF(I163:CV163,"&lt;&gt;" &amp; "")&gt;0,NOT(ISBLANK(G163)))</formula>
    </cfRule>
  </conditionalFormatting>
  <conditionalFormatting sqref="G164">
    <cfRule type="expression" dxfId="0" priority="2884">
      <formula>COUNTIF(I164:CV164,"&lt;&gt;" &amp; "")&gt;0</formula>
    </cfRule>
    <cfRule type="expression" dxfId="1" priority="2885">
      <formula>AND(COUNTIF(I164:CV164,"&lt;&gt;" &amp; "")&gt;0,NOT(ISBLANK(G164)))</formula>
    </cfRule>
  </conditionalFormatting>
  <conditionalFormatting sqref="G165">
    <cfRule type="expression" dxfId="0" priority="2887">
      <formula>COUNTIF(I165:CV165,"&lt;&gt;" &amp; "")&gt;0</formula>
    </cfRule>
    <cfRule type="expression" dxfId="1" priority="2888">
      <formula>AND(COUNTIF(I165:CV165,"&lt;&gt;" &amp; "")&gt;0,NOT(ISBLANK(G165)))</formula>
    </cfRule>
  </conditionalFormatting>
  <conditionalFormatting sqref="G166">
    <cfRule type="expression" dxfId="0" priority="2890">
      <formula>COUNTIF(I166:CV166,"&lt;&gt;" &amp; "")&gt;0</formula>
    </cfRule>
    <cfRule type="expression" dxfId="1" priority="2891">
      <formula>AND(COUNTIF(I166:CV166,"&lt;&gt;" &amp; "")&gt;0,NOT(ISBLANK(G166)))</formula>
    </cfRule>
  </conditionalFormatting>
  <conditionalFormatting sqref="G167">
    <cfRule type="expression" dxfId="0" priority="2893">
      <formula>COUNTIF(I167:CV167,"&lt;&gt;" &amp; "")&gt;0</formula>
    </cfRule>
    <cfRule type="expression" dxfId="1" priority="2894">
      <formula>AND(COUNTIF(I167:CV167,"&lt;&gt;" &amp; "")&gt;0,NOT(ISBLANK(G167)))</formula>
    </cfRule>
  </conditionalFormatting>
  <conditionalFormatting sqref="G168">
    <cfRule type="expression" dxfId="0" priority="2896">
      <formula>COUNTIF(I168:CV168,"&lt;&gt;" &amp; "")&gt;0</formula>
    </cfRule>
    <cfRule type="expression" dxfId="1" priority="2897">
      <formula>AND(COUNTIF(I168:CV168,"&lt;&gt;" &amp; "")&gt;0,NOT(ISBLANK(G168)))</formula>
    </cfRule>
  </conditionalFormatting>
  <conditionalFormatting sqref="G169">
    <cfRule type="expression" dxfId="0" priority="2899">
      <formula>COUNTIF(I169:CV169,"&lt;&gt;" &amp; "")&gt;0</formula>
    </cfRule>
    <cfRule type="expression" dxfId="1" priority="2900">
      <formula>AND(COUNTIF(I169:CV169,"&lt;&gt;" &amp; "")&gt;0,NOT(ISBLANK(G169)))</formula>
    </cfRule>
  </conditionalFormatting>
  <conditionalFormatting sqref="G17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G170">
    <cfRule type="expression" dxfId="0" priority="2902">
      <formula>COUNTIF(I170:CV170,"&lt;&gt;" &amp; "")&gt;0</formula>
    </cfRule>
    <cfRule type="expression" dxfId="1" priority="2903">
      <formula>AND(COUNTIF(I170:CV170,"&lt;&gt;" &amp; "")&gt;0,NOT(ISBLANK(G170)))</formula>
    </cfRule>
  </conditionalFormatting>
  <conditionalFormatting sqref="G171">
    <cfRule type="expression" dxfId="0" priority="2905">
      <formula>COUNTIF(I171:CV171,"&lt;&gt;" &amp; "")&gt;0</formula>
    </cfRule>
    <cfRule type="expression" dxfId="1" priority="2906">
      <formula>AND(COUNTIF(I171:CV171,"&lt;&gt;" &amp; "")&gt;0,NOT(ISBLANK(G171)))</formula>
    </cfRule>
  </conditionalFormatting>
  <conditionalFormatting sqref="G172">
    <cfRule type="expression" dxfId="0" priority="2908">
      <formula>COUNTIF(I172:CV172,"&lt;&gt;" &amp; "")&gt;0</formula>
    </cfRule>
    <cfRule type="expression" dxfId="1" priority="2909">
      <formula>AND(COUNTIF(I172:CV172,"&lt;&gt;" &amp; "")&gt;0,NOT(ISBLANK(G172)))</formula>
    </cfRule>
  </conditionalFormatting>
  <conditionalFormatting sqref="G173">
    <cfRule type="expression" dxfId="0" priority="2911">
      <formula>COUNTIF(I173:CV173,"&lt;&gt;" &amp; "")&gt;0</formula>
    </cfRule>
    <cfRule type="expression" dxfId="1" priority="2912">
      <formula>AND(COUNTIF(I173:CV173,"&lt;&gt;" &amp; "")&gt;0,NOT(ISBLANK(G173)))</formula>
    </cfRule>
  </conditionalFormatting>
  <conditionalFormatting sqref="G174">
    <cfRule type="expression" dxfId="0" priority="2914">
      <formula>COUNTIF(I174:CV174,"&lt;&gt;" &amp; "")&gt;0</formula>
    </cfRule>
    <cfRule type="expression" dxfId="1" priority="2915">
      <formula>AND(COUNTIF(I174:CV174,"&lt;&gt;" &amp; "")&gt;0,NOT(ISBLANK(G174)))</formula>
    </cfRule>
  </conditionalFormatting>
  <conditionalFormatting sqref="G175">
    <cfRule type="expression" dxfId="0" priority="2917">
      <formula>COUNTIF(I175:CV175,"&lt;&gt;" &amp; "")&gt;0</formula>
    </cfRule>
    <cfRule type="expression" dxfId="1" priority="2918">
      <formula>AND(COUNTIF(I175:CV175,"&lt;&gt;" &amp; "")&gt;0,NOT(ISBLANK(G175)))</formula>
    </cfRule>
  </conditionalFormatting>
  <conditionalFormatting sqref="G176">
    <cfRule type="expression" dxfId="0" priority="2920">
      <formula>COUNTIF(I176:CV176,"&lt;&gt;" &amp; "")&gt;0</formula>
    </cfRule>
    <cfRule type="expression" dxfId="1" priority="2921">
      <formula>AND(COUNTIF(I176:CV176,"&lt;&gt;" &amp; "")&gt;0,NOT(ISBLANK(G176)))</formula>
    </cfRule>
  </conditionalFormatting>
  <conditionalFormatting sqref="G177">
    <cfRule type="expression" dxfId="0" priority="2923">
      <formula>COUNTIF(I177:CV177,"&lt;&gt;" &amp; "")&gt;0</formula>
    </cfRule>
    <cfRule type="expression" dxfId="1" priority="2924">
      <formula>AND(COUNTIF(I177:CV177,"&lt;&gt;" &amp; "")&gt;0,NOT(ISBLANK(G177)))</formula>
    </cfRule>
  </conditionalFormatting>
  <conditionalFormatting sqref="G178">
    <cfRule type="expression" dxfId="0" priority="2926">
      <formula>COUNTIF(I178:CV178,"&lt;&gt;" &amp; "")&gt;0</formula>
    </cfRule>
    <cfRule type="expression" dxfId="1" priority="2927">
      <formula>AND(COUNTIF(I178:CV178,"&lt;&gt;" &amp; "")&gt;0,NOT(ISBLANK(G178)))</formula>
    </cfRule>
  </conditionalFormatting>
  <conditionalFormatting sqref="G179">
    <cfRule type="expression" dxfId="0" priority="2929">
      <formula>COUNTIF(I179:CV179,"&lt;&gt;" &amp; "")&gt;0</formula>
    </cfRule>
    <cfRule type="expression" dxfId="1" priority="2930">
      <formula>AND(COUNTIF(I179:CV179,"&lt;&gt;" &amp; "")&gt;0,NOT(ISBLANK(G179)))</formula>
    </cfRule>
  </conditionalFormatting>
  <conditionalFormatting sqref="G18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G180">
    <cfRule type="expression" dxfId="0" priority="2932">
      <formula>COUNTIF(I180:CV180,"&lt;&gt;" &amp; "")&gt;0</formula>
    </cfRule>
    <cfRule type="expression" dxfId="1" priority="2933">
      <formula>AND(COUNTIF(I180:CV180,"&lt;&gt;" &amp; "")&gt;0,NOT(ISBLANK(G180)))</formula>
    </cfRule>
  </conditionalFormatting>
  <conditionalFormatting sqref="G181">
    <cfRule type="expression" dxfId="0" priority="2935">
      <formula>COUNTIF(I181:CV181,"&lt;&gt;" &amp; "")&gt;0</formula>
    </cfRule>
    <cfRule type="expression" dxfId="1" priority="2936">
      <formula>AND(COUNTIF(I181:CV181,"&lt;&gt;" &amp; "")&gt;0,NOT(ISBLANK(G181)))</formula>
    </cfRule>
  </conditionalFormatting>
  <conditionalFormatting sqref="G182">
    <cfRule type="expression" dxfId="0" priority="2938">
      <formula>COUNTIF(I182:CV182,"&lt;&gt;" &amp; "")&gt;0</formula>
    </cfRule>
    <cfRule type="expression" dxfId="1" priority="2939">
      <formula>AND(COUNTIF(I182:CV182,"&lt;&gt;" &amp; "")&gt;0,NOT(ISBLANK(G182)))</formula>
    </cfRule>
  </conditionalFormatting>
  <conditionalFormatting sqref="G183">
    <cfRule type="expression" dxfId="0" priority="2941">
      <formula>COUNTIF(I183:CV183,"&lt;&gt;" &amp; "")&gt;0</formula>
    </cfRule>
    <cfRule type="expression" dxfId="1" priority="2942">
      <formula>AND(COUNTIF(I183:CV183,"&lt;&gt;" &amp; "")&gt;0,NOT(ISBLANK(G183)))</formula>
    </cfRule>
  </conditionalFormatting>
  <conditionalFormatting sqref="G184">
    <cfRule type="expression" dxfId="0" priority="2944">
      <formula>COUNTIF(I184:CV184,"&lt;&gt;" &amp; "")&gt;0</formula>
    </cfRule>
    <cfRule type="expression" dxfId="1" priority="2945">
      <formula>AND(COUNTIF(I184:CV184,"&lt;&gt;" &amp; "")&gt;0,NOT(ISBLANK(G184)))</formula>
    </cfRule>
  </conditionalFormatting>
  <conditionalFormatting sqref="G185">
    <cfRule type="expression" dxfId="0" priority="2947">
      <formula>COUNTIF(I185:CV185,"&lt;&gt;" &amp; "")&gt;0</formula>
    </cfRule>
    <cfRule type="expression" dxfId="1" priority="2948">
      <formula>AND(COUNTIF(I185:CV185,"&lt;&gt;" &amp; "")&gt;0,NOT(ISBLANK(G185)))</formula>
    </cfRule>
  </conditionalFormatting>
  <conditionalFormatting sqref="G186">
    <cfRule type="expression" dxfId="0" priority="2950">
      <formula>COUNTIF(I186:CV186,"&lt;&gt;" &amp; "")&gt;0</formula>
    </cfRule>
    <cfRule type="expression" dxfId="1" priority="2951">
      <formula>AND(COUNTIF(I186:CV186,"&lt;&gt;" &amp; "")&gt;0,NOT(ISBLANK(G186)))</formula>
    </cfRule>
  </conditionalFormatting>
  <conditionalFormatting sqref="G187">
    <cfRule type="expression" dxfId="0" priority="2953">
      <formula>COUNTIF(I187:CV187,"&lt;&gt;" &amp; "")&gt;0</formula>
    </cfRule>
    <cfRule type="expression" dxfId="1" priority="2954">
      <formula>AND(COUNTIF(I187:CV187,"&lt;&gt;" &amp; "")&gt;0,NOT(ISBLANK(G187)))</formula>
    </cfRule>
  </conditionalFormatting>
  <conditionalFormatting sqref="G188">
    <cfRule type="expression" dxfId="0" priority="2956">
      <formula>COUNTIF(I188:CV188,"&lt;&gt;" &amp; "")&gt;0</formula>
    </cfRule>
    <cfRule type="expression" dxfId="1" priority="2957">
      <formula>AND(COUNTIF(I188:CV188,"&lt;&gt;" &amp; "")&gt;0,NOT(ISBLANK(G188)))</formula>
    </cfRule>
  </conditionalFormatting>
  <conditionalFormatting sqref="G189">
    <cfRule type="expression" dxfId="0" priority="2959">
      <formula>COUNTIF(I189:CV189,"&lt;&gt;" &amp; "")&gt;0</formula>
    </cfRule>
    <cfRule type="expression" dxfId="1" priority="2960">
      <formula>AND(COUNTIF(I189:CV189,"&lt;&gt;" &amp; "")&gt;0,NOT(ISBLANK(G189)))</formula>
    </cfRule>
  </conditionalFormatting>
  <conditionalFormatting sqref="G19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190">
    <cfRule type="expression" dxfId="0" priority="2962">
      <formula>COUNTIF(I190:CV190,"&lt;&gt;" &amp; "")&gt;0</formula>
    </cfRule>
    <cfRule type="expression" dxfId="1" priority="2963">
      <formula>AND(COUNTIF(I190:CV190,"&lt;&gt;" &amp; "")&gt;0,NOT(ISBLANK(G190)))</formula>
    </cfRule>
  </conditionalFormatting>
  <conditionalFormatting sqref="G191">
    <cfRule type="expression" dxfId="0" priority="2965">
      <formula>COUNTIF(I191:CV191,"&lt;&gt;" &amp; "")&gt;0</formula>
    </cfRule>
    <cfRule type="expression" dxfId="1" priority="2966">
      <formula>AND(COUNTIF(I191:CV191,"&lt;&gt;" &amp; "")&gt;0,NOT(ISBLANK(G191)))</formula>
    </cfRule>
  </conditionalFormatting>
  <conditionalFormatting sqref="G192">
    <cfRule type="expression" dxfId="0" priority="2968">
      <formula>COUNTIF(I192:CV192,"&lt;&gt;" &amp; "")&gt;0</formula>
    </cfRule>
    <cfRule type="expression" dxfId="1" priority="2969">
      <formula>AND(COUNTIF(I192:CV192,"&lt;&gt;" &amp; "")&gt;0,NOT(ISBLANK(G192)))</formula>
    </cfRule>
  </conditionalFormatting>
  <conditionalFormatting sqref="G193">
    <cfRule type="expression" dxfId="0" priority="2971">
      <formula>COUNTIF(I193:CV193,"&lt;&gt;" &amp; "")&gt;0</formula>
    </cfRule>
    <cfRule type="expression" dxfId="1" priority="2972">
      <formula>AND(COUNTIF(I193:CV193,"&lt;&gt;" &amp; "")&gt;0,NOT(ISBLANK(G193)))</formula>
    </cfRule>
  </conditionalFormatting>
  <conditionalFormatting sqref="G194">
    <cfRule type="expression" dxfId="0" priority="2974">
      <formula>COUNTIF(I194:CV194,"&lt;&gt;" &amp; "")&gt;0</formula>
    </cfRule>
    <cfRule type="expression" dxfId="1" priority="2975">
      <formula>AND(COUNTIF(I194:CV194,"&lt;&gt;" &amp; "")&gt;0,NOT(ISBLANK(G194)))</formula>
    </cfRule>
  </conditionalFormatting>
  <conditionalFormatting sqref="G195">
    <cfRule type="expression" dxfId="0" priority="2977">
      <formula>COUNTIF(I195:CV195,"&lt;&gt;" &amp; "")&gt;0</formula>
    </cfRule>
    <cfRule type="expression" dxfId="1" priority="2978">
      <formula>AND(COUNTIF(I195:CV195,"&lt;&gt;" &amp; "")&gt;0,NOT(ISBLANK(G195)))</formula>
    </cfRule>
  </conditionalFormatting>
  <conditionalFormatting sqref="G196">
    <cfRule type="expression" dxfId="0" priority="2980">
      <formula>COUNTIF(I196:CV196,"&lt;&gt;" &amp; "")&gt;0</formula>
    </cfRule>
    <cfRule type="expression" dxfId="1" priority="2981">
      <formula>AND(COUNTIF(I196:CV196,"&lt;&gt;" &amp; "")&gt;0,NOT(ISBLANK(G196)))</formula>
    </cfRule>
  </conditionalFormatting>
  <conditionalFormatting sqref="G197">
    <cfRule type="expression" dxfId="0" priority="2983">
      <formula>COUNTIF(I197:CV197,"&lt;&gt;" &amp; "")&gt;0</formula>
    </cfRule>
    <cfRule type="expression" dxfId="1" priority="2984">
      <formula>AND(COUNTIF(I197:CV197,"&lt;&gt;" &amp; "")&gt;0,NOT(ISBLANK(G197)))</formula>
    </cfRule>
  </conditionalFormatting>
  <conditionalFormatting sqref="G198">
    <cfRule type="expression" dxfId="0" priority="2986">
      <formula>COUNTIF(I198:CV198,"&lt;&gt;" &amp; "")&gt;0</formula>
    </cfRule>
    <cfRule type="expression" dxfId="1" priority="2987">
      <formula>AND(COUNTIF(I198:CV198,"&lt;&gt;" &amp; "")&gt;0,NOT(ISBLANK(G198)))</formula>
    </cfRule>
  </conditionalFormatting>
  <conditionalFormatting sqref="G199">
    <cfRule type="expression" dxfId="0" priority="2989">
      <formula>COUNTIF(I199:CV199,"&lt;&gt;" &amp; "")&gt;0</formula>
    </cfRule>
    <cfRule type="expression" dxfId="1" priority="2990">
      <formula>AND(COUNTIF(I199:CV199,"&lt;&gt;" &amp; "")&gt;0,NOT(ISBLANK(G199)))</formula>
    </cfRule>
  </conditionalFormatting>
  <conditionalFormatting sqref="G20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G200">
    <cfRule type="expression" dxfId="0" priority="2992">
      <formula>COUNTIF(I200:CV200,"&lt;&gt;" &amp; "")&gt;0</formula>
    </cfRule>
    <cfRule type="expression" dxfId="1" priority="2993">
      <formula>AND(COUNTIF(I200:CV200,"&lt;&gt;" &amp; "")&gt;0,NOT(ISBLANK(G200)))</formula>
    </cfRule>
  </conditionalFormatting>
  <conditionalFormatting sqref="G201">
    <cfRule type="expression" dxfId="0" priority="2995">
      <formula>COUNTIF(I201:CV201,"&lt;&gt;" &amp; "")&gt;0</formula>
    </cfRule>
    <cfRule type="expression" dxfId="1" priority="2996">
      <formula>AND(COUNTIF(I201:CV201,"&lt;&gt;" &amp; "")&gt;0,NOT(ISBLANK(G201)))</formula>
    </cfRule>
  </conditionalFormatting>
  <conditionalFormatting sqref="G202">
    <cfRule type="expression" dxfId="0" priority="2998">
      <formula>COUNTIF(I202:CV202,"&lt;&gt;" &amp; "")&gt;0</formula>
    </cfRule>
    <cfRule type="expression" dxfId="1" priority="2999">
      <formula>AND(COUNTIF(I202:CV202,"&lt;&gt;" &amp; "")&gt;0,NOT(ISBLANK(G202)))</formula>
    </cfRule>
  </conditionalFormatting>
  <conditionalFormatting sqref="G203">
    <cfRule type="expression" dxfId="0" priority="3001">
      <formula>COUNTIF(I203:CV203,"&lt;&gt;" &amp; "")&gt;0</formula>
    </cfRule>
    <cfRule type="expression" dxfId="1" priority="3002">
      <formula>AND(COUNTIF(I203:CV203,"&lt;&gt;" &amp; "")&gt;0,NOT(ISBLANK(G203)))</formula>
    </cfRule>
  </conditionalFormatting>
  <conditionalFormatting sqref="G204">
    <cfRule type="expression" dxfId="0" priority="3004">
      <formula>COUNTIF(I204:CV204,"&lt;&gt;" &amp; "")&gt;0</formula>
    </cfRule>
    <cfRule type="expression" dxfId="1" priority="3005">
      <formula>AND(COUNTIF(I204:CV204,"&lt;&gt;" &amp; "")&gt;0,NOT(ISBLANK(G204)))</formula>
    </cfRule>
  </conditionalFormatting>
  <conditionalFormatting sqref="G205">
    <cfRule type="expression" dxfId="0" priority="3007">
      <formula>COUNTIF(I205:CV205,"&lt;&gt;" &amp; "")&gt;0</formula>
    </cfRule>
    <cfRule type="expression" dxfId="1" priority="3008">
      <formula>AND(COUNTIF(I205:CV205,"&lt;&gt;" &amp; "")&gt;0,NOT(ISBLANK(G205)))</formula>
    </cfRule>
  </conditionalFormatting>
  <conditionalFormatting sqref="G206">
    <cfRule type="expression" dxfId="0" priority="3010">
      <formula>COUNTIF(I206:CV206,"&lt;&gt;" &amp; "")&gt;0</formula>
    </cfRule>
    <cfRule type="expression" dxfId="1" priority="3011">
      <formula>AND(COUNTIF(I206:CV206,"&lt;&gt;" &amp; "")&gt;0,NOT(ISBLANK(G206)))</formula>
    </cfRule>
  </conditionalFormatting>
  <conditionalFormatting sqref="G207">
    <cfRule type="expression" dxfId="0" priority="3013">
      <formula>COUNTIF(I207:CV207,"&lt;&gt;" &amp; "")&gt;0</formula>
    </cfRule>
    <cfRule type="expression" dxfId="1" priority="3014">
      <formula>AND(COUNTIF(I207:CV207,"&lt;&gt;" &amp; "")&gt;0,NOT(ISBLANK(G207)))</formula>
    </cfRule>
  </conditionalFormatting>
  <conditionalFormatting sqref="G208">
    <cfRule type="expression" dxfId="0" priority="3016">
      <formula>COUNTIF(I208:CV208,"&lt;&gt;" &amp; "")&gt;0</formula>
    </cfRule>
    <cfRule type="expression" dxfId="1" priority="3017">
      <formula>AND(COUNTIF(I208:CV208,"&lt;&gt;" &amp; "")&gt;0,NOT(ISBLANK(G208)))</formula>
    </cfRule>
  </conditionalFormatting>
  <conditionalFormatting sqref="G209">
    <cfRule type="expression" dxfId="0" priority="3019">
      <formula>COUNTIF(I209:CV209,"&lt;&gt;" &amp; "")&gt;0</formula>
    </cfRule>
    <cfRule type="expression" dxfId="1" priority="3020">
      <formula>AND(COUNTIF(I209:CV209,"&lt;&gt;" &amp; "")&gt;0,NOT(ISBLANK(G209)))</formula>
    </cfRule>
  </conditionalFormatting>
  <conditionalFormatting sqref="G21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10">
    <cfRule type="expression" dxfId="0" priority="3022">
      <formula>COUNTIF(I210:CV210,"&lt;&gt;" &amp; "")&gt;0</formula>
    </cfRule>
    <cfRule type="expression" dxfId="1" priority="3023">
      <formula>AND(COUNTIF(I210:CV210,"&lt;&gt;" &amp; "")&gt;0,NOT(ISBLANK(G210)))</formula>
    </cfRule>
  </conditionalFormatting>
  <conditionalFormatting sqref="G211">
    <cfRule type="expression" dxfId="0" priority="3025">
      <formula>COUNTIF(I211:CV211,"&lt;&gt;" &amp; "")&gt;0</formula>
    </cfRule>
    <cfRule type="expression" dxfId="1" priority="3026">
      <formula>AND(COUNTIF(I211:CV211,"&lt;&gt;" &amp; "")&gt;0,NOT(ISBLANK(G211)))</formula>
    </cfRule>
  </conditionalFormatting>
  <conditionalFormatting sqref="G212">
    <cfRule type="expression" dxfId="0" priority="3028">
      <formula>COUNTIF(I212:CV212,"&lt;&gt;" &amp; "")&gt;0</formula>
    </cfRule>
    <cfRule type="expression" dxfId="1" priority="3029">
      <formula>AND(COUNTIF(I212:CV212,"&lt;&gt;" &amp; "")&gt;0,NOT(ISBLANK(G212)))</formula>
    </cfRule>
  </conditionalFormatting>
  <conditionalFormatting sqref="G213">
    <cfRule type="expression" dxfId="0" priority="3031">
      <formula>COUNTIF(I213:CV213,"&lt;&gt;" &amp; "")&gt;0</formula>
    </cfRule>
    <cfRule type="expression" dxfId="1" priority="3032">
      <formula>AND(COUNTIF(I213:CV213,"&lt;&gt;" &amp; "")&gt;0,NOT(ISBLANK(G213)))</formula>
    </cfRule>
  </conditionalFormatting>
  <conditionalFormatting sqref="G214">
    <cfRule type="expression" dxfId="0" priority="3034">
      <formula>COUNTIF(I214:CV214,"&lt;&gt;" &amp; "")&gt;0</formula>
    </cfRule>
    <cfRule type="expression" dxfId="1" priority="3035">
      <formula>AND(COUNTIF(I214:CV214,"&lt;&gt;" &amp; "")&gt;0,NOT(ISBLANK(G214)))</formula>
    </cfRule>
  </conditionalFormatting>
  <conditionalFormatting sqref="G215">
    <cfRule type="expression" dxfId="0" priority="3037">
      <formula>COUNTIF(I215:CV215,"&lt;&gt;" &amp; "")&gt;0</formula>
    </cfRule>
    <cfRule type="expression" dxfId="1" priority="3038">
      <formula>AND(COUNTIF(I215:CV215,"&lt;&gt;" &amp; "")&gt;0,NOT(ISBLANK(G215)))</formula>
    </cfRule>
  </conditionalFormatting>
  <conditionalFormatting sqref="G216">
    <cfRule type="expression" dxfId="0" priority="3040">
      <formula>COUNTIF(I216:CV216,"&lt;&gt;" &amp; "")&gt;0</formula>
    </cfRule>
    <cfRule type="expression" dxfId="1" priority="3041">
      <formula>AND(COUNTIF(I216:CV216,"&lt;&gt;" &amp; "")&gt;0,NOT(ISBLANK(G216)))</formula>
    </cfRule>
  </conditionalFormatting>
  <conditionalFormatting sqref="G217">
    <cfRule type="expression" dxfId="0" priority="3043">
      <formula>COUNTIF(I217:CV217,"&lt;&gt;" &amp; "")&gt;0</formula>
    </cfRule>
    <cfRule type="expression" dxfId="1" priority="3044">
      <formula>AND(COUNTIF(I217:CV217,"&lt;&gt;" &amp; "")&gt;0,NOT(ISBLANK(G217)))</formula>
    </cfRule>
  </conditionalFormatting>
  <conditionalFormatting sqref="G218">
    <cfRule type="expression" dxfId="0" priority="3046">
      <formula>COUNTIF(I218:CV218,"&lt;&gt;" &amp; "")&gt;0</formula>
    </cfRule>
    <cfRule type="expression" dxfId="1" priority="3047">
      <formula>AND(COUNTIF(I218:CV218,"&lt;&gt;" &amp; "")&gt;0,NOT(ISBLANK(G218)))</formula>
    </cfRule>
  </conditionalFormatting>
  <conditionalFormatting sqref="G219">
    <cfRule type="expression" dxfId="0" priority="3049">
      <formula>COUNTIF(I219:CV219,"&lt;&gt;" &amp; "")&gt;0</formula>
    </cfRule>
    <cfRule type="expression" dxfId="1" priority="3050">
      <formula>AND(COUNTIF(I219:CV219,"&lt;&gt;" &amp; "")&gt;0,NOT(ISBLANK(G219)))</formula>
    </cfRule>
  </conditionalFormatting>
  <conditionalFormatting sqref="G22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G220">
    <cfRule type="expression" dxfId="0" priority="3052">
      <formula>COUNTIF(I220:CV220,"&lt;&gt;" &amp; "")&gt;0</formula>
    </cfRule>
    <cfRule type="expression" dxfId="1" priority="3053">
      <formula>AND(COUNTIF(I220:CV220,"&lt;&gt;" &amp; "")&gt;0,NOT(ISBLANK(G220)))</formula>
    </cfRule>
  </conditionalFormatting>
  <conditionalFormatting sqref="G221">
    <cfRule type="expression" dxfId="0" priority="3055">
      <formula>COUNTIF(I221:CV221,"&lt;&gt;" &amp; "")&gt;0</formula>
    </cfRule>
    <cfRule type="expression" dxfId="1" priority="3056">
      <formula>AND(COUNTIF(I221:CV221,"&lt;&gt;" &amp; "")&gt;0,NOT(ISBLANK(G221)))</formula>
    </cfRule>
  </conditionalFormatting>
  <conditionalFormatting sqref="G222">
    <cfRule type="expression" dxfId="0" priority="3058">
      <formula>COUNTIF(I222:CV222,"&lt;&gt;" &amp; "")&gt;0</formula>
    </cfRule>
    <cfRule type="expression" dxfId="1" priority="3059">
      <formula>AND(COUNTIF(I222:CV222,"&lt;&gt;" &amp; "")&gt;0,NOT(ISBLANK(G222)))</formula>
    </cfRule>
  </conditionalFormatting>
  <conditionalFormatting sqref="G223">
    <cfRule type="expression" dxfId="0" priority="3061">
      <formula>COUNTIF(I223:CV223,"&lt;&gt;" &amp; "")&gt;0</formula>
    </cfRule>
    <cfRule type="expression" dxfId="1" priority="3062">
      <formula>AND(COUNTIF(I223:CV223,"&lt;&gt;" &amp; "")&gt;0,NOT(ISBLANK(G223)))</formula>
    </cfRule>
  </conditionalFormatting>
  <conditionalFormatting sqref="G224">
    <cfRule type="expression" dxfId="0" priority="3064">
      <formula>COUNTIF(I224:CV224,"&lt;&gt;" &amp; "")&gt;0</formula>
    </cfRule>
    <cfRule type="expression" dxfId="1" priority="3065">
      <formula>AND(COUNTIF(I224:CV224,"&lt;&gt;" &amp; "")&gt;0,NOT(ISBLANK(G224)))</formula>
    </cfRule>
  </conditionalFormatting>
  <conditionalFormatting sqref="G225">
    <cfRule type="expression" dxfId="0" priority="3067">
      <formula>COUNTIF(I225:CV225,"&lt;&gt;" &amp; "")&gt;0</formula>
    </cfRule>
    <cfRule type="expression" dxfId="1" priority="3068">
      <formula>AND(COUNTIF(I225:CV225,"&lt;&gt;" &amp; "")&gt;0,NOT(ISBLANK(G225)))</formula>
    </cfRule>
  </conditionalFormatting>
  <conditionalFormatting sqref="G226">
    <cfRule type="expression" dxfId="0" priority="3070">
      <formula>COUNTIF(I226:CV226,"&lt;&gt;" &amp; "")&gt;0</formula>
    </cfRule>
    <cfRule type="expression" dxfId="1" priority="3071">
      <formula>AND(COUNTIF(I226:CV226,"&lt;&gt;" &amp; "")&gt;0,NOT(ISBLANK(G226)))</formula>
    </cfRule>
  </conditionalFormatting>
  <conditionalFormatting sqref="G227">
    <cfRule type="expression" dxfId="0" priority="3073">
      <formula>COUNTIF(I227:CV227,"&lt;&gt;" &amp; "")&gt;0</formula>
    </cfRule>
    <cfRule type="expression" dxfId="1" priority="3074">
      <formula>AND(COUNTIF(I227:CV227,"&lt;&gt;" &amp; "")&gt;0,NOT(ISBLANK(G227)))</formula>
    </cfRule>
  </conditionalFormatting>
  <conditionalFormatting sqref="G228">
    <cfRule type="expression" dxfId="0" priority="3076">
      <formula>COUNTIF(I228:CV228,"&lt;&gt;" &amp; "")&gt;0</formula>
    </cfRule>
    <cfRule type="expression" dxfId="1" priority="3077">
      <formula>AND(COUNTIF(I228:CV228,"&lt;&gt;" &amp; "")&gt;0,NOT(ISBLANK(G228)))</formula>
    </cfRule>
  </conditionalFormatting>
  <conditionalFormatting sqref="G229">
    <cfRule type="expression" dxfId="0" priority="3079">
      <formula>COUNTIF(I229:CV229,"&lt;&gt;" &amp; "")&gt;0</formula>
    </cfRule>
    <cfRule type="expression" dxfId="1" priority="3080">
      <formula>AND(COUNTIF(I229:CV229,"&lt;&gt;" &amp; "")&gt;0,NOT(ISBLANK(G229)))</formula>
    </cfRule>
  </conditionalFormatting>
  <conditionalFormatting sqref="G23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0">
    <cfRule type="expression" dxfId="0" priority="3082">
      <formula>COUNTIF(I230:CV230,"&lt;&gt;" &amp; "")&gt;0</formula>
    </cfRule>
    <cfRule type="expression" dxfId="1" priority="3083">
      <formula>AND(COUNTIF(I230:CV230,"&lt;&gt;" &amp; "")&gt;0,NOT(ISBLANK(G230)))</formula>
    </cfRule>
  </conditionalFormatting>
  <conditionalFormatting sqref="G231">
    <cfRule type="expression" dxfId="0" priority="3085">
      <formula>COUNTIF(I231:CV231,"&lt;&gt;" &amp; "")&gt;0</formula>
    </cfRule>
    <cfRule type="expression" dxfId="1" priority="3086">
      <formula>AND(COUNTIF(I231:CV231,"&lt;&gt;" &amp; "")&gt;0,NOT(ISBLANK(G231)))</formula>
    </cfRule>
  </conditionalFormatting>
  <conditionalFormatting sqref="G232">
    <cfRule type="expression" dxfId="0" priority="3088">
      <formula>COUNTIF(I232:CV232,"&lt;&gt;" &amp; "")&gt;0</formula>
    </cfRule>
    <cfRule type="expression" dxfId="1" priority="3089">
      <formula>AND(COUNTIF(I232:CV232,"&lt;&gt;" &amp; "")&gt;0,NOT(ISBLANK(G232)))</formula>
    </cfRule>
  </conditionalFormatting>
  <conditionalFormatting sqref="G233">
    <cfRule type="expression" dxfId="0" priority="3091">
      <formula>COUNTIF(I233:CV233,"&lt;&gt;" &amp; "")&gt;0</formula>
    </cfRule>
    <cfRule type="expression" dxfId="1" priority="3092">
      <formula>AND(COUNTIF(I233:CV233,"&lt;&gt;" &amp; "")&gt;0,NOT(ISBLANK(G233)))</formula>
    </cfRule>
  </conditionalFormatting>
  <conditionalFormatting sqref="G234">
    <cfRule type="expression" dxfId="0" priority="3094">
      <formula>COUNTIF(I234:CV234,"&lt;&gt;" &amp; "")&gt;0</formula>
    </cfRule>
    <cfRule type="expression" dxfId="1" priority="3095">
      <formula>AND(COUNTIF(I234:CV234,"&lt;&gt;" &amp; "")&gt;0,NOT(ISBLANK(G234)))</formula>
    </cfRule>
  </conditionalFormatting>
  <conditionalFormatting sqref="G235">
    <cfRule type="expression" dxfId="0" priority="3097">
      <formula>COUNTIF(I235:CV235,"&lt;&gt;" &amp; "")&gt;0</formula>
    </cfRule>
    <cfRule type="expression" dxfId="1" priority="3098">
      <formula>AND(COUNTIF(I235:CV235,"&lt;&gt;" &amp; "")&gt;0,NOT(ISBLANK(G235)))</formula>
    </cfRule>
  </conditionalFormatting>
  <conditionalFormatting sqref="G236">
    <cfRule type="expression" dxfId="0" priority="3100">
      <formula>COUNTIF(I236:CV236,"&lt;&gt;" &amp; "")&gt;0</formula>
    </cfRule>
    <cfRule type="expression" dxfId="1" priority="3101">
      <formula>AND(COUNTIF(I236:CV236,"&lt;&gt;" &amp; "")&gt;0,NOT(ISBLANK(G236)))</formula>
    </cfRule>
  </conditionalFormatting>
  <conditionalFormatting sqref="G237">
    <cfRule type="expression" dxfId="0" priority="3103">
      <formula>COUNTIF(I237:CV237,"&lt;&gt;" &amp; "")&gt;0</formula>
    </cfRule>
    <cfRule type="expression" dxfId="1" priority="3104">
      <formula>AND(COUNTIF(I237:CV237,"&lt;&gt;" &amp; "")&gt;0,NOT(ISBLANK(G237)))</formula>
    </cfRule>
  </conditionalFormatting>
  <conditionalFormatting sqref="G238">
    <cfRule type="expression" dxfId="0" priority="3106">
      <formula>COUNTIF(I238:CV238,"&lt;&gt;" &amp; "")&gt;0</formula>
    </cfRule>
    <cfRule type="expression" dxfId="1" priority="3107">
      <formula>AND(COUNTIF(I238:CV238,"&lt;&gt;" &amp; "")&gt;0,NOT(ISBLANK(G238)))</formula>
    </cfRule>
  </conditionalFormatting>
  <conditionalFormatting sqref="G239">
    <cfRule type="expression" dxfId="0" priority="3109">
      <formula>COUNTIF(I239:CV239,"&lt;&gt;" &amp; "")&gt;0</formula>
    </cfRule>
    <cfRule type="expression" dxfId="1" priority="3110">
      <formula>AND(COUNTIF(I239:CV239,"&lt;&gt;" &amp; "")&gt;0,NOT(ISBLANK(G239)))</formula>
    </cfRule>
  </conditionalFormatting>
  <conditionalFormatting sqref="G2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G240">
    <cfRule type="expression" dxfId="0" priority="3112">
      <formula>COUNTIF(I240:CV240,"&lt;&gt;" &amp; "")&gt;0</formula>
    </cfRule>
    <cfRule type="expression" dxfId="1" priority="3113">
      <formula>AND(COUNTIF(I240:CV240,"&lt;&gt;" &amp; "")&gt;0,NOT(ISBLANK(G240)))</formula>
    </cfRule>
  </conditionalFormatting>
  <conditionalFormatting sqref="G241">
    <cfRule type="expression" dxfId="0" priority="3115">
      <formula>COUNTIF(I241:CV241,"&lt;&gt;" &amp; "")&gt;0</formula>
    </cfRule>
    <cfRule type="expression" dxfId="1" priority="3116">
      <formula>AND(COUNTIF(I241:CV241,"&lt;&gt;" &amp; "")&gt;0,NOT(ISBLANK(G241)))</formula>
    </cfRule>
  </conditionalFormatting>
  <conditionalFormatting sqref="G242">
    <cfRule type="expression" dxfId="0" priority="3118">
      <formula>COUNTIF(I242:CV242,"&lt;&gt;" &amp; "")&gt;0</formula>
    </cfRule>
    <cfRule type="expression" dxfId="1" priority="3119">
      <formula>AND(COUNTIF(I242:CV242,"&lt;&gt;" &amp; "")&gt;0,NOT(ISBLANK(G242)))</formula>
    </cfRule>
  </conditionalFormatting>
  <conditionalFormatting sqref="G243">
    <cfRule type="expression" dxfId="0" priority="3121">
      <formula>COUNTIF(I243:CV243,"&lt;&gt;" &amp; "")&gt;0</formula>
    </cfRule>
    <cfRule type="expression" dxfId="1" priority="3122">
      <formula>AND(COUNTIF(I243:CV243,"&lt;&gt;" &amp; "")&gt;0,NOT(ISBLANK(G243)))</formula>
    </cfRule>
  </conditionalFormatting>
  <conditionalFormatting sqref="G244">
    <cfRule type="expression" dxfId="0" priority="3124">
      <formula>COUNTIF(I244:CV244,"&lt;&gt;" &amp; "")&gt;0</formula>
    </cfRule>
    <cfRule type="expression" dxfId="1" priority="3125">
      <formula>AND(COUNTIF(I244:CV244,"&lt;&gt;" &amp; "")&gt;0,NOT(ISBLANK(G244)))</formula>
    </cfRule>
  </conditionalFormatting>
  <conditionalFormatting sqref="G245">
    <cfRule type="expression" dxfId="0" priority="3127">
      <formula>COUNTIF(I245:CV245,"&lt;&gt;" &amp; "")&gt;0</formula>
    </cfRule>
    <cfRule type="expression" dxfId="1" priority="3128">
      <formula>AND(COUNTIF(I245:CV245,"&lt;&gt;" &amp; "")&gt;0,NOT(ISBLANK(G245)))</formula>
    </cfRule>
  </conditionalFormatting>
  <conditionalFormatting sqref="G246">
    <cfRule type="expression" dxfId="0" priority="3130">
      <formula>COUNTIF(I246:CV246,"&lt;&gt;" &amp; "")&gt;0</formula>
    </cfRule>
    <cfRule type="expression" dxfId="1" priority="3131">
      <formula>AND(COUNTIF(I246:CV246,"&lt;&gt;" &amp; "")&gt;0,NOT(ISBLANK(G246)))</formula>
    </cfRule>
  </conditionalFormatting>
  <conditionalFormatting sqref="G247">
    <cfRule type="expression" dxfId="0" priority="3133">
      <formula>COUNTIF(I247:CV247,"&lt;&gt;" &amp; "")&gt;0</formula>
    </cfRule>
    <cfRule type="expression" dxfId="1" priority="3134">
      <formula>AND(COUNTIF(I247:CV247,"&lt;&gt;" &amp; "")&gt;0,NOT(ISBLANK(G247)))</formula>
    </cfRule>
  </conditionalFormatting>
  <conditionalFormatting sqref="G248">
    <cfRule type="expression" dxfId="0" priority="3136">
      <formula>COUNTIF(I248:CV248,"&lt;&gt;" &amp; "")&gt;0</formula>
    </cfRule>
    <cfRule type="expression" dxfId="1" priority="3137">
      <formula>AND(COUNTIF(I248:CV248,"&lt;&gt;" &amp; "")&gt;0,NOT(ISBLANK(G248)))</formula>
    </cfRule>
  </conditionalFormatting>
  <conditionalFormatting sqref="G249">
    <cfRule type="expression" dxfId="0" priority="3139">
      <formula>COUNTIF(I249:CV249,"&lt;&gt;" &amp; "")&gt;0</formula>
    </cfRule>
    <cfRule type="expression" dxfId="1" priority="3140">
      <formula>AND(COUNTIF(I249:CV249,"&lt;&gt;" &amp; "")&gt;0,NOT(ISBLANK(G249)))</formula>
    </cfRule>
  </conditionalFormatting>
  <conditionalFormatting sqref="G25">
    <cfRule type="cellIs" dxfId="2" priority="1411" operator="equal">
      <formula>"Y"</formula>
    </cfRule>
    <cfRule type="cellIs" dxfId="3" priority="1412" operator="equal">
      <formula>"N"</formula>
    </cfRule>
  </conditionalFormatting>
  <conditionalFormatting sqref="G250">
    <cfRule type="expression" dxfId="0" priority="3142">
      <formula>COUNTIF(I250:CV250,"&lt;&gt;" &amp; "")&gt;0</formula>
    </cfRule>
    <cfRule type="expression" dxfId="1" priority="3143">
      <formula>AND(COUNTIF(I250:CV250,"&lt;&gt;" &amp; "")&gt;0,NOT(ISBLANK(G250)))</formula>
    </cfRule>
  </conditionalFormatting>
  <conditionalFormatting sqref="G251">
    <cfRule type="expression" dxfId="0" priority="3145">
      <formula>COUNTIF(I251:CV251,"&lt;&gt;" &amp; "")&gt;0</formula>
    </cfRule>
    <cfRule type="expression" dxfId="1" priority="3146">
      <formula>AND(COUNTIF(I251:CV251,"&lt;&gt;" &amp; "")&gt;0,NOT(ISBLANK(G251)))</formula>
    </cfRule>
  </conditionalFormatting>
  <conditionalFormatting sqref="G252">
    <cfRule type="expression" dxfId="0" priority="3148">
      <formula>COUNTIF(I252:CV252,"&lt;&gt;" &amp; "")&gt;0</formula>
    </cfRule>
    <cfRule type="expression" dxfId="1" priority="3149">
      <formula>AND(COUNTIF(I252:CV252,"&lt;&gt;" &amp; "")&gt;0,NOT(ISBLANK(G252)))</formula>
    </cfRule>
  </conditionalFormatting>
  <conditionalFormatting sqref="G253">
    <cfRule type="expression" dxfId="0" priority="3151">
      <formula>COUNTIF(I253:CV253,"&lt;&gt;" &amp; "")&gt;0</formula>
    </cfRule>
    <cfRule type="expression" dxfId="1" priority="3152">
      <formula>AND(COUNTIF(I253:CV253,"&lt;&gt;" &amp; "")&gt;0,NOT(ISBLANK(G253)))</formula>
    </cfRule>
  </conditionalFormatting>
  <conditionalFormatting sqref="G254">
    <cfRule type="expression" dxfId="0" priority="3154">
      <formula>COUNTIF(I254:CV254,"&lt;&gt;" &amp; "")&gt;0</formula>
    </cfRule>
    <cfRule type="expression" dxfId="1" priority="3155">
      <formula>AND(COUNTIF(I254:CV254,"&lt;&gt;" &amp; "")&gt;0,NOT(ISBLANK(G254)))</formula>
    </cfRule>
  </conditionalFormatting>
  <conditionalFormatting sqref="G255">
    <cfRule type="expression" dxfId="0" priority="3157">
      <formula>COUNTIF(I255:CV255,"&lt;&gt;" &amp; "")&gt;0</formula>
    </cfRule>
    <cfRule type="expression" dxfId="1" priority="3158">
      <formula>AND(COUNTIF(I255:CV255,"&lt;&gt;" &amp; "")&gt;0,NOT(ISBLANK(G255)))</formula>
    </cfRule>
  </conditionalFormatting>
  <conditionalFormatting sqref="G256">
    <cfRule type="expression" dxfId="0" priority="3160">
      <formula>COUNTIF(I256:CV256,"&lt;&gt;" &amp; "")&gt;0</formula>
    </cfRule>
    <cfRule type="expression" dxfId="1" priority="3161">
      <formula>AND(COUNTIF(I256:CV256,"&lt;&gt;" &amp; "")&gt;0,NOT(ISBLANK(G256)))</formula>
    </cfRule>
  </conditionalFormatting>
  <conditionalFormatting sqref="G257">
    <cfRule type="expression" dxfId="0" priority="3163">
      <formula>COUNTIF(I257:CV257,"&lt;&gt;" &amp; "")&gt;0</formula>
    </cfRule>
    <cfRule type="expression" dxfId="1" priority="3164">
      <formula>AND(COUNTIF(I257:CV257,"&lt;&gt;" &amp; "")&gt;0,NOT(ISBLANK(G257)))</formula>
    </cfRule>
  </conditionalFormatting>
  <conditionalFormatting sqref="G258">
    <cfRule type="expression" dxfId="0" priority="3166">
      <formula>COUNTIF(I258:CV258,"&lt;&gt;" &amp; "")&gt;0</formula>
    </cfRule>
    <cfRule type="expression" dxfId="1" priority="3167">
      <formula>AND(COUNTIF(I258:CV258,"&lt;&gt;" &amp; "")&gt;0,NOT(ISBLANK(G258)))</formula>
    </cfRule>
  </conditionalFormatting>
  <conditionalFormatting sqref="G259">
    <cfRule type="expression" dxfId="0" priority="3169">
      <formula>COUNTIF(I259:CV259,"&lt;&gt;" &amp; "")&gt;0</formula>
    </cfRule>
    <cfRule type="expression" dxfId="1" priority="3170">
      <formula>AND(COUNTIF(I259:CV259,"&lt;&gt;" &amp; "")&gt;0,NOT(ISBLANK(G259)))</formula>
    </cfRule>
  </conditionalFormatting>
  <conditionalFormatting sqref="G26">
    <cfRule type="cellIs" dxfId="2" priority="1481" operator="equal">
      <formula>"Y"</formula>
    </cfRule>
    <cfRule type="cellIs" dxfId="3" priority="1482" operator="equal">
      <formula>"N"</formula>
    </cfRule>
  </conditionalFormatting>
  <conditionalFormatting sqref="G260">
    <cfRule type="expression" dxfId="0" priority="3172">
      <formula>COUNTIF(I260:CV260,"&lt;&gt;" &amp; "")&gt;0</formula>
    </cfRule>
    <cfRule type="expression" dxfId="1" priority="3173">
      <formula>AND(COUNTIF(I260:CV260,"&lt;&gt;" &amp; "")&gt;0,NOT(ISBLANK(G260)))</formula>
    </cfRule>
  </conditionalFormatting>
  <conditionalFormatting sqref="G261">
    <cfRule type="expression" dxfId="0" priority="3175">
      <formula>COUNTIF(I261:CV261,"&lt;&gt;" &amp; "")&gt;0</formula>
    </cfRule>
    <cfRule type="expression" dxfId="1" priority="3176">
      <formula>AND(COUNTIF(I261:CV261,"&lt;&gt;" &amp; "")&gt;0,NOT(ISBLANK(G261)))</formula>
    </cfRule>
  </conditionalFormatting>
  <conditionalFormatting sqref="G262">
    <cfRule type="expression" dxfId="0" priority="3178">
      <formula>COUNTIF(I262:CV262,"&lt;&gt;" &amp; "")&gt;0</formula>
    </cfRule>
    <cfRule type="expression" dxfId="1" priority="3179">
      <formula>AND(COUNTIF(I262:CV262,"&lt;&gt;" &amp; "")&gt;0,NOT(ISBLANK(G262)))</formula>
    </cfRule>
  </conditionalFormatting>
  <conditionalFormatting sqref="G263">
    <cfRule type="expression" dxfId="0" priority="3181">
      <formula>COUNTIF(I263:CV263,"&lt;&gt;" &amp; "")&gt;0</formula>
    </cfRule>
    <cfRule type="expression" dxfId="1" priority="3182">
      <formula>AND(COUNTIF(I263:CV263,"&lt;&gt;" &amp; "")&gt;0,NOT(ISBLANK(G263)))</formula>
    </cfRule>
  </conditionalFormatting>
  <conditionalFormatting sqref="G264">
    <cfRule type="expression" dxfId="0" priority="3184">
      <formula>COUNTIF(I264:CV264,"&lt;&gt;" &amp; "")&gt;0</formula>
    </cfRule>
    <cfRule type="expression" dxfId="1" priority="3185">
      <formula>AND(COUNTIF(I264:CV264,"&lt;&gt;" &amp; "")&gt;0,NOT(ISBLANK(G264)))</formula>
    </cfRule>
  </conditionalFormatting>
  <conditionalFormatting sqref="G265">
    <cfRule type="expression" dxfId="0" priority="3187">
      <formula>COUNTIF(I265:CV265,"&lt;&gt;" &amp; "")&gt;0</formula>
    </cfRule>
    <cfRule type="expression" dxfId="1" priority="3188">
      <formula>AND(COUNTIF(I265:CV265,"&lt;&gt;" &amp; "")&gt;0,NOT(ISBLANK(G265)))</formula>
    </cfRule>
  </conditionalFormatting>
  <conditionalFormatting sqref="G266">
    <cfRule type="expression" dxfId="0" priority="3190">
      <formula>COUNTIF(I266:CV266,"&lt;&gt;" &amp; "")&gt;0</formula>
    </cfRule>
    <cfRule type="expression" dxfId="1" priority="3191">
      <formula>AND(COUNTIF(I266:CV266,"&lt;&gt;" &amp; "")&gt;0,NOT(ISBLANK(G266)))</formula>
    </cfRule>
  </conditionalFormatting>
  <conditionalFormatting sqref="G267">
    <cfRule type="expression" dxfId="0" priority="3193">
      <formula>COUNTIF(I267:CV267,"&lt;&gt;" &amp; "")&gt;0</formula>
    </cfRule>
    <cfRule type="expression" dxfId="1" priority="3194">
      <formula>AND(COUNTIF(I267:CV267,"&lt;&gt;" &amp; "")&gt;0,NOT(ISBLANK(G267)))</formula>
    </cfRule>
  </conditionalFormatting>
  <conditionalFormatting sqref="G268">
    <cfRule type="expression" dxfId="0" priority="3196">
      <formula>COUNTIF(I268:CV268,"&lt;&gt;" &amp; "")&gt;0</formula>
    </cfRule>
    <cfRule type="expression" dxfId="1" priority="3197">
      <formula>AND(COUNTIF(I268:CV268,"&lt;&gt;" &amp; "")&gt;0,NOT(ISBLANK(G268)))</formula>
    </cfRule>
  </conditionalFormatting>
  <conditionalFormatting sqref="G269">
    <cfRule type="expression" dxfId="0" priority="3199">
      <formula>COUNTIF(I269:CV269,"&lt;&gt;" &amp; "")&gt;0</formula>
    </cfRule>
    <cfRule type="expression" dxfId="1" priority="3200">
      <formula>AND(COUNTIF(I269:CV269,"&lt;&gt;" &amp; "")&gt;0,NOT(ISBLANK(G269)))</formula>
    </cfRule>
  </conditionalFormatting>
  <conditionalFormatting sqref="G27">
    <cfRule type="cellIs" dxfId="2" priority="1551" operator="equal">
      <formula>"Y"</formula>
    </cfRule>
    <cfRule type="cellIs" dxfId="3" priority="1552" operator="equal">
      <formula>"N"</formula>
    </cfRule>
  </conditionalFormatting>
  <conditionalFormatting sqref="G270">
    <cfRule type="expression" dxfId="0" priority="3202">
      <formula>COUNTIF(I270:CV270,"&lt;&gt;" &amp; "")&gt;0</formula>
    </cfRule>
    <cfRule type="expression" dxfId="1" priority="3203">
      <formula>AND(COUNTIF(I270:CV270,"&lt;&gt;" &amp; "")&gt;0,NOT(ISBLANK(G270)))</formula>
    </cfRule>
  </conditionalFormatting>
  <conditionalFormatting sqref="G271">
    <cfRule type="expression" dxfId="0" priority="3205">
      <formula>COUNTIF(I271:CV271,"&lt;&gt;" &amp; "")&gt;0</formula>
    </cfRule>
    <cfRule type="expression" dxfId="1" priority="3206">
      <formula>AND(COUNTIF(I271:CV271,"&lt;&gt;" &amp; "")&gt;0,NOT(ISBLANK(G271)))</formula>
    </cfRule>
  </conditionalFormatting>
  <conditionalFormatting sqref="G272">
    <cfRule type="expression" dxfId="0" priority="3208">
      <formula>COUNTIF(I272:CV272,"&lt;&gt;" &amp; "")&gt;0</formula>
    </cfRule>
    <cfRule type="expression" dxfId="1" priority="3209">
      <formula>AND(COUNTIF(I272:CV272,"&lt;&gt;" &amp; "")&gt;0,NOT(ISBLANK(G272)))</formula>
    </cfRule>
  </conditionalFormatting>
  <conditionalFormatting sqref="G273">
    <cfRule type="expression" dxfId="0" priority="3211">
      <formula>COUNTIF(I273:CV273,"&lt;&gt;" &amp; "")&gt;0</formula>
    </cfRule>
    <cfRule type="expression" dxfId="1" priority="3212">
      <formula>AND(COUNTIF(I273:CV273,"&lt;&gt;" &amp; "")&gt;0,NOT(ISBLANK(G273)))</formula>
    </cfRule>
  </conditionalFormatting>
  <conditionalFormatting sqref="G274">
    <cfRule type="expression" dxfId="0" priority="3214">
      <formula>COUNTIF(I274:CV274,"&lt;&gt;" &amp; "")&gt;0</formula>
    </cfRule>
    <cfRule type="expression" dxfId="1" priority="3215">
      <formula>AND(COUNTIF(I274:CV274,"&lt;&gt;" &amp; "")&gt;0,NOT(ISBLANK(G274)))</formula>
    </cfRule>
  </conditionalFormatting>
  <conditionalFormatting sqref="G275">
    <cfRule type="expression" dxfId="0" priority="3217">
      <formula>COUNTIF(I275:CV275,"&lt;&gt;" &amp; "")&gt;0</formula>
    </cfRule>
    <cfRule type="expression" dxfId="1" priority="3218">
      <formula>AND(COUNTIF(I275:CV275,"&lt;&gt;" &amp; "")&gt;0,NOT(ISBLANK(G275)))</formula>
    </cfRule>
  </conditionalFormatting>
  <conditionalFormatting sqref="G276">
    <cfRule type="expression" dxfId="0" priority="3220">
      <formula>COUNTIF(I276:CV276,"&lt;&gt;" &amp; "")&gt;0</formula>
    </cfRule>
    <cfRule type="expression" dxfId="1" priority="3221">
      <formula>AND(COUNTIF(I276:CV276,"&lt;&gt;" &amp; "")&gt;0,NOT(ISBLANK(G276)))</formula>
    </cfRule>
  </conditionalFormatting>
  <conditionalFormatting sqref="G277">
    <cfRule type="expression" dxfId="0" priority="3223">
      <formula>COUNTIF(I277:CV277,"&lt;&gt;" &amp; "")&gt;0</formula>
    </cfRule>
    <cfRule type="expression" dxfId="1" priority="3224">
      <formula>AND(COUNTIF(I277:CV277,"&lt;&gt;" &amp; "")&gt;0,NOT(ISBLANK(G277)))</formula>
    </cfRule>
  </conditionalFormatting>
  <conditionalFormatting sqref="G278">
    <cfRule type="expression" dxfId="0" priority="3226">
      <formula>COUNTIF(I278:CV278,"&lt;&gt;" &amp; "")&gt;0</formula>
    </cfRule>
    <cfRule type="expression" dxfId="1" priority="3227">
      <formula>AND(COUNTIF(I278:CV278,"&lt;&gt;" &amp; "")&gt;0,NOT(ISBLANK(G278)))</formula>
    </cfRule>
  </conditionalFormatting>
  <conditionalFormatting sqref="G279">
    <cfRule type="expression" dxfId="0" priority="3229">
      <formula>COUNTIF(I279:CV279,"&lt;&gt;" &amp; "")&gt;0</formula>
    </cfRule>
    <cfRule type="expression" dxfId="1" priority="3230">
      <formula>AND(COUNTIF(I279:CV279,"&lt;&gt;" &amp; "")&gt;0,NOT(ISBLANK(G279)))</formula>
    </cfRule>
  </conditionalFormatting>
  <conditionalFormatting sqref="G28">
    <cfRule type="cellIs" dxfId="2" priority="1621" operator="equal">
      <formula>"Y"</formula>
    </cfRule>
    <cfRule type="cellIs" dxfId="3" priority="1622" operator="equal">
      <formula>"N"</formula>
    </cfRule>
  </conditionalFormatting>
  <conditionalFormatting sqref="G280">
    <cfRule type="expression" dxfId="0" priority="3232">
      <formula>COUNTIF(I280:CV280,"&lt;&gt;" &amp; "")&gt;0</formula>
    </cfRule>
    <cfRule type="expression" dxfId="1" priority="3233">
      <formula>AND(COUNTIF(I280:CV280,"&lt;&gt;" &amp; "")&gt;0,NOT(ISBLANK(G280)))</formula>
    </cfRule>
  </conditionalFormatting>
  <conditionalFormatting sqref="G281">
    <cfRule type="expression" dxfId="0" priority="3235">
      <formula>COUNTIF(I281:CV281,"&lt;&gt;" &amp; "")&gt;0</formula>
    </cfRule>
    <cfRule type="expression" dxfId="1" priority="3236">
      <formula>AND(COUNTIF(I281:CV281,"&lt;&gt;" &amp; "")&gt;0,NOT(ISBLANK(G281)))</formula>
    </cfRule>
  </conditionalFormatting>
  <conditionalFormatting sqref="G282">
    <cfRule type="expression" dxfId="0" priority="3238">
      <formula>COUNTIF(I282:CV282,"&lt;&gt;" &amp; "")&gt;0</formula>
    </cfRule>
    <cfRule type="expression" dxfId="1" priority="3239">
      <formula>AND(COUNTIF(I282:CV282,"&lt;&gt;" &amp; "")&gt;0,NOT(ISBLANK(G282)))</formula>
    </cfRule>
  </conditionalFormatting>
  <conditionalFormatting sqref="G283">
    <cfRule type="expression" dxfId="0" priority="3241">
      <formula>COUNTIF(I283:CV283,"&lt;&gt;" &amp; "")&gt;0</formula>
    </cfRule>
    <cfRule type="expression" dxfId="1" priority="3242">
      <formula>AND(COUNTIF(I283:CV283,"&lt;&gt;" &amp; "")&gt;0,NOT(ISBLANK(G283)))</formula>
    </cfRule>
  </conditionalFormatting>
  <conditionalFormatting sqref="G284">
    <cfRule type="expression" dxfId="0" priority="3244">
      <formula>COUNTIF(I284:CV284,"&lt;&gt;" &amp; "")&gt;0</formula>
    </cfRule>
    <cfRule type="expression" dxfId="1" priority="3245">
      <formula>AND(COUNTIF(I284:CV284,"&lt;&gt;" &amp; "")&gt;0,NOT(ISBLANK(G284)))</formula>
    </cfRule>
  </conditionalFormatting>
  <conditionalFormatting sqref="G285">
    <cfRule type="expression" dxfId="0" priority="3247">
      <formula>COUNTIF(I285:CV285,"&lt;&gt;" &amp; "")&gt;0</formula>
    </cfRule>
    <cfRule type="expression" dxfId="1" priority="3248">
      <formula>AND(COUNTIF(I285:CV285,"&lt;&gt;" &amp; "")&gt;0,NOT(ISBLANK(G285)))</formula>
    </cfRule>
  </conditionalFormatting>
  <conditionalFormatting sqref="G286">
    <cfRule type="expression" dxfId="0" priority="3250">
      <formula>COUNTIF(I286:CV286,"&lt;&gt;" &amp; "")&gt;0</formula>
    </cfRule>
    <cfRule type="expression" dxfId="1" priority="3251">
      <formula>AND(COUNTIF(I286:CV286,"&lt;&gt;" &amp; "")&gt;0,NOT(ISBLANK(G286)))</formula>
    </cfRule>
  </conditionalFormatting>
  <conditionalFormatting sqref="G287">
    <cfRule type="expression" dxfId="0" priority="3253">
      <formula>COUNTIF(I287:CV287,"&lt;&gt;" &amp; "")&gt;0</formula>
    </cfRule>
    <cfRule type="expression" dxfId="1" priority="3254">
      <formula>AND(COUNTIF(I287:CV287,"&lt;&gt;" &amp; "")&gt;0,NOT(ISBLANK(G287)))</formula>
    </cfRule>
  </conditionalFormatting>
  <conditionalFormatting sqref="G288">
    <cfRule type="expression" dxfId="0" priority="3256">
      <formula>COUNTIF(I288:CV288,"&lt;&gt;" &amp; "")&gt;0</formula>
    </cfRule>
    <cfRule type="expression" dxfId="1" priority="3257">
      <formula>AND(COUNTIF(I288:CV288,"&lt;&gt;" &amp; "")&gt;0,NOT(ISBLANK(G288)))</formula>
    </cfRule>
  </conditionalFormatting>
  <conditionalFormatting sqref="G289">
    <cfRule type="expression" dxfId="0" priority="3259">
      <formula>COUNTIF(I289:CV289,"&lt;&gt;" &amp; "")&gt;0</formula>
    </cfRule>
    <cfRule type="expression" dxfId="1" priority="3260">
      <formula>AND(COUNTIF(I289:CV289,"&lt;&gt;" &amp; "")&gt;0,NOT(ISBLANK(G289)))</formula>
    </cfRule>
  </conditionalFormatting>
  <conditionalFormatting sqref="G29">
    <cfRule type="cellIs" dxfId="2" priority="1691" operator="equal">
      <formula>"Y"</formula>
    </cfRule>
    <cfRule type="cellIs" dxfId="3" priority="1692" operator="equal">
      <formula>"N"</formula>
    </cfRule>
  </conditionalFormatting>
  <conditionalFormatting sqref="G290">
    <cfRule type="expression" dxfId="0" priority="3262">
      <formula>COUNTIF(I290:CV290,"&lt;&gt;" &amp; "")&gt;0</formula>
    </cfRule>
    <cfRule type="expression" dxfId="1" priority="3263">
      <formula>AND(COUNTIF(I290:CV290,"&lt;&gt;" &amp; "")&gt;0,NOT(ISBLANK(G290)))</formula>
    </cfRule>
  </conditionalFormatting>
  <conditionalFormatting sqref="G291">
    <cfRule type="expression" dxfId="0" priority="3265">
      <formula>COUNTIF(I291:CV291,"&lt;&gt;" &amp; "")&gt;0</formula>
    </cfRule>
    <cfRule type="expression" dxfId="1" priority="3266">
      <formula>AND(COUNTIF(I291:CV291,"&lt;&gt;" &amp; "")&gt;0,NOT(ISBLANK(G291)))</formula>
    </cfRule>
  </conditionalFormatting>
  <conditionalFormatting sqref="G292">
    <cfRule type="expression" dxfId="0" priority="3268">
      <formula>COUNTIF(I292:CV292,"&lt;&gt;" &amp; "")&gt;0</formula>
    </cfRule>
    <cfRule type="expression" dxfId="1" priority="3269">
      <formula>AND(COUNTIF(I292:CV292,"&lt;&gt;" &amp; "")&gt;0,NOT(ISBLANK(G292)))</formula>
    </cfRule>
  </conditionalFormatting>
  <conditionalFormatting sqref="G293">
    <cfRule type="expression" dxfId="0" priority="3271">
      <formula>COUNTIF(I293:CV293,"&lt;&gt;" &amp; "")&gt;0</formula>
    </cfRule>
    <cfRule type="expression" dxfId="1" priority="3272">
      <formula>AND(COUNTIF(I293:CV293,"&lt;&gt;" &amp; "")&gt;0,NOT(ISBLANK(G293)))</formula>
    </cfRule>
  </conditionalFormatting>
  <conditionalFormatting sqref="G294">
    <cfRule type="expression" dxfId="0" priority="3274">
      <formula>COUNTIF(I294:CV294,"&lt;&gt;" &amp; "")&gt;0</formula>
    </cfRule>
    <cfRule type="expression" dxfId="1" priority="3275">
      <formula>AND(COUNTIF(I294:CV294,"&lt;&gt;" &amp; "")&gt;0,NOT(ISBLANK(G294)))</formula>
    </cfRule>
  </conditionalFormatting>
  <conditionalFormatting sqref="G295">
    <cfRule type="expression" dxfId="0" priority="3277">
      <formula>COUNTIF(I295:CV295,"&lt;&gt;" &amp; "")&gt;0</formula>
    </cfRule>
    <cfRule type="expression" dxfId="1" priority="3278">
      <formula>AND(COUNTIF(I295:CV295,"&lt;&gt;" &amp; "")&gt;0,NOT(ISBLANK(G295)))</formula>
    </cfRule>
  </conditionalFormatting>
  <conditionalFormatting sqref="G296">
    <cfRule type="expression" dxfId="0" priority="3280">
      <formula>COUNTIF(I296:CV296,"&lt;&gt;" &amp; "")&gt;0</formula>
    </cfRule>
    <cfRule type="expression" dxfId="1" priority="3281">
      <formula>AND(COUNTIF(I296:CV296,"&lt;&gt;" &amp; "")&gt;0,NOT(ISBLANK(G296)))</formula>
    </cfRule>
  </conditionalFormatting>
  <conditionalFormatting sqref="G297">
    <cfRule type="expression" dxfId="0" priority="3283">
      <formula>COUNTIF(I297:CV297,"&lt;&gt;" &amp; "")&gt;0</formula>
    </cfRule>
    <cfRule type="expression" dxfId="1" priority="3284">
      <formula>AND(COUNTIF(I297:CV297,"&lt;&gt;" &amp; "")&gt;0,NOT(ISBLANK(G297)))</formula>
    </cfRule>
  </conditionalFormatting>
  <conditionalFormatting sqref="G298">
    <cfRule type="expression" dxfId="0" priority="3286">
      <formula>COUNTIF(I298:CV298,"&lt;&gt;" &amp; "")&gt;0</formula>
    </cfRule>
    <cfRule type="expression" dxfId="1" priority="3287">
      <formula>AND(COUNTIF(I298:CV298,"&lt;&gt;" &amp; "")&gt;0,NOT(ISBLANK(G298)))</formula>
    </cfRule>
  </conditionalFormatting>
  <conditionalFormatting sqref="G299">
    <cfRule type="expression" dxfId="0" priority="3289">
      <formula>COUNTIF(I299:CV299,"&lt;&gt;" &amp; "")&gt;0</formula>
    </cfRule>
    <cfRule type="expression" dxfId="1" priority="3290">
      <formula>AND(COUNTIF(I299:CV299,"&lt;&gt;" &amp; "")&gt;0,NOT(ISBLANK(G299)))</formula>
    </cfRule>
  </conditionalFormatting>
  <conditionalFormatting sqref="G30">
    <cfRule type="cellIs" dxfId="2" priority="1761" operator="equal">
      <formula>"Y"</formula>
    </cfRule>
    <cfRule type="cellIs" dxfId="3" priority="1762" operator="equal">
      <formula>"N"</formula>
    </cfRule>
  </conditionalFormatting>
  <conditionalFormatting sqref="G300">
    <cfRule type="expression" dxfId="0" priority="3292">
      <formula>COUNTIF(I300:CV300,"&lt;&gt;" &amp; "")&gt;0</formula>
    </cfRule>
    <cfRule type="expression" dxfId="1" priority="3293">
      <formula>AND(COUNTIF(I300:CV300,"&lt;&gt;" &amp; "")&gt;0,NOT(ISBLANK(G300)))</formula>
    </cfRule>
  </conditionalFormatting>
  <conditionalFormatting sqref="G301">
    <cfRule type="expression" dxfId="0" priority="3295">
      <formula>COUNTIF(I301:CV301,"&lt;&gt;" &amp; "")&gt;0</formula>
    </cfRule>
    <cfRule type="expression" dxfId="1" priority="3296">
      <formula>AND(COUNTIF(I301:CV301,"&lt;&gt;" &amp; "")&gt;0,NOT(ISBLANK(G301)))</formula>
    </cfRule>
  </conditionalFormatting>
  <conditionalFormatting sqref="G302">
    <cfRule type="expression" dxfId="0" priority="3298">
      <formula>COUNTIF(I302:CV302,"&lt;&gt;" &amp; "")&gt;0</formula>
    </cfRule>
    <cfRule type="expression" dxfId="1" priority="3299">
      <formula>AND(COUNTIF(I302:CV302,"&lt;&gt;" &amp; "")&gt;0,NOT(ISBLANK(G302)))</formula>
    </cfRule>
  </conditionalFormatting>
  <conditionalFormatting sqref="G303">
    <cfRule type="expression" dxfId="0" priority="3301">
      <formula>COUNTIF(I303:CV303,"&lt;&gt;" &amp; "")&gt;0</formula>
    </cfRule>
    <cfRule type="expression" dxfId="1" priority="3302">
      <formula>AND(COUNTIF(I303:CV303,"&lt;&gt;" &amp; "")&gt;0,NOT(ISBLANK(G303)))</formula>
    </cfRule>
  </conditionalFormatting>
  <conditionalFormatting sqref="G304">
    <cfRule type="expression" dxfId="0" priority="3304">
      <formula>COUNTIF(I304:CV304,"&lt;&gt;" &amp; "")&gt;0</formula>
    </cfRule>
    <cfRule type="expression" dxfId="1" priority="3305">
      <formula>AND(COUNTIF(I304:CV304,"&lt;&gt;" &amp; "")&gt;0,NOT(ISBLANK(G304)))</formula>
    </cfRule>
  </conditionalFormatting>
  <conditionalFormatting sqref="G305">
    <cfRule type="expression" dxfId="0" priority="3307">
      <formula>COUNTIF(I305:CV305,"&lt;&gt;" &amp; "")&gt;0</formula>
    </cfRule>
    <cfRule type="expression" dxfId="1" priority="3308">
      <formula>AND(COUNTIF(I305:CV305,"&lt;&gt;" &amp; "")&gt;0,NOT(ISBLANK(G305)))</formula>
    </cfRule>
  </conditionalFormatting>
  <conditionalFormatting sqref="G306">
    <cfRule type="expression" dxfId="0" priority="3310">
      <formula>COUNTIF(I306:CV306,"&lt;&gt;" &amp; "")&gt;0</formula>
    </cfRule>
    <cfRule type="expression" dxfId="1" priority="3311">
      <formula>AND(COUNTIF(I306:CV306,"&lt;&gt;" &amp; "")&gt;0,NOT(ISBLANK(G306)))</formula>
    </cfRule>
  </conditionalFormatting>
  <conditionalFormatting sqref="G307">
    <cfRule type="expression" dxfId="0" priority="3313">
      <formula>COUNTIF(I307:CV307,"&lt;&gt;" &amp; "")&gt;0</formula>
    </cfRule>
    <cfRule type="expression" dxfId="1" priority="3314">
      <formula>AND(COUNTIF(I307:CV307,"&lt;&gt;" &amp; "")&gt;0,NOT(ISBLANK(G307)))</formula>
    </cfRule>
  </conditionalFormatting>
  <conditionalFormatting sqref="G308">
    <cfRule type="expression" dxfId="0" priority="3316">
      <formula>COUNTIF(I308:CV308,"&lt;&gt;" &amp; "")&gt;0</formula>
    </cfRule>
    <cfRule type="expression" dxfId="1" priority="3317">
      <formula>AND(COUNTIF(I308:CV308,"&lt;&gt;" &amp; "")&gt;0,NOT(ISBLANK(G308)))</formula>
    </cfRule>
  </conditionalFormatting>
  <conditionalFormatting sqref="G309">
    <cfRule type="expression" dxfId="0" priority="3319">
      <formula>COUNTIF(I309:CV309,"&lt;&gt;" &amp; "")&gt;0</formula>
    </cfRule>
    <cfRule type="expression" dxfId="1" priority="3320">
      <formula>AND(COUNTIF(I309:CV309,"&lt;&gt;" &amp; "")&gt;0,NOT(ISBLANK(G309)))</formula>
    </cfRule>
  </conditionalFormatting>
  <conditionalFormatting sqref="G31">
    <cfRule type="cellIs" dxfId="2" priority="1831" operator="equal">
      <formula>"Y"</formula>
    </cfRule>
    <cfRule type="cellIs" dxfId="3" priority="1832" operator="equal">
      <formula>"N"</formula>
    </cfRule>
  </conditionalFormatting>
  <conditionalFormatting sqref="G310">
    <cfRule type="expression" dxfId="0" priority="3322">
      <formula>COUNTIF(I310:CV310,"&lt;&gt;" &amp; "")&gt;0</formula>
    </cfRule>
    <cfRule type="expression" dxfId="1" priority="3323">
      <formula>AND(COUNTIF(I310:CV310,"&lt;&gt;" &amp; "")&gt;0,NOT(ISBLANK(G310)))</formula>
    </cfRule>
  </conditionalFormatting>
  <conditionalFormatting sqref="G311">
    <cfRule type="expression" dxfId="0" priority="3325">
      <formula>COUNTIF(I311:CV311,"&lt;&gt;" &amp; "")&gt;0</formula>
    </cfRule>
    <cfRule type="expression" dxfId="1" priority="3326">
      <formula>AND(COUNTIF(I311:CV311,"&lt;&gt;" &amp; "")&gt;0,NOT(ISBLANK(G311)))</formula>
    </cfRule>
  </conditionalFormatting>
  <conditionalFormatting sqref="G312">
    <cfRule type="expression" dxfId="0" priority="3328">
      <formula>COUNTIF(I312:CV312,"&lt;&gt;" &amp; "")&gt;0</formula>
    </cfRule>
    <cfRule type="expression" dxfId="1" priority="3329">
      <formula>AND(COUNTIF(I312:CV312,"&lt;&gt;" &amp; "")&gt;0,NOT(ISBLANK(G312)))</formula>
    </cfRule>
  </conditionalFormatting>
  <conditionalFormatting sqref="G313">
    <cfRule type="expression" dxfId="0" priority="3331">
      <formula>COUNTIF(I313:CV313,"&lt;&gt;" &amp; "")&gt;0</formula>
    </cfRule>
    <cfRule type="expression" dxfId="1" priority="3332">
      <formula>AND(COUNTIF(I313:CV313,"&lt;&gt;" &amp; "")&gt;0,NOT(ISBLANK(G313)))</formula>
    </cfRule>
  </conditionalFormatting>
  <conditionalFormatting sqref="G314">
    <cfRule type="expression" dxfId="0" priority="3334">
      <formula>COUNTIF(I314:CV314,"&lt;&gt;" &amp; "")&gt;0</formula>
    </cfRule>
    <cfRule type="expression" dxfId="1" priority="3335">
      <formula>AND(COUNTIF(I314:CV314,"&lt;&gt;" &amp; "")&gt;0,NOT(ISBLANK(G314)))</formula>
    </cfRule>
  </conditionalFormatting>
  <conditionalFormatting sqref="G315">
    <cfRule type="expression" dxfId="0" priority="3337">
      <formula>COUNTIF(I315:CV315,"&lt;&gt;" &amp; "")&gt;0</formula>
    </cfRule>
    <cfRule type="expression" dxfId="1" priority="3338">
      <formula>AND(COUNTIF(I315:CV315,"&lt;&gt;" &amp; "")&gt;0,NOT(ISBLANK(G315)))</formula>
    </cfRule>
  </conditionalFormatting>
  <conditionalFormatting sqref="G316">
    <cfRule type="expression" dxfId="0" priority="3340">
      <formula>COUNTIF(I316:CV316,"&lt;&gt;" &amp; "")&gt;0</formula>
    </cfRule>
    <cfRule type="expression" dxfId="1" priority="3341">
      <formula>AND(COUNTIF(I316:CV316,"&lt;&gt;" &amp; "")&gt;0,NOT(ISBLANK(G316)))</formula>
    </cfRule>
  </conditionalFormatting>
  <conditionalFormatting sqref="G317">
    <cfRule type="expression" dxfId="0" priority="3343">
      <formula>COUNTIF(I317:CV317,"&lt;&gt;" &amp; "")&gt;0</formula>
    </cfRule>
    <cfRule type="expression" dxfId="1" priority="3344">
      <formula>AND(COUNTIF(I317:CV317,"&lt;&gt;" &amp; "")&gt;0,NOT(ISBLANK(G317)))</formula>
    </cfRule>
  </conditionalFormatting>
  <conditionalFormatting sqref="G318">
    <cfRule type="expression" dxfId="0" priority="3346">
      <formula>COUNTIF(I318:CV318,"&lt;&gt;" &amp; "")&gt;0</formula>
    </cfRule>
    <cfRule type="expression" dxfId="1" priority="3347">
      <formula>AND(COUNTIF(I318:CV318,"&lt;&gt;" &amp; "")&gt;0,NOT(ISBLANK(G318)))</formula>
    </cfRule>
  </conditionalFormatting>
  <conditionalFormatting sqref="G319">
    <cfRule type="expression" dxfId="0" priority="3349">
      <formula>COUNTIF(I319:CV319,"&lt;&gt;" &amp; "")&gt;0</formula>
    </cfRule>
    <cfRule type="expression" dxfId="1" priority="3350">
      <formula>AND(COUNTIF(I319:CV319,"&lt;&gt;" &amp; "")&gt;0,NOT(ISBLANK(G319)))</formula>
    </cfRule>
  </conditionalFormatting>
  <conditionalFormatting sqref="G32">
    <cfRule type="cellIs" dxfId="2" priority="1901" operator="equal">
      <formula>"Y"</formula>
    </cfRule>
    <cfRule type="cellIs" dxfId="3" priority="1902" operator="equal">
      <formula>"N"</formula>
    </cfRule>
  </conditionalFormatting>
  <conditionalFormatting sqref="G320">
    <cfRule type="expression" dxfId="0" priority="3352">
      <formula>COUNTIF(I320:CV320,"&lt;&gt;" &amp; "")&gt;0</formula>
    </cfRule>
    <cfRule type="expression" dxfId="1" priority="3353">
      <formula>AND(COUNTIF(I320:CV320,"&lt;&gt;" &amp; "")&gt;0,NOT(ISBLANK(G320)))</formula>
    </cfRule>
  </conditionalFormatting>
  <conditionalFormatting sqref="G321">
    <cfRule type="expression" dxfId="0" priority="3355">
      <formula>COUNTIF(I321:CV321,"&lt;&gt;" &amp; "")&gt;0</formula>
    </cfRule>
    <cfRule type="expression" dxfId="1" priority="3356">
      <formula>AND(COUNTIF(I321:CV321,"&lt;&gt;" &amp; "")&gt;0,NOT(ISBLANK(G321)))</formula>
    </cfRule>
  </conditionalFormatting>
  <conditionalFormatting sqref="G322">
    <cfRule type="expression" dxfId="0" priority="3358">
      <formula>COUNTIF(I322:CV322,"&lt;&gt;" &amp; "")&gt;0</formula>
    </cfRule>
    <cfRule type="expression" dxfId="1" priority="3359">
      <formula>AND(COUNTIF(I322:CV322,"&lt;&gt;" &amp; "")&gt;0,NOT(ISBLANK(G322)))</formula>
    </cfRule>
  </conditionalFormatting>
  <conditionalFormatting sqref="G323">
    <cfRule type="expression" dxfId="0" priority="3361">
      <formula>COUNTIF(I323:CV323,"&lt;&gt;" &amp; "")&gt;0</formula>
    </cfRule>
    <cfRule type="expression" dxfId="1" priority="3362">
      <formula>AND(COUNTIF(I323:CV323,"&lt;&gt;" &amp; "")&gt;0,NOT(ISBLANK(G323)))</formula>
    </cfRule>
  </conditionalFormatting>
  <conditionalFormatting sqref="G324">
    <cfRule type="expression" dxfId="0" priority="3364">
      <formula>COUNTIF(I324:CV324,"&lt;&gt;" &amp; "")&gt;0</formula>
    </cfRule>
    <cfRule type="expression" dxfId="1" priority="3365">
      <formula>AND(COUNTIF(I324:CV324,"&lt;&gt;" &amp; "")&gt;0,NOT(ISBLANK(G324)))</formula>
    </cfRule>
  </conditionalFormatting>
  <conditionalFormatting sqref="G325">
    <cfRule type="expression" dxfId="0" priority="3367">
      <formula>COUNTIF(I325:CV325,"&lt;&gt;" &amp; "")&gt;0</formula>
    </cfRule>
    <cfRule type="expression" dxfId="1" priority="3368">
      <formula>AND(COUNTIF(I325:CV325,"&lt;&gt;" &amp; "")&gt;0,NOT(ISBLANK(G325)))</formula>
    </cfRule>
  </conditionalFormatting>
  <conditionalFormatting sqref="G326">
    <cfRule type="expression" dxfId="0" priority="3370">
      <formula>COUNTIF(I326:CV326,"&lt;&gt;" &amp; "")&gt;0</formula>
    </cfRule>
    <cfRule type="expression" dxfId="1" priority="3371">
      <formula>AND(COUNTIF(I326:CV326,"&lt;&gt;" &amp; "")&gt;0,NOT(ISBLANK(G326)))</formula>
    </cfRule>
  </conditionalFormatting>
  <conditionalFormatting sqref="G327">
    <cfRule type="expression" dxfId="0" priority="3373">
      <formula>COUNTIF(I327:CV327,"&lt;&gt;" &amp; "")&gt;0</formula>
    </cfRule>
    <cfRule type="expression" dxfId="1" priority="3374">
      <formula>AND(COUNTIF(I327:CV327,"&lt;&gt;" &amp; "")&gt;0,NOT(ISBLANK(G327)))</formula>
    </cfRule>
  </conditionalFormatting>
  <conditionalFormatting sqref="G328">
    <cfRule type="expression" dxfId="0" priority="3376">
      <formula>COUNTIF(I328:CV328,"&lt;&gt;" &amp; "")&gt;0</formula>
    </cfRule>
    <cfRule type="expression" dxfId="1" priority="3377">
      <formula>AND(COUNTIF(I328:CV328,"&lt;&gt;" &amp; "")&gt;0,NOT(ISBLANK(G328)))</formula>
    </cfRule>
  </conditionalFormatting>
  <conditionalFormatting sqref="G329">
    <cfRule type="expression" dxfId="0" priority="3379">
      <formula>COUNTIF(I329:CV329,"&lt;&gt;" &amp; "")&gt;0</formula>
    </cfRule>
    <cfRule type="expression" dxfId="1" priority="3380">
      <formula>AND(COUNTIF(I329:CV329,"&lt;&gt;" &amp; "")&gt;0,NOT(ISBLANK(G329)))</formula>
    </cfRule>
  </conditionalFormatting>
  <conditionalFormatting sqref="G33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G330">
    <cfRule type="expression" dxfId="0" priority="3382">
      <formula>COUNTIF(I330:CV330,"&lt;&gt;" &amp; "")&gt;0</formula>
    </cfRule>
    <cfRule type="expression" dxfId="1" priority="3383">
      <formula>AND(COUNTIF(I330:CV330,"&lt;&gt;" &amp; "")&gt;0,NOT(ISBLANK(G330)))</formula>
    </cfRule>
  </conditionalFormatting>
  <conditionalFormatting sqref="G331">
    <cfRule type="expression" dxfId="0" priority="3385">
      <formula>COUNTIF(I331:CV331,"&lt;&gt;" &amp; "")&gt;0</formula>
    </cfRule>
    <cfRule type="expression" dxfId="1" priority="3386">
      <formula>AND(COUNTIF(I331:CV331,"&lt;&gt;" &amp; "")&gt;0,NOT(ISBLANK(G331)))</formula>
    </cfRule>
  </conditionalFormatting>
  <conditionalFormatting sqref="G332">
    <cfRule type="expression" dxfId="0" priority="3388">
      <formula>COUNTIF(I332:CV332,"&lt;&gt;" &amp; "")&gt;0</formula>
    </cfRule>
    <cfRule type="expression" dxfId="1" priority="3389">
      <formula>AND(COUNTIF(I332:CV332,"&lt;&gt;" &amp; "")&gt;0,NOT(ISBLANK(G332)))</formula>
    </cfRule>
  </conditionalFormatting>
  <conditionalFormatting sqref="G333">
    <cfRule type="expression" dxfId="0" priority="3391">
      <formula>COUNTIF(I333:CV333,"&lt;&gt;" &amp; "")&gt;0</formula>
    </cfRule>
    <cfRule type="expression" dxfId="1" priority="3392">
      <formula>AND(COUNTIF(I333:CV333,"&lt;&gt;" &amp; "")&gt;0,NOT(ISBLANK(G333)))</formula>
    </cfRule>
  </conditionalFormatting>
  <conditionalFormatting sqref="G334">
    <cfRule type="expression" dxfId="0" priority="3394">
      <formula>COUNTIF(I334:CV334,"&lt;&gt;" &amp; "")&gt;0</formula>
    </cfRule>
    <cfRule type="expression" dxfId="1" priority="3395">
      <formula>AND(COUNTIF(I334:CV334,"&lt;&gt;" &amp; "")&gt;0,NOT(ISBLANK(G334)))</formula>
    </cfRule>
  </conditionalFormatting>
  <conditionalFormatting sqref="G335">
    <cfRule type="expression" dxfId="0" priority="3397">
      <formula>COUNTIF(I335:CV335,"&lt;&gt;" &amp; "")&gt;0</formula>
    </cfRule>
    <cfRule type="expression" dxfId="1" priority="3398">
      <formula>AND(COUNTIF(I335:CV335,"&lt;&gt;" &amp; "")&gt;0,NOT(ISBLANK(G335)))</formula>
    </cfRule>
  </conditionalFormatting>
  <conditionalFormatting sqref="G336">
    <cfRule type="expression" dxfId="0" priority="3400">
      <formula>COUNTIF(I336:CV336,"&lt;&gt;" &amp; "")&gt;0</formula>
    </cfRule>
    <cfRule type="expression" dxfId="1" priority="3401">
      <formula>AND(COUNTIF(I336:CV336,"&lt;&gt;" &amp; "")&gt;0,NOT(ISBLANK(G336)))</formula>
    </cfRule>
  </conditionalFormatting>
  <conditionalFormatting sqref="G337">
    <cfRule type="expression" dxfId="0" priority="3403">
      <formula>COUNTIF(I337:CV337,"&lt;&gt;" &amp; "")&gt;0</formula>
    </cfRule>
    <cfRule type="expression" dxfId="1" priority="3404">
      <formula>AND(COUNTIF(I337:CV337,"&lt;&gt;" &amp; "")&gt;0,NOT(ISBLANK(G337)))</formula>
    </cfRule>
  </conditionalFormatting>
  <conditionalFormatting sqref="G338">
    <cfRule type="expression" dxfId="0" priority="3406">
      <formula>COUNTIF(I338:CV338,"&lt;&gt;" &amp; "")&gt;0</formula>
    </cfRule>
    <cfRule type="expression" dxfId="1" priority="3407">
      <formula>AND(COUNTIF(I338:CV338,"&lt;&gt;" &amp; "")&gt;0,NOT(ISBLANK(G338)))</formula>
    </cfRule>
  </conditionalFormatting>
  <conditionalFormatting sqref="G339">
    <cfRule type="expression" dxfId="0" priority="3409">
      <formula>COUNTIF(I339:CV339,"&lt;&gt;" &amp; "")&gt;0</formula>
    </cfRule>
    <cfRule type="expression" dxfId="1" priority="3410">
      <formula>AND(COUNTIF(I339:CV339,"&lt;&gt;" &amp; "")&gt;0,NOT(ISBLANK(G339)))</formula>
    </cfRule>
  </conditionalFormatting>
  <conditionalFormatting sqref="G3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G340">
    <cfRule type="expression" dxfId="0" priority="3412">
      <formula>COUNTIF(I340:CV340,"&lt;&gt;" &amp; "")&gt;0</formula>
    </cfRule>
    <cfRule type="expression" dxfId="1" priority="3413">
      <formula>AND(COUNTIF(I340:CV340,"&lt;&gt;" &amp; "")&gt;0,NOT(ISBLANK(G340)))</formula>
    </cfRule>
  </conditionalFormatting>
  <conditionalFormatting sqref="G341">
    <cfRule type="expression" dxfId="0" priority="3415">
      <formula>COUNTIF(I341:CV341,"&lt;&gt;" &amp; "")&gt;0</formula>
    </cfRule>
    <cfRule type="expression" dxfId="1" priority="3416">
      <formula>AND(COUNTIF(I341:CV341,"&lt;&gt;" &amp; "")&gt;0,NOT(ISBLANK(G341)))</formula>
    </cfRule>
  </conditionalFormatting>
  <conditionalFormatting sqref="G342">
    <cfRule type="expression" dxfId="0" priority="3418">
      <formula>COUNTIF(I342:CV342,"&lt;&gt;" &amp; "")&gt;0</formula>
    </cfRule>
    <cfRule type="expression" dxfId="1" priority="3419">
      <formula>AND(COUNTIF(I342:CV342,"&lt;&gt;" &amp; "")&gt;0,NOT(ISBLANK(G342)))</formula>
    </cfRule>
  </conditionalFormatting>
  <conditionalFormatting sqref="G343">
    <cfRule type="expression" dxfId="0" priority="3421">
      <formula>COUNTIF(I343:CV343,"&lt;&gt;" &amp; "")&gt;0</formula>
    </cfRule>
    <cfRule type="expression" dxfId="1" priority="3422">
      <formula>AND(COUNTIF(I343:CV343,"&lt;&gt;" &amp; "")&gt;0,NOT(ISBLANK(G343)))</formula>
    </cfRule>
  </conditionalFormatting>
  <conditionalFormatting sqref="G344">
    <cfRule type="expression" dxfId="0" priority="3424">
      <formula>COUNTIF(I344:CV344,"&lt;&gt;" &amp; "")&gt;0</formula>
    </cfRule>
    <cfRule type="expression" dxfId="1" priority="3425">
      <formula>AND(COUNTIF(I344:CV344,"&lt;&gt;" &amp; "")&gt;0,NOT(ISBLANK(G344)))</formula>
    </cfRule>
  </conditionalFormatting>
  <conditionalFormatting sqref="G345">
    <cfRule type="expression" dxfId="0" priority="3427">
      <formula>COUNTIF(I345:CV345,"&lt;&gt;" &amp; "")&gt;0</formula>
    </cfRule>
    <cfRule type="expression" dxfId="1" priority="3428">
      <formula>AND(COUNTIF(I345:CV345,"&lt;&gt;" &amp; "")&gt;0,NOT(ISBLANK(G345)))</formula>
    </cfRule>
  </conditionalFormatting>
  <conditionalFormatting sqref="G346">
    <cfRule type="expression" dxfId="0" priority="3430">
      <formula>COUNTIF(I346:CV346,"&lt;&gt;" &amp; "")&gt;0</formula>
    </cfRule>
    <cfRule type="expression" dxfId="1" priority="3431">
      <formula>AND(COUNTIF(I346:CV346,"&lt;&gt;" &amp; "")&gt;0,NOT(ISBLANK(G346)))</formula>
    </cfRule>
  </conditionalFormatting>
  <conditionalFormatting sqref="G347">
    <cfRule type="expression" dxfId="0" priority="3433">
      <formula>COUNTIF(I347:CV347,"&lt;&gt;" &amp; "")&gt;0</formula>
    </cfRule>
    <cfRule type="expression" dxfId="1" priority="3434">
      <formula>AND(COUNTIF(I347:CV347,"&lt;&gt;" &amp; "")&gt;0,NOT(ISBLANK(G347)))</formula>
    </cfRule>
  </conditionalFormatting>
  <conditionalFormatting sqref="G348">
    <cfRule type="expression" dxfId="0" priority="3436">
      <formula>COUNTIF(I348:CV348,"&lt;&gt;" &amp; "")&gt;0</formula>
    </cfRule>
    <cfRule type="expression" dxfId="1" priority="3437">
      <formula>AND(COUNTIF(I348:CV348,"&lt;&gt;" &amp; "")&gt;0,NOT(ISBLANK(G348)))</formula>
    </cfRule>
  </conditionalFormatting>
  <conditionalFormatting sqref="G349">
    <cfRule type="expression" dxfId="0" priority="3439">
      <formula>COUNTIF(I349:CV349,"&lt;&gt;" &amp; "")&gt;0</formula>
    </cfRule>
    <cfRule type="expression" dxfId="1" priority="3440">
      <formula>AND(COUNTIF(I349:CV349,"&lt;&gt;" &amp; "")&gt;0,NOT(ISBLANK(G349)))</formula>
    </cfRule>
  </conditionalFormatting>
  <conditionalFormatting sqref="G35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G350">
    <cfRule type="expression" dxfId="0" priority="3442">
      <formula>COUNTIF(I350:CV350,"&lt;&gt;" &amp; "")&gt;0</formula>
    </cfRule>
    <cfRule type="expression" dxfId="1" priority="3443">
      <formula>AND(COUNTIF(I350:CV350,"&lt;&gt;" &amp; "")&gt;0,NOT(ISBLANK(G350)))</formula>
    </cfRule>
  </conditionalFormatting>
  <conditionalFormatting sqref="G351">
    <cfRule type="expression" dxfId="0" priority="3445">
      <formula>COUNTIF(I351:CV351,"&lt;&gt;" &amp; "")&gt;0</formula>
    </cfRule>
    <cfRule type="expression" dxfId="1" priority="3446">
      <formula>AND(COUNTIF(I351:CV351,"&lt;&gt;" &amp; "")&gt;0,NOT(ISBLANK(G351)))</formula>
    </cfRule>
  </conditionalFormatting>
  <conditionalFormatting sqref="G352">
    <cfRule type="expression" dxfId="0" priority="3448">
      <formula>COUNTIF(I352:CV352,"&lt;&gt;" &amp; "")&gt;0</formula>
    </cfRule>
    <cfRule type="expression" dxfId="1" priority="3449">
      <formula>AND(COUNTIF(I352:CV352,"&lt;&gt;" &amp; "")&gt;0,NOT(ISBLANK(G352)))</formula>
    </cfRule>
  </conditionalFormatting>
  <conditionalFormatting sqref="G353">
    <cfRule type="expression" dxfId="0" priority="3451">
      <formula>COUNTIF(I353:CV353,"&lt;&gt;" &amp; "")&gt;0</formula>
    </cfRule>
    <cfRule type="expression" dxfId="1" priority="3452">
      <formula>AND(COUNTIF(I353:CV353,"&lt;&gt;" &amp; "")&gt;0,NOT(ISBLANK(G353)))</formula>
    </cfRule>
  </conditionalFormatting>
  <conditionalFormatting sqref="G354">
    <cfRule type="expression" dxfId="0" priority="3454">
      <formula>COUNTIF(I354:CV354,"&lt;&gt;" &amp; "")&gt;0</formula>
    </cfRule>
    <cfRule type="expression" dxfId="1" priority="3455">
      <formula>AND(COUNTIF(I354:CV354,"&lt;&gt;" &amp; "")&gt;0,NOT(ISBLANK(G354)))</formula>
    </cfRule>
  </conditionalFormatting>
  <conditionalFormatting sqref="G355">
    <cfRule type="expression" dxfId="0" priority="3457">
      <formula>COUNTIF(I355:CV355,"&lt;&gt;" &amp; "")&gt;0</formula>
    </cfRule>
    <cfRule type="expression" dxfId="1" priority="3458">
      <formula>AND(COUNTIF(I355:CV355,"&lt;&gt;" &amp; "")&gt;0,NOT(ISBLANK(G355)))</formula>
    </cfRule>
  </conditionalFormatting>
  <conditionalFormatting sqref="G356">
    <cfRule type="expression" dxfId="0" priority="3460">
      <formula>COUNTIF(I356:CV356,"&lt;&gt;" &amp; "")&gt;0</formula>
    </cfRule>
    <cfRule type="expression" dxfId="1" priority="3461">
      <formula>AND(COUNTIF(I356:CV356,"&lt;&gt;" &amp; "")&gt;0,NOT(ISBLANK(G356)))</formula>
    </cfRule>
  </conditionalFormatting>
  <conditionalFormatting sqref="G357">
    <cfRule type="expression" dxfId="0" priority="3463">
      <formula>COUNTIF(I357:CV357,"&lt;&gt;" &amp; "")&gt;0</formula>
    </cfRule>
    <cfRule type="expression" dxfId="1" priority="3464">
      <formula>AND(COUNTIF(I357:CV357,"&lt;&gt;" &amp; "")&gt;0,NOT(ISBLANK(G357)))</formula>
    </cfRule>
  </conditionalFormatting>
  <conditionalFormatting sqref="G358">
    <cfRule type="expression" dxfId="0" priority="3466">
      <formula>COUNTIF(I358:CV358,"&lt;&gt;" &amp; "")&gt;0</formula>
    </cfRule>
    <cfRule type="expression" dxfId="1" priority="3467">
      <formula>AND(COUNTIF(I358:CV358,"&lt;&gt;" &amp; "")&gt;0,NOT(ISBLANK(G358)))</formula>
    </cfRule>
  </conditionalFormatting>
  <conditionalFormatting sqref="G359">
    <cfRule type="expression" dxfId="0" priority="3469">
      <formula>COUNTIF(I359:CV359,"&lt;&gt;" &amp; "")&gt;0</formula>
    </cfRule>
    <cfRule type="expression" dxfId="1" priority="3470">
      <formula>AND(COUNTIF(I359:CV359,"&lt;&gt;" &amp; "")&gt;0,NOT(ISBLANK(G359)))</formula>
    </cfRule>
  </conditionalFormatting>
  <conditionalFormatting sqref="G36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G360">
    <cfRule type="expression" dxfId="0" priority="3472">
      <formula>COUNTIF(I360:CV360,"&lt;&gt;" &amp; "")&gt;0</formula>
    </cfRule>
    <cfRule type="expression" dxfId="1" priority="3473">
      <formula>AND(COUNTIF(I360:CV360,"&lt;&gt;" &amp; "")&gt;0,NOT(ISBLANK(G360)))</formula>
    </cfRule>
  </conditionalFormatting>
  <conditionalFormatting sqref="G361">
    <cfRule type="expression" dxfId="0" priority="3475">
      <formula>COUNTIF(I361:CV361,"&lt;&gt;" &amp; "")&gt;0</formula>
    </cfRule>
    <cfRule type="expression" dxfId="1" priority="3476">
      <formula>AND(COUNTIF(I361:CV361,"&lt;&gt;" &amp; "")&gt;0,NOT(ISBLANK(G361)))</formula>
    </cfRule>
  </conditionalFormatting>
  <conditionalFormatting sqref="G362">
    <cfRule type="expression" dxfId="0" priority="3478">
      <formula>COUNTIF(I362:CV362,"&lt;&gt;" &amp; "")&gt;0</formula>
    </cfRule>
    <cfRule type="expression" dxfId="1" priority="3479">
      <formula>AND(COUNTIF(I362:CV362,"&lt;&gt;" &amp; "")&gt;0,NOT(ISBLANK(G362)))</formula>
    </cfRule>
  </conditionalFormatting>
  <conditionalFormatting sqref="G363">
    <cfRule type="expression" dxfId="0" priority="3481">
      <formula>COUNTIF(I363:CV363,"&lt;&gt;" &amp; "")&gt;0</formula>
    </cfRule>
    <cfRule type="expression" dxfId="1" priority="3482">
      <formula>AND(COUNTIF(I363:CV363,"&lt;&gt;" &amp; "")&gt;0,NOT(ISBLANK(G363)))</formula>
    </cfRule>
  </conditionalFormatting>
  <conditionalFormatting sqref="G364">
    <cfRule type="expression" dxfId="0" priority="3484">
      <formula>COUNTIF(I364:CV364,"&lt;&gt;" &amp; "")&gt;0</formula>
    </cfRule>
    <cfRule type="expression" dxfId="1" priority="3485">
      <formula>AND(COUNTIF(I364:CV364,"&lt;&gt;" &amp; "")&gt;0,NOT(ISBLANK(G364)))</formula>
    </cfRule>
  </conditionalFormatting>
  <conditionalFormatting sqref="G365">
    <cfRule type="expression" dxfId="0" priority="3487">
      <formula>COUNTIF(I365:CV365,"&lt;&gt;" &amp; "")&gt;0</formula>
    </cfRule>
    <cfRule type="expression" dxfId="1" priority="3488">
      <formula>AND(COUNTIF(I365:CV365,"&lt;&gt;" &amp; "")&gt;0,NOT(ISBLANK(G365)))</formula>
    </cfRule>
  </conditionalFormatting>
  <conditionalFormatting sqref="G366">
    <cfRule type="expression" dxfId="0" priority="3490">
      <formula>COUNTIF(I366:CV366,"&lt;&gt;" &amp; "")&gt;0</formula>
    </cfRule>
    <cfRule type="expression" dxfId="1" priority="3491">
      <formula>AND(COUNTIF(I366:CV366,"&lt;&gt;" &amp; "")&gt;0,NOT(ISBLANK(G366)))</formula>
    </cfRule>
  </conditionalFormatting>
  <conditionalFormatting sqref="G367">
    <cfRule type="expression" dxfId="0" priority="3493">
      <formula>COUNTIF(I367:CV367,"&lt;&gt;" &amp; "")&gt;0</formula>
    </cfRule>
    <cfRule type="expression" dxfId="1" priority="3494">
      <formula>AND(COUNTIF(I367:CV367,"&lt;&gt;" &amp; "")&gt;0,NOT(ISBLANK(G367)))</formula>
    </cfRule>
  </conditionalFormatting>
  <conditionalFormatting sqref="G368">
    <cfRule type="expression" dxfId="0" priority="3496">
      <formula>COUNTIF(I368:CV368,"&lt;&gt;" &amp; "")&gt;0</formula>
    </cfRule>
    <cfRule type="expression" dxfId="1" priority="3497">
      <formula>AND(COUNTIF(I368:CV368,"&lt;&gt;" &amp; "")&gt;0,NOT(ISBLANK(G368)))</formula>
    </cfRule>
  </conditionalFormatting>
  <conditionalFormatting sqref="G369">
    <cfRule type="expression" dxfId="0" priority="3499">
      <formula>COUNTIF(I369:CV369,"&lt;&gt;" &amp; "")&gt;0</formula>
    </cfRule>
    <cfRule type="expression" dxfId="1" priority="3500">
      <formula>AND(COUNTIF(I369:CV369,"&lt;&gt;" &amp; "")&gt;0,NOT(ISBLANK(G369)))</formula>
    </cfRule>
  </conditionalFormatting>
  <conditionalFormatting sqref="G37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G370">
    <cfRule type="expression" dxfId="0" priority="3502">
      <formula>COUNTIF(I370:CV370,"&lt;&gt;" &amp; "")&gt;0</formula>
    </cfRule>
    <cfRule type="expression" dxfId="1" priority="3503">
      <formula>AND(COUNTIF(I370:CV370,"&lt;&gt;" &amp; "")&gt;0,NOT(ISBLANK(G370)))</formula>
    </cfRule>
  </conditionalFormatting>
  <conditionalFormatting sqref="G371">
    <cfRule type="expression" dxfId="0" priority="3505">
      <formula>COUNTIF(I371:CV371,"&lt;&gt;" &amp; "")&gt;0</formula>
    </cfRule>
    <cfRule type="expression" dxfId="1" priority="3506">
      <formula>AND(COUNTIF(I371:CV371,"&lt;&gt;" &amp; "")&gt;0,NOT(ISBLANK(G371)))</formula>
    </cfRule>
  </conditionalFormatting>
  <conditionalFormatting sqref="G372">
    <cfRule type="expression" dxfId="0" priority="3508">
      <formula>COUNTIF(I372:CV372,"&lt;&gt;" &amp; "")&gt;0</formula>
    </cfRule>
    <cfRule type="expression" dxfId="1" priority="3509">
      <formula>AND(COUNTIF(I372:CV372,"&lt;&gt;" &amp; "")&gt;0,NOT(ISBLANK(G372)))</formula>
    </cfRule>
  </conditionalFormatting>
  <conditionalFormatting sqref="G373">
    <cfRule type="expression" dxfId="0" priority="3511">
      <formula>COUNTIF(I373:CV373,"&lt;&gt;" &amp; "")&gt;0</formula>
    </cfRule>
    <cfRule type="expression" dxfId="1" priority="3512">
      <formula>AND(COUNTIF(I373:CV373,"&lt;&gt;" &amp; "")&gt;0,NOT(ISBLANK(G373)))</formula>
    </cfRule>
  </conditionalFormatting>
  <conditionalFormatting sqref="G374">
    <cfRule type="expression" dxfId="0" priority="3514">
      <formula>COUNTIF(I374:CV374,"&lt;&gt;" &amp; "")&gt;0</formula>
    </cfRule>
    <cfRule type="expression" dxfId="1" priority="3515">
      <formula>AND(COUNTIF(I374:CV374,"&lt;&gt;" &amp; "")&gt;0,NOT(ISBLANK(G374)))</formula>
    </cfRule>
  </conditionalFormatting>
  <conditionalFormatting sqref="G375">
    <cfRule type="expression" dxfId="0" priority="3517">
      <formula>COUNTIF(I375:CV375,"&lt;&gt;" &amp; "")&gt;0</formula>
    </cfRule>
    <cfRule type="expression" dxfId="1" priority="3518">
      <formula>AND(COUNTIF(I375:CV375,"&lt;&gt;" &amp; "")&gt;0,NOT(ISBLANK(G375)))</formula>
    </cfRule>
  </conditionalFormatting>
  <conditionalFormatting sqref="G376">
    <cfRule type="expression" dxfId="0" priority="3520">
      <formula>COUNTIF(I376:CV376,"&lt;&gt;" &amp; "")&gt;0</formula>
    </cfRule>
    <cfRule type="expression" dxfId="1" priority="3521">
      <formula>AND(COUNTIF(I376:CV376,"&lt;&gt;" &amp; "")&gt;0,NOT(ISBLANK(G376)))</formula>
    </cfRule>
  </conditionalFormatting>
  <conditionalFormatting sqref="G377">
    <cfRule type="expression" dxfId="0" priority="3523">
      <formula>COUNTIF(I377:CV377,"&lt;&gt;" &amp; "")&gt;0</formula>
    </cfRule>
    <cfRule type="expression" dxfId="1" priority="3524">
      <formula>AND(COUNTIF(I377:CV377,"&lt;&gt;" &amp; "")&gt;0,NOT(ISBLANK(G377)))</formula>
    </cfRule>
  </conditionalFormatting>
  <conditionalFormatting sqref="G378">
    <cfRule type="expression" dxfId="0" priority="3526">
      <formula>COUNTIF(I378:CV378,"&lt;&gt;" &amp; "")&gt;0</formula>
    </cfRule>
    <cfRule type="expression" dxfId="1" priority="3527">
      <formula>AND(COUNTIF(I378:CV378,"&lt;&gt;" &amp; "")&gt;0,NOT(ISBLANK(G378)))</formula>
    </cfRule>
  </conditionalFormatting>
  <conditionalFormatting sqref="G379">
    <cfRule type="expression" dxfId="0" priority="3529">
      <formula>COUNTIF(I379:CV379,"&lt;&gt;" &amp; "")&gt;0</formula>
    </cfRule>
    <cfRule type="expression" dxfId="1" priority="3530">
      <formula>AND(COUNTIF(I379:CV379,"&lt;&gt;" &amp; "")&gt;0,NOT(ISBLANK(G379)))</formula>
    </cfRule>
  </conditionalFormatting>
  <conditionalFormatting sqref="G38">
    <cfRule type="cellIs" dxfId="2" priority="2321" operator="equal">
      <formula>"Y"</formula>
    </cfRule>
    <cfRule type="cellIs" dxfId="3" priority="2322" operator="equal">
      <formula>"N"</formula>
    </cfRule>
  </conditionalFormatting>
  <conditionalFormatting sqref="G380">
    <cfRule type="expression" dxfId="0" priority="3532">
      <formula>COUNTIF(I380:CV380,"&lt;&gt;" &amp; "")&gt;0</formula>
    </cfRule>
    <cfRule type="expression" dxfId="1" priority="3533">
      <formula>AND(COUNTIF(I380:CV380,"&lt;&gt;" &amp; "")&gt;0,NOT(ISBLANK(G380)))</formula>
    </cfRule>
  </conditionalFormatting>
  <conditionalFormatting sqref="G381">
    <cfRule type="expression" dxfId="0" priority="3535">
      <formula>COUNTIF(I381:CV381,"&lt;&gt;" &amp; "")&gt;0</formula>
    </cfRule>
    <cfRule type="expression" dxfId="1" priority="3536">
      <formula>AND(COUNTIF(I381:CV381,"&lt;&gt;" &amp; "")&gt;0,NOT(ISBLANK(G381)))</formula>
    </cfRule>
  </conditionalFormatting>
  <conditionalFormatting sqref="G382">
    <cfRule type="expression" dxfId="0" priority="3538">
      <formula>COUNTIF(I382:CV382,"&lt;&gt;" &amp; "")&gt;0</formula>
    </cfRule>
    <cfRule type="expression" dxfId="1" priority="3539">
      <formula>AND(COUNTIF(I382:CV382,"&lt;&gt;" &amp; "")&gt;0,NOT(ISBLANK(G382)))</formula>
    </cfRule>
  </conditionalFormatting>
  <conditionalFormatting sqref="G383">
    <cfRule type="expression" dxfId="0" priority="3541">
      <formula>COUNTIF(I383:CV383,"&lt;&gt;" &amp; "")&gt;0</formula>
    </cfRule>
    <cfRule type="expression" dxfId="1" priority="3542">
      <formula>AND(COUNTIF(I383:CV383,"&lt;&gt;" &amp; "")&gt;0,NOT(ISBLANK(G383)))</formula>
    </cfRule>
  </conditionalFormatting>
  <conditionalFormatting sqref="G384">
    <cfRule type="expression" dxfId="0" priority="3544">
      <formula>COUNTIF(I384:CV384,"&lt;&gt;" &amp; "")&gt;0</formula>
    </cfRule>
    <cfRule type="expression" dxfId="1" priority="3545">
      <formula>AND(COUNTIF(I384:CV384,"&lt;&gt;" &amp; "")&gt;0,NOT(ISBLANK(G384)))</formula>
    </cfRule>
  </conditionalFormatting>
  <conditionalFormatting sqref="G385">
    <cfRule type="expression" dxfId="0" priority="3547">
      <formula>COUNTIF(I385:CV385,"&lt;&gt;" &amp; "")&gt;0</formula>
    </cfRule>
    <cfRule type="expression" dxfId="1" priority="3548">
      <formula>AND(COUNTIF(I385:CV385,"&lt;&gt;" &amp; "")&gt;0,NOT(ISBLANK(G385)))</formula>
    </cfRule>
  </conditionalFormatting>
  <conditionalFormatting sqref="G386">
    <cfRule type="expression" dxfId="0" priority="3550">
      <formula>COUNTIF(I386:CV386,"&lt;&gt;" &amp; "")&gt;0</formula>
    </cfRule>
    <cfRule type="expression" dxfId="1" priority="3551">
      <formula>AND(COUNTIF(I386:CV386,"&lt;&gt;" &amp; "")&gt;0,NOT(ISBLANK(G386)))</formula>
    </cfRule>
  </conditionalFormatting>
  <conditionalFormatting sqref="G387">
    <cfRule type="expression" dxfId="0" priority="3553">
      <formula>COUNTIF(I387:CV387,"&lt;&gt;" &amp; "")&gt;0</formula>
    </cfRule>
    <cfRule type="expression" dxfId="1" priority="3554">
      <formula>AND(COUNTIF(I387:CV387,"&lt;&gt;" &amp; "")&gt;0,NOT(ISBLANK(G387)))</formula>
    </cfRule>
  </conditionalFormatting>
  <conditionalFormatting sqref="G388">
    <cfRule type="expression" dxfId="0" priority="3556">
      <formula>COUNTIF(I388:CV388,"&lt;&gt;" &amp; "")&gt;0</formula>
    </cfRule>
    <cfRule type="expression" dxfId="1" priority="3557">
      <formula>AND(COUNTIF(I388:CV388,"&lt;&gt;" &amp; "")&gt;0,NOT(ISBLANK(G388)))</formula>
    </cfRule>
  </conditionalFormatting>
  <conditionalFormatting sqref="G389">
    <cfRule type="expression" dxfId="0" priority="3559">
      <formula>COUNTIF(I389:CV389,"&lt;&gt;" &amp; "")&gt;0</formula>
    </cfRule>
    <cfRule type="expression" dxfId="1" priority="3560">
      <formula>AND(COUNTIF(I389:CV389,"&lt;&gt;" &amp; "")&gt;0,NOT(ISBLANK(G389)))</formula>
    </cfRule>
  </conditionalFormatting>
  <conditionalFormatting sqref="G39">
    <cfRule type="cellIs" dxfId="2" priority="2391" operator="equal">
      <formula>"Y"</formula>
    </cfRule>
    <cfRule type="cellIs" dxfId="3" priority="2392" operator="equal">
      <formula>"N"</formula>
    </cfRule>
  </conditionalFormatting>
  <conditionalFormatting sqref="G390">
    <cfRule type="expression" dxfId="0" priority="3562">
      <formula>COUNTIF(I390:CV390,"&lt;&gt;" &amp; "")&gt;0</formula>
    </cfRule>
    <cfRule type="expression" dxfId="1" priority="3563">
      <formula>AND(COUNTIF(I390:CV390,"&lt;&gt;" &amp; "")&gt;0,NOT(ISBLANK(G390)))</formula>
    </cfRule>
  </conditionalFormatting>
  <conditionalFormatting sqref="G391">
    <cfRule type="expression" dxfId="0" priority="3565">
      <formula>COUNTIF(I391:CV391,"&lt;&gt;" &amp; "")&gt;0</formula>
    </cfRule>
    <cfRule type="expression" dxfId="1" priority="3566">
      <formula>AND(COUNTIF(I391:CV391,"&lt;&gt;" &amp; "")&gt;0,NOT(ISBLANK(G391)))</formula>
    </cfRule>
  </conditionalFormatting>
  <conditionalFormatting sqref="G392">
    <cfRule type="expression" dxfId="0" priority="3568">
      <formula>COUNTIF(I392:CV392,"&lt;&gt;" &amp; "")&gt;0</formula>
    </cfRule>
    <cfRule type="expression" dxfId="1" priority="3569">
      <formula>AND(COUNTIF(I392:CV392,"&lt;&gt;" &amp; "")&gt;0,NOT(ISBLANK(G392)))</formula>
    </cfRule>
  </conditionalFormatting>
  <conditionalFormatting sqref="G393">
    <cfRule type="expression" dxfId="0" priority="3571">
      <formula>COUNTIF(I393:CV393,"&lt;&gt;" &amp; "")&gt;0</formula>
    </cfRule>
    <cfRule type="expression" dxfId="1" priority="3572">
      <formula>AND(COUNTIF(I393:CV393,"&lt;&gt;" &amp; "")&gt;0,NOT(ISBLANK(G393)))</formula>
    </cfRule>
  </conditionalFormatting>
  <conditionalFormatting sqref="G394">
    <cfRule type="expression" dxfId="0" priority="3574">
      <formula>COUNTIF(I394:CV394,"&lt;&gt;" &amp; "")&gt;0</formula>
    </cfRule>
    <cfRule type="expression" dxfId="1" priority="3575">
      <formula>AND(COUNTIF(I394:CV394,"&lt;&gt;" &amp; "")&gt;0,NOT(ISBLANK(G394)))</formula>
    </cfRule>
  </conditionalFormatting>
  <conditionalFormatting sqref="G395">
    <cfRule type="expression" dxfId="0" priority="3577">
      <formula>COUNTIF(I395:CV395,"&lt;&gt;" &amp; "")&gt;0</formula>
    </cfRule>
    <cfRule type="expression" dxfId="1" priority="3578">
      <formula>AND(COUNTIF(I395:CV395,"&lt;&gt;" &amp; "")&gt;0,NOT(ISBLANK(G395)))</formula>
    </cfRule>
  </conditionalFormatting>
  <conditionalFormatting sqref="G396">
    <cfRule type="expression" dxfId="0" priority="3580">
      <formula>COUNTIF(I396:CV396,"&lt;&gt;" &amp; "")&gt;0</formula>
    </cfRule>
    <cfRule type="expression" dxfId="1" priority="3581">
      <formula>AND(COUNTIF(I396:CV396,"&lt;&gt;" &amp; "")&gt;0,NOT(ISBLANK(G396)))</formula>
    </cfRule>
  </conditionalFormatting>
  <conditionalFormatting sqref="G397">
    <cfRule type="expression" dxfId="0" priority="3583">
      <formula>COUNTIF(I397:CV397,"&lt;&gt;" &amp; "")&gt;0</formula>
    </cfRule>
    <cfRule type="expression" dxfId="1" priority="3584">
      <formula>AND(COUNTIF(I397:CV397,"&lt;&gt;" &amp; "")&gt;0,NOT(ISBLANK(G397)))</formula>
    </cfRule>
  </conditionalFormatting>
  <conditionalFormatting sqref="G398">
    <cfRule type="expression" dxfId="0" priority="3586">
      <formula>COUNTIF(I398:CV398,"&lt;&gt;" &amp; "")&gt;0</formula>
    </cfRule>
    <cfRule type="expression" dxfId="1" priority="3587">
      <formula>AND(COUNTIF(I398:CV398,"&lt;&gt;" &amp; "")&gt;0,NOT(ISBLANK(G398)))</formula>
    </cfRule>
  </conditionalFormatting>
  <conditionalFormatting sqref="G399">
    <cfRule type="expression" dxfId="0" priority="3589">
      <formula>COUNTIF(I399:CV399,"&lt;&gt;" &amp; "")&gt;0</formula>
    </cfRule>
    <cfRule type="expression" dxfId="1" priority="3590">
      <formula>AND(COUNTIF(I399:CV399,"&lt;&gt;" &amp; "")&gt;0,NOT(ISBLANK(G399)))</formula>
    </cfRule>
  </conditionalFormatting>
  <conditionalFormatting sqref="G40">
    <cfRule type="cellIs" dxfId="2" priority="2461" operator="equal">
      <formula>"Y"</formula>
    </cfRule>
    <cfRule type="cellIs" dxfId="3" priority="2462" operator="equal">
      <formula>"N"</formula>
    </cfRule>
  </conditionalFormatting>
  <conditionalFormatting sqref="G400">
    <cfRule type="expression" dxfId="0" priority="3592">
      <formula>COUNTIF(I400:CV400,"&lt;&gt;" &amp; "")&gt;0</formula>
    </cfRule>
    <cfRule type="expression" dxfId="1" priority="3593">
      <formula>AND(COUNTIF(I400:CV400,"&lt;&gt;" &amp; "")&gt;0,NOT(ISBLANK(G400)))</formula>
    </cfRule>
  </conditionalFormatting>
  <conditionalFormatting sqref="G401">
    <cfRule type="expression" dxfId="0" priority="3595">
      <formula>COUNTIF(I401:CV401,"&lt;&gt;" &amp; "")&gt;0</formula>
    </cfRule>
    <cfRule type="expression" dxfId="1" priority="3596">
      <formula>AND(COUNTIF(I401:CV401,"&lt;&gt;" &amp; "")&gt;0,NOT(ISBLANK(G401)))</formula>
    </cfRule>
  </conditionalFormatting>
  <conditionalFormatting sqref="G402">
    <cfRule type="expression" dxfId="0" priority="3598">
      <formula>COUNTIF(I402:CV402,"&lt;&gt;" &amp; "")&gt;0</formula>
    </cfRule>
    <cfRule type="expression" dxfId="1" priority="3599">
      <formula>AND(COUNTIF(I402:CV402,"&lt;&gt;" &amp; "")&gt;0,NOT(ISBLANK(G402)))</formula>
    </cfRule>
  </conditionalFormatting>
  <conditionalFormatting sqref="G403">
    <cfRule type="expression" dxfId="0" priority="3601">
      <formula>COUNTIF(I403:CV403,"&lt;&gt;" &amp; "")&gt;0</formula>
    </cfRule>
    <cfRule type="expression" dxfId="1" priority="3602">
      <formula>AND(COUNTIF(I403:CV403,"&lt;&gt;" &amp; "")&gt;0,NOT(ISBLANK(G403)))</formula>
    </cfRule>
  </conditionalFormatting>
  <conditionalFormatting sqref="G404">
    <cfRule type="expression" dxfId="0" priority="3604">
      <formula>COUNTIF(I404:CV404,"&lt;&gt;" &amp; "")&gt;0</formula>
    </cfRule>
    <cfRule type="expression" dxfId="1" priority="3605">
      <formula>AND(COUNTIF(I404:CV404,"&lt;&gt;" &amp; "")&gt;0,NOT(ISBLANK(G404)))</formula>
    </cfRule>
  </conditionalFormatting>
  <conditionalFormatting sqref="G405">
    <cfRule type="expression" dxfId="0" priority="3607">
      <formula>COUNTIF(I405:CV405,"&lt;&gt;" &amp; "")&gt;0</formula>
    </cfRule>
    <cfRule type="expression" dxfId="1" priority="3608">
      <formula>AND(COUNTIF(I405:CV405,"&lt;&gt;" &amp; "")&gt;0,NOT(ISBLANK(G405)))</formula>
    </cfRule>
  </conditionalFormatting>
  <conditionalFormatting sqref="G406">
    <cfRule type="expression" dxfId="0" priority="3610">
      <formula>COUNTIF(I406:CV406,"&lt;&gt;" &amp; "")&gt;0</formula>
    </cfRule>
    <cfRule type="expression" dxfId="1" priority="3611">
      <formula>AND(COUNTIF(I406:CV406,"&lt;&gt;" &amp; "")&gt;0,NOT(ISBLANK(G406)))</formula>
    </cfRule>
  </conditionalFormatting>
  <conditionalFormatting sqref="G407">
    <cfRule type="expression" dxfId="0" priority="3613">
      <formula>COUNTIF(I407:CV407,"&lt;&gt;" &amp; "")&gt;0</formula>
    </cfRule>
    <cfRule type="expression" dxfId="1" priority="3614">
      <formula>AND(COUNTIF(I407:CV407,"&lt;&gt;" &amp; "")&gt;0,NOT(ISBLANK(G407)))</formula>
    </cfRule>
  </conditionalFormatting>
  <conditionalFormatting sqref="G408">
    <cfRule type="expression" dxfId="0" priority="3616">
      <formula>COUNTIF(I408:CV408,"&lt;&gt;" &amp; "")&gt;0</formula>
    </cfRule>
    <cfRule type="expression" dxfId="1" priority="3617">
      <formula>AND(COUNTIF(I408:CV408,"&lt;&gt;" &amp; "")&gt;0,NOT(ISBLANK(G408)))</formula>
    </cfRule>
  </conditionalFormatting>
  <conditionalFormatting sqref="G409">
    <cfRule type="expression" dxfId="0" priority="3619">
      <formula>COUNTIF(I409:CV409,"&lt;&gt;" &amp; "")&gt;0</formula>
    </cfRule>
    <cfRule type="expression" dxfId="1" priority="3620">
      <formula>AND(COUNTIF(I409:CV409,"&lt;&gt;" &amp; "")&gt;0,NOT(ISBLANK(G409)))</formula>
    </cfRule>
  </conditionalFormatting>
  <conditionalFormatting sqref="G410">
    <cfRule type="expression" dxfId="0" priority="3622">
      <formula>COUNTIF(I410:CV410,"&lt;&gt;" &amp; "")&gt;0</formula>
    </cfRule>
    <cfRule type="expression" dxfId="1" priority="3623">
      <formula>AND(COUNTIF(I410:CV410,"&lt;&gt;" &amp; "")&gt;0,NOT(ISBLANK(G410)))</formula>
    </cfRule>
  </conditionalFormatting>
  <conditionalFormatting sqref="G411">
    <cfRule type="expression" dxfId="0" priority="3625">
      <formula>COUNTIF(I411:CV411,"&lt;&gt;" &amp; "")&gt;0</formula>
    </cfRule>
    <cfRule type="expression" dxfId="1" priority="3626">
      <formula>AND(COUNTIF(I411:CV411,"&lt;&gt;" &amp; "")&gt;0,NOT(ISBLANK(G411)))</formula>
    </cfRule>
  </conditionalFormatting>
  <conditionalFormatting sqref="G412">
    <cfRule type="expression" dxfId="0" priority="3628">
      <formula>COUNTIF(I412:CV412,"&lt;&gt;" &amp; "")&gt;0</formula>
    </cfRule>
    <cfRule type="expression" dxfId="1" priority="3629">
      <formula>AND(COUNTIF(I412:CV412,"&lt;&gt;" &amp; "")&gt;0,NOT(ISBLANK(G412)))</formula>
    </cfRule>
  </conditionalFormatting>
  <conditionalFormatting sqref="G413">
    <cfRule type="expression" dxfId="0" priority="3631">
      <formula>COUNTIF(I413:CV413,"&lt;&gt;" &amp; "")&gt;0</formula>
    </cfRule>
    <cfRule type="expression" dxfId="1" priority="3632">
      <formula>AND(COUNTIF(I413:CV413,"&lt;&gt;" &amp; "")&gt;0,NOT(ISBLANK(G413)))</formula>
    </cfRule>
  </conditionalFormatting>
  <conditionalFormatting sqref="G414">
    <cfRule type="expression" dxfId="0" priority="3634">
      <formula>COUNTIF(I414:CV414,"&lt;&gt;" &amp; "")&gt;0</formula>
    </cfRule>
    <cfRule type="expression" dxfId="1" priority="3635">
      <formula>AND(COUNTIF(I414:CV414,"&lt;&gt;" &amp; "")&gt;0,NOT(ISBLANK(G414)))</formula>
    </cfRule>
  </conditionalFormatting>
  <conditionalFormatting sqref="G415">
    <cfRule type="expression" dxfId="0" priority="3637">
      <formula>COUNTIF(I415:CV415,"&lt;&gt;" &amp; "")&gt;0</formula>
    </cfRule>
    <cfRule type="expression" dxfId="1" priority="3638">
      <formula>AND(COUNTIF(I415:CV415,"&lt;&gt;" &amp; "")&gt;0,NOT(ISBLANK(G415)))</formula>
    </cfRule>
  </conditionalFormatting>
  <conditionalFormatting sqref="G416">
    <cfRule type="expression" dxfId="0" priority="3640">
      <formula>COUNTIF(I416:CV416,"&lt;&gt;" &amp; "")&gt;0</formula>
    </cfRule>
    <cfRule type="expression" dxfId="1" priority="3641">
      <formula>AND(COUNTIF(I416:CV416,"&lt;&gt;" &amp; "")&gt;0,NOT(ISBLANK(G416)))</formula>
    </cfRule>
  </conditionalFormatting>
  <conditionalFormatting sqref="G417">
    <cfRule type="expression" dxfId="0" priority="3643">
      <formula>COUNTIF(I417:CV417,"&lt;&gt;" &amp; "")&gt;0</formula>
    </cfRule>
    <cfRule type="expression" dxfId="1" priority="3644">
      <formula>AND(COUNTIF(I417:CV417,"&lt;&gt;" &amp; "")&gt;0,NOT(ISBLANK(G417)))</formula>
    </cfRule>
  </conditionalFormatting>
  <conditionalFormatting sqref="G418">
    <cfRule type="expression" dxfId="0" priority="3646">
      <formula>COUNTIF(I418:CV418,"&lt;&gt;" &amp; "")&gt;0</formula>
    </cfRule>
    <cfRule type="expression" dxfId="1" priority="3647">
      <formula>AND(COUNTIF(I418:CV418,"&lt;&gt;" &amp; "")&gt;0,NOT(ISBLANK(G418)))</formula>
    </cfRule>
  </conditionalFormatting>
  <conditionalFormatting sqref="G419">
    <cfRule type="expression" dxfId="0" priority="3649">
      <formula>COUNTIF(I419:CV419,"&lt;&gt;" &amp; "")&gt;0</formula>
    </cfRule>
    <cfRule type="expression" dxfId="1" priority="3650">
      <formula>AND(COUNTIF(I419:CV419,"&lt;&gt;" &amp; "")&gt;0,NOT(ISBLANK(G419)))</formula>
    </cfRule>
  </conditionalFormatting>
  <conditionalFormatting sqref="G420">
    <cfRule type="expression" dxfId="0" priority="3652">
      <formula>COUNTIF(I420:CV420,"&lt;&gt;" &amp; "")&gt;0</formula>
    </cfRule>
    <cfRule type="expression" dxfId="1" priority="3653">
      <formula>AND(COUNTIF(I420:CV420,"&lt;&gt;" &amp; "")&gt;0,NOT(ISBLANK(G420)))</formula>
    </cfRule>
  </conditionalFormatting>
  <conditionalFormatting sqref="G421">
    <cfRule type="expression" dxfId="0" priority="3655">
      <formula>COUNTIF(I421:CV421,"&lt;&gt;" &amp; "")&gt;0</formula>
    </cfRule>
    <cfRule type="expression" dxfId="1" priority="3656">
      <formula>AND(COUNTIF(I421:CV421,"&lt;&gt;" &amp; "")&gt;0,NOT(ISBLANK(G421)))</formula>
    </cfRule>
  </conditionalFormatting>
  <conditionalFormatting sqref="G422">
    <cfRule type="expression" dxfId="0" priority="3658">
      <formula>COUNTIF(I422:CV422,"&lt;&gt;" &amp; "")&gt;0</formula>
    </cfRule>
    <cfRule type="expression" dxfId="1" priority="3659">
      <formula>AND(COUNTIF(I422:CV422,"&lt;&gt;" &amp; "")&gt;0,NOT(ISBLANK(G422)))</formula>
    </cfRule>
  </conditionalFormatting>
  <conditionalFormatting sqref="G423">
    <cfRule type="expression" dxfId="0" priority="3661">
      <formula>COUNTIF(I423:CV423,"&lt;&gt;" &amp; "")&gt;0</formula>
    </cfRule>
    <cfRule type="expression" dxfId="1" priority="3662">
      <formula>AND(COUNTIF(I423:CV423,"&lt;&gt;" &amp; "")&gt;0,NOT(ISBLANK(G423)))</formula>
    </cfRule>
  </conditionalFormatting>
  <conditionalFormatting sqref="G424">
    <cfRule type="expression" dxfId="0" priority="3664">
      <formula>COUNTIF(I424:CV424,"&lt;&gt;" &amp; "")&gt;0</formula>
    </cfRule>
    <cfRule type="expression" dxfId="1" priority="3665">
      <formula>AND(COUNTIF(I424:CV424,"&lt;&gt;" &amp; "")&gt;0,NOT(ISBLANK(G424)))</formula>
    </cfRule>
  </conditionalFormatting>
  <conditionalFormatting sqref="G425">
    <cfRule type="expression" dxfId="0" priority="3667">
      <formula>COUNTIF(I425:CV425,"&lt;&gt;" &amp; "")&gt;0</formula>
    </cfRule>
    <cfRule type="expression" dxfId="1" priority="3668">
      <formula>AND(COUNTIF(I425:CV425,"&lt;&gt;" &amp; "")&gt;0,NOT(ISBLANK(G425)))</formula>
    </cfRule>
  </conditionalFormatting>
  <conditionalFormatting sqref="G426">
    <cfRule type="expression" dxfId="0" priority="3670">
      <formula>COUNTIF(I426:CV426,"&lt;&gt;" &amp; "")&gt;0</formula>
    </cfRule>
    <cfRule type="expression" dxfId="1" priority="3671">
      <formula>AND(COUNTIF(I426:CV426,"&lt;&gt;" &amp; "")&gt;0,NOT(ISBLANK(G426)))</formula>
    </cfRule>
  </conditionalFormatting>
  <conditionalFormatting sqref="G427">
    <cfRule type="expression" dxfId="0" priority="3673">
      <formula>COUNTIF(I427:CV427,"&lt;&gt;" &amp; "")&gt;0</formula>
    </cfRule>
    <cfRule type="expression" dxfId="1" priority="3674">
      <formula>AND(COUNTIF(I427:CV427,"&lt;&gt;" &amp; "")&gt;0,NOT(ISBLANK(G427)))</formula>
    </cfRule>
  </conditionalFormatting>
  <conditionalFormatting sqref="G428">
    <cfRule type="expression" dxfId="0" priority="3676">
      <formula>COUNTIF(I428:CV428,"&lt;&gt;" &amp; "")&gt;0</formula>
    </cfRule>
    <cfRule type="expression" dxfId="1" priority="3677">
      <formula>AND(COUNTIF(I428:CV428,"&lt;&gt;" &amp; "")&gt;0,NOT(ISBLANK(G428)))</formula>
    </cfRule>
  </conditionalFormatting>
  <conditionalFormatting sqref="G429">
    <cfRule type="expression" dxfId="0" priority="3679">
      <formula>COUNTIF(I429:CV429,"&lt;&gt;" &amp; "")&gt;0</formula>
    </cfRule>
    <cfRule type="expression" dxfId="1" priority="3680">
      <formula>AND(COUNTIF(I429:CV429,"&lt;&gt;" &amp; "")&gt;0,NOT(ISBLANK(G429)))</formula>
    </cfRule>
  </conditionalFormatting>
  <conditionalFormatting sqref="G43">
    <cfRule type="expression" dxfId="0" priority="2521">
      <formula>COUNTIF(I43:CV43,"&lt;&gt;" &amp; "")&gt;0</formula>
    </cfRule>
    <cfRule type="expression" dxfId="1" priority="2522">
      <formula>AND(COUNTIF(I43:CV43,"&lt;&gt;" &amp; "")&gt;0,NOT(ISBLANK(G43)))</formula>
    </cfRule>
  </conditionalFormatting>
  <conditionalFormatting sqref="G430">
    <cfRule type="expression" dxfId="0" priority="3682">
      <formula>COUNTIF(I430:CV430,"&lt;&gt;" &amp; "")&gt;0</formula>
    </cfRule>
    <cfRule type="expression" dxfId="1" priority="3683">
      <formula>AND(COUNTIF(I430:CV430,"&lt;&gt;" &amp; "")&gt;0,NOT(ISBLANK(G430)))</formula>
    </cfRule>
  </conditionalFormatting>
  <conditionalFormatting sqref="G431">
    <cfRule type="expression" dxfId="0" priority="3685">
      <formula>COUNTIF(I431:CV431,"&lt;&gt;" &amp; "")&gt;0</formula>
    </cfRule>
    <cfRule type="expression" dxfId="1" priority="3686">
      <formula>AND(COUNTIF(I431:CV431,"&lt;&gt;" &amp; "")&gt;0,NOT(ISBLANK(G431)))</formula>
    </cfRule>
  </conditionalFormatting>
  <conditionalFormatting sqref="G432">
    <cfRule type="expression" dxfId="0" priority="3688">
      <formula>COUNTIF(I432:CV432,"&lt;&gt;" &amp; "")&gt;0</formula>
    </cfRule>
    <cfRule type="expression" dxfId="1" priority="3689">
      <formula>AND(COUNTIF(I432:CV432,"&lt;&gt;" &amp; "")&gt;0,NOT(ISBLANK(G432)))</formula>
    </cfRule>
  </conditionalFormatting>
  <conditionalFormatting sqref="G433">
    <cfRule type="expression" dxfId="0" priority="3691">
      <formula>COUNTIF(I433:CV433,"&lt;&gt;" &amp; "")&gt;0</formula>
    </cfRule>
    <cfRule type="expression" dxfId="1" priority="3692">
      <formula>AND(COUNTIF(I433:CV433,"&lt;&gt;" &amp; "")&gt;0,NOT(ISBLANK(G433)))</formula>
    </cfRule>
  </conditionalFormatting>
  <conditionalFormatting sqref="G434">
    <cfRule type="expression" dxfId="0" priority="3694">
      <formula>COUNTIF(I434:CV434,"&lt;&gt;" &amp; "")&gt;0</formula>
    </cfRule>
    <cfRule type="expression" dxfId="1" priority="3695">
      <formula>AND(COUNTIF(I434:CV434,"&lt;&gt;" &amp; "")&gt;0,NOT(ISBLANK(G434)))</formula>
    </cfRule>
  </conditionalFormatting>
  <conditionalFormatting sqref="G435">
    <cfRule type="expression" dxfId="0" priority="3697">
      <formula>COUNTIF(I435:CV435,"&lt;&gt;" &amp; "")&gt;0</formula>
    </cfRule>
    <cfRule type="expression" dxfId="1" priority="3698">
      <formula>AND(COUNTIF(I435:CV435,"&lt;&gt;" &amp; "")&gt;0,NOT(ISBLANK(G435)))</formula>
    </cfRule>
  </conditionalFormatting>
  <conditionalFormatting sqref="G436">
    <cfRule type="expression" dxfId="0" priority="3700">
      <formula>COUNTIF(I436:CV436,"&lt;&gt;" &amp; "")&gt;0</formula>
    </cfRule>
    <cfRule type="expression" dxfId="1" priority="3701">
      <formula>AND(COUNTIF(I436:CV436,"&lt;&gt;" &amp; "")&gt;0,NOT(ISBLANK(G436)))</formula>
    </cfRule>
  </conditionalFormatting>
  <conditionalFormatting sqref="G437">
    <cfRule type="expression" dxfId="0" priority="3703">
      <formula>COUNTIF(I437:CV437,"&lt;&gt;" &amp; "")&gt;0</formula>
    </cfRule>
    <cfRule type="expression" dxfId="1" priority="3704">
      <formula>AND(COUNTIF(I437:CV437,"&lt;&gt;" &amp; "")&gt;0,NOT(ISBLANK(G437)))</formula>
    </cfRule>
  </conditionalFormatting>
  <conditionalFormatting sqref="G438">
    <cfRule type="expression" dxfId="0" priority="3706">
      <formula>COUNTIF(I438:CV438,"&lt;&gt;" &amp; "")&gt;0</formula>
    </cfRule>
    <cfRule type="expression" dxfId="1" priority="3707">
      <formula>AND(COUNTIF(I438:CV438,"&lt;&gt;" &amp; "")&gt;0,NOT(ISBLANK(G438)))</formula>
    </cfRule>
  </conditionalFormatting>
  <conditionalFormatting sqref="G439">
    <cfRule type="expression" dxfId="0" priority="3709">
      <formula>COUNTIF(I439:CV439,"&lt;&gt;" &amp; "")&gt;0</formula>
    </cfRule>
    <cfRule type="expression" dxfId="1" priority="3710">
      <formula>AND(COUNTIF(I439:CV439,"&lt;&gt;" &amp; "")&gt;0,NOT(ISBLANK(G439)))</formula>
    </cfRule>
  </conditionalFormatting>
  <conditionalFormatting sqref="G44">
    <cfRule type="expression" dxfId="0" priority="2524">
      <formula>COUNTIF(I44:CV44,"&lt;&gt;" &amp; "")&gt;0</formula>
    </cfRule>
    <cfRule type="expression" dxfId="1" priority="2525">
      <formula>AND(COUNTIF(I44:CV44,"&lt;&gt;" &amp; "")&gt;0,NOT(ISBLANK(G44)))</formula>
    </cfRule>
  </conditionalFormatting>
  <conditionalFormatting sqref="G440">
    <cfRule type="expression" dxfId="0" priority="3712">
      <formula>COUNTIF(I440:CV440,"&lt;&gt;" &amp; "")&gt;0</formula>
    </cfRule>
    <cfRule type="expression" dxfId="1" priority="3713">
      <formula>AND(COUNTIF(I440:CV440,"&lt;&gt;" &amp; "")&gt;0,NOT(ISBLANK(G440)))</formula>
    </cfRule>
  </conditionalFormatting>
  <conditionalFormatting sqref="G441">
    <cfRule type="expression" dxfId="0" priority="3715">
      <formula>COUNTIF(I441:CV441,"&lt;&gt;" &amp; "")&gt;0</formula>
    </cfRule>
    <cfRule type="expression" dxfId="1" priority="3716">
      <formula>AND(COUNTIF(I441:CV441,"&lt;&gt;" &amp; "")&gt;0,NOT(ISBLANK(G441)))</formula>
    </cfRule>
  </conditionalFormatting>
  <conditionalFormatting sqref="G442">
    <cfRule type="expression" dxfId="0" priority="3718">
      <formula>COUNTIF(I442:CV442,"&lt;&gt;" &amp; "")&gt;0</formula>
    </cfRule>
    <cfRule type="expression" dxfId="1" priority="3719">
      <formula>AND(COUNTIF(I442:CV442,"&lt;&gt;" &amp; "")&gt;0,NOT(ISBLANK(G442)))</formula>
    </cfRule>
  </conditionalFormatting>
  <conditionalFormatting sqref="G443">
    <cfRule type="expression" dxfId="0" priority="3721">
      <formula>COUNTIF(I443:CV443,"&lt;&gt;" &amp; "")&gt;0</formula>
    </cfRule>
    <cfRule type="expression" dxfId="1" priority="3722">
      <formula>AND(COUNTIF(I443:CV443,"&lt;&gt;" &amp; "")&gt;0,NOT(ISBLANK(G443)))</formula>
    </cfRule>
  </conditionalFormatting>
  <conditionalFormatting sqref="G444">
    <cfRule type="expression" dxfId="0" priority="3724">
      <formula>COUNTIF(I444:CV444,"&lt;&gt;" &amp; "")&gt;0</formula>
    </cfRule>
    <cfRule type="expression" dxfId="1" priority="3725">
      <formula>AND(COUNTIF(I444:CV444,"&lt;&gt;" &amp; "")&gt;0,NOT(ISBLANK(G444)))</formula>
    </cfRule>
  </conditionalFormatting>
  <conditionalFormatting sqref="G445">
    <cfRule type="expression" dxfId="0" priority="3727">
      <formula>COUNTIF(I445:CV445,"&lt;&gt;" &amp; "")&gt;0</formula>
    </cfRule>
    <cfRule type="expression" dxfId="1" priority="3728">
      <formula>AND(COUNTIF(I445:CV445,"&lt;&gt;" &amp; "")&gt;0,NOT(ISBLANK(G445)))</formula>
    </cfRule>
  </conditionalFormatting>
  <conditionalFormatting sqref="G446">
    <cfRule type="expression" dxfId="0" priority="3730">
      <formula>COUNTIF(I446:CV446,"&lt;&gt;" &amp; "")&gt;0</formula>
    </cfRule>
    <cfRule type="expression" dxfId="1" priority="3731">
      <formula>AND(COUNTIF(I446:CV446,"&lt;&gt;" &amp; "")&gt;0,NOT(ISBLANK(G446)))</formula>
    </cfRule>
  </conditionalFormatting>
  <conditionalFormatting sqref="G447">
    <cfRule type="expression" dxfId="0" priority="3733">
      <formula>COUNTIF(I447:CV447,"&lt;&gt;" &amp; "")&gt;0</formula>
    </cfRule>
    <cfRule type="expression" dxfId="1" priority="3734">
      <formula>AND(COUNTIF(I447:CV447,"&lt;&gt;" &amp; "")&gt;0,NOT(ISBLANK(G447)))</formula>
    </cfRule>
  </conditionalFormatting>
  <conditionalFormatting sqref="G448">
    <cfRule type="expression" dxfId="0" priority="3736">
      <formula>COUNTIF(I448:CV448,"&lt;&gt;" &amp; "")&gt;0</formula>
    </cfRule>
    <cfRule type="expression" dxfId="1" priority="3737">
      <formula>AND(COUNTIF(I448:CV448,"&lt;&gt;" &amp; "")&gt;0,NOT(ISBLANK(G448)))</formula>
    </cfRule>
  </conditionalFormatting>
  <conditionalFormatting sqref="G449">
    <cfRule type="expression" dxfId="0" priority="3739">
      <formula>COUNTIF(I449:CV449,"&lt;&gt;" &amp; "")&gt;0</formula>
    </cfRule>
    <cfRule type="expression" dxfId="1" priority="3740">
      <formula>AND(COUNTIF(I449:CV449,"&lt;&gt;" &amp; "")&gt;0,NOT(ISBLANK(G449)))</formula>
    </cfRule>
  </conditionalFormatting>
  <conditionalFormatting sqref="G45">
    <cfRule type="expression" dxfId="0" priority="2527">
      <formula>COUNTIF(I45:CV45,"&lt;&gt;" &amp; "")&gt;0</formula>
    </cfRule>
    <cfRule type="expression" dxfId="1" priority="2528">
      <formula>AND(COUNTIF(I45:CV45,"&lt;&gt;" &amp; "")&gt;0,NOT(ISBLANK(G45)))</formula>
    </cfRule>
  </conditionalFormatting>
  <conditionalFormatting sqref="G450">
    <cfRule type="expression" dxfId="0" priority="3742">
      <formula>COUNTIF(I450:CV450,"&lt;&gt;" &amp; "")&gt;0</formula>
    </cfRule>
    <cfRule type="expression" dxfId="1" priority="3743">
      <formula>AND(COUNTIF(I450:CV450,"&lt;&gt;" &amp; "")&gt;0,NOT(ISBLANK(G450)))</formula>
    </cfRule>
  </conditionalFormatting>
  <conditionalFormatting sqref="G451">
    <cfRule type="expression" dxfId="0" priority="3745">
      <formula>COUNTIF(I451:CV451,"&lt;&gt;" &amp; "")&gt;0</formula>
    </cfRule>
    <cfRule type="expression" dxfId="1" priority="3746">
      <formula>AND(COUNTIF(I451:CV451,"&lt;&gt;" &amp; "")&gt;0,NOT(ISBLANK(G451)))</formula>
    </cfRule>
  </conditionalFormatting>
  <conditionalFormatting sqref="G452">
    <cfRule type="expression" dxfId="0" priority="3748">
      <formula>COUNTIF(I452:CV452,"&lt;&gt;" &amp; "")&gt;0</formula>
    </cfRule>
    <cfRule type="expression" dxfId="1" priority="3749">
      <formula>AND(COUNTIF(I452:CV452,"&lt;&gt;" &amp; "")&gt;0,NOT(ISBLANK(G452)))</formula>
    </cfRule>
  </conditionalFormatting>
  <conditionalFormatting sqref="G453">
    <cfRule type="expression" dxfId="0" priority="3751">
      <formula>COUNTIF(I453:CV453,"&lt;&gt;" &amp; "")&gt;0</formula>
    </cfRule>
    <cfRule type="expression" dxfId="1" priority="3752">
      <formula>AND(COUNTIF(I453:CV453,"&lt;&gt;" &amp; "")&gt;0,NOT(ISBLANK(G453)))</formula>
    </cfRule>
  </conditionalFormatting>
  <conditionalFormatting sqref="G454">
    <cfRule type="expression" dxfId="0" priority="3754">
      <formula>COUNTIF(I454:CV454,"&lt;&gt;" &amp; "")&gt;0</formula>
    </cfRule>
    <cfRule type="expression" dxfId="1" priority="3755">
      <formula>AND(COUNTIF(I454:CV454,"&lt;&gt;" &amp; "")&gt;0,NOT(ISBLANK(G454)))</formula>
    </cfRule>
  </conditionalFormatting>
  <conditionalFormatting sqref="G455">
    <cfRule type="expression" dxfId="0" priority="3757">
      <formula>COUNTIF(I455:CV455,"&lt;&gt;" &amp; "")&gt;0</formula>
    </cfRule>
    <cfRule type="expression" dxfId="1" priority="3758">
      <formula>AND(COUNTIF(I455:CV455,"&lt;&gt;" &amp; "")&gt;0,NOT(ISBLANK(G455)))</formula>
    </cfRule>
  </conditionalFormatting>
  <conditionalFormatting sqref="G456">
    <cfRule type="expression" dxfId="0" priority="3760">
      <formula>COUNTIF(I456:CV456,"&lt;&gt;" &amp; "")&gt;0</formula>
    </cfRule>
    <cfRule type="expression" dxfId="1" priority="3761">
      <formula>AND(COUNTIF(I456:CV456,"&lt;&gt;" &amp; "")&gt;0,NOT(ISBLANK(G456)))</formula>
    </cfRule>
  </conditionalFormatting>
  <conditionalFormatting sqref="G457">
    <cfRule type="expression" dxfId="0" priority="3763">
      <formula>COUNTIF(I457:CV457,"&lt;&gt;" &amp; "")&gt;0</formula>
    </cfRule>
    <cfRule type="expression" dxfId="1" priority="3764">
      <formula>AND(COUNTIF(I457:CV457,"&lt;&gt;" &amp; "")&gt;0,NOT(ISBLANK(G457)))</formula>
    </cfRule>
  </conditionalFormatting>
  <conditionalFormatting sqref="G458">
    <cfRule type="expression" dxfId="0" priority="3766">
      <formula>COUNTIF(I458:CV458,"&lt;&gt;" &amp; "")&gt;0</formula>
    </cfRule>
    <cfRule type="expression" dxfId="1" priority="3767">
      <formula>AND(COUNTIF(I458:CV458,"&lt;&gt;" &amp; "")&gt;0,NOT(ISBLANK(G458)))</formula>
    </cfRule>
  </conditionalFormatting>
  <conditionalFormatting sqref="G459">
    <cfRule type="expression" dxfId="0" priority="3769">
      <formula>COUNTIF(I459:CV459,"&lt;&gt;" &amp; "")&gt;0</formula>
    </cfRule>
    <cfRule type="expression" dxfId="1" priority="3770">
      <formula>AND(COUNTIF(I459:CV459,"&lt;&gt;" &amp; "")&gt;0,NOT(ISBLANK(G459)))</formula>
    </cfRule>
  </conditionalFormatting>
  <conditionalFormatting sqref="G46">
    <cfRule type="expression" dxfId="0" priority="2530">
      <formula>COUNTIF(I46:CV46,"&lt;&gt;" &amp; "")&gt;0</formula>
    </cfRule>
    <cfRule type="expression" dxfId="1" priority="2531">
      <formula>AND(COUNTIF(I46:CV46,"&lt;&gt;" &amp; "")&gt;0,NOT(ISBLANK(G46)))</formula>
    </cfRule>
  </conditionalFormatting>
  <conditionalFormatting sqref="G460">
    <cfRule type="expression" dxfId="0" priority="3772">
      <formula>COUNTIF(I460:CV460,"&lt;&gt;" &amp; "")&gt;0</formula>
    </cfRule>
    <cfRule type="expression" dxfId="1" priority="3773">
      <formula>AND(COUNTIF(I460:CV460,"&lt;&gt;" &amp; "")&gt;0,NOT(ISBLANK(G460)))</formula>
    </cfRule>
  </conditionalFormatting>
  <conditionalFormatting sqref="G461">
    <cfRule type="expression" dxfId="0" priority="3775">
      <formula>COUNTIF(I461:CV461,"&lt;&gt;" &amp; "")&gt;0</formula>
    </cfRule>
    <cfRule type="expression" dxfId="1" priority="3776">
      <formula>AND(COUNTIF(I461:CV461,"&lt;&gt;" &amp; "")&gt;0,NOT(ISBLANK(G461)))</formula>
    </cfRule>
  </conditionalFormatting>
  <conditionalFormatting sqref="G462">
    <cfRule type="expression" dxfId="0" priority="3778">
      <formula>COUNTIF(I462:CV462,"&lt;&gt;" &amp; "")&gt;0</formula>
    </cfRule>
    <cfRule type="expression" dxfId="1" priority="3779">
      <formula>AND(COUNTIF(I462:CV462,"&lt;&gt;" &amp; "")&gt;0,NOT(ISBLANK(G462)))</formula>
    </cfRule>
  </conditionalFormatting>
  <conditionalFormatting sqref="G463">
    <cfRule type="expression" dxfId="0" priority="3781">
      <formula>COUNTIF(I463:CV463,"&lt;&gt;" &amp; "")&gt;0</formula>
    </cfRule>
    <cfRule type="expression" dxfId="1" priority="3782">
      <formula>AND(COUNTIF(I463:CV463,"&lt;&gt;" &amp; "")&gt;0,NOT(ISBLANK(G463)))</formula>
    </cfRule>
  </conditionalFormatting>
  <conditionalFormatting sqref="G464">
    <cfRule type="expression" dxfId="0" priority="3784">
      <formula>COUNTIF(I464:CV464,"&lt;&gt;" &amp; "")&gt;0</formula>
    </cfRule>
    <cfRule type="expression" dxfId="1" priority="3785">
      <formula>AND(COUNTIF(I464:CV464,"&lt;&gt;" &amp; "")&gt;0,NOT(ISBLANK(G464)))</formula>
    </cfRule>
  </conditionalFormatting>
  <conditionalFormatting sqref="G465">
    <cfRule type="expression" dxfId="0" priority="3787">
      <formula>COUNTIF(I465:CV465,"&lt;&gt;" &amp; "")&gt;0</formula>
    </cfRule>
    <cfRule type="expression" dxfId="1" priority="3788">
      <formula>AND(COUNTIF(I465:CV465,"&lt;&gt;" &amp; "")&gt;0,NOT(ISBLANK(G465)))</formula>
    </cfRule>
  </conditionalFormatting>
  <conditionalFormatting sqref="G466">
    <cfRule type="expression" dxfId="0" priority="3790">
      <formula>COUNTIF(I466:CV466,"&lt;&gt;" &amp; "")&gt;0</formula>
    </cfRule>
    <cfRule type="expression" dxfId="1" priority="3791">
      <formula>AND(COUNTIF(I466:CV466,"&lt;&gt;" &amp; "")&gt;0,NOT(ISBLANK(G466)))</formula>
    </cfRule>
  </conditionalFormatting>
  <conditionalFormatting sqref="G467">
    <cfRule type="expression" dxfId="0" priority="3793">
      <formula>COUNTIF(I467:CV467,"&lt;&gt;" &amp; "")&gt;0</formula>
    </cfRule>
    <cfRule type="expression" dxfId="1" priority="3794">
      <formula>AND(COUNTIF(I467:CV467,"&lt;&gt;" &amp; "")&gt;0,NOT(ISBLANK(G467)))</formula>
    </cfRule>
  </conditionalFormatting>
  <conditionalFormatting sqref="G468">
    <cfRule type="expression" dxfId="0" priority="3796">
      <formula>COUNTIF(I468:CV468,"&lt;&gt;" &amp; "")&gt;0</formula>
    </cfRule>
    <cfRule type="expression" dxfId="1" priority="3797">
      <formula>AND(COUNTIF(I468:CV468,"&lt;&gt;" &amp; "")&gt;0,NOT(ISBLANK(G468)))</formula>
    </cfRule>
  </conditionalFormatting>
  <conditionalFormatting sqref="G469">
    <cfRule type="expression" dxfId="0" priority="3799">
      <formula>COUNTIF(I469:CV469,"&lt;&gt;" &amp; "")&gt;0</formula>
    </cfRule>
    <cfRule type="expression" dxfId="1" priority="3800">
      <formula>AND(COUNTIF(I469:CV469,"&lt;&gt;" &amp; "")&gt;0,NOT(ISBLANK(G469)))</formula>
    </cfRule>
  </conditionalFormatting>
  <conditionalFormatting sqref="G47">
    <cfRule type="expression" dxfId="0" priority="2533">
      <formula>COUNTIF(I47:CV47,"&lt;&gt;" &amp; "")&gt;0</formula>
    </cfRule>
    <cfRule type="expression" dxfId="1" priority="2534">
      <formula>AND(COUNTIF(I47:CV47,"&lt;&gt;" &amp; "")&gt;0,NOT(ISBLANK(G47)))</formula>
    </cfRule>
  </conditionalFormatting>
  <conditionalFormatting sqref="G470">
    <cfRule type="expression" dxfId="0" priority="3802">
      <formula>COUNTIF(I470:CV470,"&lt;&gt;" &amp; "")&gt;0</formula>
    </cfRule>
    <cfRule type="expression" dxfId="1" priority="3803">
      <formula>AND(COUNTIF(I470:CV470,"&lt;&gt;" &amp; "")&gt;0,NOT(ISBLANK(G470)))</formula>
    </cfRule>
  </conditionalFormatting>
  <conditionalFormatting sqref="G471">
    <cfRule type="expression" dxfId="0" priority="3805">
      <formula>COUNTIF(I471:CV471,"&lt;&gt;" &amp; "")&gt;0</formula>
    </cfRule>
    <cfRule type="expression" dxfId="1" priority="3806">
      <formula>AND(COUNTIF(I471:CV471,"&lt;&gt;" &amp; "")&gt;0,NOT(ISBLANK(G471)))</formula>
    </cfRule>
  </conditionalFormatting>
  <conditionalFormatting sqref="G472">
    <cfRule type="expression" dxfId="0" priority="3808">
      <formula>COUNTIF(I472:CV472,"&lt;&gt;" &amp; "")&gt;0</formula>
    </cfRule>
    <cfRule type="expression" dxfId="1" priority="3809">
      <formula>AND(COUNTIF(I472:CV472,"&lt;&gt;" &amp; "")&gt;0,NOT(ISBLANK(G472)))</formula>
    </cfRule>
  </conditionalFormatting>
  <conditionalFormatting sqref="G473">
    <cfRule type="expression" dxfId="0" priority="3811">
      <formula>COUNTIF(I473:CV473,"&lt;&gt;" &amp; "")&gt;0</formula>
    </cfRule>
    <cfRule type="expression" dxfId="1" priority="3812">
      <formula>AND(COUNTIF(I473:CV473,"&lt;&gt;" &amp; "")&gt;0,NOT(ISBLANK(G473)))</formula>
    </cfRule>
  </conditionalFormatting>
  <conditionalFormatting sqref="G474">
    <cfRule type="expression" dxfId="0" priority="3814">
      <formula>COUNTIF(I474:CV474,"&lt;&gt;" &amp; "")&gt;0</formula>
    </cfRule>
    <cfRule type="expression" dxfId="1" priority="3815">
      <formula>AND(COUNTIF(I474:CV474,"&lt;&gt;" &amp; "")&gt;0,NOT(ISBLANK(G474)))</formula>
    </cfRule>
  </conditionalFormatting>
  <conditionalFormatting sqref="G475">
    <cfRule type="expression" dxfId="0" priority="3817">
      <formula>COUNTIF(I475:CV475,"&lt;&gt;" &amp; "")&gt;0</formula>
    </cfRule>
    <cfRule type="expression" dxfId="1" priority="3818">
      <formula>AND(COUNTIF(I475:CV475,"&lt;&gt;" &amp; "")&gt;0,NOT(ISBLANK(G475)))</formula>
    </cfRule>
  </conditionalFormatting>
  <conditionalFormatting sqref="G476">
    <cfRule type="expression" dxfId="0" priority="3820">
      <formula>COUNTIF(I476:CV476,"&lt;&gt;" &amp; "")&gt;0</formula>
    </cfRule>
    <cfRule type="expression" dxfId="1" priority="3821">
      <formula>AND(COUNTIF(I476:CV476,"&lt;&gt;" &amp; "")&gt;0,NOT(ISBLANK(G476)))</formula>
    </cfRule>
  </conditionalFormatting>
  <conditionalFormatting sqref="G477">
    <cfRule type="expression" dxfId="0" priority="3823">
      <formula>COUNTIF(I477:CV477,"&lt;&gt;" &amp; "")&gt;0</formula>
    </cfRule>
    <cfRule type="expression" dxfId="1" priority="3824">
      <formula>AND(COUNTIF(I477:CV477,"&lt;&gt;" &amp; "")&gt;0,NOT(ISBLANK(G477)))</formula>
    </cfRule>
  </conditionalFormatting>
  <conditionalFormatting sqref="G478">
    <cfRule type="expression" dxfId="0" priority="3826">
      <formula>COUNTIF(I478:CV478,"&lt;&gt;" &amp; "")&gt;0</formula>
    </cfRule>
    <cfRule type="expression" dxfId="1" priority="3827">
      <formula>AND(COUNTIF(I478:CV478,"&lt;&gt;" &amp; "")&gt;0,NOT(ISBLANK(G478)))</formula>
    </cfRule>
  </conditionalFormatting>
  <conditionalFormatting sqref="G479">
    <cfRule type="expression" dxfId="0" priority="3829">
      <formula>COUNTIF(I479:CV479,"&lt;&gt;" &amp; "")&gt;0</formula>
    </cfRule>
    <cfRule type="expression" dxfId="1" priority="3830">
      <formula>AND(COUNTIF(I479:CV479,"&lt;&gt;" &amp; "")&gt;0,NOT(ISBLANK(G479)))</formula>
    </cfRule>
  </conditionalFormatting>
  <conditionalFormatting sqref="G48">
    <cfRule type="expression" dxfId="0" priority="2536">
      <formula>COUNTIF(I48:CV48,"&lt;&gt;" &amp; "")&gt;0</formula>
    </cfRule>
    <cfRule type="expression" dxfId="1" priority="2537">
      <formula>AND(COUNTIF(I48:CV48,"&lt;&gt;" &amp; "")&gt;0,NOT(ISBLANK(G48)))</formula>
    </cfRule>
  </conditionalFormatting>
  <conditionalFormatting sqref="G480">
    <cfRule type="expression" dxfId="0" priority="3832">
      <formula>COUNTIF(I480:CV480,"&lt;&gt;" &amp; "")&gt;0</formula>
    </cfRule>
    <cfRule type="expression" dxfId="1" priority="3833">
      <formula>AND(COUNTIF(I480:CV480,"&lt;&gt;" &amp; "")&gt;0,NOT(ISBLANK(G480)))</formula>
    </cfRule>
  </conditionalFormatting>
  <conditionalFormatting sqref="G481">
    <cfRule type="expression" dxfId="0" priority="3835">
      <formula>COUNTIF(I481:CV481,"&lt;&gt;" &amp; "")&gt;0</formula>
    </cfRule>
    <cfRule type="expression" dxfId="1" priority="3836">
      <formula>AND(COUNTIF(I481:CV481,"&lt;&gt;" &amp; "")&gt;0,NOT(ISBLANK(G481)))</formula>
    </cfRule>
  </conditionalFormatting>
  <conditionalFormatting sqref="G482">
    <cfRule type="expression" dxfId="0" priority="3838">
      <formula>COUNTIF(I482:CV482,"&lt;&gt;" &amp; "")&gt;0</formula>
    </cfRule>
    <cfRule type="expression" dxfId="1" priority="3839">
      <formula>AND(COUNTIF(I482:CV482,"&lt;&gt;" &amp; "")&gt;0,NOT(ISBLANK(G482)))</formula>
    </cfRule>
  </conditionalFormatting>
  <conditionalFormatting sqref="G483">
    <cfRule type="expression" dxfId="0" priority="3841">
      <formula>COUNTIF(I483:CV483,"&lt;&gt;" &amp; "")&gt;0</formula>
    </cfRule>
    <cfRule type="expression" dxfId="1" priority="3842">
      <formula>AND(COUNTIF(I483:CV483,"&lt;&gt;" &amp; "")&gt;0,NOT(ISBLANK(G483)))</formula>
    </cfRule>
  </conditionalFormatting>
  <conditionalFormatting sqref="G484">
    <cfRule type="expression" dxfId="0" priority="3844">
      <formula>COUNTIF(I484:CV484,"&lt;&gt;" &amp; "")&gt;0</formula>
    </cfRule>
    <cfRule type="expression" dxfId="1" priority="3845">
      <formula>AND(COUNTIF(I484:CV484,"&lt;&gt;" &amp; "")&gt;0,NOT(ISBLANK(G484)))</formula>
    </cfRule>
  </conditionalFormatting>
  <conditionalFormatting sqref="G485">
    <cfRule type="expression" dxfId="0" priority="3847">
      <formula>COUNTIF(I485:CV485,"&lt;&gt;" &amp; "")&gt;0</formula>
    </cfRule>
    <cfRule type="expression" dxfId="1" priority="3848">
      <formula>AND(COUNTIF(I485:CV485,"&lt;&gt;" &amp; "")&gt;0,NOT(ISBLANK(G485)))</formula>
    </cfRule>
  </conditionalFormatting>
  <conditionalFormatting sqref="G486">
    <cfRule type="expression" dxfId="0" priority="3850">
      <formula>COUNTIF(I486:CV486,"&lt;&gt;" &amp; "")&gt;0</formula>
    </cfRule>
    <cfRule type="expression" dxfId="1" priority="3851">
      <formula>AND(COUNTIF(I486:CV486,"&lt;&gt;" &amp; "")&gt;0,NOT(ISBLANK(G486)))</formula>
    </cfRule>
  </conditionalFormatting>
  <conditionalFormatting sqref="G487">
    <cfRule type="expression" dxfId="0" priority="3853">
      <formula>COUNTIF(I487:CV487,"&lt;&gt;" &amp; "")&gt;0</formula>
    </cfRule>
    <cfRule type="expression" dxfId="1" priority="3854">
      <formula>AND(COUNTIF(I487:CV487,"&lt;&gt;" &amp; "")&gt;0,NOT(ISBLANK(G487)))</formula>
    </cfRule>
  </conditionalFormatting>
  <conditionalFormatting sqref="G488">
    <cfRule type="expression" dxfId="0" priority="3856">
      <formula>COUNTIF(I488:CV488,"&lt;&gt;" &amp; "")&gt;0</formula>
    </cfRule>
    <cfRule type="expression" dxfId="1" priority="3857">
      <formula>AND(COUNTIF(I488:CV488,"&lt;&gt;" &amp; "")&gt;0,NOT(ISBLANK(G488)))</formula>
    </cfRule>
  </conditionalFormatting>
  <conditionalFormatting sqref="G489">
    <cfRule type="expression" dxfId="0" priority="3859">
      <formula>COUNTIF(I489:CV489,"&lt;&gt;" &amp; "")&gt;0</formula>
    </cfRule>
    <cfRule type="expression" dxfId="1" priority="3860">
      <formula>AND(COUNTIF(I489:CV489,"&lt;&gt;" &amp; "")&gt;0,NOT(ISBLANK(G489)))</formula>
    </cfRule>
  </conditionalFormatting>
  <conditionalFormatting sqref="G49">
    <cfRule type="expression" dxfId="0" priority="2539">
      <formula>COUNTIF(I49:CV49,"&lt;&gt;" &amp; "")&gt;0</formula>
    </cfRule>
    <cfRule type="expression" dxfId="1" priority="2540">
      <formula>AND(COUNTIF(I49:CV49,"&lt;&gt;" &amp; "")&gt;0,NOT(ISBLANK(G49)))</formula>
    </cfRule>
  </conditionalFormatting>
  <conditionalFormatting sqref="G490">
    <cfRule type="expression" dxfId="0" priority="3862">
      <formula>COUNTIF(I490:CV490,"&lt;&gt;" &amp; "")&gt;0</formula>
    </cfRule>
    <cfRule type="expression" dxfId="1" priority="3863">
      <formula>AND(COUNTIF(I490:CV490,"&lt;&gt;" &amp; "")&gt;0,NOT(ISBLANK(G490)))</formula>
    </cfRule>
  </conditionalFormatting>
  <conditionalFormatting sqref="G491">
    <cfRule type="expression" dxfId="0" priority="3865">
      <formula>COUNTIF(I491:CV491,"&lt;&gt;" &amp; "")&gt;0</formula>
    </cfRule>
    <cfRule type="expression" dxfId="1" priority="3866">
      <formula>AND(COUNTIF(I491:CV491,"&lt;&gt;" &amp; "")&gt;0,NOT(ISBLANK(G491)))</formula>
    </cfRule>
  </conditionalFormatting>
  <conditionalFormatting sqref="G492">
    <cfRule type="expression" dxfId="0" priority="3868">
      <formula>COUNTIF(I492:CV492,"&lt;&gt;" &amp; "")&gt;0</formula>
    </cfRule>
    <cfRule type="expression" dxfId="1" priority="3869">
      <formula>AND(COUNTIF(I492:CV492,"&lt;&gt;" &amp; "")&gt;0,NOT(ISBLANK(G492)))</formula>
    </cfRule>
  </conditionalFormatting>
  <conditionalFormatting sqref="G493">
    <cfRule type="expression" dxfId="0" priority="3871">
      <formula>COUNTIF(I493:CV493,"&lt;&gt;" &amp; "")&gt;0</formula>
    </cfRule>
    <cfRule type="expression" dxfId="1" priority="3872">
      <formula>AND(COUNTIF(I493:CV493,"&lt;&gt;" &amp; "")&gt;0,NOT(ISBLANK(G493)))</formula>
    </cfRule>
  </conditionalFormatting>
  <conditionalFormatting sqref="G494">
    <cfRule type="expression" dxfId="0" priority="3874">
      <formula>COUNTIF(I494:CV494,"&lt;&gt;" &amp; "")&gt;0</formula>
    </cfRule>
    <cfRule type="expression" dxfId="1" priority="3875">
      <formula>AND(COUNTIF(I494:CV494,"&lt;&gt;" &amp; "")&gt;0,NOT(ISBLANK(G494)))</formula>
    </cfRule>
  </conditionalFormatting>
  <conditionalFormatting sqref="G495">
    <cfRule type="expression" dxfId="0" priority="3877">
      <formula>COUNTIF(I495:CV495,"&lt;&gt;" &amp; "")&gt;0</formula>
    </cfRule>
    <cfRule type="expression" dxfId="1" priority="3878">
      <formula>AND(COUNTIF(I495:CV495,"&lt;&gt;" &amp; "")&gt;0,NOT(ISBLANK(G495)))</formula>
    </cfRule>
  </conditionalFormatting>
  <conditionalFormatting sqref="G496">
    <cfRule type="expression" dxfId="0" priority="3880">
      <formula>COUNTIF(I496:CV496,"&lt;&gt;" &amp; "")&gt;0</formula>
    </cfRule>
    <cfRule type="expression" dxfId="1" priority="3881">
      <formula>AND(COUNTIF(I496:CV496,"&lt;&gt;" &amp; "")&gt;0,NOT(ISBLANK(G496)))</formula>
    </cfRule>
  </conditionalFormatting>
  <conditionalFormatting sqref="G497">
    <cfRule type="expression" dxfId="0" priority="3883">
      <formula>COUNTIF(I497:CV497,"&lt;&gt;" &amp; "")&gt;0</formula>
    </cfRule>
    <cfRule type="expression" dxfId="1" priority="3884">
      <formula>AND(COUNTIF(I497:CV497,"&lt;&gt;" &amp; "")&gt;0,NOT(ISBLANK(G497)))</formula>
    </cfRule>
  </conditionalFormatting>
  <conditionalFormatting sqref="G498">
    <cfRule type="expression" dxfId="0" priority="3886">
      <formula>COUNTIF(I498:CV498,"&lt;&gt;" &amp; "")&gt;0</formula>
    </cfRule>
    <cfRule type="expression" dxfId="1" priority="3887">
      <formula>AND(COUNTIF(I498:CV498,"&lt;&gt;" &amp; "")&gt;0,NOT(ISBLANK(G498)))</formula>
    </cfRule>
  </conditionalFormatting>
  <conditionalFormatting sqref="G499">
    <cfRule type="expression" dxfId="0" priority="3889">
      <formula>COUNTIF(I499:CV499,"&lt;&gt;" &amp; "")&gt;0</formula>
    </cfRule>
    <cfRule type="expression" dxfId="1" priority="3890">
      <formula>AND(COUNTIF(I499:CV499,"&lt;&gt;"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2542">
      <formula>COUNTIF(I50:CV50,"&lt;&gt;" &amp; "")&gt;0</formula>
    </cfRule>
    <cfRule type="expression" dxfId="1" priority="2543">
      <formula>AND(COUNTIF(I50:CV50,"&lt;&gt;" &amp; "")&gt;0,NOT(ISBLANK(G50)))</formula>
    </cfRule>
  </conditionalFormatting>
  <conditionalFormatting sqref="G500">
    <cfRule type="expression" dxfId="0" priority="3892">
      <formula>COUNTIF(I500:CV500,"&lt;&gt;" &amp; "")&gt;0</formula>
    </cfRule>
    <cfRule type="expression" dxfId="1" priority="3893">
      <formula>AND(COUNTIF(I500:CV500,"&lt;&gt;" &amp; "")&gt;0,NOT(ISBLANK(G500)))</formula>
    </cfRule>
  </conditionalFormatting>
  <conditionalFormatting sqref="G501">
    <cfRule type="expression" dxfId="0" priority="3895">
      <formula>COUNTIF(I501:CV501,"&lt;&gt;" &amp; "")&gt;0</formula>
    </cfRule>
    <cfRule type="expression" dxfId="1" priority="3896">
      <formula>AND(COUNTIF(I501:CV501,"&lt;&gt;" &amp; "")&gt;0,NOT(ISBLANK(G501)))</formula>
    </cfRule>
  </conditionalFormatting>
  <conditionalFormatting sqref="G502">
    <cfRule type="expression" dxfId="0" priority="3898">
      <formula>COUNTIF(I502:CV502,"&lt;&gt;" &amp; "")&gt;0</formula>
    </cfRule>
    <cfRule type="expression" dxfId="1" priority="3899">
      <formula>AND(COUNTIF(I502:CV502,"&lt;&gt;" &amp; "")&gt;0,NOT(ISBLANK(G502)))</formula>
    </cfRule>
  </conditionalFormatting>
  <conditionalFormatting sqref="G503">
    <cfRule type="expression" dxfId="0" priority="3901">
      <formula>COUNTIF(I503:CV503,"&lt;&gt;" &amp; "")&gt;0</formula>
    </cfRule>
    <cfRule type="expression" dxfId="1" priority="3902">
      <formula>AND(COUNTIF(I503:CV503,"&lt;&gt;" &amp; "")&gt;0,NOT(ISBLANK(G503)))</formula>
    </cfRule>
  </conditionalFormatting>
  <conditionalFormatting sqref="G504">
    <cfRule type="expression" dxfId="0" priority="3904">
      <formula>COUNTIF(I504:CV504,"&lt;&gt;" &amp; "")&gt;0</formula>
    </cfRule>
    <cfRule type="expression" dxfId="1" priority="3905">
      <formula>AND(COUNTIF(I504:CV504,"&lt;&gt;" &amp; "")&gt;0,NOT(ISBLANK(G504)))</formula>
    </cfRule>
  </conditionalFormatting>
  <conditionalFormatting sqref="G505">
    <cfRule type="expression" dxfId="0" priority="3907">
      <formula>COUNTIF(I505:CV505,"&lt;&gt;" &amp; "")&gt;0</formula>
    </cfRule>
    <cfRule type="expression" dxfId="1" priority="3908">
      <formula>AND(COUNTIF(I505:CV505,"&lt;&gt;" &amp; "")&gt;0,NOT(ISBLANK(G505)))</formula>
    </cfRule>
  </conditionalFormatting>
  <conditionalFormatting sqref="G506">
    <cfRule type="expression" dxfId="0" priority="3910">
      <formula>COUNTIF(I506:CV506,"&lt;&gt;" &amp; "")&gt;0</formula>
    </cfRule>
    <cfRule type="expression" dxfId="1" priority="3911">
      <formula>AND(COUNTIF(I506:CV506,"&lt;&gt;" &amp; "")&gt;0,NOT(ISBLANK(G506)))</formula>
    </cfRule>
  </conditionalFormatting>
  <conditionalFormatting sqref="G507">
    <cfRule type="expression" dxfId="0" priority="3913">
      <formula>COUNTIF(I507:CV507,"&lt;&gt;" &amp; "")&gt;0</formula>
    </cfRule>
    <cfRule type="expression" dxfId="1" priority="3914">
      <formula>AND(COUNTIF(I507:CV507,"&lt;&gt;" &amp; "")&gt;0,NOT(ISBLANK(G507)))</formula>
    </cfRule>
  </conditionalFormatting>
  <conditionalFormatting sqref="G508">
    <cfRule type="expression" dxfId="0" priority="3916">
      <formula>COUNTIF(I508:CV508,"&lt;&gt;" &amp; "")&gt;0</formula>
    </cfRule>
    <cfRule type="expression" dxfId="1" priority="3917">
      <formula>AND(COUNTIF(I508:CV508,"&lt;&gt;" &amp; "")&gt;0,NOT(ISBLANK(G508)))</formula>
    </cfRule>
  </conditionalFormatting>
  <conditionalFormatting sqref="G509">
    <cfRule type="expression" dxfId="0" priority="3919">
      <formula>COUNTIF(I509:CV509,"&lt;&gt;" &amp; "")&gt;0</formula>
    </cfRule>
    <cfRule type="expression" dxfId="1" priority="3920">
      <formula>AND(COUNTIF(I509:CV509,"&lt;&gt;" &amp; "")&gt;0,NOT(ISBLANK(G509)))</formula>
    </cfRule>
  </conditionalFormatting>
  <conditionalFormatting sqref="G51">
    <cfRule type="expression" dxfId="0" priority="2545">
      <formula>COUNTIF(I51:CV51,"&lt;&gt;" &amp; "")&gt;0</formula>
    </cfRule>
    <cfRule type="expression" dxfId="1" priority="2546">
      <formula>AND(COUNTIF(I51:CV51,"&lt;&gt;" &amp; "")&gt;0,NOT(ISBLANK(G51)))</formula>
    </cfRule>
  </conditionalFormatting>
  <conditionalFormatting sqref="G510">
    <cfRule type="expression" dxfId="0" priority="3922">
      <formula>COUNTIF(I510:CV510,"&lt;&gt;" &amp; "")&gt;0</formula>
    </cfRule>
    <cfRule type="expression" dxfId="1" priority="3923">
      <formula>AND(COUNTIF(I510:CV510,"&lt;&gt;" &amp; "")&gt;0,NOT(ISBLANK(G510)))</formula>
    </cfRule>
  </conditionalFormatting>
  <conditionalFormatting sqref="G511">
    <cfRule type="expression" dxfId="0" priority="3925">
      <formula>COUNTIF(I511:CV511,"&lt;&gt;" &amp; "")&gt;0</formula>
    </cfRule>
    <cfRule type="expression" dxfId="1" priority="3926">
      <formula>AND(COUNTIF(I511:CV511,"&lt;&gt;" &amp; "")&gt;0,NOT(ISBLANK(G511)))</formula>
    </cfRule>
  </conditionalFormatting>
  <conditionalFormatting sqref="G512">
    <cfRule type="expression" dxfId="0" priority="3928">
      <formula>COUNTIF(I512:CV512,"&lt;&gt;" &amp; "")&gt;0</formula>
    </cfRule>
    <cfRule type="expression" dxfId="1" priority="3929">
      <formula>AND(COUNTIF(I512:CV512,"&lt;&gt;" &amp; "")&gt;0,NOT(ISBLANK(G512)))</formula>
    </cfRule>
  </conditionalFormatting>
  <conditionalFormatting sqref="G513">
    <cfRule type="expression" dxfId="0" priority="3931">
      <formula>COUNTIF(I513:CV513,"&lt;&gt;" &amp; "")&gt;0</formula>
    </cfRule>
    <cfRule type="expression" dxfId="1" priority="3932">
      <formula>AND(COUNTIF(I513:CV513,"&lt;&gt;" &amp; "")&gt;0,NOT(ISBLANK(G513)))</formula>
    </cfRule>
  </conditionalFormatting>
  <conditionalFormatting sqref="G514">
    <cfRule type="expression" dxfId="0" priority="3934">
      <formula>COUNTIF(I514:CV514,"&lt;&gt;" &amp; "")&gt;0</formula>
    </cfRule>
    <cfRule type="expression" dxfId="1" priority="3935">
      <formula>AND(COUNTIF(I514:CV514,"&lt;&gt;" &amp; "")&gt;0,NOT(ISBLANK(G514)))</formula>
    </cfRule>
  </conditionalFormatting>
  <conditionalFormatting sqref="G515">
    <cfRule type="expression" dxfId="0" priority="3937">
      <formula>COUNTIF(I515:CV515,"&lt;&gt;" &amp; "")&gt;0</formula>
    </cfRule>
    <cfRule type="expression" dxfId="1" priority="3938">
      <formula>AND(COUNTIF(I515:CV515,"&lt;&gt;" &amp; "")&gt;0,NOT(ISBLANK(G515)))</formula>
    </cfRule>
  </conditionalFormatting>
  <conditionalFormatting sqref="G516">
    <cfRule type="expression" dxfId="0" priority="3940">
      <formula>COUNTIF(I516:CV516,"&lt;&gt;" &amp; "")&gt;0</formula>
    </cfRule>
    <cfRule type="expression" dxfId="1" priority="3941">
      <formula>AND(COUNTIF(I516:CV516,"&lt;&gt;" &amp; "")&gt;0,NOT(ISBLANK(G516)))</formula>
    </cfRule>
  </conditionalFormatting>
  <conditionalFormatting sqref="G517">
    <cfRule type="expression" dxfId="0" priority="3943">
      <formula>COUNTIF(I517:CV517,"&lt;&gt;" &amp; "")&gt;0</formula>
    </cfRule>
    <cfRule type="expression" dxfId="1" priority="3944">
      <formula>AND(COUNTIF(I517:CV517,"&lt;&gt;" &amp; "")&gt;0,NOT(ISBLANK(G517)))</formula>
    </cfRule>
  </conditionalFormatting>
  <conditionalFormatting sqref="G518">
    <cfRule type="expression" dxfId="0" priority="3946">
      <formula>COUNTIF(I518:CV518,"&lt;&gt;" &amp; "")&gt;0</formula>
    </cfRule>
    <cfRule type="expression" dxfId="1" priority="3947">
      <formula>AND(COUNTIF(I518:CV518,"&lt;&gt;" &amp; "")&gt;0,NOT(ISBLANK(G518)))</formula>
    </cfRule>
  </conditionalFormatting>
  <conditionalFormatting sqref="G519">
    <cfRule type="expression" dxfId="0" priority="3949">
      <formula>COUNTIF(I519:CV519,"&lt;&gt;" &amp; "")&gt;0</formula>
    </cfRule>
    <cfRule type="expression" dxfId="1" priority="3950">
      <formula>AND(COUNTIF(I519:CV519,"&lt;&gt;" &amp; "")&gt;0,NOT(ISBLANK(G519)))</formula>
    </cfRule>
  </conditionalFormatting>
  <conditionalFormatting sqref="G52">
    <cfRule type="expression" dxfId="0" priority="2548">
      <formula>COUNTIF(I52:CV52,"&lt;&gt;" &amp; "")&gt;0</formula>
    </cfRule>
    <cfRule type="expression" dxfId="1" priority="2549">
      <formula>AND(COUNTIF(I52:CV52,"&lt;&gt;" &amp; "")&gt;0,NOT(ISBLANK(G52)))</formula>
    </cfRule>
  </conditionalFormatting>
  <conditionalFormatting sqref="G520">
    <cfRule type="expression" dxfId="0" priority="3952">
      <formula>COUNTIF(I520:CV520,"&lt;&gt;" &amp; "")&gt;0</formula>
    </cfRule>
    <cfRule type="expression" dxfId="1" priority="3953">
      <formula>AND(COUNTIF(I520:CV520,"&lt;&gt;" &amp; "")&gt;0,NOT(ISBLANK(G520)))</formula>
    </cfRule>
  </conditionalFormatting>
  <conditionalFormatting sqref="G521">
    <cfRule type="expression" dxfId="0" priority="3955">
      <formula>COUNTIF(I521:CV521,"&lt;&gt;" &amp; "")&gt;0</formula>
    </cfRule>
    <cfRule type="expression" dxfId="1" priority="3956">
      <formula>AND(COUNTIF(I521:CV521,"&lt;&gt;" &amp; "")&gt;0,NOT(ISBLANK(G521)))</formula>
    </cfRule>
  </conditionalFormatting>
  <conditionalFormatting sqref="G522">
    <cfRule type="expression" dxfId="0" priority="3958">
      <formula>COUNTIF(I522:CV522,"&lt;&gt;" &amp; "")&gt;0</formula>
    </cfRule>
    <cfRule type="expression" dxfId="1" priority="3959">
      <formula>AND(COUNTIF(I522:CV522,"&lt;&gt;" &amp; "")&gt;0,NOT(ISBLANK(G522)))</formula>
    </cfRule>
  </conditionalFormatting>
  <conditionalFormatting sqref="G523">
    <cfRule type="expression" dxfId="0" priority="3961">
      <formula>COUNTIF(I523:CV523,"&lt;&gt;" &amp; "")&gt;0</formula>
    </cfRule>
    <cfRule type="expression" dxfId="1" priority="3962">
      <formula>AND(COUNTIF(I523:CV523,"&lt;&gt;" &amp; "")&gt;0,NOT(ISBLANK(G523)))</formula>
    </cfRule>
  </conditionalFormatting>
  <conditionalFormatting sqref="G524">
    <cfRule type="expression" dxfId="0" priority="3964">
      <formula>COUNTIF(I524:CV524,"&lt;&gt;" &amp; "")&gt;0</formula>
    </cfRule>
    <cfRule type="expression" dxfId="1" priority="3965">
      <formula>AND(COUNTIF(I524:CV524,"&lt;&gt;" &amp; "")&gt;0,NOT(ISBLANK(G524)))</formula>
    </cfRule>
  </conditionalFormatting>
  <conditionalFormatting sqref="G525">
    <cfRule type="expression" dxfId="0" priority="3967">
      <formula>COUNTIF(I525:CV525,"&lt;&gt;" &amp; "")&gt;0</formula>
    </cfRule>
    <cfRule type="expression" dxfId="1" priority="3968">
      <formula>AND(COUNTIF(I525:CV525,"&lt;&gt;" &amp; "")&gt;0,NOT(ISBLANK(G525)))</formula>
    </cfRule>
  </conditionalFormatting>
  <conditionalFormatting sqref="G526">
    <cfRule type="expression" dxfId="0" priority="3970">
      <formula>COUNTIF(I526:CV526,"&lt;&gt;" &amp; "")&gt;0</formula>
    </cfRule>
    <cfRule type="expression" dxfId="1" priority="3971">
      <formula>AND(COUNTIF(I526:CV526,"&lt;&gt;" &amp; "")&gt;0,NOT(ISBLANK(G526)))</formula>
    </cfRule>
  </conditionalFormatting>
  <conditionalFormatting sqref="G527">
    <cfRule type="expression" dxfId="0" priority="3973">
      <formula>COUNTIF(I527:CV527,"&lt;&gt;" &amp; "")&gt;0</formula>
    </cfRule>
    <cfRule type="expression" dxfId="1" priority="3974">
      <formula>AND(COUNTIF(I527:CV527,"&lt;&gt;" &amp; "")&gt;0,NOT(ISBLANK(G527)))</formula>
    </cfRule>
  </conditionalFormatting>
  <conditionalFormatting sqref="G528">
    <cfRule type="expression" dxfId="0" priority="3976">
      <formula>COUNTIF(I528:CV528,"&lt;&gt;" &amp; "")&gt;0</formula>
    </cfRule>
    <cfRule type="expression" dxfId="1" priority="3977">
      <formula>AND(COUNTIF(I528:CV528,"&lt;&gt;" &amp; "")&gt;0,NOT(ISBLANK(G528)))</formula>
    </cfRule>
  </conditionalFormatting>
  <conditionalFormatting sqref="G529">
    <cfRule type="expression" dxfId="0" priority="3979">
      <formula>COUNTIF(I529:CV529,"&lt;&gt;" &amp; "")&gt;0</formula>
    </cfRule>
    <cfRule type="expression" dxfId="1" priority="3980">
      <formula>AND(COUNTIF(I529:CV529,"&lt;&gt;" &amp; "")&gt;0,NOT(ISBLANK(G529)))</formula>
    </cfRule>
  </conditionalFormatting>
  <conditionalFormatting sqref="G53">
    <cfRule type="expression" dxfId="0" priority="2551">
      <formula>COUNTIF(I53:CV53,"&lt;&gt;" &amp; "")&gt;0</formula>
    </cfRule>
    <cfRule type="expression" dxfId="1" priority="2552">
      <formula>AND(COUNTIF(I53:CV53,"&lt;&gt;" &amp; "")&gt;0,NOT(ISBLANK(G53)))</formula>
    </cfRule>
  </conditionalFormatting>
  <conditionalFormatting sqref="G530">
    <cfRule type="expression" dxfId="0" priority="3982">
      <formula>COUNTIF(I530:CV530,"&lt;&gt;" &amp; "")&gt;0</formula>
    </cfRule>
    <cfRule type="expression" dxfId="1" priority="3983">
      <formula>AND(COUNTIF(I530:CV530,"&lt;&gt;" &amp; "")&gt;0,NOT(ISBLANK(G530)))</formula>
    </cfRule>
  </conditionalFormatting>
  <conditionalFormatting sqref="G531">
    <cfRule type="expression" dxfId="0" priority="3985">
      <formula>COUNTIF(I531:CV531,"&lt;&gt;" &amp; "")&gt;0</formula>
    </cfRule>
    <cfRule type="expression" dxfId="1" priority="3986">
      <formula>AND(COUNTIF(I531:CV531,"&lt;&gt;" &amp; "")&gt;0,NOT(ISBLANK(G531)))</formula>
    </cfRule>
  </conditionalFormatting>
  <conditionalFormatting sqref="G532">
    <cfRule type="expression" dxfId="0" priority="3988">
      <formula>COUNTIF(I532:CV532,"&lt;&gt;" &amp; "")&gt;0</formula>
    </cfRule>
    <cfRule type="expression" dxfId="1" priority="3989">
      <formula>AND(COUNTIF(I532:CV532,"&lt;&gt;" &amp; "")&gt;0,NOT(ISBLANK(G532)))</formula>
    </cfRule>
  </conditionalFormatting>
  <conditionalFormatting sqref="G533">
    <cfRule type="expression" dxfId="0" priority="3991">
      <formula>COUNTIF(I533:CV533,"&lt;&gt;" &amp; "")&gt;0</formula>
    </cfRule>
    <cfRule type="expression" dxfId="1" priority="3992">
      <formula>AND(COUNTIF(I533:CV533,"&lt;&gt;" &amp; "")&gt;0,NOT(ISBLANK(G533)))</formula>
    </cfRule>
  </conditionalFormatting>
  <conditionalFormatting sqref="G534">
    <cfRule type="expression" dxfId="0" priority="3994">
      <formula>COUNTIF(I534:CV534,"&lt;&gt;" &amp; "")&gt;0</formula>
    </cfRule>
    <cfRule type="expression" dxfId="1" priority="3995">
      <formula>AND(COUNTIF(I534:CV534,"&lt;&gt;" &amp; "")&gt;0,NOT(ISBLANK(G534)))</formula>
    </cfRule>
  </conditionalFormatting>
  <conditionalFormatting sqref="G535">
    <cfRule type="expression" dxfId="0" priority="3997">
      <formula>COUNTIF(I535:CV535,"&lt;&gt;" &amp; "")&gt;0</formula>
    </cfRule>
    <cfRule type="expression" dxfId="1" priority="3998">
      <formula>AND(COUNTIF(I535:CV535,"&lt;&gt;" &amp; "")&gt;0,NOT(ISBLANK(G535)))</formula>
    </cfRule>
  </conditionalFormatting>
  <conditionalFormatting sqref="G536">
    <cfRule type="expression" dxfId="0" priority="4000">
      <formula>COUNTIF(I536:CV536,"&lt;&gt;" &amp; "")&gt;0</formula>
    </cfRule>
    <cfRule type="expression" dxfId="1" priority="4001">
      <formula>AND(COUNTIF(I536:CV536,"&lt;&gt;" &amp; "")&gt;0,NOT(ISBLANK(G536)))</formula>
    </cfRule>
  </conditionalFormatting>
  <conditionalFormatting sqref="G537">
    <cfRule type="expression" dxfId="0" priority="4003">
      <formula>COUNTIF(I537:CV537,"&lt;&gt;" &amp; "")&gt;0</formula>
    </cfRule>
    <cfRule type="expression" dxfId="1" priority="4004">
      <formula>AND(COUNTIF(I537:CV537,"&lt;&gt;" &amp; "")&gt;0,NOT(ISBLANK(G537)))</formula>
    </cfRule>
  </conditionalFormatting>
  <conditionalFormatting sqref="G538">
    <cfRule type="expression" dxfId="0" priority="4006">
      <formula>COUNTIF(I538:CV538,"&lt;&gt;" &amp; "")&gt;0</formula>
    </cfRule>
    <cfRule type="expression" dxfId="1" priority="4007">
      <formula>AND(COUNTIF(I538:CV538,"&lt;&gt;" &amp; "")&gt;0,NOT(ISBLANK(G538)))</formula>
    </cfRule>
  </conditionalFormatting>
  <conditionalFormatting sqref="G539">
    <cfRule type="expression" dxfId="0" priority="4009">
      <formula>COUNTIF(I539:CV539,"&lt;&gt;" &amp; "")&gt;0</formula>
    </cfRule>
    <cfRule type="expression" dxfId="1" priority="4010">
      <formula>AND(COUNTIF(I539:CV539,"&lt;&gt;" &amp; "")&gt;0,NOT(ISBLANK(G539)))</formula>
    </cfRule>
  </conditionalFormatting>
  <conditionalFormatting sqref="G54">
    <cfRule type="expression" dxfId="0" priority="2554">
      <formula>COUNTIF(I54:CV54,"&lt;&gt;" &amp; "")&gt;0</formula>
    </cfRule>
    <cfRule type="expression" dxfId="1" priority="2555">
      <formula>AND(COUNTIF(I54:CV54,"&lt;&gt;" &amp; "")&gt;0,NOT(ISBLANK(G54)))</formula>
    </cfRule>
  </conditionalFormatting>
  <conditionalFormatting sqref="G540">
    <cfRule type="expression" dxfId="0" priority="4012">
      <formula>COUNTIF(I540:CV540,"&lt;&gt;" &amp; "")&gt;0</formula>
    </cfRule>
    <cfRule type="expression" dxfId="1" priority="4013">
      <formula>AND(COUNTIF(I540:CV540,"&lt;&gt;" &amp; "")&gt;0,NOT(ISBLANK(G540)))</formula>
    </cfRule>
  </conditionalFormatting>
  <conditionalFormatting sqref="G541">
    <cfRule type="expression" dxfId="0" priority="4015">
      <formula>COUNTIF(I541:CV541,"&lt;&gt;" &amp; "")&gt;0</formula>
    </cfRule>
    <cfRule type="expression" dxfId="1" priority="4016">
      <formula>AND(COUNTIF(I541:CV541,"&lt;&gt;" &amp; "")&gt;0,NOT(ISBLANK(G541)))</formula>
    </cfRule>
  </conditionalFormatting>
  <conditionalFormatting sqref="G542">
    <cfRule type="expression" dxfId="0" priority="4018">
      <formula>COUNTIF(I542:CV542,"&lt;&gt;" &amp; "")&gt;0</formula>
    </cfRule>
    <cfRule type="expression" dxfId="1" priority="4019">
      <formula>AND(COUNTIF(I542:CV542,"&lt;&gt;" &amp; "")&gt;0,NOT(ISBLANK(G542)))</formula>
    </cfRule>
  </conditionalFormatting>
  <conditionalFormatting sqref="G543">
    <cfRule type="expression" dxfId="0" priority="4021">
      <formula>COUNTIF(I543:CV543,"&lt;&gt;" &amp; "")&gt;0</formula>
    </cfRule>
    <cfRule type="expression" dxfId="1" priority="4022">
      <formula>AND(COUNTIF(I543:CV543,"&lt;&gt;" &amp; "")&gt;0,NOT(ISBLANK(G543)))</formula>
    </cfRule>
  </conditionalFormatting>
  <conditionalFormatting sqref="G544">
    <cfRule type="expression" dxfId="0" priority="4024">
      <formula>COUNTIF(I544:CV544,"&lt;&gt;" &amp; "")&gt;0</formula>
    </cfRule>
    <cfRule type="expression" dxfId="1" priority="4025">
      <formula>AND(COUNTIF(I544:CV544,"&lt;&gt;" &amp; "")&gt;0,NOT(ISBLANK(G544)))</formula>
    </cfRule>
  </conditionalFormatting>
  <conditionalFormatting sqref="G545">
    <cfRule type="expression" dxfId="0" priority="4027">
      <formula>COUNTIF(I545:CV545,"&lt;&gt;" &amp; "")&gt;0</formula>
    </cfRule>
    <cfRule type="expression" dxfId="1" priority="4028">
      <formula>AND(COUNTIF(I545:CV545,"&lt;&gt;" &amp; "")&gt;0,NOT(ISBLANK(G545)))</formula>
    </cfRule>
  </conditionalFormatting>
  <conditionalFormatting sqref="G546">
    <cfRule type="expression" dxfId="0" priority="4030">
      <formula>COUNTIF(I546:CV546,"&lt;&gt;" &amp; "")&gt;0</formula>
    </cfRule>
    <cfRule type="expression" dxfId="1" priority="4031">
      <formula>AND(COUNTIF(I546:CV546,"&lt;&gt;" &amp; "")&gt;0,NOT(ISBLANK(G546)))</formula>
    </cfRule>
  </conditionalFormatting>
  <conditionalFormatting sqref="G547">
    <cfRule type="expression" dxfId="0" priority="4033">
      <formula>COUNTIF(I547:CV547,"&lt;&gt;" &amp; "")&gt;0</formula>
    </cfRule>
    <cfRule type="expression" dxfId="1" priority="4034">
      <formula>AND(COUNTIF(I547:CV547,"&lt;&gt;" &amp; "")&gt;0,NOT(ISBLANK(G547)))</formula>
    </cfRule>
  </conditionalFormatting>
  <conditionalFormatting sqref="G548">
    <cfRule type="expression" dxfId="0" priority="4036">
      <formula>COUNTIF(I548:CV548,"&lt;&gt;" &amp; "")&gt;0</formula>
    </cfRule>
    <cfRule type="expression" dxfId="1" priority="4037">
      <formula>AND(COUNTIF(I548:CV548,"&lt;&gt;" &amp; "")&gt;0,NOT(ISBLANK(G548)))</formula>
    </cfRule>
  </conditionalFormatting>
  <conditionalFormatting sqref="G549">
    <cfRule type="expression" dxfId="0" priority="4039">
      <formula>COUNTIF(I549:CV549,"&lt;&gt;" &amp; "")&gt;0</formula>
    </cfRule>
    <cfRule type="expression" dxfId="1" priority="4040">
      <formula>AND(COUNTIF(I549:CV549,"&lt;&gt;" &amp; "")&gt;0,NOT(ISBLANK(G549)))</formula>
    </cfRule>
  </conditionalFormatting>
  <conditionalFormatting sqref="G55">
    <cfRule type="expression" dxfId="0" priority="2557">
      <formula>COUNTIF(I55:CV55,"&lt;&gt;" &amp; "")&gt;0</formula>
    </cfRule>
    <cfRule type="expression" dxfId="1" priority="2558">
      <formula>AND(COUNTIF(I55:CV55,"&lt;&gt;" &amp; "")&gt;0,NOT(ISBLANK(G55)))</formula>
    </cfRule>
  </conditionalFormatting>
  <conditionalFormatting sqref="G550">
    <cfRule type="expression" dxfId="0" priority="4042">
      <formula>COUNTIF(I550:CV550,"&lt;&gt;" &amp; "")&gt;0</formula>
    </cfRule>
    <cfRule type="expression" dxfId="1" priority="4043">
      <formula>AND(COUNTIF(I550:CV550,"&lt;&gt;" &amp; "")&gt;0,NOT(ISBLANK(G550)))</formula>
    </cfRule>
  </conditionalFormatting>
  <conditionalFormatting sqref="G551">
    <cfRule type="expression" dxfId="0" priority="4045">
      <formula>COUNTIF(I551:CV551,"&lt;&gt;" &amp; "")&gt;0</formula>
    </cfRule>
    <cfRule type="expression" dxfId="1" priority="4046">
      <formula>AND(COUNTIF(I551:CV551,"&lt;&gt;" &amp; "")&gt;0,NOT(ISBLANK(G551)))</formula>
    </cfRule>
  </conditionalFormatting>
  <conditionalFormatting sqref="G552">
    <cfRule type="expression" dxfId="0" priority="4048">
      <formula>COUNTIF(I552:CV552,"&lt;&gt;" &amp; "")&gt;0</formula>
    </cfRule>
    <cfRule type="expression" dxfId="1" priority="4049">
      <formula>AND(COUNTIF(I552:CV552,"&lt;&gt;" &amp; "")&gt;0,NOT(ISBLANK(G552)))</formula>
    </cfRule>
  </conditionalFormatting>
  <conditionalFormatting sqref="G553">
    <cfRule type="expression" dxfId="0" priority="4051">
      <formula>COUNTIF(I553:CV553,"&lt;&gt;" &amp; "")&gt;0</formula>
    </cfRule>
    <cfRule type="expression" dxfId="1" priority="4052">
      <formula>AND(COUNTIF(I553:CV553,"&lt;&gt;" &amp; "")&gt;0,NOT(ISBLANK(G553)))</formula>
    </cfRule>
  </conditionalFormatting>
  <conditionalFormatting sqref="G554">
    <cfRule type="expression" dxfId="0" priority="4054">
      <formula>COUNTIF(I554:CV554,"&lt;&gt;" &amp; "")&gt;0</formula>
    </cfRule>
    <cfRule type="expression" dxfId="1" priority="4055">
      <formula>AND(COUNTIF(I554:CV554,"&lt;&gt;" &amp; "")&gt;0,NOT(ISBLANK(G554)))</formula>
    </cfRule>
  </conditionalFormatting>
  <conditionalFormatting sqref="G555">
    <cfRule type="expression" dxfId="0" priority="4057">
      <formula>COUNTIF(I555:CV555,"&lt;&gt;" &amp; "")&gt;0</formula>
    </cfRule>
    <cfRule type="expression" dxfId="1" priority="4058">
      <formula>AND(COUNTIF(I555:CV555,"&lt;&gt;" &amp; "")&gt;0,NOT(ISBLANK(G555)))</formula>
    </cfRule>
  </conditionalFormatting>
  <conditionalFormatting sqref="G556">
    <cfRule type="expression" dxfId="0" priority="4060">
      <formula>COUNTIF(I556:CV556,"&lt;&gt;" &amp; "")&gt;0</formula>
    </cfRule>
    <cfRule type="expression" dxfId="1" priority="4061">
      <formula>AND(COUNTIF(I556:CV556,"&lt;&gt;" &amp; "")&gt;0,NOT(ISBLANK(G556)))</formula>
    </cfRule>
  </conditionalFormatting>
  <conditionalFormatting sqref="G557">
    <cfRule type="expression" dxfId="0" priority="4063">
      <formula>COUNTIF(I557:CV557,"&lt;&gt;" &amp; "")&gt;0</formula>
    </cfRule>
    <cfRule type="expression" dxfId="1" priority="4064">
      <formula>AND(COUNTIF(I557:CV557,"&lt;&gt;" &amp; "")&gt;0,NOT(ISBLANK(G557)))</formula>
    </cfRule>
  </conditionalFormatting>
  <conditionalFormatting sqref="G558">
    <cfRule type="expression" dxfId="0" priority="4066">
      <formula>COUNTIF(I558:CV558,"&lt;&gt;" &amp; "")&gt;0</formula>
    </cfRule>
    <cfRule type="expression" dxfId="1" priority="4067">
      <formula>AND(COUNTIF(I558:CV558,"&lt;&gt;" &amp; "")&gt;0,NOT(ISBLANK(G558)))</formula>
    </cfRule>
  </conditionalFormatting>
  <conditionalFormatting sqref="G559">
    <cfRule type="expression" dxfId="0" priority="4069">
      <formula>COUNTIF(I559:CV559,"&lt;&gt;" &amp; "")&gt;0</formula>
    </cfRule>
    <cfRule type="expression" dxfId="1" priority="4070">
      <formula>AND(COUNTIF(I559:CV559,"&lt;&gt;" &amp; "")&gt;0,NOT(ISBLANK(G559)))</formula>
    </cfRule>
  </conditionalFormatting>
  <conditionalFormatting sqref="G56">
    <cfRule type="expression" dxfId="0" priority="2560">
      <formula>COUNTIF(I56:CV56,"&lt;&gt;" &amp; "")&gt;0</formula>
    </cfRule>
    <cfRule type="expression" dxfId="1" priority="2561">
      <formula>AND(COUNTIF(I56:CV56,"&lt;&gt;" &amp; "")&gt;0,NOT(ISBLANK(G56)))</formula>
    </cfRule>
  </conditionalFormatting>
  <conditionalFormatting sqref="G560">
    <cfRule type="expression" dxfId="0" priority="4072">
      <formula>COUNTIF(I560:CV560,"&lt;&gt;" &amp; "")&gt;0</formula>
    </cfRule>
    <cfRule type="expression" dxfId="1" priority="4073">
      <formula>AND(COUNTIF(I560:CV560,"&lt;&gt;" &amp; "")&gt;0,NOT(ISBLANK(G560)))</formula>
    </cfRule>
  </conditionalFormatting>
  <conditionalFormatting sqref="G561">
    <cfRule type="expression" dxfId="0" priority="4075">
      <formula>COUNTIF(I561:CV561,"&lt;&gt;" &amp; "")&gt;0</formula>
    </cfRule>
    <cfRule type="expression" dxfId="1" priority="4076">
      <formula>AND(COUNTIF(I561:CV561,"&lt;&gt;" &amp; "")&gt;0,NOT(ISBLANK(G561)))</formula>
    </cfRule>
  </conditionalFormatting>
  <conditionalFormatting sqref="G562">
    <cfRule type="expression" dxfId="0" priority="4078">
      <formula>COUNTIF(I562:CV562,"&lt;&gt;" &amp; "")&gt;0</formula>
    </cfRule>
    <cfRule type="expression" dxfId="1" priority="4079">
      <formula>AND(COUNTIF(I562:CV562,"&lt;&gt;" &amp; "")&gt;0,NOT(ISBLANK(G562)))</formula>
    </cfRule>
  </conditionalFormatting>
  <conditionalFormatting sqref="G563">
    <cfRule type="expression" dxfId="0" priority="4081">
      <formula>COUNTIF(I563:CV563,"&lt;&gt;" &amp; "")&gt;0</formula>
    </cfRule>
    <cfRule type="expression" dxfId="1" priority="4082">
      <formula>AND(COUNTIF(I563:CV563,"&lt;&gt;" &amp; "")&gt;0,NOT(ISBLANK(G563)))</formula>
    </cfRule>
  </conditionalFormatting>
  <conditionalFormatting sqref="G564">
    <cfRule type="expression" dxfId="0" priority="4084">
      <formula>COUNTIF(I564:CV564,"&lt;&gt;" &amp; "")&gt;0</formula>
    </cfRule>
    <cfRule type="expression" dxfId="1" priority="4085">
      <formula>AND(COUNTIF(I564:CV564,"&lt;&gt;" &amp; "")&gt;0,NOT(ISBLANK(G564)))</formula>
    </cfRule>
  </conditionalFormatting>
  <conditionalFormatting sqref="G565">
    <cfRule type="expression" dxfId="0" priority="4087">
      <formula>COUNTIF(I565:CV565,"&lt;&gt;" &amp; "")&gt;0</formula>
    </cfRule>
    <cfRule type="expression" dxfId="1" priority="4088">
      <formula>AND(COUNTIF(I565:CV565,"&lt;&gt;" &amp; "")&gt;0,NOT(ISBLANK(G565)))</formula>
    </cfRule>
  </conditionalFormatting>
  <conditionalFormatting sqref="G566">
    <cfRule type="expression" dxfId="0" priority="4090">
      <formula>COUNTIF(I566:CV566,"&lt;&gt;" &amp; "")&gt;0</formula>
    </cfRule>
    <cfRule type="expression" dxfId="1" priority="4091">
      <formula>AND(COUNTIF(I566:CV566,"&lt;&gt;" &amp; "")&gt;0,NOT(ISBLANK(G566)))</formula>
    </cfRule>
  </conditionalFormatting>
  <conditionalFormatting sqref="G567">
    <cfRule type="expression" dxfId="0" priority="4093">
      <formula>COUNTIF(I567:CV567,"&lt;&gt;" &amp; "")&gt;0</formula>
    </cfRule>
    <cfRule type="expression" dxfId="1" priority="4094">
      <formula>AND(COUNTIF(I567:CV567,"&lt;&gt;" &amp; "")&gt;0,NOT(ISBLANK(G567)))</formula>
    </cfRule>
  </conditionalFormatting>
  <conditionalFormatting sqref="G568">
    <cfRule type="expression" dxfId="0" priority="4096">
      <formula>COUNTIF(I568:CV568,"&lt;&gt;" &amp; "")&gt;0</formula>
    </cfRule>
    <cfRule type="expression" dxfId="1" priority="4097">
      <formula>AND(COUNTIF(I568:CV568,"&lt;&gt;" &amp; "")&gt;0,NOT(ISBLANK(G568)))</formula>
    </cfRule>
  </conditionalFormatting>
  <conditionalFormatting sqref="G569">
    <cfRule type="expression" dxfId="0" priority="4099">
      <formula>COUNTIF(I569:CV569,"&lt;&gt;" &amp; "")&gt;0</formula>
    </cfRule>
    <cfRule type="expression" dxfId="1" priority="4100">
      <formula>AND(COUNTIF(I569:CV569,"&lt;&gt;" &amp; "")&gt;0,NOT(ISBLANK(G569)))</formula>
    </cfRule>
  </conditionalFormatting>
  <conditionalFormatting sqref="G57">
    <cfRule type="expression" dxfId="0" priority="2563">
      <formula>COUNTIF(I57:CV57,"&lt;&gt;" &amp; "")&gt;0</formula>
    </cfRule>
    <cfRule type="expression" dxfId="1" priority="2564">
      <formula>AND(COUNTIF(I57:CV57,"&lt;&gt;" &amp; "")&gt;0,NOT(ISBLANK(G57)))</formula>
    </cfRule>
  </conditionalFormatting>
  <conditionalFormatting sqref="G570">
    <cfRule type="expression" dxfId="0" priority="4102">
      <formula>COUNTIF(I570:CV570,"&lt;&gt;" &amp; "")&gt;0</formula>
    </cfRule>
    <cfRule type="expression" dxfId="1" priority="4103">
      <formula>AND(COUNTIF(I570:CV570,"&lt;&gt;" &amp; "")&gt;0,NOT(ISBLANK(G570)))</formula>
    </cfRule>
  </conditionalFormatting>
  <conditionalFormatting sqref="G571">
    <cfRule type="expression" dxfId="0" priority="4105">
      <formula>COUNTIF(I571:CV571,"&lt;&gt;" &amp; "")&gt;0</formula>
    </cfRule>
    <cfRule type="expression" dxfId="1" priority="4106">
      <formula>AND(COUNTIF(I571:CV571,"&lt;&gt;" &amp; "")&gt;0,NOT(ISBLANK(G571)))</formula>
    </cfRule>
  </conditionalFormatting>
  <conditionalFormatting sqref="G572">
    <cfRule type="expression" dxfId="0" priority="4108">
      <formula>COUNTIF(I572:CV572,"&lt;&gt;" &amp; "")&gt;0</formula>
    </cfRule>
    <cfRule type="expression" dxfId="1" priority="4109">
      <formula>AND(COUNTIF(I572:CV572,"&lt;&gt;" &amp; "")&gt;0,NOT(ISBLANK(G572)))</formula>
    </cfRule>
  </conditionalFormatting>
  <conditionalFormatting sqref="G573">
    <cfRule type="expression" dxfId="0" priority="4111">
      <formula>COUNTIF(I573:CV573,"&lt;&gt;" &amp; "")&gt;0</formula>
    </cfRule>
    <cfRule type="expression" dxfId="1" priority="4112">
      <formula>AND(COUNTIF(I573:CV573,"&lt;&gt;" &amp; "")&gt;0,NOT(ISBLANK(G573)))</formula>
    </cfRule>
  </conditionalFormatting>
  <conditionalFormatting sqref="G574">
    <cfRule type="expression" dxfId="0" priority="4114">
      <formula>COUNTIF(I574:CV574,"&lt;&gt;" &amp; "")&gt;0</formula>
    </cfRule>
    <cfRule type="expression" dxfId="1" priority="4115">
      <formula>AND(COUNTIF(I574:CV574,"&lt;&gt;" &amp; "")&gt;0,NOT(ISBLANK(G574)))</formula>
    </cfRule>
  </conditionalFormatting>
  <conditionalFormatting sqref="G575">
    <cfRule type="expression" dxfId="0" priority="4117">
      <formula>COUNTIF(I575:CV575,"&lt;&gt;" &amp; "")&gt;0</formula>
    </cfRule>
    <cfRule type="expression" dxfId="1" priority="4118">
      <formula>AND(COUNTIF(I575:CV575,"&lt;&gt;" &amp; "")&gt;0,NOT(ISBLANK(G575)))</formula>
    </cfRule>
  </conditionalFormatting>
  <conditionalFormatting sqref="G576">
    <cfRule type="expression" dxfId="0" priority="4120">
      <formula>COUNTIF(I576:CV576,"&lt;&gt;" &amp; "")&gt;0</formula>
    </cfRule>
    <cfRule type="expression" dxfId="1" priority="4121">
      <formula>AND(COUNTIF(I576:CV576,"&lt;&gt;" &amp; "")&gt;0,NOT(ISBLANK(G576)))</formula>
    </cfRule>
  </conditionalFormatting>
  <conditionalFormatting sqref="G577">
    <cfRule type="expression" dxfId="0" priority="4123">
      <formula>COUNTIF(I577:CV577,"&lt;&gt;" &amp; "")&gt;0</formula>
    </cfRule>
    <cfRule type="expression" dxfId="1" priority="4124">
      <formula>AND(COUNTIF(I577:CV577,"&lt;&gt;" &amp; "")&gt;0,NOT(ISBLANK(G577)))</formula>
    </cfRule>
  </conditionalFormatting>
  <conditionalFormatting sqref="G578">
    <cfRule type="expression" dxfId="0" priority="4126">
      <formula>COUNTIF(I578:CV578,"&lt;&gt;" &amp; "")&gt;0</formula>
    </cfRule>
    <cfRule type="expression" dxfId="1" priority="4127">
      <formula>AND(COUNTIF(I578:CV578,"&lt;&gt;" &amp; "")&gt;0,NOT(ISBLANK(G578)))</formula>
    </cfRule>
  </conditionalFormatting>
  <conditionalFormatting sqref="G579">
    <cfRule type="expression" dxfId="0" priority="4129">
      <formula>COUNTIF(I579:CV579,"&lt;&gt;" &amp; "")&gt;0</formula>
    </cfRule>
    <cfRule type="expression" dxfId="1" priority="4130">
      <formula>AND(COUNTIF(I579:CV579,"&lt;&gt;" &amp; "")&gt;0,NOT(ISBLANK(G579)))</formula>
    </cfRule>
  </conditionalFormatting>
  <conditionalFormatting sqref="G58">
    <cfRule type="expression" dxfId="0" priority="2566">
      <formula>COUNTIF(I58:CV58,"&lt;&gt;" &amp; "")&gt;0</formula>
    </cfRule>
    <cfRule type="expression" dxfId="1" priority="2567">
      <formula>AND(COUNTIF(I58:CV58,"&lt;&gt;" &amp; "")&gt;0,NOT(ISBLANK(G58)))</formula>
    </cfRule>
  </conditionalFormatting>
  <conditionalFormatting sqref="G580">
    <cfRule type="expression" dxfId="0" priority="4132">
      <formula>COUNTIF(I580:CV580,"&lt;&gt;" &amp; "")&gt;0</formula>
    </cfRule>
    <cfRule type="expression" dxfId="1" priority="4133">
      <formula>AND(COUNTIF(I580:CV580,"&lt;&gt;" &amp; "")&gt;0,NOT(ISBLANK(G580)))</formula>
    </cfRule>
  </conditionalFormatting>
  <conditionalFormatting sqref="G581">
    <cfRule type="expression" dxfId="0" priority="4135">
      <formula>COUNTIF(I581:CV581,"&lt;&gt;" &amp; "")&gt;0</formula>
    </cfRule>
    <cfRule type="expression" dxfId="1" priority="4136">
      <formula>AND(COUNTIF(I581:CV581,"&lt;&gt;" &amp; "")&gt;0,NOT(ISBLANK(G581)))</formula>
    </cfRule>
  </conditionalFormatting>
  <conditionalFormatting sqref="G582">
    <cfRule type="expression" dxfId="0" priority="4138">
      <formula>COUNTIF(I582:CV582,"&lt;&gt;" &amp; "")&gt;0</formula>
    </cfRule>
    <cfRule type="expression" dxfId="1" priority="4139">
      <formula>AND(COUNTIF(I582:CV582,"&lt;&gt;" &amp; "")&gt;0,NOT(ISBLANK(G582)))</formula>
    </cfRule>
  </conditionalFormatting>
  <conditionalFormatting sqref="G583">
    <cfRule type="expression" dxfId="0" priority="4141">
      <formula>COUNTIF(I583:CV583,"&lt;&gt;" &amp; "")&gt;0</formula>
    </cfRule>
    <cfRule type="expression" dxfId="1" priority="4142">
      <formula>AND(COUNTIF(I583:CV583,"&lt;&gt;" &amp; "")&gt;0,NOT(ISBLANK(G583)))</formula>
    </cfRule>
  </conditionalFormatting>
  <conditionalFormatting sqref="G584">
    <cfRule type="expression" dxfId="0" priority="4144">
      <formula>COUNTIF(I584:CV584,"&lt;&gt;" &amp; "")&gt;0</formula>
    </cfRule>
    <cfRule type="expression" dxfId="1" priority="4145">
      <formula>AND(COUNTIF(I584:CV584,"&lt;&gt;" &amp; "")&gt;0,NOT(ISBLANK(G584)))</formula>
    </cfRule>
  </conditionalFormatting>
  <conditionalFormatting sqref="G585">
    <cfRule type="expression" dxfId="0" priority="4147">
      <formula>COUNTIF(I585:CV585,"&lt;&gt;" &amp; "")&gt;0</formula>
    </cfRule>
    <cfRule type="expression" dxfId="1" priority="4148">
      <formula>AND(COUNTIF(I585:CV585,"&lt;&gt;" &amp; "")&gt;0,NOT(ISBLANK(G585)))</formula>
    </cfRule>
  </conditionalFormatting>
  <conditionalFormatting sqref="G586">
    <cfRule type="expression" dxfId="0" priority="4150">
      <formula>COUNTIF(I586:CV586,"&lt;&gt;" &amp; "")&gt;0</formula>
    </cfRule>
    <cfRule type="expression" dxfId="1" priority="4151">
      <formula>AND(COUNTIF(I586:CV586,"&lt;&gt;" &amp; "")&gt;0,NOT(ISBLANK(G586)))</formula>
    </cfRule>
  </conditionalFormatting>
  <conditionalFormatting sqref="G587">
    <cfRule type="expression" dxfId="0" priority="4153">
      <formula>COUNTIF(I587:CV587,"&lt;&gt;" &amp; "")&gt;0</formula>
    </cfRule>
    <cfRule type="expression" dxfId="1" priority="4154">
      <formula>AND(COUNTIF(I587:CV587,"&lt;&gt;" &amp; "")&gt;0,NOT(ISBLANK(G587)))</formula>
    </cfRule>
  </conditionalFormatting>
  <conditionalFormatting sqref="G588">
    <cfRule type="expression" dxfId="0" priority="4156">
      <formula>COUNTIF(I588:CV588,"&lt;&gt;" &amp; "")&gt;0</formula>
    </cfRule>
    <cfRule type="expression" dxfId="1" priority="4157">
      <formula>AND(COUNTIF(I588:CV588,"&lt;&gt;" &amp; "")&gt;0,NOT(ISBLANK(G588)))</formula>
    </cfRule>
  </conditionalFormatting>
  <conditionalFormatting sqref="G589">
    <cfRule type="expression" dxfId="0" priority="4159">
      <formula>COUNTIF(I589:CV589,"&lt;&gt;" &amp; "")&gt;0</formula>
    </cfRule>
    <cfRule type="expression" dxfId="1" priority="4160">
      <formula>AND(COUNTIF(I589:CV589,"&lt;&gt;" &amp; "")&gt;0,NOT(ISBLANK(G589)))</formula>
    </cfRule>
  </conditionalFormatting>
  <conditionalFormatting sqref="G59">
    <cfRule type="expression" dxfId="0" priority="2569">
      <formula>COUNTIF(I59:CV59,"&lt;&gt;" &amp; "")&gt;0</formula>
    </cfRule>
    <cfRule type="expression" dxfId="1" priority="2570">
      <formula>AND(COUNTIF(I59:CV59,"&lt;&gt;" &amp; "")&gt;0,NOT(ISBLANK(G59)))</formula>
    </cfRule>
  </conditionalFormatting>
  <conditionalFormatting sqref="G590">
    <cfRule type="expression" dxfId="0" priority="4162">
      <formula>COUNTIF(I590:CV590,"&lt;&gt;" &amp; "")&gt;0</formula>
    </cfRule>
    <cfRule type="expression" dxfId="1" priority="4163">
      <formula>AND(COUNTIF(I590:CV590,"&lt;&gt;" &amp; "")&gt;0,NOT(ISBLANK(G590)))</formula>
    </cfRule>
  </conditionalFormatting>
  <conditionalFormatting sqref="G591">
    <cfRule type="expression" dxfId="0" priority="4165">
      <formula>COUNTIF(I591:CV591,"&lt;&gt;" &amp; "")&gt;0</formula>
    </cfRule>
    <cfRule type="expression" dxfId="1" priority="4166">
      <formula>AND(COUNTIF(I591:CV591,"&lt;&gt;" &amp; "")&gt;0,NOT(ISBLANK(G591)))</formula>
    </cfRule>
  </conditionalFormatting>
  <conditionalFormatting sqref="G592">
    <cfRule type="expression" dxfId="0" priority="4168">
      <formula>COUNTIF(I592:CV592,"&lt;&gt;" &amp; "")&gt;0</formula>
    </cfRule>
    <cfRule type="expression" dxfId="1" priority="4169">
      <formula>AND(COUNTIF(I592:CV592,"&lt;&gt;" &amp; "")&gt;0,NOT(ISBLANK(G592)))</formula>
    </cfRule>
  </conditionalFormatting>
  <conditionalFormatting sqref="G593">
    <cfRule type="expression" dxfId="0" priority="4171">
      <formula>COUNTIF(I593:CV593,"&lt;&gt;" &amp; "")&gt;0</formula>
    </cfRule>
    <cfRule type="expression" dxfId="1" priority="4172">
      <formula>AND(COUNTIF(I593:CV593,"&lt;&gt;" &amp; "")&gt;0,NOT(ISBLANK(G593)))</formula>
    </cfRule>
  </conditionalFormatting>
  <conditionalFormatting sqref="G594">
    <cfRule type="expression" dxfId="0" priority="4174">
      <formula>COUNTIF(I594:CV594,"&lt;&gt;" &amp; "")&gt;0</formula>
    </cfRule>
    <cfRule type="expression" dxfId="1" priority="4175">
      <formula>AND(COUNTIF(I594:CV594,"&lt;&gt;" &amp; "")&gt;0,NOT(ISBLANK(G594)))</formula>
    </cfRule>
  </conditionalFormatting>
  <conditionalFormatting sqref="G595">
    <cfRule type="expression" dxfId="0" priority="4177">
      <formula>COUNTIF(I595:CV595,"&lt;&gt;" &amp; "")&gt;0</formula>
    </cfRule>
    <cfRule type="expression" dxfId="1" priority="4178">
      <formula>AND(COUNTIF(I595:CV595,"&lt;&gt;" &amp; "")&gt;0,NOT(ISBLANK(G595)))</formula>
    </cfRule>
  </conditionalFormatting>
  <conditionalFormatting sqref="G596">
    <cfRule type="expression" dxfId="0" priority="4180">
      <formula>COUNTIF(I596:CV596,"&lt;&gt;" &amp; "")&gt;0</formula>
    </cfRule>
    <cfRule type="expression" dxfId="1" priority="4181">
      <formula>AND(COUNTIF(I596:CV596,"&lt;&gt;" &amp; "")&gt;0,NOT(ISBLANK(G596)))</formula>
    </cfRule>
  </conditionalFormatting>
  <conditionalFormatting sqref="G597">
    <cfRule type="expression" dxfId="0" priority="4183">
      <formula>COUNTIF(I597:CV597,"&lt;&gt;" &amp; "")&gt;0</formula>
    </cfRule>
    <cfRule type="expression" dxfId="1" priority="4184">
      <formula>AND(COUNTIF(I597:CV597,"&lt;&gt;" &amp; "")&gt;0,NOT(ISBLANK(G597)))</formula>
    </cfRule>
  </conditionalFormatting>
  <conditionalFormatting sqref="G598">
    <cfRule type="expression" dxfId="0" priority="4186">
      <formula>COUNTIF(I598:CV598,"&lt;&gt;" &amp; "")&gt;0</formula>
    </cfRule>
    <cfRule type="expression" dxfId="1" priority="4187">
      <formula>AND(COUNTIF(I598:CV598,"&lt;&gt;" &amp; "")&gt;0,NOT(ISBLANK(G598)))</formula>
    </cfRule>
  </conditionalFormatting>
  <conditionalFormatting sqref="G599">
    <cfRule type="expression" dxfId="0" priority="4189">
      <formula>COUNTIF(I599:CV599,"&lt;&gt;" &amp; "")&gt;0</formula>
    </cfRule>
    <cfRule type="expression" dxfId="1" priority="4190">
      <formula>AND(COUNTIF(I599:CV599,"&lt;&gt;" &amp; "")&gt;0,NOT(ISBLANK(G599)))</formula>
    </cfRule>
  </conditionalFormatting>
  <conditionalFormatting sqref="G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G60">
    <cfRule type="expression" dxfId="0" priority="2572">
      <formula>COUNTIF(I60:CV60,"&lt;&gt;" &amp; "")&gt;0</formula>
    </cfRule>
    <cfRule type="expression" dxfId="1" priority="2573">
      <formula>AND(COUNTIF(I60:CV60,"&lt;&gt;" &amp; "")&gt;0,NOT(ISBLANK(G60)))</formula>
    </cfRule>
  </conditionalFormatting>
  <conditionalFormatting sqref="G600">
    <cfRule type="expression" dxfId="0" priority="4192">
      <formula>COUNTIF(I600:CV600,"&lt;&gt;" &amp; "")&gt;0</formula>
    </cfRule>
    <cfRule type="expression" dxfId="1" priority="4193">
      <formula>AND(COUNTIF(I600:CV600,"&lt;&gt;" &amp; "")&gt;0,NOT(ISBLANK(G600)))</formula>
    </cfRule>
  </conditionalFormatting>
  <conditionalFormatting sqref="G601">
    <cfRule type="expression" dxfId="0" priority="4195">
      <formula>COUNTIF(I601:CV601,"&lt;&gt;" &amp; "")&gt;0</formula>
    </cfRule>
    <cfRule type="expression" dxfId="1" priority="4196">
      <formula>AND(COUNTIF(I601:CV601,"&lt;&gt;" &amp; "")&gt;0,NOT(ISBLANK(G601)))</formula>
    </cfRule>
  </conditionalFormatting>
  <conditionalFormatting sqref="G602">
    <cfRule type="expression" dxfId="0" priority="4198">
      <formula>COUNTIF(I602:CV602,"&lt;&gt;" &amp; "")&gt;0</formula>
    </cfRule>
    <cfRule type="expression" dxfId="1" priority="4199">
      <formula>AND(COUNTIF(I602:CV602,"&lt;&gt;" &amp; "")&gt;0,NOT(ISBLANK(G602)))</formula>
    </cfRule>
  </conditionalFormatting>
  <conditionalFormatting sqref="G603">
    <cfRule type="expression" dxfId="0" priority="4201">
      <formula>COUNTIF(I603:CV603,"&lt;&gt;" &amp; "")&gt;0</formula>
    </cfRule>
    <cfRule type="expression" dxfId="1" priority="4202">
      <formula>AND(COUNTIF(I603:CV603,"&lt;&gt;" &amp; "")&gt;0,NOT(ISBLANK(G603)))</formula>
    </cfRule>
  </conditionalFormatting>
  <conditionalFormatting sqref="G604">
    <cfRule type="expression" dxfId="0" priority="4204">
      <formula>COUNTIF(I604:CV604,"&lt;&gt;" &amp; "")&gt;0</formula>
    </cfRule>
    <cfRule type="expression" dxfId="1" priority="4205">
      <formula>AND(COUNTIF(I604:CV604,"&lt;&gt;" &amp; "")&gt;0,NOT(ISBLANK(G604)))</formula>
    </cfRule>
  </conditionalFormatting>
  <conditionalFormatting sqref="G605">
    <cfRule type="expression" dxfId="0" priority="4207">
      <formula>COUNTIF(I605:CV605,"&lt;&gt;" &amp; "")&gt;0</formula>
    </cfRule>
    <cfRule type="expression" dxfId="1" priority="4208">
      <formula>AND(COUNTIF(I605:CV605,"&lt;&gt;" &amp; "")&gt;0,NOT(ISBLANK(G605)))</formula>
    </cfRule>
  </conditionalFormatting>
  <conditionalFormatting sqref="G606">
    <cfRule type="expression" dxfId="0" priority="4210">
      <formula>COUNTIF(I606:CV606,"&lt;&gt;" &amp; "")&gt;0</formula>
    </cfRule>
    <cfRule type="expression" dxfId="1" priority="4211">
      <formula>AND(COUNTIF(I606:CV606,"&lt;&gt;" &amp; "")&gt;0,NOT(ISBLANK(G606)))</formula>
    </cfRule>
  </conditionalFormatting>
  <conditionalFormatting sqref="G607">
    <cfRule type="expression" dxfId="0" priority="4213">
      <formula>COUNTIF(I607:CV607,"&lt;&gt;" &amp; "")&gt;0</formula>
    </cfRule>
    <cfRule type="expression" dxfId="1" priority="4214">
      <formula>AND(COUNTIF(I607:CV607,"&lt;&gt;" &amp; "")&gt;0,NOT(ISBLANK(G607)))</formula>
    </cfRule>
  </conditionalFormatting>
  <conditionalFormatting sqref="G608">
    <cfRule type="expression" dxfId="0" priority="4216">
      <formula>COUNTIF(I608:CV608,"&lt;&gt;" &amp; "")&gt;0</formula>
    </cfRule>
    <cfRule type="expression" dxfId="1" priority="4217">
      <formula>AND(COUNTIF(I608:CV608,"&lt;&gt;" &amp; "")&gt;0,NOT(ISBLANK(G608)))</formula>
    </cfRule>
  </conditionalFormatting>
  <conditionalFormatting sqref="G609">
    <cfRule type="expression" dxfId="0" priority="4219">
      <formula>COUNTIF(I609:CV609,"&lt;&gt;" &amp; "")&gt;0</formula>
    </cfRule>
    <cfRule type="expression" dxfId="1" priority="4220">
      <formula>AND(COUNTIF(I609:CV609,"&lt;&gt;" &amp; "")&gt;0,NOT(ISBLANK(G609)))</formula>
    </cfRule>
  </conditionalFormatting>
  <conditionalFormatting sqref="G61">
    <cfRule type="expression" dxfId="0" priority="2575">
      <formula>COUNTIF(I61:CV61,"&lt;&gt;" &amp; "")&gt;0</formula>
    </cfRule>
    <cfRule type="expression" dxfId="1" priority="2576">
      <formula>AND(COUNTIF(I61:CV61,"&lt;&gt;" &amp; "")&gt;0,NOT(ISBLANK(G61)))</formula>
    </cfRule>
  </conditionalFormatting>
  <conditionalFormatting sqref="G610">
    <cfRule type="expression" dxfId="0" priority="4222">
      <formula>COUNTIF(I610:CV610,"&lt;&gt;" &amp; "")&gt;0</formula>
    </cfRule>
    <cfRule type="expression" dxfId="1" priority="4223">
      <formula>AND(COUNTIF(I610:CV610,"&lt;&gt;" &amp; "")&gt;0,NOT(ISBLANK(G610)))</formula>
    </cfRule>
  </conditionalFormatting>
  <conditionalFormatting sqref="G611">
    <cfRule type="expression" dxfId="0" priority="4225">
      <formula>COUNTIF(I611:CV611,"&lt;&gt;" &amp; "")&gt;0</formula>
    </cfRule>
    <cfRule type="expression" dxfId="1" priority="4226">
      <formula>AND(COUNTIF(I611:CV611,"&lt;&gt;" &amp; "")&gt;0,NOT(ISBLANK(G611)))</formula>
    </cfRule>
  </conditionalFormatting>
  <conditionalFormatting sqref="G612">
    <cfRule type="expression" dxfId="0" priority="4228">
      <formula>COUNTIF(I612:CV612,"&lt;&gt;" &amp; "")&gt;0</formula>
    </cfRule>
    <cfRule type="expression" dxfId="1" priority="4229">
      <formula>AND(COUNTIF(I612:CV612,"&lt;&gt;" &amp; "")&gt;0,NOT(ISBLANK(G612)))</formula>
    </cfRule>
  </conditionalFormatting>
  <conditionalFormatting sqref="G613">
    <cfRule type="expression" dxfId="0" priority="4231">
      <formula>COUNTIF(I613:CV613,"&lt;&gt;" &amp; "")&gt;0</formula>
    </cfRule>
    <cfRule type="expression" dxfId="1" priority="4232">
      <formula>AND(COUNTIF(I613:CV613,"&lt;&gt;" &amp; "")&gt;0,NOT(ISBLANK(G613)))</formula>
    </cfRule>
  </conditionalFormatting>
  <conditionalFormatting sqref="G614">
    <cfRule type="expression" dxfId="0" priority="4234">
      <formula>COUNTIF(I614:CV614,"&lt;&gt;" &amp; "")&gt;0</formula>
    </cfRule>
    <cfRule type="expression" dxfId="1" priority="4235">
      <formula>AND(COUNTIF(I614:CV614,"&lt;&gt;" &amp; "")&gt;0,NOT(ISBLANK(G614)))</formula>
    </cfRule>
  </conditionalFormatting>
  <conditionalFormatting sqref="G615">
    <cfRule type="expression" dxfId="0" priority="4237">
      <formula>COUNTIF(I615:CV615,"&lt;&gt;" &amp; "")&gt;0</formula>
    </cfRule>
    <cfRule type="expression" dxfId="1" priority="4238">
      <formula>AND(COUNTIF(I615:CV615,"&lt;&gt;" &amp; "")&gt;0,NOT(ISBLANK(G615)))</formula>
    </cfRule>
  </conditionalFormatting>
  <conditionalFormatting sqref="G616">
    <cfRule type="expression" dxfId="0" priority="4240">
      <formula>COUNTIF(I616:CV616,"&lt;&gt;" &amp; "")&gt;0</formula>
    </cfRule>
    <cfRule type="expression" dxfId="1" priority="4241">
      <formula>AND(COUNTIF(I616:CV616,"&lt;&gt;" &amp; "")&gt;0,NOT(ISBLANK(G616)))</formula>
    </cfRule>
  </conditionalFormatting>
  <conditionalFormatting sqref="G617">
    <cfRule type="expression" dxfId="0" priority="4243">
      <formula>COUNTIF(I617:CV617,"&lt;&gt;" &amp; "")&gt;0</formula>
    </cfRule>
    <cfRule type="expression" dxfId="1" priority="4244">
      <formula>AND(COUNTIF(I617:CV617,"&lt;&gt;" &amp; "")&gt;0,NOT(ISBLANK(G617)))</formula>
    </cfRule>
  </conditionalFormatting>
  <conditionalFormatting sqref="G618">
    <cfRule type="expression" dxfId="0" priority="4246">
      <formula>COUNTIF(I618:CV618,"&lt;&gt;" &amp; "")&gt;0</formula>
    </cfRule>
    <cfRule type="expression" dxfId="1" priority="4247">
      <formula>AND(COUNTIF(I618:CV618,"&lt;&gt;" &amp; "")&gt;0,NOT(ISBLANK(G618)))</formula>
    </cfRule>
  </conditionalFormatting>
  <conditionalFormatting sqref="G619">
    <cfRule type="expression" dxfId="0" priority="4249">
      <formula>COUNTIF(I619:CV619,"&lt;&gt;" &amp; "")&gt;0</formula>
    </cfRule>
    <cfRule type="expression" dxfId="1" priority="4250">
      <formula>AND(COUNTIF(I619:CV619,"&lt;&gt;" &amp; "")&gt;0,NOT(ISBLANK(G619)))</formula>
    </cfRule>
  </conditionalFormatting>
  <conditionalFormatting sqref="G62">
    <cfRule type="expression" dxfId="0" priority="2578">
      <formula>COUNTIF(I62:CV62,"&lt;&gt;" &amp; "")&gt;0</formula>
    </cfRule>
    <cfRule type="expression" dxfId="1" priority="2579">
      <formula>AND(COUNTIF(I62:CV62,"&lt;&gt;" &amp; "")&gt;0,NOT(ISBLANK(G62)))</formula>
    </cfRule>
  </conditionalFormatting>
  <conditionalFormatting sqref="G620">
    <cfRule type="expression" dxfId="0" priority="4252">
      <formula>COUNTIF(I620:CV620,"&lt;&gt;" &amp; "")&gt;0</formula>
    </cfRule>
    <cfRule type="expression" dxfId="1" priority="4253">
      <formula>AND(COUNTIF(I620:CV620,"&lt;&gt;" &amp; "")&gt;0,NOT(ISBLANK(G620)))</formula>
    </cfRule>
  </conditionalFormatting>
  <conditionalFormatting sqref="G621">
    <cfRule type="expression" dxfId="0" priority="4255">
      <formula>COUNTIF(I621:CV621,"&lt;&gt;" &amp; "")&gt;0</formula>
    </cfRule>
    <cfRule type="expression" dxfId="1" priority="4256">
      <formula>AND(COUNTIF(I621:CV621,"&lt;&gt;" &amp; "")&gt;0,NOT(ISBLANK(G621)))</formula>
    </cfRule>
  </conditionalFormatting>
  <conditionalFormatting sqref="G622">
    <cfRule type="expression" dxfId="0" priority="4258">
      <formula>COUNTIF(I622:CV622,"&lt;&gt;" &amp; "")&gt;0</formula>
    </cfRule>
    <cfRule type="expression" dxfId="1" priority="4259">
      <formula>AND(COUNTIF(I622:CV622,"&lt;&gt;" &amp; "")&gt;0,NOT(ISBLANK(G622)))</formula>
    </cfRule>
  </conditionalFormatting>
  <conditionalFormatting sqref="G623">
    <cfRule type="expression" dxfId="0" priority="4261">
      <formula>COUNTIF(I623:CV623,"&lt;&gt;" &amp; "")&gt;0</formula>
    </cfRule>
    <cfRule type="expression" dxfId="1" priority="4262">
      <formula>AND(COUNTIF(I623:CV623,"&lt;&gt;" &amp; "")&gt;0,NOT(ISBLANK(G623)))</formula>
    </cfRule>
  </conditionalFormatting>
  <conditionalFormatting sqref="G624">
    <cfRule type="expression" dxfId="0" priority="4264">
      <formula>COUNTIF(I624:CV624,"&lt;&gt;" &amp; "")&gt;0</formula>
    </cfRule>
    <cfRule type="expression" dxfId="1" priority="4265">
      <formula>AND(COUNTIF(I624:CV624,"&lt;&gt;" &amp; "")&gt;0,NOT(ISBLANK(G624)))</formula>
    </cfRule>
  </conditionalFormatting>
  <conditionalFormatting sqref="G625">
    <cfRule type="expression" dxfId="0" priority="4267">
      <formula>COUNTIF(I625:CV625,"&lt;&gt;" &amp; "")&gt;0</formula>
    </cfRule>
    <cfRule type="expression" dxfId="1" priority="4268">
      <formula>AND(COUNTIF(I625:CV625,"&lt;&gt;" &amp; "")&gt;0,NOT(ISBLANK(G625)))</formula>
    </cfRule>
  </conditionalFormatting>
  <conditionalFormatting sqref="G626">
    <cfRule type="expression" dxfId="0" priority="4270">
      <formula>COUNTIF(I626:CV626,"&lt;&gt;" &amp; "")&gt;0</formula>
    </cfRule>
    <cfRule type="expression" dxfId="1" priority="4271">
      <formula>AND(COUNTIF(I626:CV626,"&lt;&gt;" &amp; "")&gt;0,NOT(ISBLANK(G626)))</formula>
    </cfRule>
  </conditionalFormatting>
  <conditionalFormatting sqref="G627">
    <cfRule type="expression" dxfId="0" priority="4273">
      <formula>COUNTIF(I627:CV627,"&lt;&gt;" &amp; "")&gt;0</formula>
    </cfRule>
    <cfRule type="expression" dxfId="1" priority="4274">
      <formula>AND(COUNTIF(I627:CV627,"&lt;&gt;" &amp; "")&gt;0,NOT(ISBLANK(G627)))</formula>
    </cfRule>
  </conditionalFormatting>
  <conditionalFormatting sqref="G628">
    <cfRule type="expression" dxfId="0" priority="4276">
      <formula>COUNTIF(I628:CV628,"&lt;&gt;" &amp; "")&gt;0</formula>
    </cfRule>
    <cfRule type="expression" dxfId="1" priority="4277">
      <formula>AND(COUNTIF(I628:CV628,"&lt;&gt;" &amp; "")&gt;0,NOT(ISBLANK(G628)))</formula>
    </cfRule>
  </conditionalFormatting>
  <conditionalFormatting sqref="G629">
    <cfRule type="expression" dxfId="0" priority="4279">
      <formula>COUNTIF(I629:CV629,"&lt;&gt;" &amp; "")&gt;0</formula>
    </cfRule>
    <cfRule type="expression" dxfId="1" priority="4280">
      <formula>AND(COUNTIF(I629:CV629,"&lt;&gt;" &amp; "")&gt;0,NOT(ISBLANK(G629)))</formula>
    </cfRule>
  </conditionalFormatting>
  <conditionalFormatting sqref="G63">
    <cfRule type="expression" dxfId="0" priority="2581">
      <formula>COUNTIF(I63:CV63,"&lt;&gt;" &amp; "")&gt;0</formula>
    </cfRule>
    <cfRule type="expression" dxfId="1" priority="2582">
      <formula>AND(COUNTIF(I63:CV63,"&lt;&gt;" &amp; "")&gt;0,NOT(ISBLANK(G63)))</formula>
    </cfRule>
  </conditionalFormatting>
  <conditionalFormatting sqref="G630">
    <cfRule type="expression" dxfId="0" priority="4282">
      <formula>COUNTIF(I630:CV630,"&lt;&gt;" &amp; "")&gt;0</formula>
    </cfRule>
    <cfRule type="expression" dxfId="1" priority="4283">
      <formula>AND(COUNTIF(I630:CV630,"&lt;&gt;" &amp; "")&gt;0,NOT(ISBLANK(G630)))</formula>
    </cfRule>
  </conditionalFormatting>
  <conditionalFormatting sqref="G631">
    <cfRule type="expression" dxfId="0" priority="4285">
      <formula>COUNTIF(I631:CV631,"&lt;&gt;" &amp; "")&gt;0</formula>
    </cfRule>
    <cfRule type="expression" dxfId="1" priority="4286">
      <formula>AND(COUNTIF(I631:CV631,"&lt;&gt;" &amp; "")&gt;0,NOT(ISBLANK(G631)))</formula>
    </cfRule>
  </conditionalFormatting>
  <conditionalFormatting sqref="G632">
    <cfRule type="expression" dxfId="0" priority="4288">
      <formula>COUNTIF(I632:CV632,"&lt;&gt;" &amp; "")&gt;0</formula>
    </cfRule>
    <cfRule type="expression" dxfId="1" priority="4289">
      <formula>AND(COUNTIF(I632:CV632,"&lt;&gt;" &amp; "")&gt;0,NOT(ISBLANK(G632)))</formula>
    </cfRule>
  </conditionalFormatting>
  <conditionalFormatting sqref="G633">
    <cfRule type="expression" dxfId="0" priority="4291">
      <formula>COUNTIF(I633:CV633,"&lt;&gt;" &amp; "")&gt;0</formula>
    </cfRule>
    <cfRule type="expression" dxfId="1" priority="4292">
      <formula>AND(COUNTIF(I633:CV633,"&lt;&gt;" &amp; "")&gt;0,NOT(ISBLANK(G633)))</formula>
    </cfRule>
  </conditionalFormatting>
  <conditionalFormatting sqref="G634">
    <cfRule type="expression" dxfId="0" priority="4294">
      <formula>COUNTIF(I634:CV634,"&lt;&gt;" &amp; "")&gt;0</formula>
    </cfRule>
    <cfRule type="expression" dxfId="1" priority="4295">
      <formula>AND(COUNTIF(I634:CV634,"&lt;&gt;" &amp; "")&gt;0,NOT(ISBLANK(G634)))</formula>
    </cfRule>
  </conditionalFormatting>
  <conditionalFormatting sqref="G635">
    <cfRule type="expression" dxfId="0" priority="4297">
      <formula>COUNTIF(I635:CV635,"&lt;&gt;" &amp; "")&gt;0</formula>
    </cfRule>
    <cfRule type="expression" dxfId="1" priority="4298">
      <formula>AND(COUNTIF(I635:CV635,"&lt;&gt;" &amp; "")&gt;0,NOT(ISBLANK(G635)))</formula>
    </cfRule>
  </conditionalFormatting>
  <conditionalFormatting sqref="G636">
    <cfRule type="expression" dxfId="0" priority="4300">
      <formula>COUNTIF(I636:CV636,"&lt;&gt;" &amp; "")&gt;0</formula>
    </cfRule>
    <cfRule type="expression" dxfId="1" priority="4301">
      <formula>AND(COUNTIF(I636:CV636,"&lt;&gt;" &amp; "")&gt;0,NOT(ISBLANK(G636)))</formula>
    </cfRule>
  </conditionalFormatting>
  <conditionalFormatting sqref="G637">
    <cfRule type="expression" dxfId="0" priority="4303">
      <formula>COUNTIF(I637:CV637,"&lt;&gt;" &amp; "")&gt;0</formula>
    </cfRule>
    <cfRule type="expression" dxfId="1" priority="4304">
      <formula>AND(COUNTIF(I637:CV637,"&lt;&gt;" &amp; "")&gt;0,NOT(ISBLANK(G637)))</formula>
    </cfRule>
  </conditionalFormatting>
  <conditionalFormatting sqref="G638">
    <cfRule type="expression" dxfId="0" priority="4306">
      <formula>COUNTIF(I638:CV638,"&lt;&gt;" &amp; "")&gt;0</formula>
    </cfRule>
    <cfRule type="expression" dxfId="1" priority="4307">
      <formula>AND(COUNTIF(I638:CV638,"&lt;&gt;" &amp; "")&gt;0,NOT(ISBLANK(G638)))</formula>
    </cfRule>
  </conditionalFormatting>
  <conditionalFormatting sqref="G639">
    <cfRule type="expression" dxfId="0" priority="4309">
      <formula>COUNTIF(I639:CV639,"&lt;&gt;" &amp; "")&gt;0</formula>
    </cfRule>
    <cfRule type="expression" dxfId="1" priority="4310">
      <formula>AND(COUNTIF(I639:CV639,"&lt;&gt;" &amp; "")&gt;0,NOT(ISBLANK(G639)))</formula>
    </cfRule>
  </conditionalFormatting>
  <conditionalFormatting sqref="G64">
    <cfRule type="expression" dxfId="0" priority="2584">
      <formula>COUNTIF(I64:CV64,"&lt;&gt;" &amp; "")&gt;0</formula>
    </cfRule>
    <cfRule type="expression" dxfId="1" priority="2585">
      <formula>AND(COUNTIF(I64:CV64,"&lt;&gt;" &amp; "")&gt;0,NOT(ISBLANK(G64)))</formula>
    </cfRule>
  </conditionalFormatting>
  <conditionalFormatting sqref="G640">
    <cfRule type="expression" dxfId="0" priority="4312">
      <formula>COUNTIF(I640:CV640,"&lt;&gt;" &amp; "")&gt;0</formula>
    </cfRule>
    <cfRule type="expression" dxfId="1" priority="4313">
      <formula>AND(COUNTIF(I640:CV640,"&lt;&gt;" &amp; "")&gt;0,NOT(ISBLANK(G640)))</formula>
    </cfRule>
  </conditionalFormatting>
  <conditionalFormatting sqref="G641">
    <cfRule type="expression" dxfId="0" priority="4315">
      <formula>COUNTIF(I641:CV641,"&lt;&gt;" &amp; "")&gt;0</formula>
    </cfRule>
    <cfRule type="expression" dxfId="1" priority="4316">
      <formula>AND(COUNTIF(I641:CV641,"&lt;&gt;" &amp; "")&gt;0,NOT(ISBLANK(G641)))</formula>
    </cfRule>
  </conditionalFormatting>
  <conditionalFormatting sqref="G642">
    <cfRule type="expression" dxfId="0" priority="4318">
      <formula>COUNTIF(I642:CV642,"&lt;&gt;" &amp; "")&gt;0</formula>
    </cfRule>
    <cfRule type="expression" dxfId="1" priority="4319">
      <formula>AND(COUNTIF(I642:CV642,"&lt;&gt;" &amp; "")&gt;0,NOT(ISBLANK(G642)))</formula>
    </cfRule>
  </conditionalFormatting>
  <conditionalFormatting sqref="G643">
    <cfRule type="expression" dxfId="0" priority="4321">
      <formula>COUNTIF(I643:CV643,"&lt;&gt;" &amp; "")&gt;0</formula>
    </cfRule>
    <cfRule type="expression" dxfId="1" priority="4322">
      <formula>AND(COUNTIF(I643:CV643,"&lt;&gt;" &amp; "")&gt;0,NOT(ISBLANK(G643)))</formula>
    </cfRule>
  </conditionalFormatting>
  <conditionalFormatting sqref="G644">
    <cfRule type="expression" dxfId="0" priority="4324">
      <formula>COUNTIF(I644:CV644,"&lt;&gt;" &amp; "")&gt;0</formula>
    </cfRule>
    <cfRule type="expression" dxfId="1" priority="4325">
      <formula>AND(COUNTIF(I644:CV644,"&lt;&gt;" &amp; "")&gt;0,NOT(ISBLANK(G644)))</formula>
    </cfRule>
  </conditionalFormatting>
  <conditionalFormatting sqref="G645">
    <cfRule type="expression" dxfId="0" priority="4327">
      <formula>COUNTIF(I645:CV645,"&lt;&gt;" &amp; "")&gt;0</formula>
    </cfRule>
    <cfRule type="expression" dxfId="1" priority="4328">
      <formula>AND(COUNTIF(I645:CV645,"&lt;&gt;" &amp; "")&gt;0,NOT(ISBLANK(G645)))</formula>
    </cfRule>
  </conditionalFormatting>
  <conditionalFormatting sqref="G646">
    <cfRule type="expression" dxfId="0" priority="4330">
      <formula>COUNTIF(I646:CV646,"&lt;&gt;" &amp; "")&gt;0</formula>
    </cfRule>
    <cfRule type="expression" dxfId="1" priority="4331">
      <formula>AND(COUNTIF(I646:CV646,"&lt;&gt;" &amp; "")&gt;0,NOT(ISBLANK(G646)))</formula>
    </cfRule>
  </conditionalFormatting>
  <conditionalFormatting sqref="G647">
    <cfRule type="expression" dxfId="0" priority="4333">
      <formula>COUNTIF(I647:CV647,"&lt;&gt;" &amp; "")&gt;0</formula>
    </cfRule>
    <cfRule type="expression" dxfId="1" priority="4334">
      <formula>AND(COUNTIF(I647:CV647,"&lt;&gt;" &amp; "")&gt;0,NOT(ISBLANK(G647)))</formula>
    </cfRule>
  </conditionalFormatting>
  <conditionalFormatting sqref="G648">
    <cfRule type="expression" dxfId="0" priority="4336">
      <formula>COUNTIF(I648:CV648,"&lt;&gt;" &amp; "")&gt;0</formula>
    </cfRule>
    <cfRule type="expression" dxfId="1" priority="4337">
      <formula>AND(COUNTIF(I648:CV648,"&lt;&gt;" &amp; "")&gt;0,NOT(ISBLANK(G648)))</formula>
    </cfRule>
  </conditionalFormatting>
  <conditionalFormatting sqref="G649">
    <cfRule type="expression" dxfId="0" priority="4339">
      <formula>COUNTIF(I649:CV649,"&lt;&gt;" &amp; "")&gt;0</formula>
    </cfRule>
    <cfRule type="expression" dxfId="1" priority="4340">
      <formula>AND(COUNTIF(I649:CV649,"&lt;&gt;" &amp; "")&gt;0,NOT(ISBLANK(G649)))</formula>
    </cfRule>
  </conditionalFormatting>
  <conditionalFormatting sqref="G65">
    <cfRule type="expression" dxfId="0" priority="2587">
      <formula>COUNTIF(I65:CV65,"&lt;&gt;" &amp; "")&gt;0</formula>
    </cfRule>
    <cfRule type="expression" dxfId="1" priority="2588">
      <formula>AND(COUNTIF(I65:CV65,"&lt;&gt;" &amp; "")&gt;0,NOT(ISBLANK(G65)))</formula>
    </cfRule>
  </conditionalFormatting>
  <conditionalFormatting sqref="G650">
    <cfRule type="expression" dxfId="0" priority="4342">
      <formula>COUNTIF(I650:CV650,"&lt;&gt;" &amp; "")&gt;0</formula>
    </cfRule>
    <cfRule type="expression" dxfId="1" priority="4343">
      <formula>AND(COUNTIF(I650:CV650,"&lt;&gt;" &amp; "")&gt;0,NOT(ISBLANK(G650)))</formula>
    </cfRule>
  </conditionalFormatting>
  <conditionalFormatting sqref="G651">
    <cfRule type="expression" dxfId="0" priority="4345">
      <formula>COUNTIF(I651:CV651,"&lt;&gt;" &amp; "")&gt;0</formula>
    </cfRule>
    <cfRule type="expression" dxfId="1" priority="4346">
      <formula>AND(COUNTIF(I651:CV651,"&lt;&gt;" &amp; "")&gt;0,NOT(ISBLANK(G651)))</formula>
    </cfRule>
  </conditionalFormatting>
  <conditionalFormatting sqref="G652">
    <cfRule type="expression" dxfId="0" priority="4348">
      <formula>COUNTIF(I652:CV652,"&lt;&gt;" &amp; "")&gt;0</formula>
    </cfRule>
    <cfRule type="expression" dxfId="1" priority="4349">
      <formula>AND(COUNTIF(I652:CV652,"&lt;&gt;" &amp; "")&gt;0,NOT(ISBLANK(G652)))</formula>
    </cfRule>
  </conditionalFormatting>
  <conditionalFormatting sqref="G653">
    <cfRule type="expression" dxfId="0" priority="4351">
      <formula>COUNTIF(I653:CV653,"&lt;&gt;" &amp; "")&gt;0</formula>
    </cfRule>
    <cfRule type="expression" dxfId="1" priority="4352">
      <formula>AND(COUNTIF(I653:CV653,"&lt;&gt;" &amp; "")&gt;0,NOT(ISBLANK(G653)))</formula>
    </cfRule>
  </conditionalFormatting>
  <conditionalFormatting sqref="G654">
    <cfRule type="expression" dxfId="0" priority="4354">
      <formula>COUNTIF(I654:CV654,"&lt;&gt;" &amp; "")&gt;0</formula>
    </cfRule>
    <cfRule type="expression" dxfId="1" priority="4355">
      <formula>AND(COUNTIF(I654:CV654,"&lt;&gt;" &amp; "")&gt;0,NOT(ISBLANK(G654)))</formula>
    </cfRule>
  </conditionalFormatting>
  <conditionalFormatting sqref="G655">
    <cfRule type="expression" dxfId="0" priority="4357">
      <formula>COUNTIF(I655:CV655,"&lt;&gt;" &amp; "")&gt;0</formula>
    </cfRule>
    <cfRule type="expression" dxfId="1" priority="4358">
      <formula>AND(COUNTIF(I655:CV655,"&lt;&gt;" &amp; "")&gt;0,NOT(ISBLANK(G655)))</formula>
    </cfRule>
  </conditionalFormatting>
  <conditionalFormatting sqref="G656">
    <cfRule type="expression" dxfId="0" priority="4360">
      <formula>COUNTIF(I656:CV656,"&lt;&gt;" &amp; "")&gt;0</formula>
    </cfRule>
    <cfRule type="expression" dxfId="1" priority="4361">
      <formula>AND(COUNTIF(I656:CV656,"&lt;&gt;" &amp; "")&gt;0,NOT(ISBLANK(G656)))</formula>
    </cfRule>
  </conditionalFormatting>
  <conditionalFormatting sqref="G657">
    <cfRule type="expression" dxfId="0" priority="4363">
      <formula>COUNTIF(I657:CV657,"&lt;&gt;" &amp; "")&gt;0</formula>
    </cfRule>
    <cfRule type="expression" dxfId="1" priority="4364">
      <formula>AND(COUNTIF(I657:CV657,"&lt;&gt;" &amp; "")&gt;0,NOT(ISBLANK(G657)))</formula>
    </cfRule>
  </conditionalFormatting>
  <conditionalFormatting sqref="G658">
    <cfRule type="expression" dxfId="0" priority="4366">
      <formula>COUNTIF(I658:CV658,"&lt;&gt;" &amp; "")&gt;0</formula>
    </cfRule>
    <cfRule type="expression" dxfId="1" priority="4367">
      <formula>AND(COUNTIF(I658:CV658,"&lt;&gt;" &amp; "")&gt;0,NOT(ISBLANK(G658)))</formula>
    </cfRule>
  </conditionalFormatting>
  <conditionalFormatting sqref="G659">
    <cfRule type="expression" dxfId="0" priority="4369">
      <formula>COUNTIF(I659:CV659,"&lt;&gt;" &amp; "")&gt;0</formula>
    </cfRule>
    <cfRule type="expression" dxfId="1" priority="4370">
      <formula>AND(COUNTIF(I659:CV659,"&lt;&gt;" &amp; "")&gt;0,NOT(ISBLANK(G659)))</formula>
    </cfRule>
  </conditionalFormatting>
  <conditionalFormatting sqref="G66">
    <cfRule type="expression" dxfId="0" priority="2590">
      <formula>COUNTIF(I66:CV66,"&lt;&gt;" &amp; "")&gt;0</formula>
    </cfRule>
    <cfRule type="expression" dxfId="1" priority="2591">
      <formula>AND(COUNTIF(I66:CV66,"&lt;&gt;" &amp; "")&gt;0,NOT(ISBLANK(G66)))</formula>
    </cfRule>
  </conditionalFormatting>
  <conditionalFormatting sqref="G660">
    <cfRule type="expression" dxfId="0" priority="4372">
      <formula>COUNTIF(I660:CV660,"&lt;&gt;" &amp; "")&gt;0</formula>
    </cfRule>
    <cfRule type="expression" dxfId="1" priority="4373">
      <formula>AND(COUNTIF(I660:CV660,"&lt;&gt;" &amp; "")&gt;0,NOT(ISBLANK(G660)))</formula>
    </cfRule>
  </conditionalFormatting>
  <conditionalFormatting sqref="G661">
    <cfRule type="expression" dxfId="0" priority="4375">
      <formula>COUNTIF(I661:CV661,"&lt;&gt;" &amp; "")&gt;0</formula>
    </cfRule>
    <cfRule type="expression" dxfId="1" priority="4376">
      <formula>AND(COUNTIF(I661:CV661,"&lt;&gt;" &amp; "")&gt;0,NOT(ISBLANK(G661)))</formula>
    </cfRule>
  </conditionalFormatting>
  <conditionalFormatting sqref="G662">
    <cfRule type="expression" dxfId="0" priority="4378">
      <formula>COUNTIF(I662:CV662,"&lt;&gt;" &amp; "")&gt;0</formula>
    </cfRule>
    <cfRule type="expression" dxfId="1" priority="4379">
      <formula>AND(COUNTIF(I662:CV662,"&lt;&gt;" &amp; "")&gt;0,NOT(ISBLANK(G662)))</formula>
    </cfRule>
  </conditionalFormatting>
  <conditionalFormatting sqref="G663">
    <cfRule type="expression" dxfId="0" priority="4381">
      <formula>COUNTIF(I663:CV663,"&lt;&gt;" &amp; "")&gt;0</formula>
    </cfRule>
    <cfRule type="expression" dxfId="1" priority="4382">
      <formula>AND(COUNTIF(I663:CV663,"&lt;&gt;" &amp; "")&gt;0,NOT(ISBLANK(G663)))</formula>
    </cfRule>
  </conditionalFormatting>
  <conditionalFormatting sqref="G664">
    <cfRule type="expression" dxfId="0" priority="4384">
      <formula>COUNTIF(I664:CV664,"&lt;&gt;" &amp; "")&gt;0</formula>
    </cfRule>
    <cfRule type="expression" dxfId="1" priority="4385">
      <formula>AND(COUNTIF(I664:CV664,"&lt;&gt;" &amp; "")&gt;0,NOT(ISBLANK(G664)))</formula>
    </cfRule>
  </conditionalFormatting>
  <conditionalFormatting sqref="G665">
    <cfRule type="expression" dxfId="0" priority="4387">
      <formula>COUNTIF(I665:CV665,"&lt;&gt;" &amp; "")&gt;0</formula>
    </cfRule>
    <cfRule type="expression" dxfId="1" priority="4388">
      <formula>AND(COUNTIF(I665:CV665,"&lt;&gt;" &amp; "")&gt;0,NOT(ISBLANK(G665)))</formula>
    </cfRule>
  </conditionalFormatting>
  <conditionalFormatting sqref="G666">
    <cfRule type="expression" dxfId="0" priority="4390">
      <formula>COUNTIF(I666:CV666,"&lt;&gt;" &amp; "")&gt;0</formula>
    </cfRule>
    <cfRule type="expression" dxfId="1" priority="4391">
      <formula>AND(COUNTIF(I666:CV666,"&lt;&gt;" &amp; "")&gt;0,NOT(ISBLANK(G666)))</formula>
    </cfRule>
  </conditionalFormatting>
  <conditionalFormatting sqref="G667">
    <cfRule type="expression" dxfId="0" priority="4393">
      <formula>COUNTIF(I667:CV667,"&lt;&gt;" &amp; "")&gt;0</formula>
    </cfRule>
    <cfRule type="expression" dxfId="1" priority="4394">
      <formula>AND(COUNTIF(I667:CV667,"&lt;&gt;" &amp; "")&gt;0,NOT(ISBLANK(G667)))</formula>
    </cfRule>
  </conditionalFormatting>
  <conditionalFormatting sqref="G668">
    <cfRule type="expression" dxfId="0" priority="4396">
      <formula>COUNTIF(I668:CV668,"&lt;&gt;" &amp; "")&gt;0</formula>
    </cfRule>
    <cfRule type="expression" dxfId="1" priority="4397">
      <formula>AND(COUNTIF(I668:CV668,"&lt;&gt;" &amp; "")&gt;0,NOT(ISBLANK(G668)))</formula>
    </cfRule>
  </conditionalFormatting>
  <conditionalFormatting sqref="G669">
    <cfRule type="expression" dxfId="0" priority="4399">
      <formula>COUNTIF(I669:CV669,"&lt;&gt;" &amp; "")&gt;0</formula>
    </cfRule>
    <cfRule type="expression" dxfId="1" priority="4400">
      <formula>AND(COUNTIF(I669:CV669,"&lt;&gt;" &amp; "")&gt;0,NOT(ISBLANK(G669)))</formula>
    </cfRule>
  </conditionalFormatting>
  <conditionalFormatting sqref="G67">
    <cfRule type="expression" dxfId="0" priority="2593">
      <formula>COUNTIF(I67:CV67,"&lt;&gt;" &amp; "")&gt;0</formula>
    </cfRule>
    <cfRule type="expression" dxfId="1" priority="2594">
      <formula>AND(COUNTIF(I67:CV67,"&lt;&gt;" &amp; "")&gt;0,NOT(ISBLANK(G67)))</formula>
    </cfRule>
  </conditionalFormatting>
  <conditionalFormatting sqref="G670">
    <cfRule type="expression" dxfId="0" priority="4402">
      <formula>COUNTIF(I670:CV670,"&lt;&gt;" &amp; "")&gt;0</formula>
    </cfRule>
    <cfRule type="expression" dxfId="1" priority="4403">
      <formula>AND(COUNTIF(I670:CV670,"&lt;&gt;" &amp; "")&gt;0,NOT(ISBLANK(G670)))</formula>
    </cfRule>
  </conditionalFormatting>
  <conditionalFormatting sqref="G671">
    <cfRule type="expression" dxfId="0" priority="4405">
      <formula>COUNTIF(I671:CV671,"&lt;&gt;" &amp; "")&gt;0</formula>
    </cfRule>
    <cfRule type="expression" dxfId="1" priority="4406">
      <formula>AND(COUNTIF(I671:CV671,"&lt;&gt;" &amp; "")&gt;0,NOT(ISBLANK(G671)))</formula>
    </cfRule>
  </conditionalFormatting>
  <conditionalFormatting sqref="G672">
    <cfRule type="expression" dxfId="0" priority="4408">
      <formula>COUNTIF(I672:CV672,"&lt;&gt;" &amp; "")&gt;0</formula>
    </cfRule>
    <cfRule type="expression" dxfId="1" priority="4409">
      <formula>AND(COUNTIF(I672:CV672,"&lt;&gt;" &amp; "")&gt;0,NOT(ISBLANK(G672)))</formula>
    </cfRule>
  </conditionalFormatting>
  <conditionalFormatting sqref="G673">
    <cfRule type="expression" dxfId="0" priority="4411">
      <formula>COUNTIF(I673:CV673,"&lt;&gt;" &amp; "")&gt;0</formula>
    </cfRule>
    <cfRule type="expression" dxfId="1" priority="4412">
      <formula>AND(COUNTIF(I673:CV673,"&lt;&gt;" &amp; "")&gt;0,NOT(ISBLANK(G673)))</formula>
    </cfRule>
  </conditionalFormatting>
  <conditionalFormatting sqref="G674">
    <cfRule type="expression" dxfId="0" priority="4414">
      <formula>COUNTIF(I674:CV674,"&lt;&gt;" &amp; "")&gt;0</formula>
    </cfRule>
    <cfRule type="expression" dxfId="1" priority="4415">
      <formula>AND(COUNTIF(I674:CV674,"&lt;&gt;" &amp; "")&gt;0,NOT(ISBLANK(G674)))</formula>
    </cfRule>
  </conditionalFormatting>
  <conditionalFormatting sqref="G675">
    <cfRule type="expression" dxfId="0" priority="4417">
      <formula>COUNTIF(I675:CV675,"&lt;&gt;" &amp; "")&gt;0</formula>
    </cfRule>
    <cfRule type="expression" dxfId="1" priority="4418">
      <formula>AND(COUNTIF(I675:CV675,"&lt;&gt;" &amp; "")&gt;0,NOT(ISBLANK(G675)))</formula>
    </cfRule>
  </conditionalFormatting>
  <conditionalFormatting sqref="G676">
    <cfRule type="expression" dxfId="0" priority="4420">
      <formula>COUNTIF(I676:CV676,"&lt;&gt;" &amp; "")&gt;0</formula>
    </cfRule>
    <cfRule type="expression" dxfId="1" priority="4421">
      <formula>AND(COUNTIF(I676:CV676,"&lt;&gt;" &amp; "")&gt;0,NOT(ISBLANK(G676)))</formula>
    </cfRule>
  </conditionalFormatting>
  <conditionalFormatting sqref="G677">
    <cfRule type="expression" dxfId="0" priority="4423">
      <formula>COUNTIF(I677:CV677,"&lt;&gt;" &amp; "")&gt;0</formula>
    </cfRule>
    <cfRule type="expression" dxfId="1" priority="4424">
      <formula>AND(COUNTIF(I677:CV677,"&lt;&gt;" &amp; "")&gt;0,NOT(ISBLANK(G677)))</formula>
    </cfRule>
  </conditionalFormatting>
  <conditionalFormatting sqref="G678">
    <cfRule type="expression" dxfId="0" priority="4426">
      <formula>COUNTIF(I678:CV678,"&lt;&gt;" &amp; "")&gt;0</formula>
    </cfRule>
    <cfRule type="expression" dxfId="1" priority="4427">
      <formula>AND(COUNTIF(I678:CV678,"&lt;&gt;" &amp; "")&gt;0,NOT(ISBLANK(G678)))</formula>
    </cfRule>
  </conditionalFormatting>
  <conditionalFormatting sqref="G679">
    <cfRule type="expression" dxfId="0" priority="4429">
      <formula>COUNTIF(I679:CV679,"&lt;&gt;" &amp; "")&gt;0</formula>
    </cfRule>
    <cfRule type="expression" dxfId="1" priority="4430">
      <formula>AND(COUNTIF(I679:CV679,"&lt;&gt;" &amp; "")&gt;0,NOT(ISBLANK(G679)))</formula>
    </cfRule>
  </conditionalFormatting>
  <conditionalFormatting sqref="G68">
    <cfRule type="expression" dxfId="0" priority="2596">
      <formula>COUNTIF(I68:CV68,"&lt;&gt;" &amp; "")&gt;0</formula>
    </cfRule>
    <cfRule type="expression" dxfId="1" priority="2597">
      <formula>AND(COUNTIF(I68:CV68,"&lt;&gt;" &amp; "")&gt;0,NOT(ISBLANK(G68)))</formula>
    </cfRule>
  </conditionalFormatting>
  <conditionalFormatting sqref="G680">
    <cfRule type="expression" dxfId="0" priority="4432">
      <formula>COUNTIF(I680:CV680,"&lt;&gt;" &amp; "")&gt;0</formula>
    </cfRule>
    <cfRule type="expression" dxfId="1" priority="4433">
      <formula>AND(COUNTIF(I680:CV680,"&lt;&gt;" &amp; "")&gt;0,NOT(ISBLANK(G680)))</formula>
    </cfRule>
  </conditionalFormatting>
  <conditionalFormatting sqref="G681">
    <cfRule type="expression" dxfId="0" priority="4435">
      <formula>COUNTIF(I681:CV681,"&lt;&gt;" &amp; "")&gt;0</formula>
    </cfRule>
    <cfRule type="expression" dxfId="1" priority="4436">
      <formula>AND(COUNTIF(I681:CV681,"&lt;&gt;" &amp; "")&gt;0,NOT(ISBLANK(G681)))</formula>
    </cfRule>
  </conditionalFormatting>
  <conditionalFormatting sqref="G682">
    <cfRule type="expression" dxfId="0" priority="4438">
      <formula>COUNTIF(I682:CV682,"&lt;&gt;" &amp; "")&gt;0</formula>
    </cfRule>
    <cfRule type="expression" dxfId="1" priority="4439">
      <formula>AND(COUNTIF(I682:CV682,"&lt;&gt;" &amp; "")&gt;0,NOT(ISBLANK(G682)))</formula>
    </cfRule>
  </conditionalFormatting>
  <conditionalFormatting sqref="G683">
    <cfRule type="expression" dxfId="0" priority="4441">
      <formula>COUNTIF(I683:CV683,"&lt;&gt;" &amp; "")&gt;0</formula>
    </cfRule>
    <cfRule type="expression" dxfId="1" priority="4442">
      <formula>AND(COUNTIF(I683:CV683,"&lt;&gt;" &amp; "")&gt;0,NOT(ISBLANK(G683)))</formula>
    </cfRule>
  </conditionalFormatting>
  <conditionalFormatting sqref="G684">
    <cfRule type="expression" dxfId="0" priority="4444">
      <formula>COUNTIF(I684:CV684,"&lt;&gt;" &amp; "")&gt;0</formula>
    </cfRule>
    <cfRule type="expression" dxfId="1" priority="4445">
      <formula>AND(COUNTIF(I684:CV684,"&lt;&gt;" &amp; "")&gt;0,NOT(ISBLANK(G684)))</formula>
    </cfRule>
  </conditionalFormatting>
  <conditionalFormatting sqref="G685">
    <cfRule type="expression" dxfId="0" priority="4447">
      <formula>COUNTIF(I685:CV685,"&lt;&gt;" &amp; "")&gt;0</formula>
    </cfRule>
    <cfRule type="expression" dxfId="1" priority="4448">
      <formula>AND(COUNTIF(I685:CV685,"&lt;&gt;" &amp; "")&gt;0,NOT(ISBLANK(G685)))</formula>
    </cfRule>
  </conditionalFormatting>
  <conditionalFormatting sqref="G686">
    <cfRule type="expression" dxfId="0" priority="4450">
      <formula>COUNTIF(I686:CV686,"&lt;&gt;" &amp; "")&gt;0</formula>
    </cfRule>
    <cfRule type="expression" dxfId="1" priority="4451">
      <formula>AND(COUNTIF(I686:CV686,"&lt;&gt;" &amp; "")&gt;0,NOT(ISBLANK(G686)))</formula>
    </cfRule>
  </conditionalFormatting>
  <conditionalFormatting sqref="G687">
    <cfRule type="expression" dxfId="0" priority="4453">
      <formula>COUNTIF(I687:CV687,"&lt;&gt;" &amp; "")&gt;0</formula>
    </cfRule>
    <cfRule type="expression" dxfId="1" priority="4454">
      <formula>AND(COUNTIF(I687:CV687,"&lt;&gt;" &amp; "")&gt;0,NOT(ISBLANK(G687)))</formula>
    </cfRule>
  </conditionalFormatting>
  <conditionalFormatting sqref="G688">
    <cfRule type="expression" dxfId="0" priority="4456">
      <formula>COUNTIF(I688:CV688,"&lt;&gt;" &amp; "")&gt;0</formula>
    </cfRule>
    <cfRule type="expression" dxfId="1" priority="4457">
      <formula>AND(COUNTIF(I688:CV688,"&lt;&gt;" &amp; "")&gt;0,NOT(ISBLANK(G688)))</formula>
    </cfRule>
  </conditionalFormatting>
  <conditionalFormatting sqref="G689">
    <cfRule type="expression" dxfId="0" priority="4459">
      <formula>COUNTIF(I689:CV689,"&lt;&gt;" &amp; "")&gt;0</formula>
    </cfRule>
    <cfRule type="expression" dxfId="1" priority="4460">
      <formula>AND(COUNTIF(I689:CV689,"&lt;&gt;" &amp; "")&gt;0,NOT(ISBLANK(G689)))</formula>
    </cfRule>
  </conditionalFormatting>
  <conditionalFormatting sqref="G69">
    <cfRule type="expression" dxfId="0" priority="2599">
      <formula>COUNTIF(I69:CV69,"&lt;&gt;" &amp; "")&gt;0</formula>
    </cfRule>
    <cfRule type="expression" dxfId="1" priority="2600">
      <formula>AND(COUNTIF(I69:CV69,"&lt;&gt;" &amp; "")&gt;0,NOT(ISBLANK(G69)))</formula>
    </cfRule>
  </conditionalFormatting>
  <conditionalFormatting sqref="G690">
    <cfRule type="expression" dxfId="0" priority="4462">
      <formula>COUNTIF(I690:CV690,"&lt;&gt;" &amp; "")&gt;0</formula>
    </cfRule>
    <cfRule type="expression" dxfId="1" priority="4463">
      <formula>AND(COUNTIF(I690:CV690,"&lt;&gt;" &amp; "")&gt;0,NOT(ISBLANK(G690)))</formula>
    </cfRule>
  </conditionalFormatting>
  <conditionalFormatting sqref="G691">
    <cfRule type="expression" dxfId="0" priority="4465">
      <formula>COUNTIF(I691:CV691,"&lt;&gt;" &amp; "")&gt;0</formula>
    </cfRule>
    <cfRule type="expression" dxfId="1" priority="4466">
      <formula>AND(COUNTIF(I691:CV691,"&lt;&gt;" &amp; "")&gt;0,NOT(ISBLANK(G691)))</formula>
    </cfRule>
  </conditionalFormatting>
  <conditionalFormatting sqref="G692">
    <cfRule type="expression" dxfId="0" priority="4468">
      <formula>COUNTIF(I692:CV692,"&lt;&gt;" &amp; "")&gt;0</formula>
    </cfRule>
    <cfRule type="expression" dxfId="1" priority="4469">
      <formula>AND(COUNTIF(I692:CV692,"&lt;&gt;" &amp; "")&gt;0,NOT(ISBLANK(G692)))</formula>
    </cfRule>
  </conditionalFormatting>
  <conditionalFormatting sqref="G693">
    <cfRule type="expression" dxfId="0" priority="4471">
      <formula>COUNTIF(I693:CV693,"&lt;&gt;" &amp; "")&gt;0</formula>
    </cfRule>
    <cfRule type="expression" dxfId="1" priority="4472">
      <formula>AND(COUNTIF(I693:CV693,"&lt;&gt;" &amp; "")&gt;0,NOT(ISBLANK(G693)))</formula>
    </cfRule>
  </conditionalFormatting>
  <conditionalFormatting sqref="G694">
    <cfRule type="expression" dxfId="0" priority="4474">
      <formula>COUNTIF(I694:CV694,"&lt;&gt;" &amp; "")&gt;0</formula>
    </cfRule>
    <cfRule type="expression" dxfId="1" priority="4475">
      <formula>AND(COUNTIF(I694:CV694,"&lt;&gt;" &amp; "")&gt;0,NOT(ISBLANK(G694)))</formula>
    </cfRule>
  </conditionalFormatting>
  <conditionalFormatting sqref="G695">
    <cfRule type="expression" dxfId="0" priority="4477">
      <formula>COUNTIF(I695:CV695,"&lt;&gt;" &amp; "")&gt;0</formula>
    </cfRule>
    <cfRule type="expression" dxfId="1" priority="4478">
      <formula>AND(COUNTIF(I695:CV695,"&lt;&gt;" &amp; "")&gt;0,NOT(ISBLANK(G695)))</formula>
    </cfRule>
  </conditionalFormatting>
  <conditionalFormatting sqref="G696">
    <cfRule type="expression" dxfId="0" priority="4480">
      <formula>COUNTIF(I696:CV696,"&lt;&gt;" &amp; "")&gt;0</formula>
    </cfRule>
    <cfRule type="expression" dxfId="1" priority="4481">
      <formula>AND(COUNTIF(I696:CV696,"&lt;&gt;" &amp; "")&gt;0,NOT(ISBLANK(G696)))</formula>
    </cfRule>
  </conditionalFormatting>
  <conditionalFormatting sqref="G697">
    <cfRule type="expression" dxfId="0" priority="4483">
      <formula>COUNTIF(I697:CV697,"&lt;&gt;" &amp; "")&gt;0</formula>
    </cfRule>
    <cfRule type="expression" dxfId="1" priority="4484">
      <formula>AND(COUNTIF(I697:CV697,"&lt;&gt;" &amp; "")&gt;0,NOT(ISBLANK(G697)))</formula>
    </cfRule>
  </conditionalFormatting>
  <conditionalFormatting sqref="G698">
    <cfRule type="expression" dxfId="0" priority="4486">
      <formula>COUNTIF(I698:CV698,"&lt;&gt;" &amp; "")&gt;0</formula>
    </cfRule>
    <cfRule type="expression" dxfId="1" priority="4487">
      <formula>AND(COUNTIF(I698:CV698,"&lt;&gt;" &amp; "")&gt;0,NOT(ISBLANK(G698)))</formula>
    </cfRule>
  </conditionalFormatting>
  <conditionalFormatting sqref="G699">
    <cfRule type="expression" dxfId="0" priority="4489">
      <formula>COUNTIF(I699:CV699,"&lt;&gt;" &amp; "")&gt;0</formula>
    </cfRule>
    <cfRule type="expression" dxfId="1" priority="4490">
      <formula>AND(COUNTIF(I699:CV699,"&lt;&gt;" &amp; "")&gt;0,NOT(ISBLANK(G699)))</formula>
    </cfRule>
  </conditionalFormatting>
  <conditionalFormatting sqref="G7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G70">
    <cfRule type="expression" dxfId="0" priority="2602">
      <formula>COUNTIF(I70:CV70,"&lt;&gt;" &amp; "")&gt;0</formula>
    </cfRule>
    <cfRule type="expression" dxfId="1" priority="2603">
      <formula>AND(COUNTIF(I70:CV70,"&lt;&gt;" &amp; "")&gt;0,NOT(ISBLANK(G70)))</formula>
    </cfRule>
  </conditionalFormatting>
  <conditionalFormatting sqref="G700">
    <cfRule type="expression" dxfId="0" priority="4492">
      <formula>COUNTIF(I700:CV700,"&lt;&gt;" &amp; "")&gt;0</formula>
    </cfRule>
    <cfRule type="expression" dxfId="1" priority="4493">
      <formula>AND(COUNTIF(I700:CV700,"&lt;&gt;" &amp; "")&gt;0,NOT(ISBLANK(G700)))</formula>
    </cfRule>
  </conditionalFormatting>
  <conditionalFormatting sqref="G701">
    <cfRule type="expression" dxfId="0" priority="4495">
      <formula>COUNTIF(I701:CV701,"&lt;&gt;" &amp; "")&gt;0</formula>
    </cfRule>
    <cfRule type="expression" dxfId="1" priority="4496">
      <formula>AND(COUNTIF(I701:CV701,"&lt;&gt;" &amp; "")&gt;0,NOT(ISBLANK(G701)))</formula>
    </cfRule>
  </conditionalFormatting>
  <conditionalFormatting sqref="G702">
    <cfRule type="expression" dxfId="0" priority="4498">
      <formula>COUNTIF(I702:CV702,"&lt;&gt;" &amp; "")&gt;0</formula>
    </cfRule>
    <cfRule type="expression" dxfId="1" priority="4499">
      <formula>AND(COUNTIF(I702:CV702,"&lt;&gt;" &amp; "")&gt;0,NOT(ISBLANK(G702)))</formula>
    </cfRule>
  </conditionalFormatting>
  <conditionalFormatting sqref="G703">
    <cfRule type="expression" dxfId="0" priority="4501">
      <formula>COUNTIF(I703:CV703,"&lt;&gt;" &amp; "")&gt;0</formula>
    </cfRule>
    <cfRule type="expression" dxfId="1" priority="4502">
      <formula>AND(COUNTIF(I703:CV703,"&lt;&gt;" &amp; "")&gt;0,NOT(ISBLANK(G703)))</formula>
    </cfRule>
  </conditionalFormatting>
  <conditionalFormatting sqref="G704">
    <cfRule type="expression" dxfId="0" priority="4504">
      <formula>COUNTIF(I704:CV704,"&lt;&gt;" &amp; "")&gt;0</formula>
    </cfRule>
    <cfRule type="expression" dxfId="1" priority="4505">
      <formula>AND(COUNTIF(I704:CV704,"&lt;&gt;" &amp; "")&gt;0,NOT(ISBLANK(G704)))</formula>
    </cfRule>
  </conditionalFormatting>
  <conditionalFormatting sqref="G705">
    <cfRule type="expression" dxfId="0" priority="4507">
      <formula>COUNTIF(I705:CV705,"&lt;&gt;" &amp; "")&gt;0</formula>
    </cfRule>
    <cfRule type="expression" dxfId="1" priority="4508">
      <formula>AND(COUNTIF(I705:CV705,"&lt;&gt;" &amp; "")&gt;0,NOT(ISBLANK(G705)))</formula>
    </cfRule>
  </conditionalFormatting>
  <conditionalFormatting sqref="G706">
    <cfRule type="expression" dxfId="0" priority="4510">
      <formula>COUNTIF(I706:CV706,"&lt;&gt;" &amp; "")&gt;0</formula>
    </cfRule>
    <cfRule type="expression" dxfId="1" priority="4511">
      <formula>AND(COUNTIF(I706:CV706,"&lt;&gt;" &amp; "")&gt;0,NOT(ISBLANK(G706)))</formula>
    </cfRule>
  </conditionalFormatting>
  <conditionalFormatting sqref="G707">
    <cfRule type="expression" dxfId="0" priority="4513">
      <formula>COUNTIF(I707:CV707,"&lt;&gt;" &amp; "")&gt;0</formula>
    </cfRule>
    <cfRule type="expression" dxfId="1" priority="4514">
      <formula>AND(COUNTIF(I707:CV707,"&lt;&gt;" &amp; "")&gt;0,NOT(ISBLANK(G707)))</formula>
    </cfRule>
  </conditionalFormatting>
  <conditionalFormatting sqref="G708">
    <cfRule type="expression" dxfId="0" priority="4516">
      <formula>COUNTIF(I708:CV708,"&lt;&gt;" &amp; "")&gt;0</formula>
    </cfRule>
    <cfRule type="expression" dxfId="1" priority="4517">
      <formula>AND(COUNTIF(I708:CV708,"&lt;&gt;" &amp; "")&gt;0,NOT(ISBLANK(G708)))</formula>
    </cfRule>
  </conditionalFormatting>
  <conditionalFormatting sqref="G709">
    <cfRule type="expression" dxfId="0" priority="4519">
      <formula>COUNTIF(I709:CV709,"&lt;&gt;" &amp; "")&gt;0</formula>
    </cfRule>
    <cfRule type="expression" dxfId="1" priority="4520">
      <formula>AND(COUNTIF(I709:CV709,"&lt;&gt;" &amp; "")&gt;0,NOT(ISBLANK(G709)))</formula>
    </cfRule>
  </conditionalFormatting>
  <conditionalFormatting sqref="G71">
    <cfRule type="expression" dxfId="0" priority="2605">
      <formula>COUNTIF(I71:CV71,"&lt;&gt;" &amp; "")&gt;0</formula>
    </cfRule>
    <cfRule type="expression" dxfId="1" priority="2606">
      <formula>AND(COUNTIF(I71:CV71,"&lt;&gt;" &amp; "")&gt;0,NOT(ISBLANK(G71)))</formula>
    </cfRule>
  </conditionalFormatting>
  <conditionalFormatting sqref="G710">
    <cfRule type="expression" dxfId="0" priority="4522">
      <formula>COUNTIF(I710:CV710,"&lt;&gt;" &amp; "")&gt;0</formula>
    </cfRule>
    <cfRule type="expression" dxfId="1" priority="4523">
      <formula>AND(COUNTIF(I710:CV710,"&lt;&gt;" &amp; "")&gt;0,NOT(ISBLANK(G710)))</formula>
    </cfRule>
  </conditionalFormatting>
  <conditionalFormatting sqref="G711">
    <cfRule type="expression" dxfId="0" priority="4525">
      <formula>COUNTIF(I711:CV711,"&lt;&gt;" &amp; "")&gt;0</formula>
    </cfRule>
    <cfRule type="expression" dxfId="1" priority="4526">
      <formula>AND(COUNTIF(I711:CV711,"&lt;&gt;" &amp; "")&gt;0,NOT(ISBLANK(G711)))</formula>
    </cfRule>
  </conditionalFormatting>
  <conditionalFormatting sqref="G712">
    <cfRule type="expression" dxfId="0" priority="4528">
      <formula>COUNTIF(I712:CV712,"&lt;&gt;" &amp; "")&gt;0</formula>
    </cfRule>
    <cfRule type="expression" dxfId="1" priority="4529">
      <formula>AND(COUNTIF(I712:CV712,"&lt;&gt;" &amp; "")&gt;0,NOT(ISBLANK(G712)))</formula>
    </cfRule>
  </conditionalFormatting>
  <conditionalFormatting sqref="G713">
    <cfRule type="expression" dxfId="0" priority="4531">
      <formula>COUNTIF(I713:CV713,"&lt;&gt;" &amp; "")&gt;0</formula>
    </cfRule>
    <cfRule type="expression" dxfId="1" priority="4532">
      <formula>AND(COUNTIF(I713:CV713,"&lt;&gt;" &amp; "")&gt;0,NOT(ISBLANK(G713)))</formula>
    </cfRule>
  </conditionalFormatting>
  <conditionalFormatting sqref="G714">
    <cfRule type="expression" dxfId="0" priority="4534">
      <formula>COUNTIF(I714:CV714,"&lt;&gt;" &amp; "")&gt;0</formula>
    </cfRule>
    <cfRule type="expression" dxfId="1" priority="4535">
      <formula>AND(COUNTIF(I714:CV714,"&lt;&gt;" &amp; "")&gt;0,NOT(ISBLANK(G714)))</formula>
    </cfRule>
  </conditionalFormatting>
  <conditionalFormatting sqref="G715">
    <cfRule type="expression" dxfId="0" priority="4537">
      <formula>COUNTIF(I715:CV715,"&lt;&gt;" &amp; "")&gt;0</formula>
    </cfRule>
    <cfRule type="expression" dxfId="1" priority="4538">
      <formula>AND(COUNTIF(I715:CV715,"&lt;&gt;" &amp; "")&gt;0,NOT(ISBLANK(G715)))</formula>
    </cfRule>
  </conditionalFormatting>
  <conditionalFormatting sqref="G716">
    <cfRule type="expression" dxfId="0" priority="4540">
      <formula>COUNTIF(I716:CV716,"&lt;&gt;" &amp; "")&gt;0</formula>
    </cfRule>
    <cfRule type="expression" dxfId="1" priority="4541">
      <formula>AND(COUNTIF(I716:CV716,"&lt;&gt;" &amp; "")&gt;0,NOT(ISBLANK(G716)))</formula>
    </cfRule>
  </conditionalFormatting>
  <conditionalFormatting sqref="G717">
    <cfRule type="expression" dxfId="0" priority="4543">
      <formula>COUNTIF(I717:CV717,"&lt;&gt;" &amp; "")&gt;0</formula>
    </cfRule>
    <cfRule type="expression" dxfId="1" priority="4544">
      <formula>AND(COUNTIF(I717:CV717,"&lt;&gt;" &amp; "")&gt;0,NOT(ISBLANK(G717)))</formula>
    </cfRule>
  </conditionalFormatting>
  <conditionalFormatting sqref="G718">
    <cfRule type="expression" dxfId="0" priority="4546">
      <formula>COUNTIF(I718:CV718,"&lt;&gt;" &amp; "")&gt;0</formula>
    </cfRule>
    <cfRule type="expression" dxfId="1" priority="4547">
      <formula>AND(COUNTIF(I718:CV718,"&lt;&gt;" &amp; "")&gt;0,NOT(ISBLANK(G718)))</formula>
    </cfRule>
  </conditionalFormatting>
  <conditionalFormatting sqref="G719">
    <cfRule type="expression" dxfId="0" priority="4549">
      <formula>COUNTIF(I719:CV719,"&lt;&gt;" &amp; "")&gt;0</formula>
    </cfRule>
    <cfRule type="expression" dxfId="1" priority="4550">
      <formula>AND(COUNTIF(I719:CV719,"&lt;&gt;" &amp; "")&gt;0,NOT(ISBLANK(G719)))</formula>
    </cfRule>
  </conditionalFormatting>
  <conditionalFormatting sqref="G72">
    <cfRule type="expression" dxfId="0" priority="2608">
      <formula>COUNTIF(I72:CV72,"&lt;&gt;" &amp; "")&gt;0</formula>
    </cfRule>
    <cfRule type="expression" dxfId="1" priority="2609">
      <formula>AND(COUNTIF(I72:CV72,"&lt;&gt;" &amp; "")&gt;0,NOT(ISBLANK(G72)))</formula>
    </cfRule>
  </conditionalFormatting>
  <conditionalFormatting sqref="G720">
    <cfRule type="expression" dxfId="0" priority="4552">
      <formula>COUNTIF(I720:CV720,"&lt;&gt;" &amp; "")&gt;0</formula>
    </cfRule>
    <cfRule type="expression" dxfId="1" priority="4553">
      <formula>AND(COUNTIF(I720:CV720,"&lt;&gt;" &amp; "")&gt;0,NOT(ISBLANK(G720)))</formula>
    </cfRule>
  </conditionalFormatting>
  <conditionalFormatting sqref="G721">
    <cfRule type="expression" dxfId="0" priority="4555">
      <formula>COUNTIF(I721:CV721,"&lt;&gt;" &amp; "")&gt;0</formula>
    </cfRule>
    <cfRule type="expression" dxfId="1" priority="4556">
      <formula>AND(COUNTIF(I721:CV721,"&lt;&gt;" &amp; "")&gt;0,NOT(ISBLANK(G721)))</formula>
    </cfRule>
  </conditionalFormatting>
  <conditionalFormatting sqref="G722">
    <cfRule type="expression" dxfId="0" priority="4558">
      <formula>COUNTIF(I722:CV722,"&lt;&gt;" &amp; "")&gt;0</formula>
    </cfRule>
    <cfRule type="expression" dxfId="1" priority="4559">
      <formula>AND(COUNTIF(I722:CV722,"&lt;&gt;" &amp; "")&gt;0,NOT(ISBLANK(G722)))</formula>
    </cfRule>
  </conditionalFormatting>
  <conditionalFormatting sqref="G723">
    <cfRule type="expression" dxfId="0" priority="4561">
      <formula>COUNTIF(I723:CV723,"&lt;&gt;" &amp; "")&gt;0</formula>
    </cfRule>
    <cfRule type="expression" dxfId="1" priority="4562">
      <formula>AND(COUNTIF(I723:CV723,"&lt;&gt;" &amp; "")&gt;0,NOT(ISBLANK(G723)))</formula>
    </cfRule>
  </conditionalFormatting>
  <conditionalFormatting sqref="G724">
    <cfRule type="expression" dxfId="0" priority="4564">
      <formula>COUNTIF(I724:CV724,"&lt;&gt;" &amp; "")&gt;0</formula>
    </cfRule>
    <cfRule type="expression" dxfId="1" priority="4565">
      <formula>AND(COUNTIF(I724:CV724,"&lt;&gt;" &amp; "")&gt;0,NOT(ISBLANK(G724)))</formula>
    </cfRule>
  </conditionalFormatting>
  <conditionalFormatting sqref="G725">
    <cfRule type="expression" dxfId="0" priority="4567">
      <formula>COUNTIF(I725:CV725,"&lt;&gt;" &amp; "")&gt;0</formula>
    </cfRule>
    <cfRule type="expression" dxfId="1" priority="4568">
      <formula>AND(COUNTIF(I725:CV725,"&lt;&gt;" &amp; "")&gt;0,NOT(ISBLANK(G725)))</formula>
    </cfRule>
  </conditionalFormatting>
  <conditionalFormatting sqref="G726">
    <cfRule type="expression" dxfId="0" priority="4570">
      <formula>COUNTIF(I726:CV726,"&lt;&gt;" &amp; "")&gt;0</formula>
    </cfRule>
    <cfRule type="expression" dxfId="1" priority="4571">
      <formula>AND(COUNTIF(I726:CV726,"&lt;&gt;" &amp; "")&gt;0,NOT(ISBLANK(G726)))</formula>
    </cfRule>
  </conditionalFormatting>
  <conditionalFormatting sqref="G727">
    <cfRule type="expression" dxfId="0" priority="4573">
      <formula>COUNTIF(I727:CV727,"&lt;&gt;" &amp; "")&gt;0</formula>
    </cfRule>
    <cfRule type="expression" dxfId="1" priority="4574">
      <formula>AND(COUNTIF(I727:CV727,"&lt;&gt;" &amp; "")&gt;0,NOT(ISBLANK(G727)))</formula>
    </cfRule>
  </conditionalFormatting>
  <conditionalFormatting sqref="G728">
    <cfRule type="expression" dxfId="0" priority="4576">
      <formula>COUNTIF(I728:CV728,"&lt;&gt;" &amp; "")&gt;0</formula>
    </cfRule>
    <cfRule type="expression" dxfId="1" priority="4577">
      <formula>AND(COUNTIF(I728:CV728,"&lt;&gt;" &amp; "")&gt;0,NOT(ISBLANK(G728)))</formula>
    </cfRule>
  </conditionalFormatting>
  <conditionalFormatting sqref="G729">
    <cfRule type="expression" dxfId="0" priority="4579">
      <formula>COUNTIF(I729:CV729,"&lt;&gt;" &amp; "")&gt;0</formula>
    </cfRule>
    <cfRule type="expression" dxfId="1" priority="4580">
      <formula>AND(COUNTIF(I729:CV729,"&lt;&gt;" &amp; "")&gt;0,NOT(ISBLANK(G729)))</formula>
    </cfRule>
  </conditionalFormatting>
  <conditionalFormatting sqref="G73">
    <cfRule type="expression" dxfId="0" priority="2611">
      <formula>COUNTIF(I73:CV73,"&lt;&gt;" &amp; "")&gt;0</formula>
    </cfRule>
    <cfRule type="expression" dxfId="1" priority="2612">
      <formula>AND(COUNTIF(I73:CV73,"&lt;&gt;" &amp; "")&gt;0,NOT(ISBLANK(G73)))</formula>
    </cfRule>
  </conditionalFormatting>
  <conditionalFormatting sqref="G730">
    <cfRule type="expression" dxfId="0" priority="4582">
      <formula>COUNTIF(I730:CV730,"&lt;&gt;" &amp; "")&gt;0</formula>
    </cfRule>
    <cfRule type="expression" dxfId="1" priority="4583">
      <formula>AND(COUNTIF(I730:CV730,"&lt;&gt;" &amp; "")&gt;0,NOT(ISBLANK(G730)))</formula>
    </cfRule>
  </conditionalFormatting>
  <conditionalFormatting sqref="G731">
    <cfRule type="expression" dxfId="0" priority="4585">
      <formula>COUNTIF(I731:CV731,"&lt;&gt;" &amp; "")&gt;0</formula>
    </cfRule>
    <cfRule type="expression" dxfId="1" priority="4586">
      <formula>AND(COUNTIF(I731:CV731,"&lt;&gt;" &amp; "")&gt;0,NOT(ISBLANK(G731)))</formula>
    </cfRule>
  </conditionalFormatting>
  <conditionalFormatting sqref="G732">
    <cfRule type="expression" dxfId="0" priority="4588">
      <formula>COUNTIF(I732:CV732,"&lt;&gt;" &amp; "")&gt;0</formula>
    </cfRule>
    <cfRule type="expression" dxfId="1" priority="4589">
      <formula>AND(COUNTIF(I732:CV732,"&lt;&gt;" &amp; "")&gt;0,NOT(ISBLANK(G732)))</formula>
    </cfRule>
  </conditionalFormatting>
  <conditionalFormatting sqref="G733">
    <cfRule type="expression" dxfId="0" priority="4591">
      <formula>COUNTIF(I733:CV733,"&lt;&gt;" &amp; "")&gt;0</formula>
    </cfRule>
    <cfRule type="expression" dxfId="1" priority="4592">
      <formula>AND(COUNTIF(I733:CV733,"&lt;&gt;" &amp; "")&gt;0,NOT(ISBLANK(G733)))</formula>
    </cfRule>
  </conditionalFormatting>
  <conditionalFormatting sqref="G734">
    <cfRule type="expression" dxfId="0" priority="4594">
      <formula>COUNTIF(I734:CV734,"&lt;&gt;" &amp; "")&gt;0</formula>
    </cfRule>
    <cfRule type="expression" dxfId="1" priority="4595">
      <formula>AND(COUNTIF(I734:CV734,"&lt;&gt;" &amp; "")&gt;0,NOT(ISBLANK(G734)))</formula>
    </cfRule>
  </conditionalFormatting>
  <conditionalFormatting sqref="G735">
    <cfRule type="expression" dxfId="0" priority="4597">
      <formula>COUNTIF(I735:CV735,"&lt;&gt;" &amp; "")&gt;0</formula>
    </cfRule>
    <cfRule type="expression" dxfId="1" priority="4598">
      <formula>AND(COUNTIF(I735:CV735,"&lt;&gt;" &amp; "")&gt;0,NOT(ISBLANK(G735)))</formula>
    </cfRule>
  </conditionalFormatting>
  <conditionalFormatting sqref="G736">
    <cfRule type="expression" dxfId="0" priority="4600">
      <formula>COUNTIF(I736:CV736,"&lt;&gt;" &amp; "")&gt;0</formula>
    </cfRule>
    <cfRule type="expression" dxfId="1" priority="4601">
      <formula>AND(COUNTIF(I736:CV736,"&lt;&gt;" &amp; "")&gt;0,NOT(ISBLANK(G736)))</formula>
    </cfRule>
  </conditionalFormatting>
  <conditionalFormatting sqref="G737">
    <cfRule type="expression" dxfId="0" priority="4603">
      <formula>COUNTIF(I737:CV737,"&lt;&gt;" &amp; "")&gt;0</formula>
    </cfRule>
    <cfRule type="expression" dxfId="1" priority="4604">
      <formula>AND(COUNTIF(I737:CV737,"&lt;&gt;" &amp; "")&gt;0,NOT(ISBLANK(G737)))</formula>
    </cfRule>
  </conditionalFormatting>
  <conditionalFormatting sqref="G738">
    <cfRule type="expression" dxfId="0" priority="4606">
      <formula>COUNTIF(I738:CV738,"&lt;&gt;" &amp; "")&gt;0</formula>
    </cfRule>
    <cfRule type="expression" dxfId="1" priority="4607">
      <formula>AND(COUNTIF(I738:CV738,"&lt;&gt;" &amp; "")&gt;0,NOT(ISBLANK(G738)))</formula>
    </cfRule>
  </conditionalFormatting>
  <conditionalFormatting sqref="G739">
    <cfRule type="expression" dxfId="0" priority="4609">
      <formula>COUNTIF(I739:CV739,"&lt;&gt;" &amp; "")&gt;0</formula>
    </cfRule>
    <cfRule type="expression" dxfId="1" priority="4610">
      <formula>AND(COUNTIF(I739:CV739,"&lt;&gt;" &amp; "")&gt;0,NOT(ISBLANK(G739)))</formula>
    </cfRule>
  </conditionalFormatting>
  <conditionalFormatting sqref="G74">
    <cfRule type="expression" dxfId="0" priority="2614">
      <formula>COUNTIF(I74:CV74,"&lt;&gt;" &amp; "")&gt;0</formula>
    </cfRule>
    <cfRule type="expression" dxfId="1" priority="2615">
      <formula>AND(COUNTIF(I74:CV74,"&lt;&gt;" &amp; "")&gt;0,NOT(ISBLANK(G74)))</formula>
    </cfRule>
  </conditionalFormatting>
  <conditionalFormatting sqref="G740">
    <cfRule type="expression" dxfId="0" priority="4612">
      <formula>COUNTIF(I740:CV740,"&lt;&gt;" &amp; "")&gt;0</formula>
    </cfRule>
    <cfRule type="expression" dxfId="1" priority="4613">
      <formula>AND(COUNTIF(I740:CV740,"&lt;&gt;" &amp; "")&gt;0,NOT(ISBLANK(G740)))</formula>
    </cfRule>
  </conditionalFormatting>
  <conditionalFormatting sqref="G741">
    <cfRule type="expression" dxfId="0" priority="4615">
      <formula>COUNTIF(I741:CV741,"&lt;&gt;" &amp; "")&gt;0</formula>
    </cfRule>
    <cfRule type="expression" dxfId="1" priority="4616">
      <formula>AND(COUNTIF(I741:CV741,"&lt;&gt;" &amp; "")&gt;0,NOT(ISBLANK(G741)))</formula>
    </cfRule>
  </conditionalFormatting>
  <conditionalFormatting sqref="G742">
    <cfRule type="expression" dxfId="0" priority="4618">
      <formula>COUNTIF(I742:CV742,"&lt;&gt;" &amp; "")&gt;0</formula>
    </cfRule>
    <cfRule type="expression" dxfId="1" priority="4619">
      <formula>AND(COUNTIF(I742:CV742,"&lt;&gt;" &amp; "")&gt;0,NOT(ISBLANK(G742)))</formula>
    </cfRule>
  </conditionalFormatting>
  <conditionalFormatting sqref="G743">
    <cfRule type="expression" dxfId="0" priority="4621">
      <formula>COUNTIF(I743:CV743,"&lt;&gt;" &amp; "")&gt;0</formula>
    </cfRule>
    <cfRule type="expression" dxfId="1" priority="4622">
      <formula>AND(COUNTIF(I743:CV743,"&lt;&gt;" &amp; "")&gt;0,NOT(ISBLANK(G743)))</formula>
    </cfRule>
  </conditionalFormatting>
  <conditionalFormatting sqref="G744">
    <cfRule type="expression" dxfId="0" priority="4624">
      <formula>COUNTIF(I744:CV744,"&lt;&gt;" &amp; "")&gt;0</formula>
    </cfRule>
    <cfRule type="expression" dxfId="1" priority="4625">
      <formula>AND(COUNTIF(I744:CV744,"&lt;&gt;" &amp; "")&gt;0,NOT(ISBLANK(G744)))</formula>
    </cfRule>
  </conditionalFormatting>
  <conditionalFormatting sqref="G745">
    <cfRule type="expression" dxfId="0" priority="4627">
      <formula>COUNTIF(I745:CV745,"&lt;&gt;" &amp; "")&gt;0</formula>
    </cfRule>
    <cfRule type="expression" dxfId="1" priority="4628">
      <formula>AND(COUNTIF(I745:CV745,"&lt;&gt;" &amp; "")&gt;0,NOT(ISBLANK(G745)))</formula>
    </cfRule>
  </conditionalFormatting>
  <conditionalFormatting sqref="G746">
    <cfRule type="expression" dxfId="0" priority="4630">
      <formula>COUNTIF(I746:CV746,"&lt;&gt;" &amp; "")&gt;0</formula>
    </cfRule>
    <cfRule type="expression" dxfId="1" priority="4631">
      <formula>AND(COUNTIF(I746:CV746,"&lt;&gt;" &amp; "")&gt;0,NOT(ISBLANK(G746)))</formula>
    </cfRule>
  </conditionalFormatting>
  <conditionalFormatting sqref="G747">
    <cfRule type="expression" dxfId="0" priority="4633">
      <formula>COUNTIF(I747:CV747,"&lt;&gt;" &amp; "")&gt;0</formula>
    </cfRule>
    <cfRule type="expression" dxfId="1" priority="4634">
      <formula>AND(COUNTIF(I747:CV747,"&lt;&gt;" &amp; "")&gt;0,NOT(ISBLANK(G747)))</formula>
    </cfRule>
  </conditionalFormatting>
  <conditionalFormatting sqref="G748">
    <cfRule type="expression" dxfId="0" priority="4636">
      <formula>COUNTIF(I748:CV748,"&lt;&gt;" &amp; "")&gt;0</formula>
    </cfRule>
    <cfRule type="expression" dxfId="1" priority="4637">
      <formula>AND(COUNTIF(I748:CV748,"&lt;&gt;" &amp; "")&gt;0,NOT(ISBLANK(G748)))</formula>
    </cfRule>
  </conditionalFormatting>
  <conditionalFormatting sqref="G749">
    <cfRule type="expression" dxfId="0" priority="4639">
      <formula>COUNTIF(I749:CV749,"&lt;&gt;" &amp; "")&gt;0</formula>
    </cfRule>
    <cfRule type="expression" dxfId="1" priority="4640">
      <formula>AND(COUNTIF(I749:CV749,"&lt;&gt;" &amp; "")&gt;0,NOT(ISBLANK(G749)))</formula>
    </cfRule>
  </conditionalFormatting>
  <conditionalFormatting sqref="G75">
    <cfRule type="expression" dxfId="0" priority="2617">
      <formula>COUNTIF(I75:CV75,"&lt;&gt;" &amp; "")&gt;0</formula>
    </cfRule>
    <cfRule type="expression" dxfId="1" priority="2618">
      <formula>AND(COUNTIF(I75:CV75,"&lt;&gt;" &amp; "")&gt;0,NOT(ISBLANK(G75)))</formula>
    </cfRule>
  </conditionalFormatting>
  <conditionalFormatting sqref="G750">
    <cfRule type="expression" dxfId="0" priority="4642">
      <formula>COUNTIF(I750:CV750,"&lt;&gt;" &amp; "")&gt;0</formula>
    </cfRule>
    <cfRule type="expression" dxfId="1" priority="4643">
      <formula>AND(COUNTIF(I750:CV750,"&lt;&gt;" &amp; "")&gt;0,NOT(ISBLANK(G750)))</formula>
    </cfRule>
  </conditionalFormatting>
  <conditionalFormatting sqref="G751">
    <cfRule type="expression" dxfId="0" priority="4645">
      <formula>COUNTIF(I751:CV751,"&lt;&gt;" &amp; "")&gt;0</formula>
    </cfRule>
    <cfRule type="expression" dxfId="1" priority="4646">
      <formula>AND(COUNTIF(I751:CV751,"&lt;&gt;" &amp; "")&gt;0,NOT(ISBLANK(G751)))</formula>
    </cfRule>
  </conditionalFormatting>
  <conditionalFormatting sqref="G752">
    <cfRule type="expression" dxfId="0" priority="4648">
      <formula>COUNTIF(I752:CV752,"&lt;&gt;" &amp; "")&gt;0</formula>
    </cfRule>
    <cfRule type="expression" dxfId="1" priority="4649">
      <formula>AND(COUNTIF(I752:CV752,"&lt;&gt;" &amp; "")&gt;0,NOT(ISBLANK(G752)))</formula>
    </cfRule>
  </conditionalFormatting>
  <conditionalFormatting sqref="G753">
    <cfRule type="expression" dxfId="0" priority="4651">
      <formula>COUNTIF(I753:CV753,"&lt;&gt;" &amp; "")&gt;0</formula>
    </cfRule>
    <cfRule type="expression" dxfId="1" priority="4652">
      <formula>AND(COUNTIF(I753:CV753,"&lt;&gt;" &amp; "")&gt;0,NOT(ISBLANK(G753)))</formula>
    </cfRule>
  </conditionalFormatting>
  <conditionalFormatting sqref="G754">
    <cfRule type="expression" dxfId="0" priority="4654">
      <formula>COUNTIF(I754:CV754,"&lt;&gt;" &amp; "")&gt;0</formula>
    </cfRule>
    <cfRule type="expression" dxfId="1" priority="4655">
      <formula>AND(COUNTIF(I754:CV754,"&lt;&gt;" &amp; "")&gt;0,NOT(ISBLANK(G754)))</formula>
    </cfRule>
  </conditionalFormatting>
  <conditionalFormatting sqref="G755">
    <cfRule type="expression" dxfId="0" priority="4657">
      <formula>COUNTIF(I755:CV755,"&lt;&gt;" &amp; "")&gt;0</formula>
    </cfRule>
    <cfRule type="expression" dxfId="1" priority="4658">
      <formula>AND(COUNTIF(I755:CV755,"&lt;&gt;" &amp; "")&gt;0,NOT(ISBLANK(G755)))</formula>
    </cfRule>
  </conditionalFormatting>
  <conditionalFormatting sqref="G756">
    <cfRule type="expression" dxfId="0" priority="4660">
      <formula>COUNTIF(I756:CV756,"&lt;&gt;" &amp; "")&gt;0</formula>
    </cfRule>
    <cfRule type="expression" dxfId="1" priority="4661">
      <formula>AND(COUNTIF(I756:CV756,"&lt;&gt;" &amp; "")&gt;0,NOT(ISBLANK(G756)))</formula>
    </cfRule>
  </conditionalFormatting>
  <conditionalFormatting sqref="G757">
    <cfRule type="expression" dxfId="0" priority="4663">
      <formula>COUNTIF(I757:CV757,"&lt;&gt;" &amp; "")&gt;0</formula>
    </cfRule>
    <cfRule type="expression" dxfId="1" priority="4664">
      <formula>AND(COUNTIF(I757:CV757,"&lt;&gt;" &amp; "")&gt;0,NOT(ISBLANK(G757)))</formula>
    </cfRule>
  </conditionalFormatting>
  <conditionalFormatting sqref="G758">
    <cfRule type="expression" dxfId="0" priority="4666">
      <formula>COUNTIF(I758:CV758,"&lt;&gt;" &amp; "")&gt;0</formula>
    </cfRule>
    <cfRule type="expression" dxfId="1" priority="4667">
      <formula>AND(COUNTIF(I758:CV758,"&lt;&gt;" &amp; "")&gt;0,NOT(ISBLANK(G758)))</formula>
    </cfRule>
  </conditionalFormatting>
  <conditionalFormatting sqref="G759">
    <cfRule type="expression" dxfId="0" priority="4669">
      <formula>COUNTIF(I759:CV759,"&lt;&gt;" &amp; "")&gt;0</formula>
    </cfRule>
    <cfRule type="expression" dxfId="1" priority="4670">
      <formula>AND(COUNTIF(I759:CV759,"&lt;&gt;" &amp; "")&gt;0,NOT(ISBLANK(G759)))</formula>
    </cfRule>
  </conditionalFormatting>
  <conditionalFormatting sqref="G76">
    <cfRule type="expression" dxfId="0" priority="2620">
      <formula>COUNTIF(I76:CV76,"&lt;&gt;" &amp; "")&gt;0</formula>
    </cfRule>
    <cfRule type="expression" dxfId="1" priority="2621">
      <formula>AND(COUNTIF(I76:CV76,"&lt;&gt;" &amp; "")&gt;0,NOT(ISBLANK(G76)))</formula>
    </cfRule>
  </conditionalFormatting>
  <conditionalFormatting sqref="G760">
    <cfRule type="expression" dxfId="0" priority="4672">
      <formula>COUNTIF(I760:CV760,"&lt;&gt;" &amp; "")&gt;0</formula>
    </cfRule>
    <cfRule type="expression" dxfId="1" priority="4673">
      <formula>AND(COUNTIF(I760:CV760,"&lt;&gt;" &amp; "")&gt;0,NOT(ISBLANK(G760)))</formula>
    </cfRule>
  </conditionalFormatting>
  <conditionalFormatting sqref="G761">
    <cfRule type="expression" dxfId="0" priority="4675">
      <formula>COUNTIF(I761:CV761,"&lt;&gt;" &amp; "")&gt;0</formula>
    </cfRule>
    <cfRule type="expression" dxfId="1" priority="4676">
      <formula>AND(COUNTIF(I761:CV761,"&lt;&gt;" &amp; "")&gt;0,NOT(ISBLANK(G761)))</formula>
    </cfRule>
  </conditionalFormatting>
  <conditionalFormatting sqref="G762">
    <cfRule type="expression" dxfId="0" priority="4678">
      <formula>COUNTIF(I762:CV762,"&lt;&gt;" &amp; "")&gt;0</formula>
    </cfRule>
    <cfRule type="expression" dxfId="1" priority="4679">
      <formula>AND(COUNTIF(I762:CV762,"&lt;&gt;" &amp; "")&gt;0,NOT(ISBLANK(G762)))</formula>
    </cfRule>
  </conditionalFormatting>
  <conditionalFormatting sqref="G763">
    <cfRule type="expression" dxfId="0" priority="4681">
      <formula>COUNTIF(I763:CV763,"&lt;&gt;" &amp; "")&gt;0</formula>
    </cfRule>
    <cfRule type="expression" dxfId="1" priority="4682">
      <formula>AND(COUNTIF(I763:CV763,"&lt;&gt;" &amp; "")&gt;0,NOT(ISBLANK(G763)))</formula>
    </cfRule>
  </conditionalFormatting>
  <conditionalFormatting sqref="G764">
    <cfRule type="expression" dxfId="0" priority="4684">
      <formula>COUNTIF(I764:CV764,"&lt;&gt;" &amp; "")&gt;0</formula>
    </cfRule>
    <cfRule type="expression" dxfId="1" priority="4685">
      <formula>AND(COUNTIF(I764:CV764,"&lt;&gt;" &amp; "")&gt;0,NOT(ISBLANK(G764)))</formula>
    </cfRule>
  </conditionalFormatting>
  <conditionalFormatting sqref="G765">
    <cfRule type="expression" dxfId="0" priority="4687">
      <formula>COUNTIF(I765:CV765,"&lt;&gt;" &amp; "")&gt;0</formula>
    </cfRule>
    <cfRule type="expression" dxfId="1" priority="4688">
      <formula>AND(COUNTIF(I765:CV765,"&lt;&gt;" &amp; "")&gt;0,NOT(ISBLANK(G765)))</formula>
    </cfRule>
  </conditionalFormatting>
  <conditionalFormatting sqref="G766">
    <cfRule type="expression" dxfId="0" priority="4690">
      <formula>COUNTIF(I766:CV766,"&lt;&gt;" &amp; "")&gt;0</formula>
    </cfRule>
    <cfRule type="expression" dxfId="1" priority="4691">
      <formula>AND(COUNTIF(I766:CV766,"&lt;&gt;" &amp; "")&gt;0,NOT(ISBLANK(G766)))</formula>
    </cfRule>
  </conditionalFormatting>
  <conditionalFormatting sqref="G767">
    <cfRule type="expression" dxfId="0" priority="4693">
      <formula>COUNTIF(I767:CV767,"&lt;&gt;" &amp; "")&gt;0</formula>
    </cfRule>
    <cfRule type="expression" dxfId="1" priority="4694">
      <formula>AND(COUNTIF(I767:CV767,"&lt;&gt;" &amp; "")&gt;0,NOT(ISBLANK(G767)))</formula>
    </cfRule>
  </conditionalFormatting>
  <conditionalFormatting sqref="G768">
    <cfRule type="expression" dxfId="0" priority="4696">
      <formula>COUNTIF(I768:CV768,"&lt;&gt;" &amp; "")&gt;0</formula>
    </cfRule>
    <cfRule type="expression" dxfId="1" priority="4697">
      <formula>AND(COUNTIF(I768:CV768,"&lt;&gt;" &amp; "")&gt;0,NOT(ISBLANK(G768)))</formula>
    </cfRule>
  </conditionalFormatting>
  <conditionalFormatting sqref="G769">
    <cfRule type="expression" dxfId="0" priority="4699">
      <formula>COUNTIF(I769:CV769,"&lt;&gt;" &amp; "")&gt;0</formula>
    </cfRule>
    <cfRule type="expression" dxfId="1" priority="4700">
      <formula>AND(COUNTIF(I769:CV769,"&lt;&gt;" &amp; "")&gt;0,NOT(ISBLANK(G769)))</formula>
    </cfRule>
  </conditionalFormatting>
  <conditionalFormatting sqref="G77">
    <cfRule type="expression" dxfId="0" priority="2623">
      <formula>COUNTIF(I77:CV77,"&lt;&gt;" &amp; "")&gt;0</formula>
    </cfRule>
    <cfRule type="expression" dxfId="1" priority="2624">
      <formula>AND(COUNTIF(I77:CV77,"&lt;&gt;" &amp; "")&gt;0,NOT(ISBLANK(G77)))</formula>
    </cfRule>
  </conditionalFormatting>
  <conditionalFormatting sqref="G770">
    <cfRule type="expression" dxfId="0" priority="4702">
      <formula>COUNTIF(I770:CV770,"&lt;&gt;" &amp; "")&gt;0</formula>
    </cfRule>
    <cfRule type="expression" dxfId="1" priority="4703">
      <formula>AND(COUNTIF(I770:CV770,"&lt;&gt;" &amp; "")&gt;0,NOT(ISBLANK(G770)))</formula>
    </cfRule>
  </conditionalFormatting>
  <conditionalFormatting sqref="G771">
    <cfRule type="expression" dxfId="0" priority="4705">
      <formula>COUNTIF(I771:CV771,"&lt;&gt;" &amp; "")&gt;0</formula>
    </cfRule>
    <cfRule type="expression" dxfId="1" priority="4706">
      <formula>AND(COUNTIF(I771:CV771,"&lt;&gt;" &amp; "")&gt;0,NOT(ISBLANK(G771)))</formula>
    </cfRule>
  </conditionalFormatting>
  <conditionalFormatting sqref="G772">
    <cfRule type="expression" dxfId="0" priority="4708">
      <formula>COUNTIF(I772:CV772,"&lt;&gt;" &amp; "")&gt;0</formula>
    </cfRule>
    <cfRule type="expression" dxfId="1" priority="4709">
      <formula>AND(COUNTIF(I772:CV772,"&lt;&gt;" &amp; "")&gt;0,NOT(ISBLANK(G772)))</formula>
    </cfRule>
  </conditionalFormatting>
  <conditionalFormatting sqref="G773">
    <cfRule type="expression" dxfId="0" priority="4711">
      <formula>COUNTIF(I773:CV773,"&lt;&gt;" &amp; "")&gt;0</formula>
    </cfRule>
    <cfRule type="expression" dxfId="1" priority="4712">
      <formula>AND(COUNTIF(I773:CV773,"&lt;&gt;" &amp; "")&gt;0,NOT(ISBLANK(G773)))</formula>
    </cfRule>
  </conditionalFormatting>
  <conditionalFormatting sqref="G774">
    <cfRule type="expression" dxfId="0" priority="4714">
      <formula>COUNTIF(I774:CV774,"&lt;&gt;" &amp; "")&gt;0</formula>
    </cfRule>
    <cfRule type="expression" dxfId="1" priority="4715">
      <formula>AND(COUNTIF(I774:CV774,"&lt;&gt;" &amp; "")&gt;0,NOT(ISBLANK(G774)))</formula>
    </cfRule>
  </conditionalFormatting>
  <conditionalFormatting sqref="G775">
    <cfRule type="expression" dxfId="0" priority="4717">
      <formula>COUNTIF(I775:CV775,"&lt;&gt;" &amp; "")&gt;0</formula>
    </cfRule>
    <cfRule type="expression" dxfId="1" priority="4718">
      <formula>AND(COUNTIF(I775:CV775,"&lt;&gt;" &amp; "")&gt;0,NOT(ISBLANK(G775)))</formula>
    </cfRule>
  </conditionalFormatting>
  <conditionalFormatting sqref="G776">
    <cfRule type="expression" dxfId="0" priority="4720">
      <formula>COUNTIF(I776:CV776,"&lt;&gt;" &amp; "")&gt;0</formula>
    </cfRule>
    <cfRule type="expression" dxfId="1" priority="4721">
      <formula>AND(COUNTIF(I776:CV776,"&lt;&gt;" &amp; "")&gt;0,NOT(ISBLANK(G776)))</formula>
    </cfRule>
  </conditionalFormatting>
  <conditionalFormatting sqref="G777">
    <cfRule type="expression" dxfId="0" priority="4723">
      <formula>COUNTIF(I777:CV777,"&lt;&gt;" &amp; "")&gt;0</formula>
    </cfRule>
    <cfRule type="expression" dxfId="1" priority="4724">
      <formula>AND(COUNTIF(I777:CV777,"&lt;&gt;" &amp; "")&gt;0,NOT(ISBLANK(G777)))</formula>
    </cfRule>
  </conditionalFormatting>
  <conditionalFormatting sqref="G778">
    <cfRule type="expression" dxfId="0" priority="4726">
      <formula>COUNTIF(I778:CV778,"&lt;&gt;" &amp; "")&gt;0</formula>
    </cfRule>
    <cfRule type="expression" dxfId="1" priority="4727">
      <formula>AND(COUNTIF(I778:CV778,"&lt;&gt;" &amp; "")&gt;0,NOT(ISBLANK(G778)))</formula>
    </cfRule>
  </conditionalFormatting>
  <conditionalFormatting sqref="G779">
    <cfRule type="expression" dxfId="0" priority="4729">
      <formula>COUNTIF(I779:CV779,"&lt;&gt;" &amp; "")&gt;0</formula>
    </cfRule>
    <cfRule type="expression" dxfId="1" priority="4730">
      <formula>AND(COUNTIF(I779:CV779,"&lt;&gt;" &amp; "")&gt;0,NOT(ISBLANK(G779)))</formula>
    </cfRule>
  </conditionalFormatting>
  <conditionalFormatting sqref="G78">
    <cfRule type="expression" dxfId="0" priority="2626">
      <formula>COUNTIF(I78:CV78,"&lt;&gt;" &amp; "")&gt;0</formula>
    </cfRule>
    <cfRule type="expression" dxfId="1" priority="2627">
      <formula>AND(COUNTIF(I78:CV78,"&lt;&gt;" &amp; "")&gt;0,NOT(ISBLANK(G78)))</formula>
    </cfRule>
  </conditionalFormatting>
  <conditionalFormatting sqref="G780">
    <cfRule type="expression" dxfId="0" priority="4732">
      <formula>COUNTIF(I780:CV780,"&lt;&gt;" &amp; "")&gt;0</formula>
    </cfRule>
    <cfRule type="expression" dxfId="1" priority="4733">
      <formula>AND(COUNTIF(I780:CV780,"&lt;&gt;" &amp; "")&gt;0,NOT(ISBLANK(G780)))</formula>
    </cfRule>
  </conditionalFormatting>
  <conditionalFormatting sqref="G781">
    <cfRule type="expression" dxfId="0" priority="4735">
      <formula>COUNTIF(I781:CV781,"&lt;&gt;" &amp; "")&gt;0</formula>
    </cfRule>
    <cfRule type="expression" dxfId="1" priority="4736">
      <formula>AND(COUNTIF(I781:CV781,"&lt;&gt;" &amp; "")&gt;0,NOT(ISBLANK(G781)))</formula>
    </cfRule>
  </conditionalFormatting>
  <conditionalFormatting sqref="G782">
    <cfRule type="expression" dxfId="0" priority="4738">
      <formula>COUNTIF(I782:CV782,"&lt;&gt;" &amp; "")&gt;0</formula>
    </cfRule>
    <cfRule type="expression" dxfId="1" priority="4739">
      <formula>AND(COUNTIF(I782:CV782,"&lt;&gt;" &amp; "")&gt;0,NOT(ISBLANK(G782)))</formula>
    </cfRule>
  </conditionalFormatting>
  <conditionalFormatting sqref="G783">
    <cfRule type="expression" dxfId="0" priority="4741">
      <formula>COUNTIF(I783:CV783,"&lt;&gt;" &amp; "")&gt;0</formula>
    </cfRule>
    <cfRule type="expression" dxfId="1" priority="4742">
      <formula>AND(COUNTIF(I783:CV783,"&lt;&gt;" &amp; "")&gt;0,NOT(ISBLANK(G783)))</formula>
    </cfRule>
  </conditionalFormatting>
  <conditionalFormatting sqref="G784">
    <cfRule type="expression" dxfId="0" priority="4744">
      <formula>COUNTIF(I784:CV784,"&lt;&gt;" &amp; "")&gt;0</formula>
    </cfRule>
    <cfRule type="expression" dxfId="1" priority="4745">
      <formula>AND(COUNTIF(I784:CV784,"&lt;&gt;" &amp; "")&gt;0,NOT(ISBLANK(G784)))</formula>
    </cfRule>
  </conditionalFormatting>
  <conditionalFormatting sqref="G785">
    <cfRule type="expression" dxfId="0" priority="4747">
      <formula>COUNTIF(I785:CV785,"&lt;&gt;" &amp; "")&gt;0</formula>
    </cfRule>
    <cfRule type="expression" dxfId="1" priority="4748">
      <formula>AND(COUNTIF(I785:CV785,"&lt;&gt;" &amp; "")&gt;0,NOT(ISBLANK(G785)))</formula>
    </cfRule>
  </conditionalFormatting>
  <conditionalFormatting sqref="G786">
    <cfRule type="expression" dxfId="0" priority="4750">
      <formula>COUNTIF(I786:CV786,"&lt;&gt;" &amp; "")&gt;0</formula>
    </cfRule>
    <cfRule type="expression" dxfId="1" priority="4751">
      <formula>AND(COUNTIF(I786:CV786,"&lt;&gt;" &amp; "")&gt;0,NOT(ISBLANK(G786)))</formula>
    </cfRule>
  </conditionalFormatting>
  <conditionalFormatting sqref="G787">
    <cfRule type="expression" dxfId="0" priority="4753">
      <formula>COUNTIF(I787:CV787,"&lt;&gt;" &amp; "")&gt;0</formula>
    </cfRule>
    <cfRule type="expression" dxfId="1" priority="4754">
      <formula>AND(COUNTIF(I787:CV787,"&lt;&gt;" &amp; "")&gt;0,NOT(ISBLANK(G787)))</formula>
    </cfRule>
  </conditionalFormatting>
  <conditionalFormatting sqref="G788">
    <cfRule type="expression" dxfId="0" priority="4756">
      <formula>COUNTIF(I788:CV788,"&lt;&gt;" &amp; "")&gt;0</formula>
    </cfRule>
    <cfRule type="expression" dxfId="1" priority="4757">
      <formula>AND(COUNTIF(I788:CV788,"&lt;&gt;" &amp; "")&gt;0,NOT(ISBLANK(G788)))</formula>
    </cfRule>
  </conditionalFormatting>
  <conditionalFormatting sqref="G789">
    <cfRule type="expression" dxfId="0" priority="4759">
      <formula>COUNTIF(I789:CV789,"&lt;&gt;" &amp; "")&gt;0</formula>
    </cfRule>
    <cfRule type="expression" dxfId="1" priority="4760">
      <formula>AND(COUNTIF(I789:CV789,"&lt;&gt;" &amp; "")&gt;0,NOT(ISBLANK(G789)))</formula>
    </cfRule>
  </conditionalFormatting>
  <conditionalFormatting sqref="G79">
    <cfRule type="expression" dxfId="0" priority="2629">
      <formula>COUNTIF(I79:CV79,"&lt;&gt;" &amp; "")&gt;0</formula>
    </cfRule>
    <cfRule type="expression" dxfId="1" priority="2630">
      <formula>AND(COUNTIF(I79:CV79,"&lt;&gt;" &amp; "")&gt;0,NOT(ISBLANK(G79)))</formula>
    </cfRule>
  </conditionalFormatting>
  <conditionalFormatting sqref="G790">
    <cfRule type="expression" dxfId="0" priority="4762">
      <formula>COUNTIF(I790:CV790,"&lt;&gt;" &amp; "")&gt;0</formula>
    </cfRule>
    <cfRule type="expression" dxfId="1" priority="4763">
      <formula>AND(COUNTIF(I790:CV790,"&lt;&gt;" &amp; "")&gt;0,NOT(ISBLANK(G790)))</formula>
    </cfRule>
  </conditionalFormatting>
  <conditionalFormatting sqref="G791">
    <cfRule type="expression" dxfId="0" priority="4765">
      <formula>COUNTIF(I791:CV791,"&lt;&gt;" &amp; "")&gt;0</formula>
    </cfRule>
    <cfRule type="expression" dxfId="1" priority="4766">
      <formula>AND(COUNTIF(I791:CV791,"&lt;&gt;" &amp; "")&gt;0,NOT(ISBLANK(G791)))</formula>
    </cfRule>
  </conditionalFormatting>
  <conditionalFormatting sqref="G792">
    <cfRule type="expression" dxfId="0" priority="4768">
      <formula>COUNTIF(I792:CV792,"&lt;&gt;" &amp; "")&gt;0</formula>
    </cfRule>
    <cfRule type="expression" dxfId="1" priority="4769">
      <formula>AND(COUNTIF(I792:CV792,"&lt;&gt;" &amp; "")&gt;0,NOT(ISBLANK(G792)))</formula>
    </cfRule>
  </conditionalFormatting>
  <conditionalFormatting sqref="G793">
    <cfRule type="expression" dxfId="0" priority="4771">
      <formula>COUNTIF(I793:CV793,"&lt;&gt;" &amp; "")&gt;0</formula>
    </cfRule>
    <cfRule type="expression" dxfId="1" priority="4772">
      <formula>AND(COUNTIF(I793:CV793,"&lt;&gt;" &amp; "")&gt;0,NOT(ISBLANK(G793)))</formula>
    </cfRule>
  </conditionalFormatting>
  <conditionalFormatting sqref="G794">
    <cfRule type="expression" dxfId="0" priority="4774">
      <formula>COUNTIF(I794:CV794,"&lt;&gt;" &amp; "")&gt;0</formula>
    </cfRule>
    <cfRule type="expression" dxfId="1" priority="4775">
      <formula>AND(COUNTIF(I794:CV794,"&lt;&gt;" &amp; "")&gt;0,NOT(ISBLANK(G794)))</formula>
    </cfRule>
  </conditionalFormatting>
  <conditionalFormatting sqref="G795">
    <cfRule type="expression" dxfId="0" priority="4777">
      <formula>COUNTIF(I795:CV795,"&lt;&gt;" &amp; "")&gt;0</formula>
    </cfRule>
    <cfRule type="expression" dxfId="1" priority="4778">
      <formula>AND(COUNTIF(I795:CV795,"&lt;&gt;" &amp; "")&gt;0,NOT(ISBLANK(G795)))</formula>
    </cfRule>
  </conditionalFormatting>
  <conditionalFormatting sqref="G796">
    <cfRule type="expression" dxfId="0" priority="4780">
      <formula>COUNTIF(I796:CV796,"&lt;&gt;" &amp; "")&gt;0</formula>
    </cfRule>
    <cfRule type="expression" dxfId="1" priority="4781">
      <formula>AND(COUNTIF(I796:CV796,"&lt;&gt;" &amp; "")&gt;0,NOT(ISBLANK(G796)))</formula>
    </cfRule>
  </conditionalFormatting>
  <conditionalFormatting sqref="G797">
    <cfRule type="expression" dxfId="0" priority="4783">
      <formula>COUNTIF(I797:CV797,"&lt;&gt;" &amp; "")&gt;0</formula>
    </cfRule>
    <cfRule type="expression" dxfId="1" priority="4784">
      <formula>AND(COUNTIF(I797:CV797,"&lt;&gt;" &amp; "")&gt;0,NOT(ISBLANK(G797)))</formula>
    </cfRule>
  </conditionalFormatting>
  <conditionalFormatting sqref="G798">
    <cfRule type="expression" dxfId="0" priority="4786">
      <formula>COUNTIF(I798:CV798,"&lt;&gt;" &amp; "")&gt;0</formula>
    </cfRule>
    <cfRule type="expression" dxfId="1" priority="4787">
      <formula>AND(COUNTIF(I798:CV798,"&lt;&gt;" &amp; "")&gt;0,NOT(ISBLANK(G798)))</formula>
    </cfRule>
  </conditionalFormatting>
  <conditionalFormatting sqref="G799">
    <cfRule type="expression" dxfId="0" priority="4789">
      <formula>COUNTIF(I799:CV799,"&lt;&gt;" &amp; "")&gt;0</formula>
    </cfRule>
    <cfRule type="expression" dxfId="1" priority="4790">
      <formula>AND(COUNTIF(I799:CV799,"&lt;&gt;" &amp; "")&gt;0,NOT(ISBLANK(G799)))</formula>
    </cfRule>
  </conditionalFormatting>
  <conditionalFormatting sqref="G8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80">
    <cfRule type="expression" dxfId="0" priority="2632">
      <formula>COUNTIF(I80:CV80,"&lt;&gt;" &amp; "")&gt;0</formula>
    </cfRule>
    <cfRule type="expression" dxfId="1" priority="2633">
      <formula>AND(COUNTIF(I80:CV80,"&lt;&gt;" &amp; "")&gt;0,NOT(ISBLANK(G80)))</formula>
    </cfRule>
  </conditionalFormatting>
  <conditionalFormatting sqref="G800">
    <cfRule type="expression" dxfId="0" priority="4792">
      <formula>COUNTIF(I800:CV800,"&lt;&gt;" &amp; "")&gt;0</formula>
    </cfRule>
    <cfRule type="expression" dxfId="1" priority="4793">
      <formula>AND(COUNTIF(I800:CV800,"&lt;&gt;" &amp; "")&gt;0,NOT(ISBLANK(G800)))</formula>
    </cfRule>
  </conditionalFormatting>
  <conditionalFormatting sqref="G801">
    <cfRule type="expression" dxfId="0" priority="4795">
      <formula>COUNTIF(I801:CV801,"&lt;&gt;" &amp; "")&gt;0</formula>
    </cfRule>
    <cfRule type="expression" dxfId="1" priority="4796">
      <formula>AND(COUNTIF(I801:CV801,"&lt;&gt;" &amp; "")&gt;0,NOT(ISBLANK(G801)))</formula>
    </cfRule>
  </conditionalFormatting>
  <conditionalFormatting sqref="G802">
    <cfRule type="expression" dxfId="0" priority="4798">
      <formula>COUNTIF(I802:CV802,"&lt;&gt;" &amp; "")&gt;0</formula>
    </cfRule>
    <cfRule type="expression" dxfId="1" priority="4799">
      <formula>AND(COUNTIF(I802:CV802,"&lt;&gt;" &amp; "")&gt;0,NOT(ISBLANK(G802)))</formula>
    </cfRule>
  </conditionalFormatting>
  <conditionalFormatting sqref="G803">
    <cfRule type="expression" dxfId="0" priority="4801">
      <formula>COUNTIF(I803:CV803,"&lt;&gt;" &amp; "")&gt;0</formula>
    </cfRule>
    <cfRule type="expression" dxfId="1" priority="4802">
      <formula>AND(COUNTIF(I803:CV803,"&lt;&gt;" &amp; "")&gt;0,NOT(ISBLANK(G803)))</formula>
    </cfRule>
  </conditionalFormatting>
  <conditionalFormatting sqref="G804">
    <cfRule type="expression" dxfId="0" priority="4804">
      <formula>COUNTIF(I804:CV804,"&lt;&gt;" &amp; "")&gt;0</formula>
    </cfRule>
    <cfRule type="expression" dxfId="1" priority="4805">
      <formula>AND(COUNTIF(I804:CV804,"&lt;&gt;" &amp; "")&gt;0,NOT(ISBLANK(G804)))</formula>
    </cfRule>
  </conditionalFormatting>
  <conditionalFormatting sqref="G805">
    <cfRule type="expression" dxfId="0" priority="4807">
      <formula>COUNTIF(I805:CV805,"&lt;&gt;" &amp; "")&gt;0</formula>
    </cfRule>
    <cfRule type="expression" dxfId="1" priority="4808">
      <formula>AND(COUNTIF(I805:CV805,"&lt;&gt;" &amp; "")&gt;0,NOT(ISBLANK(G805)))</formula>
    </cfRule>
  </conditionalFormatting>
  <conditionalFormatting sqref="G806">
    <cfRule type="expression" dxfId="0" priority="4810">
      <formula>COUNTIF(I806:CV806,"&lt;&gt;" &amp; "")&gt;0</formula>
    </cfRule>
    <cfRule type="expression" dxfId="1" priority="4811">
      <formula>AND(COUNTIF(I806:CV806,"&lt;&gt;" &amp; "")&gt;0,NOT(ISBLANK(G806)))</formula>
    </cfRule>
  </conditionalFormatting>
  <conditionalFormatting sqref="G807">
    <cfRule type="expression" dxfId="0" priority="4813">
      <formula>COUNTIF(I807:CV807,"&lt;&gt;" &amp; "")&gt;0</formula>
    </cfRule>
    <cfRule type="expression" dxfId="1" priority="4814">
      <formula>AND(COUNTIF(I807:CV807,"&lt;&gt;" &amp; "")&gt;0,NOT(ISBLANK(G807)))</formula>
    </cfRule>
  </conditionalFormatting>
  <conditionalFormatting sqref="G808">
    <cfRule type="expression" dxfId="0" priority="4816">
      <formula>COUNTIF(I808:CV808,"&lt;&gt;" &amp; "")&gt;0</formula>
    </cfRule>
    <cfRule type="expression" dxfId="1" priority="4817">
      <formula>AND(COUNTIF(I808:CV808,"&lt;&gt;" &amp; "")&gt;0,NOT(ISBLANK(G808)))</formula>
    </cfRule>
  </conditionalFormatting>
  <conditionalFormatting sqref="G809">
    <cfRule type="expression" dxfId="0" priority="4819">
      <formula>COUNTIF(I809:CV809,"&lt;&gt;" &amp; "")&gt;0</formula>
    </cfRule>
    <cfRule type="expression" dxfId="1" priority="4820">
      <formula>AND(COUNTIF(I809:CV809,"&lt;&gt;" &amp; "")&gt;0,NOT(ISBLANK(G809)))</formula>
    </cfRule>
  </conditionalFormatting>
  <conditionalFormatting sqref="G81">
    <cfRule type="expression" dxfId="0" priority="2635">
      <formula>COUNTIF(I81:CV81,"&lt;&gt;" &amp; "")&gt;0</formula>
    </cfRule>
    <cfRule type="expression" dxfId="1" priority="2636">
      <formula>AND(COUNTIF(I81:CV81,"&lt;&gt;" &amp; "")&gt;0,NOT(ISBLANK(G81)))</formula>
    </cfRule>
  </conditionalFormatting>
  <conditionalFormatting sqref="G810">
    <cfRule type="expression" dxfId="0" priority="4822">
      <formula>COUNTIF(I810:CV810,"&lt;&gt;" &amp; "")&gt;0</formula>
    </cfRule>
    <cfRule type="expression" dxfId="1" priority="4823">
      <formula>AND(COUNTIF(I810:CV810,"&lt;&gt;" &amp; "")&gt;0,NOT(ISBLANK(G810)))</formula>
    </cfRule>
  </conditionalFormatting>
  <conditionalFormatting sqref="G811">
    <cfRule type="expression" dxfId="0" priority="4825">
      <formula>COUNTIF(I811:CV811,"&lt;&gt;" &amp; "")&gt;0</formula>
    </cfRule>
    <cfRule type="expression" dxfId="1" priority="4826">
      <formula>AND(COUNTIF(I811:CV811,"&lt;&gt;" &amp; "")&gt;0,NOT(ISBLANK(G811)))</formula>
    </cfRule>
  </conditionalFormatting>
  <conditionalFormatting sqref="G812">
    <cfRule type="expression" dxfId="0" priority="4828">
      <formula>COUNTIF(I812:CV812,"&lt;&gt;" &amp; "")&gt;0</formula>
    </cfRule>
    <cfRule type="expression" dxfId="1" priority="4829">
      <formula>AND(COUNTIF(I812:CV812,"&lt;&gt;" &amp; "")&gt;0,NOT(ISBLANK(G812)))</formula>
    </cfRule>
  </conditionalFormatting>
  <conditionalFormatting sqref="G813">
    <cfRule type="expression" dxfId="0" priority="4831">
      <formula>COUNTIF(I813:CV813,"&lt;&gt;" &amp; "")&gt;0</formula>
    </cfRule>
    <cfRule type="expression" dxfId="1" priority="4832">
      <formula>AND(COUNTIF(I813:CV813,"&lt;&gt;" &amp; "")&gt;0,NOT(ISBLANK(G813)))</formula>
    </cfRule>
  </conditionalFormatting>
  <conditionalFormatting sqref="G814">
    <cfRule type="expression" dxfId="0" priority="4834">
      <formula>COUNTIF(I814:CV814,"&lt;&gt;" &amp; "")&gt;0</formula>
    </cfRule>
    <cfRule type="expression" dxfId="1" priority="4835">
      <formula>AND(COUNTIF(I814:CV814,"&lt;&gt;" &amp; "")&gt;0,NOT(ISBLANK(G814)))</formula>
    </cfRule>
  </conditionalFormatting>
  <conditionalFormatting sqref="G815">
    <cfRule type="expression" dxfId="0" priority="4837">
      <formula>COUNTIF(I815:CV815,"&lt;&gt;" &amp; "")&gt;0</formula>
    </cfRule>
    <cfRule type="expression" dxfId="1" priority="4838">
      <formula>AND(COUNTIF(I815:CV815,"&lt;&gt;" &amp; "")&gt;0,NOT(ISBLANK(G815)))</formula>
    </cfRule>
  </conditionalFormatting>
  <conditionalFormatting sqref="G816">
    <cfRule type="expression" dxfId="0" priority="4840">
      <formula>COUNTIF(I816:CV816,"&lt;&gt;" &amp; "")&gt;0</formula>
    </cfRule>
    <cfRule type="expression" dxfId="1" priority="4841">
      <formula>AND(COUNTIF(I816:CV816,"&lt;&gt;" &amp; "")&gt;0,NOT(ISBLANK(G816)))</formula>
    </cfRule>
  </conditionalFormatting>
  <conditionalFormatting sqref="G817">
    <cfRule type="expression" dxfId="0" priority="4843">
      <formula>COUNTIF(I817:CV817,"&lt;&gt;" &amp; "")&gt;0</formula>
    </cfRule>
    <cfRule type="expression" dxfId="1" priority="4844">
      <formula>AND(COUNTIF(I817:CV817,"&lt;&gt;" &amp; "")&gt;0,NOT(ISBLANK(G817)))</formula>
    </cfRule>
  </conditionalFormatting>
  <conditionalFormatting sqref="G818">
    <cfRule type="expression" dxfId="0" priority="4846">
      <formula>COUNTIF(I818:CV818,"&lt;&gt;" &amp; "")&gt;0</formula>
    </cfRule>
    <cfRule type="expression" dxfId="1" priority="4847">
      <formula>AND(COUNTIF(I818:CV818,"&lt;&gt;" &amp; "")&gt;0,NOT(ISBLANK(G818)))</formula>
    </cfRule>
  </conditionalFormatting>
  <conditionalFormatting sqref="G819">
    <cfRule type="expression" dxfId="0" priority="4849">
      <formula>COUNTIF(I819:CV819,"&lt;&gt;" &amp; "")&gt;0</formula>
    </cfRule>
    <cfRule type="expression" dxfId="1" priority="4850">
      <formula>AND(COUNTIF(I819:CV819,"&lt;&gt;" &amp; "")&gt;0,NOT(ISBLANK(G819)))</formula>
    </cfRule>
  </conditionalFormatting>
  <conditionalFormatting sqref="G82">
    <cfRule type="expression" dxfId="0" priority="2638">
      <formula>COUNTIF(I82:CV82,"&lt;&gt;" &amp; "")&gt;0</formula>
    </cfRule>
    <cfRule type="expression" dxfId="1" priority="2639">
      <formula>AND(COUNTIF(I82:CV82,"&lt;&gt;" &amp; "")&gt;0,NOT(ISBLANK(G82)))</formula>
    </cfRule>
  </conditionalFormatting>
  <conditionalFormatting sqref="G820">
    <cfRule type="expression" dxfId="0" priority="4852">
      <formula>COUNTIF(I820:CV820,"&lt;&gt;" &amp; "")&gt;0</formula>
    </cfRule>
    <cfRule type="expression" dxfId="1" priority="4853">
      <formula>AND(COUNTIF(I820:CV820,"&lt;&gt;" &amp; "")&gt;0,NOT(ISBLANK(G820)))</formula>
    </cfRule>
  </conditionalFormatting>
  <conditionalFormatting sqref="G821">
    <cfRule type="expression" dxfId="0" priority="4855">
      <formula>COUNTIF(I821:CV821,"&lt;&gt;" &amp; "")&gt;0</formula>
    </cfRule>
    <cfRule type="expression" dxfId="1" priority="4856">
      <formula>AND(COUNTIF(I821:CV821,"&lt;&gt;" &amp; "")&gt;0,NOT(ISBLANK(G821)))</formula>
    </cfRule>
  </conditionalFormatting>
  <conditionalFormatting sqref="G822">
    <cfRule type="expression" dxfId="0" priority="4858">
      <formula>COUNTIF(I822:CV822,"&lt;&gt;" &amp; "")&gt;0</formula>
    </cfRule>
    <cfRule type="expression" dxfId="1" priority="4859">
      <formula>AND(COUNTIF(I822:CV822,"&lt;&gt;" &amp; "")&gt;0,NOT(ISBLANK(G822)))</formula>
    </cfRule>
  </conditionalFormatting>
  <conditionalFormatting sqref="G823">
    <cfRule type="expression" dxfId="0" priority="4861">
      <formula>COUNTIF(I823:CV823,"&lt;&gt;" &amp; "")&gt;0</formula>
    </cfRule>
    <cfRule type="expression" dxfId="1" priority="4862">
      <formula>AND(COUNTIF(I823:CV823,"&lt;&gt;" &amp; "")&gt;0,NOT(ISBLANK(G823)))</formula>
    </cfRule>
  </conditionalFormatting>
  <conditionalFormatting sqref="G824">
    <cfRule type="expression" dxfId="0" priority="4864">
      <formula>COUNTIF(I824:CV824,"&lt;&gt;" &amp; "")&gt;0</formula>
    </cfRule>
    <cfRule type="expression" dxfId="1" priority="4865">
      <formula>AND(COUNTIF(I824:CV824,"&lt;&gt;" &amp; "")&gt;0,NOT(ISBLANK(G824)))</formula>
    </cfRule>
  </conditionalFormatting>
  <conditionalFormatting sqref="G825">
    <cfRule type="expression" dxfId="0" priority="4867">
      <formula>COUNTIF(I825:CV825,"&lt;&gt;" &amp; "")&gt;0</formula>
    </cfRule>
    <cfRule type="expression" dxfId="1" priority="4868">
      <formula>AND(COUNTIF(I825:CV825,"&lt;&gt;" &amp; "")&gt;0,NOT(ISBLANK(G825)))</formula>
    </cfRule>
  </conditionalFormatting>
  <conditionalFormatting sqref="G826">
    <cfRule type="expression" dxfId="0" priority="4870">
      <formula>COUNTIF(I826:CV826,"&lt;&gt;" &amp; "")&gt;0</formula>
    </cfRule>
    <cfRule type="expression" dxfId="1" priority="4871">
      <formula>AND(COUNTIF(I826:CV826,"&lt;&gt;" &amp; "")&gt;0,NOT(ISBLANK(G826)))</formula>
    </cfRule>
  </conditionalFormatting>
  <conditionalFormatting sqref="G827">
    <cfRule type="expression" dxfId="0" priority="4873">
      <formula>COUNTIF(I827:CV827,"&lt;&gt;" &amp; "")&gt;0</formula>
    </cfRule>
    <cfRule type="expression" dxfId="1" priority="4874">
      <formula>AND(COUNTIF(I827:CV827,"&lt;&gt;" &amp; "")&gt;0,NOT(ISBLANK(G827)))</formula>
    </cfRule>
  </conditionalFormatting>
  <conditionalFormatting sqref="G828">
    <cfRule type="expression" dxfId="0" priority="4876">
      <formula>COUNTIF(I828:CV828,"&lt;&gt;" &amp; "")&gt;0</formula>
    </cfRule>
    <cfRule type="expression" dxfId="1" priority="4877">
      <formula>AND(COUNTIF(I828:CV828,"&lt;&gt;" &amp; "")&gt;0,NOT(ISBLANK(G828)))</formula>
    </cfRule>
  </conditionalFormatting>
  <conditionalFormatting sqref="G829">
    <cfRule type="expression" dxfId="0" priority="4879">
      <formula>COUNTIF(I829:CV829,"&lt;&gt;" &amp; "")&gt;0</formula>
    </cfRule>
    <cfRule type="expression" dxfId="1" priority="4880">
      <formula>AND(COUNTIF(I829:CV829,"&lt;&gt;" &amp; "")&gt;0,NOT(ISBLANK(G829)))</formula>
    </cfRule>
  </conditionalFormatting>
  <conditionalFormatting sqref="G83">
    <cfRule type="expression" dxfId="0" priority="2641">
      <formula>COUNTIF(I83:CV83,"&lt;&gt;" &amp; "")&gt;0</formula>
    </cfRule>
    <cfRule type="expression" dxfId="1" priority="2642">
      <formula>AND(COUNTIF(I83:CV83,"&lt;&gt;" &amp; "")&gt;0,NOT(ISBLANK(G83)))</formula>
    </cfRule>
  </conditionalFormatting>
  <conditionalFormatting sqref="G830">
    <cfRule type="expression" dxfId="0" priority="4882">
      <formula>COUNTIF(I830:CV830,"&lt;&gt;" &amp; "")&gt;0</formula>
    </cfRule>
    <cfRule type="expression" dxfId="1" priority="4883">
      <formula>AND(COUNTIF(I830:CV830,"&lt;&gt;" &amp; "")&gt;0,NOT(ISBLANK(G830)))</formula>
    </cfRule>
  </conditionalFormatting>
  <conditionalFormatting sqref="G831">
    <cfRule type="expression" dxfId="0" priority="4885">
      <formula>COUNTIF(I831:CV831,"&lt;&gt;" &amp; "")&gt;0</formula>
    </cfRule>
    <cfRule type="expression" dxfId="1" priority="4886">
      <formula>AND(COUNTIF(I831:CV831,"&lt;&gt;" &amp; "")&gt;0,NOT(ISBLANK(G831)))</formula>
    </cfRule>
  </conditionalFormatting>
  <conditionalFormatting sqref="G832">
    <cfRule type="expression" dxfId="0" priority="4888">
      <formula>COUNTIF(I832:CV832,"&lt;&gt;" &amp; "")&gt;0</formula>
    </cfRule>
    <cfRule type="expression" dxfId="1" priority="4889">
      <formula>AND(COUNTIF(I832:CV832,"&lt;&gt;" &amp; "")&gt;0,NOT(ISBLANK(G832)))</formula>
    </cfRule>
  </conditionalFormatting>
  <conditionalFormatting sqref="G833">
    <cfRule type="expression" dxfId="0" priority="4891">
      <formula>COUNTIF(I833:CV833,"&lt;&gt;" &amp; "")&gt;0</formula>
    </cfRule>
    <cfRule type="expression" dxfId="1" priority="4892">
      <formula>AND(COUNTIF(I833:CV833,"&lt;&gt;" &amp; "")&gt;0,NOT(ISBLANK(G833)))</formula>
    </cfRule>
  </conditionalFormatting>
  <conditionalFormatting sqref="G834">
    <cfRule type="expression" dxfId="0" priority="4894">
      <formula>COUNTIF(I834:CV834,"&lt;&gt;" &amp; "")&gt;0</formula>
    </cfRule>
    <cfRule type="expression" dxfId="1" priority="4895">
      <formula>AND(COUNTIF(I834:CV834,"&lt;&gt;" &amp; "")&gt;0,NOT(ISBLANK(G834)))</formula>
    </cfRule>
  </conditionalFormatting>
  <conditionalFormatting sqref="G835">
    <cfRule type="expression" dxfId="0" priority="4897">
      <formula>COUNTIF(I835:CV835,"&lt;&gt;" &amp; "")&gt;0</formula>
    </cfRule>
    <cfRule type="expression" dxfId="1" priority="4898">
      <formula>AND(COUNTIF(I835:CV835,"&lt;&gt;" &amp; "")&gt;0,NOT(ISBLANK(G835)))</formula>
    </cfRule>
  </conditionalFormatting>
  <conditionalFormatting sqref="G836">
    <cfRule type="expression" dxfId="0" priority="4900">
      <formula>COUNTIF(I836:CV836,"&lt;&gt;" &amp; "")&gt;0</formula>
    </cfRule>
    <cfRule type="expression" dxfId="1" priority="4901">
      <formula>AND(COUNTIF(I836:CV836,"&lt;&gt;" &amp; "")&gt;0,NOT(ISBLANK(G836)))</formula>
    </cfRule>
  </conditionalFormatting>
  <conditionalFormatting sqref="G837">
    <cfRule type="expression" dxfId="0" priority="4903">
      <formula>COUNTIF(I837:CV837,"&lt;&gt;" &amp; "")&gt;0</formula>
    </cfRule>
    <cfRule type="expression" dxfId="1" priority="4904">
      <formula>AND(COUNTIF(I837:CV837,"&lt;&gt;" &amp; "")&gt;0,NOT(ISBLANK(G837)))</formula>
    </cfRule>
  </conditionalFormatting>
  <conditionalFormatting sqref="G838">
    <cfRule type="expression" dxfId="0" priority="4906">
      <formula>COUNTIF(I838:CV838,"&lt;&gt;" &amp; "")&gt;0</formula>
    </cfRule>
    <cfRule type="expression" dxfId="1" priority="4907">
      <formula>AND(COUNTIF(I838:CV838,"&lt;&gt;" &amp; "")&gt;0,NOT(ISBLANK(G838)))</formula>
    </cfRule>
  </conditionalFormatting>
  <conditionalFormatting sqref="G839">
    <cfRule type="expression" dxfId="0" priority="4909">
      <formula>COUNTIF(I839:CV839,"&lt;&gt;" &amp; "")&gt;0</formula>
    </cfRule>
    <cfRule type="expression" dxfId="1" priority="4910">
      <formula>AND(COUNTIF(I839:CV839,"&lt;&gt;" &amp; "")&gt;0,NOT(ISBLANK(G839)))</formula>
    </cfRule>
  </conditionalFormatting>
  <conditionalFormatting sqref="G84">
    <cfRule type="expression" dxfId="0" priority="2644">
      <formula>COUNTIF(I84:CV84,"&lt;&gt;" &amp; "")&gt;0</formula>
    </cfRule>
    <cfRule type="expression" dxfId="1" priority="2645">
      <formula>AND(COUNTIF(I84:CV84,"&lt;&gt;" &amp; "")&gt;0,NOT(ISBLANK(G84)))</formula>
    </cfRule>
  </conditionalFormatting>
  <conditionalFormatting sqref="G840">
    <cfRule type="expression" dxfId="0" priority="4912">
      <formula>COUNTIF(I840:CV840,"&lt;&gt;" &amp; "")&gt;0</formula>
    </cfRule>
    <cfRule type="expression" dxfId="1" priority="4913">
      <formula>AND(COUNTIF(I840:CV840,"&lt;&gt;" &amp; "")&gt;0,NOT(ISBLANK(G840)))</formula>
    </cfRule>
  </conditionalFormatting>
  <conditionalFormatting sqref="G841">
    <cfRule type="expression" dxfId="0" priority="4915">
      <formula>COUNTIF(I841:CV841,"&lt;&gt;" &amp; "")&gt;0</formula>
    </cfRule>
    <cfRule type="expression" dxfId="1" priority="4916">
      <formula>AND(COUNTIF(I841:CV841,"&lt;&gt;" &amp; "")&gt;0,NOT(ISBLANK(G841)))</formula>
    </cfRule>
  </conditionalFormatting>
  <conditionalFormatting sqref="G842">
    <cfRule type="expression" dxfId="0" priority="4918">
      <formula>COUNTIF(I842:CV842,"&lt;&gt;" &amp; "")&gt;0</formula>
    </cfRule>
    <cfRule type="expression" dxfId="1" priority="4919">
      <formula>AND(COUNTIF(I842:CV842,"&lt;&gt;" &amp; "")&gt;0,NOT(ISBLANK(G842)))</formula>
    </cfRule>
  </conditionalFormatting>
  <conditionalFormatting sqref="G843">
    <cfRule type="expression" dxfId="0" priority="4921">
      <formula>COUNTIF(I843:CV843,"&lt;&gt;" &amp; "")&gt;0</formula>
    </cfRule>
    <cfRule type="expression" dxfId="1" priority="4922">
      <formula>AND(COUNTIF(I843:CV843,"&lt;&gt;" &amp; "")&gt;0,NOT(ISBLANK(G843)))</formula>
    </cfRule>
  </conditionalFormatting>
  <conditionalFormatting sqref="G844">
    <cfRule type="expression" dxfId="0" priority="4924">
      <formula>COUNTIF(I844:CV844,"&lt;&gt;" &amp; "")&gt;0</formula>
    </cfRule>
    <cfRule type="expression" dxfId="1" priority="4925">
      <formula>AND(COUNTIF(I844:CV844,"&lt;&gt;" &amp; "")&gt;0,NOT(ISBLANK(G844)))</formula>
    </cfRule>
  </conditionalFormatting>
  <conditionalFormatting sqref="G845">
    <cfRule type="expression" dxfId="0" priority="4927">
      <formula>COUNTIF(I845:CV845,"&lt;&gt;" &amp; "")&gt;0</formula>
    </cfRule>
    <cfRule type="expression" dxfId="1" priority="4928">
      <formula>AND(COUNTIF(I845:CV845,"&lt;&gt;" &amp; "")&gt;0,NOT(ISBLANK(G845)))</formula>
    </cfRule>
  </conditionalFormatting>
  <conditionalFormatting sqref="G846">
    <cfRule type="expression" dxfId="0" priority="4930">
      <formula>COUNTIF(I846:CV846,"&lt;&gt;" &amp; "")&gt;0</formula>
    </cfRule>
    <cfRule type="expression" dxfId="1" priority="4931">
      <formula>AND(COUNTIF(I846:CV846,"&lt;&gt;" &amp; "")&gt;0,NOT(ISBLANK(G846)))</formula>
    </cfRule>
  </conditionalFormatting>
  <conditionalFormatting sqref="G847">
    <cfRule type="expression" dxfId="0" priority="4933">
      <formula>COUNTIF(I847:CV847,"&lt;&gt;" &amp; "")&gt;0</formula>
    </cfRule>
    <cfRule type="expression" dxfId="1" priority="4934">
      <formula>AND(COUNTIF(I847:CV847,"&lt;&gt;" &amp; "")&gt;0,NOT(ISBLANK(G847)))</formula>
    </cfRule>
  </conditionalFormatting>
  <conditionalFormatting sqref="G848">
    <cfRule type="expression" dxfId="0" priority="4936">
      <formula>COUNTIF(I848:CV848,"&lt;&gt;" &amp; "")&gt;0</formula>
    </cfRule>
    <cfRule type="expression" dxfId="1" priority="4937">
      <formula>AND(COUNTIF(I848:CV848,"&lt;&gt;" &amp; "")&gt;0,NOT(ISBLANK(G848)))</formula>
    </cfRule>
  </conditionalFormatting>
  <conditionalFormatting sqref="G849">
    <cfRule type="expression" dxfId="0" priority="4939">
      <formula>COUNTIF(I849:CV849,"&lt;&gt;" &amp; "")&gt;0</formula>
    </cfRule>
    <cfRule type="expression" dxfId="1" priority="4940">
      <formula>AND(COUNTIF(I849:CV849,"&lt;&gt;" &amp; "")&gt;0,NOT(ISBLANK(G849)))</formula>
    </cfRule>
  </conditionalFormatting>
  <conditionalFormatting sqref="G85">
    <cfRule type="expression" dxfId="0" priority="2647">
      <formula>COUNTIF(I85:CV85,"&lt;&gt;" &amp; "")&gt;0</formula>
    </cfRule>
    <cfRule type="expression" dxfId="1" priority="2648">
      <formula>AND(COUNTIF(I85:CV85,"&lt;&gt;" &amp; "")&gt;0,NOT(ISBLANK(G85)))</formula>
    </cfRule>
  </conditionalFormatting>
  <conditionalFormatting sqref="G850">
    <cfRule type="expression" dxfId="0" priority="4942">
      <formula>COUNTIF(I850:CV850,"&lt;&gt;" &amp; "")&gt;0</formula>
    </cfRule>
    <cfRule type="expression" dxfId="1" priority="4943">
      <formula>AND(COUNTIF(I850:CV850,"&lt;&gt;" &amp; "")&gt;0,NOT(ISBLANK(G850)))</formula>
    </cfRule>
  </conditionalFormatting>
  <conditionalFormatting sqref="G851">
    <cfRule type="expression" dxfId="0" priority="4945">
      <formula>COUNTIF(I851:CV851,"&lt;&gt;" &amp; "")&gt;0</formula>
    </cfRule>
    <cfRule type="expression" dxfId="1" priority="4946">
      <formula>AND(COUNTIF(I851:CV851,"&lt;&gt;" &amp; "")&gt;0,NOT(ISBLANK(G851)))</formula>
    </cfRule>
  </conditionalFormatting>
  <conditionalFormatting sqref="G852">
    <cfRule type="expression" dxfId="0" priority="4948">
      <formula>COUNTIF(I852:CV852,"&lt;&gt;" &amp; "")&gt;0</formula>
    </cfRule>
    <cfRule type="expression" dxfId="1" priority="4949">
      <formula>AND(COUNTIF(I852:CV852,"&lt;&gt;" &amp; "")&gt;0,NOT(ISBLANK(G852)))</formula>
    </cfRule>
  </conditionalFormatting>
  <conditionalFormatting sqref="G853">
    <cfRule type="expression" dxfId="0" priority="4951">
      <formula>COUNTIF(I853:CV853,"&lt;&gt;" &amp; "")&gt;0</formula>
    </cfRule>
    <cfRule type="expression" dxfId="1" priority="4952">
      <formula>AND(COUNTIF(I853:CV853,"&lt;&gt;" &amp; "")&gt;0,NOT(ISBLANK(G853)))</formula>
    </cfRule>
  </conditionalFormatting>
  <conditionalFormatting sqref="G854">
    <cfRule type="expression" dxfId="0" priority="4954">
      <formula>COUNTIF(I854:CV854,"&lt;&gt;" &amp; "")&gt;0</formula>
    </cfRule>
    <cfRule type="expression" dxfId="1" priority="4955">
      <formula>AND(COUNTIF(I854:CV854,"&lt;&gt;" &amp; "")&gt;0,NOT(ISBLANK(G854)))</formula>
    </cfRule>
  </conditionalFormatting>
  <conditionalFormatting sqref="G855">
    <cfRule type="expression" dxfId="0" priority="4957">
      <formula>COUNTIF(I855:CV855,"&lt;&gt;" &amp; "")&gt;0</formula>
    </cfRule>
    <cfRule type="expression" dxfId="1" priority="4958">
      <formula>AND(COUNTIF(I855:CV855,"&lt;&gt;" &amp; "")&gt;0,NOT(ISBLANK(G855)))</formula>
    </cfRule>
  </conditionalFormatting>
  <conditionalFormatting sqref="G856">
    <cfRule type="expression" dxfId="0" priority="4960">
      <formula>COUNTIF(I856:CV856,"&lt;&gt;" &amp; "")&gt;0</formula>
    </cfRule>
    <cfRule type="expression" dxfId="1" priority="4961">
      <formula>AND(COUNTIF(I856:CV856,"&lt;&gt;" &amp; "")&gt;0,NOT(ISBLANK(G856)))</formula>
    </cfRule>
  </conditionalFormatting>
  <conditionalFormatting sqref="G857">
    <cfRule type="expression" dxfId="0" priority="4963">
      <formula>COUNTIF(I857:CV857,"&lt;&gt;" &amp; "")&gt;0</formula>
    </cfRule>
    <cfRule type="expression" dxfId="1" priority="4964">
      <formula>AND(COUNTIF(I857:CV857,"&lt;&gt;" &amp; "")&gt;0,NOT(ISBLANK(G857)))</formula>
    </cfRule>
  </conditionalFormatting>
  <conditionalFormatting sqref="G858">
    <cfRule type="expression" dxfId="0" priority="4966">
      <formula>COUNTIF(I858:CV858,"&lt;&gt;" &amp; "")&gt;0</formula>
    </cfRule>
    <cfRule type="expression" dxfId="1" priority="4967">
      <formula>AND(COUNTIF(I858:CV858,"&lt;&gt;" &amp; "")&gt;0,NOT(ISBLANK(G858)))</formula>
    </cfRule>
  </conditionalFormatting>
  <conditionalFormatting sqref="G859">
    <cfRule type="expression" dxfId="0" priority="4969">
      <formula>COUNTIF(I859:CV859,"&lt;&gt;" &amp; "")&gt;0</formula>
    </cfRule>
    <cfRule type="expression" dxfId="1" priority="4970">
      <formula>AND(COUNTIF(I859:CV859,"&lt;&gt;" &amp; "")&gt;0,NOT(ISBLANK(G859)))</formula>
    </cfRule>
  </conditionalFormatting>
  <conditionalFormatting sqref="G86">
    <cfRule type="expression" dxfId="0" priority="2650">
      <formula>COUNTIF(I86:CV86,"&lt;&gt;" &amp; "")&gt;0</formula>
    </cfRule>
    <cfRule type="expression" dxfId="1" priority="2651">
      <formula>AND(COUNTIF(I86:CV86,"&lt;&gt;" &amp; "")&gt;0,NOT(ISBLANK(G86)))</formula>
    </cfRule>
  </conditionalFormatting>
  <conditionalFormatting sqref="G860">
    <cfRule type="expression" dxfId="0" priority="4972">
      <formula>COUNTIF(I860:CV860,"&lt;&gt;" &amp; "")&gt;0</formula>
    </cfRule>
    <cfRule type="expression" dxfId="1" priority="4973">
      <formula>AND(COUNTIF(I860:CV860,"&lt;&gt;" &amp; "")&gt;0,NOT(ISBLANK(G860)))</formula>
    </cfRule>
  </conditionalFormatting>
  <conditionalFormatting sqref="G861">
    <cfRule type="expression" dxfId="0" priority="4975">
      <formula>COUNTIF(I861:CV861,"&lt;&gt;" &amp; "")&gt;0</formula>
    </cfRule>
    <cfRule type="expression" dxfId="1" priority="4976">
      <formula>AND(COUNTIF(I861:CV861,"&lt;&gt;" &amp; "")&gt;0,NOT(ISBLANK(G861)))</formula>
    </cfRule>
  </conditionalFormatting>
  <conditionalFormatting sqref="G862">
    <cfRule type="expression" dxfId="0" priority="4978">
      <formula>COUNTIF(I862:CV862,"&lt;&gt;" &amp; "")&gt;0</formula>
    </cfRule>
    <cfRule type="expression" dxfId="1" priority="4979">
      <formula>AND(COUNTIF(I862:CV862,"&lt;&gt;" &amp; "")&gt;0,NOT(ISBLANK(G862)))</formula>
    </cfRule>
  </conditionalFormatting>
  <conditionalFormatting sqref="G863">
    <cfRule type="expression" dxfId="0" priority="4981">
      <formula>COUNTIF(I863:CV863,"&lt;&gt;" &amp; "")&gt;0</formula>
    </cfRule>
    <cfRule type="expression" dxfId="1" priority="4982">
      <formula>AND(COUNTIF(I863:CV863,"&lt;&gt;" &amp; "")&gt;0,NOT(ISBLANK(G863)))</formula>
    </cfRule>
  </conditionalFormatting>
  <conditionalFormatting sqref="G864">
    <cfRule type="expression" dxfId="0" priority="4984">
      <formula>COUNTIF(I864:CV864,"&lt;&gt;" &amp; "")&gt;0</formula>
    </cfRule>
    <cfRule type="expression" dxfId="1" priority="4985">
      <formula>AND(COUNTIF(I864:CV864,"&lt;&gt;" &amp; "")&gt;0,NOT(ISBLANK(G864)))</formula>
    </cfRule>
  </conditionalFormatting>
  <conditionalFormatting sqref="G865">
    <cfRule type="expression" dxfId="0" priority="4987">
      <formula>COUNTIF(I865:CV865,"&lt;&gt;" &amp; "")&gt;0</formula>
    </cfRule>
    <cfRule type="expression" dxfId="1" priority="4988">
      <formula>AND(COUNTIF(I865:CV865,"&lt;&gt;" &amp; "")&gt;0,NOT(ISBLANK(G865)))</formula>
    </cfRule>
  </conditionalFormatting>
  <conditionalFormatting sqref="G866">
    <cfRule type="expression" dxfId="0" priority="4990">
      <formula>COUNTIF(I866:CV866,"&lt;&gt;" &amp; "")&gt;0</formula>
    </cfRule>
    <cfRule type="expression" dxfId="1" priority="4991">
      <formula>AND(COUNTIF(I866:CV866,"&lt;&gt;" &amp; "")&gt;0,NOT(ISBLANK(G866)))</formula>
    </cfRule>
  </conditionalFormatting>
  <conditionalFormatting sqref="G867">
    <cfRule type="expression" dxfId="0" priority="4993">
      <formula>COUNTIF(I867:CV867,"&lt;&gt;" &amp; "")&gt;0</formula>
    </cfRule>
    <cfRule type="expression" dxfId="1" priority="4994">
      <formula>AND(COUNTIF(I867:CV867,"&lt;&gt;" &amp; "")&gt;0,NOT(ISBLANK(G867)))</formula>
    </cfRule>
  </conditionalFormatting>
  <conditionalFormatting sqref="G868">
    <cfRule type="expression" dxfId="0" priority="4996">
      <formula>COUNTIF(I868:CV868,"&lt;&gt;" &amp; "")&gt;0</formula>
    </cfRule>
    <cfRule type="expression" dxfId="1" priority="4997">
      <formula>AND(COUNTIF(I868:CV868,"&lt;&gt;" &amp; "")&gt;0,NOT(ISBLANK(G868)))</formula>
    </cfRule>
  </conditionalFormatting>
  <conditionalFormatting sqref="G869">
    <cfRule type="expression" dxfId="0" priority="4999">
      <formula>COUNTIF(I869:CV869,"&lt;&gt;" &amp; "")&gt;0</formula>
    </cfRule>
    <cfRule type="expression" dxfId="1" priority="5000">
      <formula>AND(COUNTIF(I869:CV869,"&lt;&gt;" &amp; "")&gt;0,NOT(ISBLANK(G869)))</formula>
    </cfRule>
  </conditionalFormatting>
  <conditionalFormatting sqref="G87">
    <cfRule type="expression" dxfId="0" priority="2653">
      <formula>COUNTIF(I87:CV87,"&lt;&gt;" &amp; "")&gt;0</formula>
    </cfRule>
    <cfRule type="expression" dxfId="1" priority="2654">
      <formula>AND(COUNTIF(I87:CV87,"&lt;&gt;" &amp; "")&gt;0,NOT(ISBLANK(G87)))</formula>
    </cfRule>
  </conditionalFormatting>
  <conditionalFormatting sqref="G870">
    <cfRule type="expression" dxfId="0" priority="5002">
      <formula>COUNTIF(I870:CV870,"&lt;&gt;" &amp; "")&gt;0</formula>
    </cfRule>
    <cfRule type="expression" dxfId="1" priority="5003">
      <formula>AND(COUNTIF(I870:CV870,"&lt;&gt;" &amp; "")&gt;0,NOT(ISBLANK(G870)))</formula>
    </cfRule>
  </conditionalFormatting>
  <conditionalFormatting sqref="G871">
    <cfRule type="expression" dxfId="0" priority="5005">
      <formula>COUNTIF(I871:CV871,"&lt;&gt;" &amp; "")&gt;0</formula>
    </cfRule>
    <cfRule type="expression" dxfId="1" priority="5006">
      <formula>AND(COUNTIF(I871:CV871,"&lt;&gt;" &amp; "")&gt;0,NOT(ISBLANK(G871)))</formula>
    </cfRule>
  </conditionalFormatting>
  <conditionalFormatting sqref="G872">
    <cfRule type="expression" dxfId="0" priority="5008">
      <formula>COUNTIF(I872:CV872,"&lt;&gt;" &amp; "")&gt;0</formula>
    </cfRule>
    <cfRule type="expression" dxfId="1" priority="5009">
      <formula>AND(COUNTIF(I872:CV872,"&lt;&gt;" &amp; "")&gt;0,NOT(ISBLANK(G872)))</formula>
    </cfRule>
  </conditionalFormatting>
  <conditionalFormatting sqref="G873">
    <cfRule type="expression" dxfId="0" priority="5011">
      <formula>COUNTIF(I873:CV873,"&lt;&gt;" &amp; "")&gt;0</formula>
    </cfRule>
    <cfRule type="expression" dxfId="1" priority="5012">
      <formula>AND(COUNTIF(I873:CV873,"&lt;&gt;" &amp; "")&gt;0,NOT(ISBLANK(G873)))</formula>
    </cfRule>
  </conditionalFormatting>
  <conditionalFormatting sqref="G874">
    <cfRule type="expression" dxfId="0" priority="5014">
      <formula>COUNTIF(I874:CV874,"&lt;&gt;" &amp; "")&gt;0</formula>
    </cfRule>
    <cfRule type="expression" dxfId="1" priority="5015">
      <formula>AND(COUNTIF(I874:CV874,"&lt;&gt;" &amp; "")&gt;0,NOT(ISBLANK(G874)))</formula>
    </cfRule>
  </conditionalFormatting>
  <conditionalFormatting sqref="G875">
    <cfRule type="expression" dxfId="0" priority="5017">
      <formula>COUNTIF(I875:CV875,"&lt;&gt;" &amp; "")&gt;0</formula>
    </cfRule>
    <cfRule type="expression" dxfId="1" priority="5018">
      <formula>AND(COUNTIF(I875:CV875,"&lt;&gt;" &amp; "")&gt;0,NOT(ISBLANK(G875)))</formula>
    </cfRule>
  </conditionalFormatting>
  <conditionalFormatting sqref="G876">
    <cfRule type="expression" dxfId="0" priority="5020">
      <formula>COUNTIF(I876:CV876,"&lt;&gt;" &amp; "")&gt;0</formula>
    </cfRule>
    <cfRule type="expression" dxfId="1" priority="5021">
      <formula>AND(COUNTIF(I876:CV876,"&lt;&gt;" &amp; "")&gt;0,NOT(ISBLANK(G876)))</formula>
    </cfRule>
  </conditionalFormatting>
  <conditionalFormatting sqref="G877">
    <cfRule type="expression" dxfId="0" priority="5023">
      <formula>COUNTIF(I877:CV877,"&lt;&gt;" &amp; "")&gt;0</formula>
    </cfRule>
    <cfRule type="expression" dxfId="1" priority="5024">
      <formula>AND(COUNTIF(I877:CV877,"&lt;&gt;" &amp; "")&gt;0,NOT(ISBLANK(G877)))</formula>
    </cfRule>
  </conditionalFormatting>
  <conditionalFormatting sqref="G878">
    <cfRule type="expression" dxfId="0" priority="5026">
      <formula>COUNTIF(I878:CV878,"&lt;&gt;" &amp; "")&gt;0</formula>
    </cfRule>
    <cfRule type="expression" dxfId="1" priority="5027">
      <formula>AND(COUNTIF(I878:CV878,"&lt;&gt;" &amp; "")&gt;0,NOT(ISBLANK(G878)))</formula>
    </cfRule>
  </conditionalFormatting>
  <conditionalFormatting sqref="G879">
    <cfRule type="expression" dxfId="0" priority="5029">
      <formula>COUNTIF(I879:CV879,"&lt;&gt;" &amp; "")&gt;0</formula>
    </cfRule>
    <cfRule type="expression" dxfId="1" priority="5030">
      <formula>AND(COUNTIF(I879:CV879,"&lt;&gt;" &amp; "")&gt;0,NOT(ISBLANK(G879)))</formula>
    </cfRule>
  </conditionalFormatting>
  <conditionalFormatting sqref="G88">
    <cfRule type="expression" dxfId="0" priority="2656">
      <formula>COUNTIF(I88:CV88,"&lt;&gt;" &amp; "")&gt;0</formula>
    </cfRule>
    <cfRule type="expression" dxfId="1" priority="2657">
      <formula>AND(COUNTIF(I88:CV88,"&lt;&gt;" &amp; "")&gt;0,NOT(ISBLANK(G88)))</formula>
    </cfRule>
  </conditionalFormatting>
  <conditionalFormatting sqref="G880">
    <cfRule type="expression" dxfId="0" priority="5032">
      <formula>COUNTIF(I880:CV880,"&lt;&gt;" &amp; "")&gt;0</formula>
    </cfRule>
    <cfRule type="expression" dxfId="1" priority="5033">
      <formula>AND(COUNTIF(I880:CV880,"&lt;&gt;" &amp; "")&gt;0,NOT(ISBLANK(G880)))</formula>
    </cfRule>
  </conditionalFormatting>
  <conditionalFormatting sqref="G881">
    <cfRule type="expression" dxfId="0" priority="5035">
      <formula>COUNTIF(I881:CV881,"&lt;&gt;" &amp; "")&gt;0</formula>
    </cfRule>
    <cfRule type="expression" dxfId="1" priority="5036">
      <formula>AND(COUNTIF(I881:CV881,"&lt;&gt;" &amp; "")&gt;0,NOT(ISBLANK(G881)))</formula>
    </cfRule>
  </conditionalFormatting>
  <conditionalFormatting sqref="G882">
    <cfRule type="expression" dxfId="0" priority="5038">
      <formula>COUNTIF(I882:CV882,"&lt;&gt;" &amp; "")&gt;0</formula>
    </cfRule>
    <cfRule type="expression" dxfId="1" priority="5039">
      <formula>AND(COUNTIF(I882:CV882,"&lt;&gt;" &amp; "")&gt;0,NOT(ISBLANK(G882)))</formula>
    </cfRule>
  </conditionalFormatting>
  <conditionalFormatting sqref="G883">
    <cfRule type="expression" dxfId="0" priority="5041">
      <formula>COUNTIF(I883:CV883,"&lt;&gt;" &amp; "")&gt;0</formula>
    </cfRule>
    <cfRule type="expression" dxfId="1" priority="5042">
      <formula>AND(COUNTIF(I883:CV883,"&lt;&gt;" &amp; "")&gt;0,NOT(ISBLANK(G883)))</formula>
    </cfRule>
  </conditionalFormatting>
  <conditionalFormatting sqref="G884">
    <cfRule type="expression" dxfId="0" priority="5044">
      <formula>COUNTIF(I884:CV884,"&lt;&gt;" &amp; "")&gt;0</formula>
    </cfRule>
    <cfRule type="expression" dxfId="1" priority="5045">
      <formula>AND(COUNTIF(I884:CV884,"&lt;&gt;" &amp; "")&gt;0,NOT(ISBLANK(G884)))</formula>
    </cfRule>
  </conditionalFormatting>
  <conditionalFormatting sqref="G885">
    <cfRule type="expression" dxfId="0" priority="5047">
      <formula>COUNTIF(I885:CV885,"&lt;&gt;" &amp; "")&gt;0</formula>
    </cfRule>
    <cfRule type="expression" dxfId="1" priority="5048">
      <formula>AND(COUNTIF(I885:CV885,"&lt;&gt;" &amp; "")&gt;0,NOT(ISBLANK(G885)))</formula>
    </cfRule>
  </conditionalFormatting>
  <conditionalFormatting sqref="G886">
    <cfRule type="expression" dxfId="0" priority="5050">
      <formula>COUNTIF(I886:CV886,"&lt;&gt;" &amp; "")&gt;0</formula>
    </cfRule>
    <cfRule type="expression" dxfId="1" priority="5051">
      <formula>AND(COUNTIF(I886:CV886,"&lt;&gt;" &amp; "")&gt;0,NOT(ISBLANK(G886)))</formula>
    </cfRule>
  </conditionalFormatting>
  <conditionalFormatting sqref="G887">
    <cfRule type="expression" dxfId="0" priority="5053">
      <formula>COUNTIF(I887:CV887,"&lt;&gt;" &amp; "")&gt;0</formula>
    </cfRule>
    <cfRule type="expression" dxfId="1" priority="5054">
      <formula>AND(COUNTIF(I887:CV887,"&lt;&gt;" &amp; "")&gt;0,NOT(ISBLANK(G887)))</formula>
    </cfRule>
  </conditionalFormatting>
  <conditionalFormatting sqref="G888">
    <cfRule type="expression" dxfId="0" priority="5056">
      <formula>COUNTIF(I888:CV888,"&lt;&gt;" &amp; "")&gt;0</formula>
    </cfRule>
    <cfRule type="expression" dxfId="1" priority="5057">
      <formula>AND(COUNTIF(I888:CV888,"&lt;&gt;" &amp; "")&gt;0,NOT(ISBLANK(G888)))</formula>
    </cfRule>
  </conditionalFormatting>
  <conditionalFormatting sqref="G889">
    <cfRule type="expression" dxfId="0" priority="5059">
      <formula>COUNTIF(I889:CV889,"&lt;&gt;" &amp; "")&gt;0</formula>
    </cfRule>
    <cfRule type="expression" dxfId="1" priority="5060">
      <formula>AND(COUNTIF(I889:CV889,"&lt;&gt;" &amp; "")&gt;0,NOT(ISBLANK(G889)))</formula>
    </cfRule>
  </conditionalFormatting>
  <conditionalFormatting sqref="G89">
    <cfRule type="expression" dxfId="0" priority="2659">
      <formula>COUNTIF(I89:CV89,"&lt;&gt;" &amp; "")&gt;0</formula>
    </cfRule>
    <cfRule type="expression" dxfId="1" priority="2660">
      <formula>AND(COUNTIF(I89:CV89,"&lt;&gt;" &amp; "")&gt;0,NOT(ISBLANK(G89)))</formula>
    </cfRule>
  </conditionalFormatting>
  <conditionalFormatting sqref="G890">
    <cfRule type="expression" dxfId="0" priority="5062">
      <formula>COUNTIF(I890:CV890,"&lt;&gt;" &amp; "")&gt;0</formula>
    </cfRule>
    <cfRule type="expression" dxfId="1" priority="5063">
      <formula>AND(COUNTIF(I890:CV890,"&lt;&gt;" &amp; "")&gt;0,NOT(ISBLANK(G890)))</formula>
    </cfRule>
  </conditionalFormatting>
  <conditionalFormatting sqref="G891">
    <cfRule type="expression" dxfId="0" priority="5065">
      <formula>COUNTIF(I891:CV891,"&lt;&gt;" &amp; "")&gt;0</formula>
    </cfRule>
    <cfRule type="expression" dxfId="1" priority="5066">
      <formula>AND(COUNTIF(I891:CV891,"&lt;&gt;" &amp; "")&gt;0,NOT(ISBLANK(G891)))</formula>
    </cfRule>
  </conditionalFormatting>
  <conditionalFormatting sqref="G892">
    <cfRule type="expression" dxfId="0" priority="5068">
      <formula>COUNTIF(I892:CV892,"&lt;&gt;" &amp; "")&gt;0</formula>
    </cfRule>
    <cfRule type="expression" dxfId="1" priority="5069">
      <formula>AND(COUNTIF(I892:CV892,"&lt;&gt;" &amp; "")&gt;0,NOT(ISBLANK(G892)))</formula>
    </cfRule>
  </conditionalFormatting>
  <conditionalFormatting sqref="G893">
    <cfRule type="expression" dxfId="0" priority="5071">
      <formula>COUNTIF(I893:CV893,"&lt;&gt;" &amp; "")&gt;0</formula>
    </cfRule>
    <cfRule type="expression" dxfId="1" priority="5072">
      <formula>AND(COUNTIF(I893:CV893,"&lt;&gt;" &amp; "")&gt;0,NOT(ISBLANK(G893)))</formula>
    </cfRule>
  </conditionalFormatting>
  <conditionalFormatting sqref="G894">
    <cfRule type="expression" dxfId="0" priority="5074">
      <formula>COUNTIF(I894:CV894,"&lt;&gt;" &amp; "")&gt;0</formula>
    </cfRule>
    <cfRule type="expression" dxfId="1" priority="5075">
      <formula>AND(COUNTIF(I894:CV894,"&lt;&gt;" &amp; "")&gt;0,NOT(ISBLANK(G894)))</formula>
    </cfRule>
  </conditionalFormatting>
  <conditionalFormatting sqref="G895">
    <cfRule type="expression" dxfId="0" priority="5077">
      <formula>COUNTIF(I895:CV895,"&lt;&gt;" &amp; "")&gt;0</formula>
    </cfRule>
    <cfRule type="expression" dxfId="1" priority="5078">
      <formula>AND(COUNTIF(I895:CV895,"&lt;&gt;" &amp; "")&gt;0,NOT(ISBLANK(G895)))</formula>
    </cfRule>
  </conditionalFormatting>
  <conditionalFormatting sqref="G896">
    <cfRule type="expression" dxfId="0" priority="5080">
      <formula>COUNTIF(I896:CV896,"&lt;&gt;" &amp; "")&gt;0</formula>
    </cfRule>
    <cfRule type="expression" dxfId="1" priority="5081">
      <formula>AND(COUNTIF(I896:CV896,"&lt;&gt;" &amp; "")&gt;0,NOT(ISBLANK(G896)))</formula>
    </cfRule>
  </conditionalFormatting>
  <conditionalFormatting sqref="G897">
    <cfRule type="expression" dxfId="0" priority="5083">
      <formula>COUNTIF(I897:CV897,"&lt;&gt;" &amp; "")&gt;0</formula>
    </cfRule>
    <cfRule type="expression" dxfId="1" priority="5084">
      <formula>AND(COUNTIF(I897:CV897,"&lt;&gt;" &amp; "")&gt;0,NOT(ISBLANK(G897)))</formula>
    </cfRule>
  </conditionalFormatting>
  <conditionalFormatting sqref="G898">
    <cfRule type="expression" dxfId="0" priority="5086">
      <formula>COUNTIF(I898:CV898,"&lt;&gt;" &amp; "")&gt;0</formula>
    </cfRule>
    <cfRule type="expression" dxfId="1" priority="5087">
      <formula>AND(COUNTIF(I898:CV898,"&lt;&gt;" &amp; "")&gt;0,NOT(ISBLANK(G898)))</formula>
    </cfRule>
  </conditionalFormatting>
  <conditionalFormatting sqref="G899">
    <cfRule type="expression" dxfId="0" priority="5089">
      <formula>COUNTIF(I899:CV899,"&lt;&gt;" &amp; "")&gt;0</formula>
    </cfRule>
    <cfRule type="expression" dxfId="1" priority="5090">
      <formula>AND(COUNTIF(I899:CV899,"&lt;&gt;" &amp; "")&gt;0,NOT(ISBLANK(G899)))</formula>
    </cfRule>
  </conditionalFormatting>
  <conditionalFormatting sqref="G9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G90">
    <cfRule type="expression" dxfId="0" priority="2662">
      <formula>COUNTIF(I90:CV90,"&lt;&gt;" &amp; "")&gt;0</formula>
    </cfRule>
    <cfRule type="expression" dxfId="1" priority="2663">
      <formula>AND(COUNTIF(I90:CV90,"&lt;&gt;" &amp; "")&gt;0,NOT(ISBLANK(G90)))</formula>
    </cfRule>
  </conditionalFormatting>
  <conditionalFormatting sqref="G900">
    <cfRule type="expression" dxfId="0" priority="5092">
      <formula>COUNTIF(I900:CV900,"&lt;&gt;" &amp; "")&gt;0</formula>
    </cfRule>
    <cfRule type="expression" dxfId="1" priority="5093">
      <formula>AND(COUNTIF(I900:CV900,"&lt;&gt;" &amp; "")&gt;0,NOT(ISBLANK(G900)))</formula>
    </cfRule>
  </conditionalFormatting>
  <conditionalFormatting sqref="G901">
    <cfRule type="expression" dxfId="0" priority="5095">
      <formula>COUNTIF(I901:CV901,"&lt;&gt;" &amp; "")&gt;0</formula>
    </cfRule>
    <cfRule type="expression" dxfId="1" priority="5096">
      <formula>AND(COUNTIF(I901:CV901,"&lt;&gt;" &amp; "")&gt;0,NOT(ISBLANK(G901)))</formula>
    </cfRule>
  </conditionalFormatting>
  <conditionalFormatting sqref="G902">
    <cfRule type="expression" dxfId="0" priority="5098">
      <formula>COUNTIF(I902:CV902,"&lt;&gt;" &amp; "")&gt;0</formula>
    </cfRule>
    <cfRule type="expression" dxfId="1" priority="5099">
      <formula>AND(COUNTIF(I902:CV902,"&lt;&gt;" &amp; "")&gt;0,NOT(ISBLANK(G902)))</formula>
    </cfRule>
  </conditionalFormatting>
  <conditionalFormatting sqref="G903">
    <cfRule type="expression" dxfId="0" priority="5101">
      <formula>COUNTIF(I903:CV903,"&lt;&gt;" &amp; "")&gt;0</formula>
    </cfRule>
    <cfRule type="expression" dxfId="1" priority="5102">
      <formula>AND(COUNTIF(I903:CV903,"&lt;&gt;" &amp; "")&gt;0,NOT(ISBLANK(G903)))</formula>
    </cfRule>
  </conditionalFormatting>
  <conditionalFormatting sqref="G904">
    <cfRule type="expression" dxfId="0" priority="5104">
      <formula>COUNTIF(I904:CV904,"&lt;&gt;" &amp; "")&gt;0</formula>
    </cfRule>
    <cfRule type="expression" dxfId="1" priority="5105">
      <formula>AND(COUNTIF(I904:CV904,"&lt;&gt;" &amp; "")&gt;0,NOT(ISBLANK(G904)))</formula>
    </cfRule>
  </conditionalFormatting>
  <conditionalFormatting sqref="G905">
    <cfRule type="expression" dxfId="0" priority="5107">
      <formula>COUNTIF(I905:CV905,"&lt;&gt;" &amp; "")&gt;0</formula>
    </cfRule>
    <cfRule type="expression" dxfId="1" priority="5108">
      <formula>AND(COUNTIF(I905:CV905,"&lt;&gt;" &amp; "")&gt;0,NOT(ISBLANK(G905)))</formula>
    </cfRule>
  </conditionalFormatting>
  <conditionalFormatting sqref="G906">
    <cfRule type="expression" dxfId="0" priority="5110">
      <formula>COUNTIF(I906:CV906,"&lt;&gt;" &amp; "")&gt;0</formula>
    </cfRule>
    <cfRule type="expression" dxfId="1" priority="5111">
      <formula>AND(COUNTIF(I906:CV906,"&lt;&gt;" &amp; "")&gt;0,NOT(ISBLANK(G906)))</formula>
    </cfRule>
  </conditionalFormatting>
  <conditionalFormatting sqref="G907">
    <cfRule type="expression" dxfId="0" priority="5113">
      <formula>COUNTIF(I907:CV907,"&lt;&gt;" &amp; "")&gt;0</formula>
    </cfRule>
    <cfRule type="expression" dxfId="1" priority="5114">
      <formula>AND(COUNTIF(I907:CV907,"&lt;&gt;" &amp; "")&gt;0,NOT(ISBLANK(G907)))</formula>
    </cfRule>
  </conditionalFormatting>
  <conditionalFormatting sqref="G908">
    <cfRule type="expression" dxfId="0" priority="5116">
      <formula>COUNTIF(I908:CV908,"&lt;&gt;" &amp; "")&gt;0</formula>
    </cfRule>
    <cfRule type="expression" dxfId="1" priority="5117">
      <formula>AND(COUNTIF(I908:CV908,"&lt;&gt;" &amp; "")&gt;0,NOT(ISBLANK(G908)))</formula>
    </cfRule>
  </conditionalFormatting>
  <conditionalFormatting sqref="G909">
    <cfRule type="expression" dxfId="0" priority="5119">
      <formula>COUNTIF(I909:CV909,"&lt;&gt;" &amp; "")&gt;0</formula>
    </cfRule>
    <cfRule type="expression" dxfId="1" priority="5120">
      <formula>AND(COUNTIF(I909:CV909,"&lt;&gt;" &amp; "")&gt;0,NOT(ISBLANK(G909)))</formula>
    </cfRule>
  </conditionalFormatting>
  <conditionalFormatting sqref="G91">
    <cfRule type="expression" dxfId="0" priority="2665">
      <formula>COUNTIF(I91:CV91,"&lt;&gt;" &amp; "")&gt;0</formula>
    </cfRule>
    <cfRule type="expression" dxfId="1" priority="2666">
      <formula>AND(COUNTIF(I91:CV91,"&lt;&gt;" &amp; "")&gt;0,NOT(ISBLANK(G91)))</formula>
    </cfRule>
  </conditionalFormatting>
  <conditionalFormatting sqref="G910">
    <cfRule type="expression" dxfId="0" priority="5122">
      <formula>COUNTIF(I910:CV910,"&lt;&gt;" &amp; "")&gt;0</formula>
    </cfRule>
    <cfRule type="expression" dxfId="1" priority="5123">
      <formula>AND(COUNTIF(I910:CV910,"&lt;&gt;" &amp; "")&gt;0,NOT(ISBLANK(G910)))</formula>
    </cfRule>
  </conditionalFormatting>
  <conditionalFormatting sqref="G911">
    <cfRule type="expression" dxfId="0" priority="5125">
      <formula>COUNTIF(I911:CV911,"&lt;&gt;" &amp; "")&gt;0</formula>
    </cfRule>
    <cfRule type="expression" dxfId="1" priority="5126">
      <formula>AND(COUNTIF(I911:CV911,"&lt;&gt;" &amp; "")&gt;0,NOT(ISBLANK(G911)))</formula>
    </cfRule>
  </conditionalFormatting>
  <conditionalFormatting sqref="G912">
    <cfRule type="expression" dxfId="0" priority="5128">
      <formula>COUNTIF(I912:CV912,"&lt;&gt;" &amp; "")&gt;0</formula>
    </cfRule>
    <cfRule type="expression" dxfId="1" priority="5129">
      <formula>AND(COUNTIF(I912:CV912,"&lt;&gt;" &amp; "")&gt;0,NOT(ISBLANK(G912)))</formula>
    </cfRule>
  </conditionalFormatting>
  <conditionalFormatting sqref="G913">
    <cfRule type="expression" dxfId="0" priority="5131">
      <formula>COUNTIF(I913:CV913,"&lt;&gt;" &amp; "")&gt;0</formula>
    </cfRule>
    <cfRule type="expression" dxfId="1" priority="5132">
      <formula>AND(COUNTIF(I913:CV913,"&lt;&gt;" &amp; "")&gt;0,NOT(ISBLANK(G913)))</formula>
    </cfRule>
  </conditionalFormatting>
  <conditionalFormatting sqref="G914">
    <cfRule type="expression" dxfId="0" priority="5134">
      <formula>COUNTIF(I914:CV914,"&lt;&gt;" &amp; "")&gt;0</formula>
    </cfRule>
    <cfRule type="expression" dxfId="1" priority="5135">
      <formula>AND(COUNTIF(I914:CV914,"&lt;&gt;" &amp; "")&gt;0,NOT(ISBLANK(G914)))</formula>
    </cfRule>
  </conditionalFormatting>
  <conditionalFormatting sqref="G915">
    <cfRule type="expression" dxfId="0" priority="5137">
      <formula>COUNTIF(I915:CV915,"&lt;&gt;" &amp; "")&gt;0</formula>
    </cfRule>
    <cfRule type="expression" dxfId="1" priority="5138">
      <formula>AND(COUNTIF(I915:CV915,"&lt;&gt;" &amp; "")&gt;0,NOT(ISBLANK(G915)))</formula>
    </cfRule>
  </conditionalFormatting>
  <conditionalFormatting sqref="G916">
    <cfRule type="expression" dxfId="0" priority="5140">
      <formula>COUNTIF(I916:CV916,"&lt;&gt;" &amp; "")&gt;0</formula>
    </cfRule>
    <cfRule type="expression" dxfId="1" priority="5141">
      <formula>AND(COUNTIF(I916:CV916,"&lt;&gt;" &amp; "")&gt;0,NOT(ISBLANK(G916)))</formula>
    </cfRule>
  </conditionalFormatting>
  <conditionalFormatting sqref="G917">
    <cfRule type="expression" dxfId="0" priority="5143">
      <formula>COUNTIF(I917:CV917,"&lt;&gt;" &amp; "")&gt;0</formula>
    </cfRule>
    <cfRule type="expression" dxfId="1" priority="5144">
      <formula>AND(COUNTIF(I917:CV917,"&lt;&gt;" &amp; "")&gt;0,NOT(ISBLANK(G917)))</formula>
    </cfRule>
  </conditionalFormatting>
  <conditionalFormatting sqref="G918">
    <cfRule type="expression" dxfId="0" priority="5146">
      <formula>COUNTIF(I918:CV918,"&lt;&gt;" &amp; "")&gt;0</formula>
    </cfRule>
    <cfRule type="expression" dxfId="1" priority="5147">
      <formula>AND(COUNTIF(I918:CV918,"&lt;&gt;" &amp; "")&gt;0,NOT(ISBLANK(G918)))</formula>
    </cfRule>
  </conditionalFormatting>
  <conditionalFormatting sqref="G919">
    <cfRule type="expression" dxfId="0" priority="5149">
      <formula>COUNTIF(I919:CV919,"&lt;&gt;" &amp; "")&gt;0</formula>
    </cfRule>
    <cfRule type="expression" dxfId="1" priority="5150">
      <formula>AND(COUNTIF(I919:CV919,"&lt;&gt;" &amp; "")&gt;0,NOT(ISBLANK(G919)))</formula>
    </cfRule>
  </conditionalFormatting>
  <conditionalFormatting sqref="G92">
    <cfRule type="expression" dxfId="0" priority="2668">
      <formula>COUNTIF(I92:CV92,"&lt;&gt;" &amp; "")&gt;0</formula>
    </cfRule>
    <cfRule type="expression" dxfId="1" priority="2669">
      <formula>AND(COUNTIF(I92:CV92,"&lt;&gt;" &amp; "")&gt;0,NOT(ISBLANK(G92)))</formula>
    </cfRule>
  </conditionalFormatting>
  <conditionalFormatting sqref="G920">
    <cfRule type="expression" dxfId="0" priority="5152">
      <formula>COUNTIF(I920:CV920,"&lt;&gt;" &amp; "")&gt;0</formula>
    </cfRule>
    <cfRule type="expression" dxfId="1" priority="5153">
      <formula>AND(COUNTIF(I920:CV920,"&lt;&gt;" &amp; "")&gt;0,NOT(ISBLANK(G920)))</formula>
    </cfRule>
  </conditionalFormatting>
  <conditionalFormatting sqref="G921">
    <cfRule type="expression" dxfId="0" priority="5155">
      <formula>COUNTIF(I921:CV921,"&lt;&gt;" &amp; "")&gt;0</formula>
    </cfRule>
    <cfRule type="expression" dxfId="1" priority="5156">
      <formula>AND(COUNTIF(I921:CV921,"&lt;&gt;" &amp; "")&gt;0,NOT(ISBLANK(G921)))</formula>
    </cfRule>
  </conditionalFormatting>
  <conditionalFormatting sqref="G922">
    <cfRule type="expression" dxfId="0" priority="5158">
      <formula>COUNTIF(I922:CV922,"&lt;&gt;" &amp; "")&gt;0</formula>
    </cfRule>
    <cfRule type="expression" dxfId="1" priority="5159">
      <formula>AND(COUNTIF(I922:CV922,"&lt;&gt;" &amp; "")&gt;0,NOT(ISBLANK(G922)))</formula>
    </cfRule>
  </conditionalFormatting>
  <conditionalFormatting sqref="G923">
    <cfRule type="expression" dxfId="0" priority="5161">
      <formula>COUNTIF(I923:CV923,"&lt;&gt;" &amp; "")&gt;0</formula>
    </cfRule>
    <cfRule type="expression" dxfId="1" priority="5162">
      <formula>AND(COUNTIF(I923:CV923,"&lt;&gt;" &amp; "")&gt;0,NOT(ISBLANK(G923)))</formula>
    </cfRule>
  </conditionalFormatting>
  <conditionalFormatting sqref="G924">
    <cfRule type="expression" dxfId="0" priority="5164">
      <formula>COUNTIF(I924:CV924,"&lt;&gt;" &amp; "")&gt;0</formula>
    </cfRule>
    <cfRule type="expression" dxfId="1" priority="5165">
      <formula>AND(COUNTIF(I924:CV924,"&lt;&gt;" &amp; "")&gt;0,NOT(ISBLANK(G924)))</formula>
    </cfRule>
  </conditionalFormatting>
  <conditionalFormatting sqref="G925">
    <cfRule type="expression" dxfId="0" priority="5167">
      <formula>COUNTIF(I925:CV925,"&lt;&gt;" &amp; "")&gt;0</formula>
    </cfRule>
    <cfRule type="expression" dxfId="1" priority="5168">
      <formula>AND(COUNTIF(I925:CV925,"&lt;&gt;" &amp; "")&gt;0,NOT(ISBLANK(G925)))</formula>
    </cfRule>
  </conditionalFormatting>
  <conditionalFormatting sqref="G926">
    <cfRule type="expression" dxfId="0" priority="5170">
      <formula>COUNTIF(I926:CV926,"&lt;&gt;" &amp; "")&gt;0</formula>
    </cfRule>
    <cfRule type="expression" dxfId="1" priority="5171">
      <formula>AND(COUNTIF(I926:CV926,"&lt;&gt;" &amp; "")&gt;0,NOT(ISBLANK(G926)))</formula>
    </cfRule>
  </conditionalFormatting>
  <conditionalFormatting sqref="G927">
    <cfRule type="expression" dxfId="0" priority="5173">
      <formula>COUNTIF(I927:CV927,"&lt;&gt;" &amp; "")&gt;0</formula>
    </cfRule>
    <cfRule type="expression" dxfId="1" priority="5174">
      <formula>AND(COUNTIF(I927:CV927,"&lt;&gt;" &amp; "")&gt;0,NOT(ISBLANK(G927)))</formula>
    </cfRule>
  </conditionalFormatting>
  <conditionalFormatting sqref="G928">
    <cfRule type="expression" dxfId="0" priority="5176">
      <formula>COUNTIF(I928:CV928,"&lt;&gt;" &amp; "")&gt;0</formula>
    </cfRule>
    <cfRule type="expression" dxfId="1" priority="5177">
      <formula>AND(COUNTIF(I928:CV928,"&lt;&gt;" &amp; "")&gt;0,NOT(ISBLANK(G928)))</formula>
    </cfRule>
  </conditionalFormatting>
  <conditionalFormatting sqref="G929">
    <cfRule type="expression" dxfId="0" priority="5179">
      <formula>COUNTIF(I929:CV929,"&lt;&gt;" &amp; "")&gt;0</formula>
    </cfRule>
    <cfRule type="expression" dxfId="1" priority="5180">
      <formula>AND(COUNTIF(I929:CV929,"&lt;&gt;" &amp; "")&gt;0,NOT(ISBLANK(G929)))</formula>
    </cfRule>
  </conditionalFormatting>
  <conditionalFormatting sqref="G93">
    <cfRule type="expression" dxfId="0" priority="2671">
      <formula>COUNTIF(I93:CV93,"&lt;&gt;" &amp; "")&gt;0</formula>
    </cfRule>
    <cfRule type="expression" dxfId="1" priority="2672">
      <formula>AND(COUNTIF(I93:CV93,"&lt;&gt;" &amp; "")&gt;0,NOT(ISBLANK(G93)))</formula>
    </cfRule>
  </conditionalFormatting>
  <conditionalFormatting sqref="G930">
    <cfRule type="expression" dxfId="0" priority="5182">
      <formula>COUNTIF(I930:CV930,"&lt;&gt;" &amp; "")&gt;0</formula>
    </cfRule>
    <cfRule type="expression" dxfId="1" priority="5183">
      <formula>AND(COUNTIF(I930:CV930,"&lt;&gt;" &amp; "")&gt;0,NOT(ISBLANK(G930)))</formula>
    </cfRule>
  </conditionalFormatting>
  <conditionalFormatting sqref="G931">
    <cfRule type="expression" dxfId="0" priority="5185">
      <formula>COUNTIF(I931:CV931,"&lt;&gt;" &amp; "")&gt;0</formula>
    </cfRule>
    <cfRule type="expression" dxfId="1" priority="5186">
      <formula>AND(COUNTIF(I931:CV931,"&lt;&gt;" &amp; "")&gt;0,NOT(ISBLANK(G931)))</formula>
    </cfRule>
  </conditionalFormatting>
  <conditionalFormatting sqref="G932">
    <cfRule type="expression" dxfId="0" priority="5188">
      <formula>COUNTIF(I932:CV932,"&lt;&gt;" &amp; "")&gt;0</formula>
    </cfRule>
    <cfRule type="expression" dxfId="1" priority="5189">
      <formula>AND(COUNTIF(I932:CV932,"&lt;&gt;" &amp; "")&gt;0,NOT(ISBLANK(G932)))</formula>
    </cfRule>
  </conditionalFormatting>
  <conditionalFormatting sqref="G933">
    <cfRule type="expression" dxfId="0" priority="5191">
      <formula>COUNTIF(I933:CV933,"&lt;&gt;" &amp; "")&gt;0</formula>
    </cfRule>
    <cfRule type="expression" dxfId="1" priority="5192">
      <formula>AND(COUNTIF(I933:CV933,"&lt;&gt;" &amp; "")&gt;0,NOT(ISBLANK(G933)))</formula>
    </cfRule>
  </conditionalFormatting>
  <conditionalFormatting sqref="G934">
    <cfRule type="expression" dxfId="0" priority="5194">
      <formula>COUNTIF(I934:CV934,"&lt;&gt;" &amp; "")&gt;0</formula>
    </cfRule>
    <cfRule type="expression" dxfId="1" priority="5195">
      <formula>AND(COUNTIF(I934:CV934,"&lt;&gt;" &amp; "")&gt;0,NOT(ISBLANK(G934)))</formula>
    </cfRule>
  </conditionalFormatting>
  <conditionalFormatting sqref="G935">
    <cfRule type="expression" dxfId="0" priority="5197">
      <formula>COUNTIF(I935:CV935,"&lt;&gt;" &amp; "")&gt;0</formula>
    </cfRule>
    <cfRule type="expression" dxfId="1" priority="5198">
      <formula>AND(COUNTIF(I935:CV935,"&lt;&gt;" &amp; "")&gt;0,NOT(ISBLANK(G935)))</formula>
    </cfRule>
  </conditionalFormatting>
  <conditionalFormatting sqref="G936">
    <cfRule type="expression" dxfId="0" priority="5200">
      <formula>COUNTIF(I936:CV936,"&lt;&gt;" &amp; "")&gt;0</formula>
    </cfRule>
    <cfRule type="expression" dxfId="1" priority="5201">
      <formula>AND(COUNTIF(I936:CV936,"&lt;&gt;" &amp; "")&gt;0,NOT(ISBLANK(G936)))</formula>
    </cfRule>
  </conditionalFormatting>
  <conditionalFormatting sqref="G937">
    <cfRule type="expression" dxfId="0" priority="5203">
      <formula>COUNTIF(I937:CV937,"&lt;&gt;" &amp; "")&gt;0</formula>
    </cfRule>
    <cfRule type="expression" dxfId="1" priority="5204">
      <formula>AND(COUNTIF(I937:CV937,"&lt;&gt;" &amp; "")&gt;0,NOT(ISBLANK(G937)))</formula>
    </cfRule>
  </conditionalFormatting>
  <conditionalFormatting sqref="G938">
    <cfRule type="expression" dxfId="0" priority="5206">
      <formula>COUNTIF(I938:CV938,"&lt;&gt;" &amp; "")&gt;0</formula>
    </cfRule>
    <cfRule type="expression" dxfId="1" priority="5207">
      <formula>AND(COUNTIF(I938:CV938,"&lt;&gt;" &amp; "")&gt;0,NOT(ISBLANK(G938)))</formula>
    </cfRule>
  </conditionalFormatting>
  <conditionalFormatting sqref="G939">
    <cfRule type="expression" dxfId="0" priority="5209">
      <formula>COUNTIF(I939:CV939,"&lt;&gt;" &amp; "")&gt;0</formula>
    </cfRule>
    <cfRule type="expression" dxfId="1" priority="5210">
      <formula>AND(COUNTIF(I939:CV939,"&lt;&gt;" &amp; "")&gt;0,NOT(ISBLANK(G939)))</formula>
    </cfRule>
  </conditionalFormatting>
  <conditionalFormatting sqref="G94">
    <cfRule type="expression" dxfId="0" priority="2674">
      <formula>COUNTIF(I94:CV94,"&lt;&gt;" &amp; "")&gt;0</formula>
    </cfRule>
    <cfRule type="expression" dxfId="1" priority="2675">
      <formula>AND(COUNTIF(I94:CV94,"&lt;&gt;" &amp; "")&gt;0,NOT(ISBLANK(G94)))</formula>
    </cfRule>
  </conditionalFormatting>
  <conditionalFormatting sqref="G940">
    <cfRule type="expression" dxfId="0" priority="5212">
      <formula>COUNTIF(I940:CV940,"&lt;&gt;" &amp; "")&gt;0</formula>
    </cfRule>
    <cfRule type="expression" dxfId="1" priority="5213">
      <formula>AND(COUNTIF(I940:CV940,"&lt;&gt;" &amp; "")&gt;0,NOT(ISBLANK(G940)))</formula>
    </cfRule>
  </conditionalFormatting>
  <conditionalFormatting sqref="G941">
    <cfRule type="expression" dxfId="0" priority="5215">
      <formula>COUNTIF(I941:CV941,"&lt;&gt;" &amp; "")&gt;0</formula>
    </cfRule>
    <cfRule type="expression" dxfId="1" priority="5216">
      <formula>AND(COUNTIF(I941:CV941,"&lt;&gt;" &amp; "")&gt;0,NOT(ISBLANK(G941)))</formula>
    </cfRule>
  </conditionalFormatting>
  <conditionalFormatting sqref="G942">
    <cfRule type="expression" dxfId="0" priority="5218">
      <formula>COUNTIF(I942:CV942,"&lt;&gt;" &amp; "")&gt;0</formula>
    </cfRule>
    <cfRule type="expression" dxfId="1" priority="5219">
      <formula>AND(COUNTIF(I942:CV942,"&lt;&gt;" &amp; "")&gt;0,NOT(ISBLANK(G942)))</formula>
    </cfRule>
  </conditionalFormatting>
  <conditionalFormatting sqref="G943">
    <cfRule type="expression" dxfId="0" priority="5221">
      <formula>COUNTIF(I943:CV943,"&lt;&gt;" &amp; "")&gt;0</formula>
    </cfRule>
    <cfRule type="expression" dxfId="1" priority="5222">
      <formula>AND(COUNTIF(I943:CV943,"&lt;&gt;" &amp; "")&gt;0,NOT(ISBLANK(G943)))</formula>
    </cfRule>
  </conditionalFormatting>
  <conditionalFormatting sqref="G944">
    <cfRule type="expression" dxfId="0" priority="5224">
      <formula>COUNTIF(I944:CV944,"&lt;&gt;" &amp; "")&gt;0</formula>
    </cfRule>
    <cfRule type="expression" dxfId="1" priority="5225">
      <formula>AND(COUNTIF(I944:CV944,"&lt;&gt;" &amp; "")&gt;0,NOT(ISBLANK(G944)))</formula>
    </cfRule>
  </conditionalFormatting>
  <conditionalFormatting sqref="G945">
    <cfRule type="expression" dxfId="0" priority="5227">
      <formula>COUNTIF(I945:CV945,"&lt;&gt;" &amp; "")&gt;0</formula>
    </cfRule>
    <cfRule type="expression" dxfId="1" priority="5228">
      <formula>AND(COUNTIF(I945:CV945,"&lt;&gt;" &amp; "")&gt;0,NOT(ISBLANK(G945)))</formula>
    </cfRule>
  </conditionalFormatting>
  <conditionalFormatting sqref="G946">
    <cfRule type="expression" dxfId="0" priority="5230">
      <formula>COUNTIF(I946:CV946,"&lt;&gt;" &amp; "")&gt;0</formula>
    </cfRule>
    <cfRule type="expression" dxfId="1" priority="5231">
      <formula>AND(COUNTIF(I946:CV946,"&lt;&gt;" &amp; "")&gt;0,NOT(ISBLANK(G946)))</formula>
    </cfRule>
  </conditionalFormatting>
  <conditionalFormatting sqref="G947">
    <cfRule type="expression" dxfId="0" priority="5233">
      <formula>COUNTIF(I947:CV947,"&lt;&gt;" &amp; "")&gt;0</formula>
    </cfRule>
    <cfRule type="expression" dxfId="1" priority="5234">
      <formula>AND(COUNTIF(I947:CV947,"&lt;&gt;" &amp; "")&gt;0,NOT(ISBLANK(G947)))</formula>
    </cfRule>
  </conditionalFormatting>
  <conditionalFormatting sqref="G948">
    <cfRule type="expression" dxfId="0" priority="5236">
      <formula>COUNTIF(I948:CV948,"&lt;&gt;" &amp; "")&gt;0</formula>
    </cfRule>
    <cfRule type="expression" dxfId="1" priority="5237">
      <formula>AND(COUNTIF(I948:CV948,"&lt;&gt;" &amp; "")&gt;0,NOT(ISBLANK(G948)))</formula>
    </cfRule>
  </conditionalFormatting>
  <conditionalFormatting sqref="G949">
    <cfRule type="expression" dxfId="0" priority="5239">
      <formula>COUNTIF(I949:CV949,"&lt;&gt;" &amp; "")&gt;0</formula>
    </cfRule>
    <cfRule type="expression" dxfId="1" priority="5240">
      <formula>AND(COUNTIF(I949:CV949,"&lt;&gt;" &amp; "")&gt;0,NOT(ISBLANK(G949)))</formula>
    </cfRule>
  </conditionalFormatting>
  <conditionalFormatting sqref="G95">
    <cfRule type="expression" dxfId="0" priority="2677">
      <formula>COUNTIF(I95:CV95,"&lt;&gt;" &amp; "")&gt;0</formula>
    </cfRule>
    <cfRule type="expression" dxfId="1" priority="2678">
      <formula>AND(COUNTIF(I95:CV95,"&lt;&gt;" &amp; "")&gt;0,NOT(ISBLANK(G95)))</formula>
    </cfRule>
  </conditionalFormatting>
  <conditionalFormatting sqref="G950">
    <cfRule type="expression" dxfId="0" priority="5242">
      <formula>COUNTIF(I950:CV950,"&lt;&gt;" &amp; "")&gt;0</formula>
    </cfRule>
    <cfRule type="expression" dxfId="1" priority="5243">
      <formula>AND(COUNTIF(I950:CV950,"&lt;&gt;" &amp; "")&gt;0,NOT(ISBLANK(G950)))</formula>
    </cfRule>
  </conditionalFormatting>
  <conditionalFormatting sqref="G951">
    <cfRule type="expression" dxfId="0" priority="5245">
      <formula>COUNTIF(I951:CV951,"&lt;&gt;" &amp; "")&gt;0</formula>
    </cfRule>
    <cfRule type="expression" dxfId="1" priority="5246">
      <formula>AND(COUNTIF(I951:CV951,"&lt;&gt;" &amp; "")&gt;0,NOT(ISBLANK(G951)))</formula>
    </cfRule>
  </conditionalFormatting>
  <conditionalFormatting sqref="G952">
    <cfRule type="expression" dxfId="0" priority="5248">
      <formula>COUNTIF(I952:CV952,"&lt;&gt;" &amp; "")&gt;0</formula>
    </cfRule>
    <cfRule type="expression" dxfId="1" priority="5249">
      <formula>AND(COUNTIF(I952:CV952,"&lt;&gt;" &amp; "")&gt;0,NOT(ISBLANK(G952)))</formula>
    </cfRule>
  </conditionalFormatting>
  <conditionalFormatting sqref="G953">
    <cfRule type="expression" dxfId="0" priority="5251">
      <formula>COUNTIF(I953:CV953,"&lt;&gt;" &amp; "")&gt;0</formula>
    </cfRule>
    <cfRule type="expression" dxfId="1" priority="5252">
      <formula>AND(COUNTIF(I953:CV953,"&lt;&gt;" &amp; "")&gt;0,NOT(ISBLANK(G953)))</formula>
    </cfRule>
  </conditionalFormatting>
  <conditionalFormatting sqref="G954">
    <cfRule type="expression" dxfId="0" priority="5254">
      <formula>COUNTIF(I954:CV954,"&lt;&gt;" &amp; "")&gt;0</formula>
    </cfRule>
    <cfRule type="expression" dxfId="1" priority="5255">
      <formula>AND(COUNTIF(I954:CV954,"&lt;&gt;" &amp; "")&gt;0,NOT(ISBLANK(G954)))</formula>
    </cfRule>
  </conditionalFormatting>
  <conditionalFormatting sqref="G955">
    <cfRule type="expression" dxfId="0" priority="5257">
      <formula>COUNTIF(I955:CV955,"&lt;&gt;" &amp; "")&gt;0</formula>
    </cfRule>
    <cfRule type="expression" dxfId="1" priority="5258">
      <formula>AND(COUNTIF(I955:CV955,"&lt;&gt;" &amp; "")&gt;0,NOT(ISBLANK(G955)))</formula>
    </cfRule>
  </conditionalFormatting>
  <conditionalFormatting sqref="G956">
    <cfRule type="expression" dxfId="0" priority="5260">
      <formula>COUNTIF(I956:CV956,"&lt;&gt;" &amp; "")&gt;0</formula>
    </cfRule>
    <cfRule type="expression" dxfId="1" priority="5261">
      <formula>AND(COUNTIF(I956:CV956,"&lt;&gt;" &amp; "")&gt;0,NOT(ISBLANK(G956)))</formula>
    </cfRule>
  </conditionalFormatting>
  <conditionalFormatting sqref="G957">
    <cfRule type="expression" dxfId="0" priority="5263">
      <formula>COUNTIF(I957:CV957,"&lt;&gt;" &amp; "")&gt;0</formula>
    </cfRule>
    <cfRule type="expression" dxfId="1" priority="5264">
      <formula>AND(COUNTIF(I957:CV957,"&lt;&gt;" &amp; "")&gt;0,NOT(ISBLANK(G957)))</formula>
    </cfRule>
  </conditionalFormatting>
  <conditionalFormatting sqref="G958">
    <cfRule type="expression" dxfId="0" priority="5266">
      <formula>COUNTIF(I958:CV958,"&lt;&gt;" &amp; "")&gt;0</formula>
    </cfRule>
    <cfRule type="expression" dxfId="1" priority="5267">
      <formula>AND(COUNTIF(I958:CV958,"&lt;&gt;" &amp; "")&gt;0,NOT(ISBLANK(G958)))</formula>
    </cfRule>
  </conditionalFormatting>
  <conditionalFormatting sqref="G959">
    <cfRule type="expression" dxfId="0" priority="5269">
      <formula>COUNTIF(I959:CV959,"&lt;&gt;" &amp; "")&gt;0</formula>
    </cfRule>
    <cfRule type="expression" dxfId="1" priority="5270">
      <formula>AND(COUNTIF(I959:CV959,"&lt;&gt;" &amp; "")&gt;0,NOT(ISBLANK(G959)))</formula>
    </cfRule>
  </conditionalFormatting>
  <conditionalFormatting sqref="G96">
    <cfRule type="expression" dxfId="0" priority="2680">
      <formula>COUNTIF(I96:CV96,"&lt;&gt;" &amp; "")&gt;0</formula>
    </cfRule>
    <cfRule type="expression" dxfId="1" priority="2681">
      <formula>AND(COUNTIF(I96:CV96,"&lt;&gt;" &amp; "")&gt;0,NOT(ISBLANK(G96)))</formula>
    </cfRule>
  </conditionalFormatting>
  <conditionalFormatting sqref="G960">
    <cfRule type="expression" dxfId="0" priority="5272">
      <formula>COUNTIF(I960:CV960,"&lt;&gt;" &amp; "")&gt;0</formula>
    </cfRule>
    <cfRule type="expression" dxfId="1" priority="5273">
      <formula>AND(COUNTIF(I960:CV960,"&lt;&gt;" &amp; "")&gt;0,NOT(ISBLANK(G960)))</formula>
    </cfRule>
  </conditionalFormatting>
  <conditionalFormatting sqref="G961">
    <cfRule type="expression" dxfId="0" priority="5275">
      <formula>COUNTIF(I961:CV961,"&lt;&gt;" &amp; "")&gt;0</formula>
    </cfRule>
    <cfRule type="expression" dxfId="1" priority="5276">
      <formula>AND(COUNTIF(I961:CV961,"&lt;&gt;" &amp; "")&gt;0,NOT(ISBLANK(G961)))</formula>
    </cfRule>
  </conditionalFormatting>
  <conditionalFormatting sqref="G962">
    <cfRule type="expression" dxfId="0" priority="5278">
      <formula>COUNTIF(I962:CV962,"&lt;&gt;" &amp; "")&gt;0</formula>
    </cfRule>
    <cfRule type="expression" dxfId="1" priority="5279">
      <formula>AND(COUNTIF(I962:CV962,"&lt;&gt;" &amp; "")&gt;0,NOT(ISBLANK(G962)))</formula>
    </cfRule>
  </conditionalFormatting>
  <conditionalFormatting sqref="G963">
    <cfRule type="expression" dxfId="0" priority="5281">
      <formula>COUNTIF(I963:CV963,"&lt;&gt;" &amp; "")&gt;0</formula>
    </cfRule>
    <cfRule type="expression" dxfId="1" priority="5282">
      <formula>AND(COUNTIF(I963:CV963,"&lt;&gt;" &amp; "")&gt;0,NOT(ISBLANK(G963)))</formula>
    </cfRule>
  </conditionalFormatting>
  <conditionalFormatting sqref="G964">
    <cfRule type="expression" dxfId="0" priority="5284">
      <formula>COUNTIF(I964:CV964,"&lt;&gt;" &amp; "")&gt;0</formula>
    </cfRule>
    <cfRule type="expression" dxfId="1" priority="5285">
      <formula>AND(COUNTIF(I964:CV964,"&lt;&gt;" &amp; "")&gt;0,NOT(ISBLANK(G964)))</formula>
    </cfRule>
  </conditionalFormatting>
  <conditionalFormatting sqref="G965">
    <cfRule type="expression" dxfId="0" priority="5287">
      <formula>COUNTIF(I965:CV965,"&lt;&gt;" &amp; "")&gt;0</formula>
    </cfRule>
    <cfRule type="expression" dxfId="1" priority="5288">
      <formula>AND(COUNTIF(I965:CV965,"&lt;&gt;" &amp; "")&gt;0,NOT(ISBLANK(G965)))</formula>
    </cfRule>
  </conditionalFormatting>
  <conditionalFormatting sqref="G966">
    <cfRule type="expression" dxfId="0" priority="5290">
      <formula>COUNTIF(I966:CV966,"&lt;&gt;" &amp; "")&gt;0</formula>
    </cfRule>
    <cfRule type="expression" dxfId="1" priority="5291">
      <formula>AND(COUNTIF(I966:CV966,"&lt;&gt;" &amp; "")&gt;0,NOT(ISBLANK(G966)))</formula>
    </cfRule>
  </conditionalFormatting>
  <conditionalFormatting sqref="G967">
    <cfRule type="expression" dxfId="0" priority="5293">
      <formula>COUNTIF(I967:CV967,"&lt;&gt;" &amp; "")&gt;0</formula>
    </cfRule>
    <cfRule type="expression" dxfId="1" priority="5294">
      <formula>AND(COUNTIF(I967:CV967,"&lt;&gt;" &amp; "")&gt;0,NOT(ISBLANK(G967)))</formula>
    </cfRule>
  </conditionalFormatting>
  <conditionalFormatting sqref="G968">
    <cfRule type="expression" dxfId="0" priority="5296">
      <formula>COUNTIF(I968:CV968,"&lt;&gt;" &amp; "")&gt;0</formula>
    </cfRule>
    <cfRule type="expression" dxfId="1" priority="5297">
      <formula>AND(COUNTIF(I968:CV968,"&lt;&gt;" &amp; "")&gt;0,NOT(ISBLANK(G968)))</formula>
    </cfRule>
  </conditionalFormatting>
  <conditionalFormatting sqref="G969">
    <cfRule type="expression" dxfId="0" priority="5299">
      <formula>COUNTIF(I969:CV969,"&lt;&gt;" &amp; "")&gt;0</formula>
    </cfRule>
    <cfRule type="expression" dxfId="1" priority="5300">
      <formula>AND(COUNTIF(I969:CV969,"&lt;&gt;" &amp; "")&gt;0,NOT(ISBLANK(G969)))</formula>
    </cfRule>
  </conditionalFormatting>
  <conditionalFormatting sqref="G97">
    <cfRule type="expression" dxfId="0" priority="2683">
      <formula>COUNTIF(I97:CV97,"&lt;&gt;" &amp; "")&gt;0</formula>
    </cfRule>
    <cfRule type="expression" dxfId="1" priority="2684">
      <formula>AND(COUNTIF(I97:CV97,"&lt;&gt;" &amp; "")&gt;0,NOT(ISBLANK(G97)))</formula>
    </cfRule>
  </conditionalFormatting>
  <conditionalFormatting sqref="G970">
    <cfRule type="expression" dxfId="0" priority="5302">
      <formula>COUNTIF(I970:CV970,"&lt;&gt;" &amp; "")&gt;0</formula>
    </cfRule>
    <cfRule type="expression" dxfId="1" priority="5303">
      <formula>AND(COUNTIF(I970:CV970,"&lt;&gt;" &amp; "")&gt;0,NOT(ISBLANK(G970)))</formula>
    </cfRule>
  </conditionalFormatting>
  <conditionalFormatting sqref="G971">
    <cfRule type="expression" dxfId="0" priority="5305">
      <formula>COUNTIF(I971:CV971,"&lt;&gt;" &amp; "")&gt;0</formula>
    </cfRule>
    <cfRule type="expression" dxfId="1" priority="5306">
      <formula>AND(COUNTIF(I971:CV971,"&lt;&gt;" &amp; "")&gt;0,NOT(ISBLANK(G971)))</formula>
    </cfRule>
  </conditionalFormatting>
  <conditionalFormatting sqref="G972">
    <cfRule type="expression" dxfId="0" priority="5308">
      <formula>COUNTIF(I972:CV972,"&lt;&gt;" &amp; "")&gt;0</formula>
    </cfRule>
    <cfRule type="expression" dxfId="1" priority="5309">
      <formula>AND(COUNTIF(I972:CV972,"&lt;&gt;" &amp; "")&gt;0,NOT(ISBLANK(G972)))</formula>
    </cfRule>
  </conditionalFormatting>
  <conditionalFormatting sqref="G973">
    <cfRule type="expression" dxfId="0" priority="5311">
      <formula>COUNTIF(I973:CV973,"&lt;&gt;" &amp; "")&gt;0</formula>
    </cfRule>
    <cfRule type="expression" dxfId="1" priority="5312">
      <formula>AND(COUNTIF(I973:CV973,"&lt;&gt;" &amp; "")&gt;0,NOT(ISBLANK(G973)))</formula>
    </cfRule>
  </conditionalFormatting>
  <conditionalFormatting sqref="G974">
    <cfRule type="expression" dxfId="0" priority="5314">
      <formula>COUNTIF(I974:CV974,"&lt;&gt;" &amp; "")&gt;0</formula>
    </cfRule>
    <cfRule type="expression" dxfId="1" priority="5315">
      <formula>AND(COUNTIF(I974:CV974,"&lt;&gt;" &amp; "")&gt;0,NOT(ISBLANK(G974)))</formula>
    </cfRule>
  </conditionalFormatting>
  <conditionalFormatting sqref="G975">
    <cfRule type="expression" dxfId="0" priority="5317">
      <formula>COUNTIF(I975:CV975,"&lt;&gt;" &amp; "")&gt;0</formula>
    </cfRule>
    <cfRule type="expression" dxfId="1" priority="5318">
      <formula>AND(COUNTIF(I975:CV975,"&lt;&gt;" &amp; "")&gt;0,NOT(ISBLANK(G975)))</formula>
    </cfRule>
  </conditionalFormatting>
  <conditionalFormatting sqref="G976">
    <cfRule type="expression" dxfId="0" priority="5320">
      <formula>COUNTIF(I976:CV976,"&lt;&gt;" &amp; "")&gt;0</formula>
    </cfRule>
    <cfRule type="expression" dxfId="1" priority="5321">
      <formula>AND(COUNTIF(I976:CV976,"&lt;&gt;" &amp; "")&gt;0,NOT(ISBLANK(G976)))</formula>
    </cfRule>
  </conditionalFormatting>
  <conditionalFormatting sqref="G977">
    <cfRule type="expression" dxfId="0" priority="5323">
      <formula>COUNTIF(I977:CV977,"&lt;&gt;" &amp; "")&gt;0</formula>
    </cfRule>
    <cfRule type="expression" dxfId="1" priority="5324">
      <formula>AND(COUNTIF(I977:CV977,"&lt;&gt;" &amp; "")&gt;0,NOT(ISBLANK(G977)))</formula>
    </cfRule>
  </conditionalFormatting>
  <conditionalFormatting sqref="G978">
    <cfRule type="expression" dxfId="0" priority="5326">
      <formula>COUNTIF(I978:CV978,"&lt;&gt;" &amp; "")&gt;0</formula>
    </cfRule>
    <cfRule type="expression" dxfId="1" priority="5327">
      <formula>AND(COUNTIF(I978:CV978,"&lt;&gt;" &amp; "")&gt;0,NOT(ISBLANK(G978)))</formula>
    </cfRule>
  </conditionalFormatting>
  <conditionalFormatting sqref="G979">
    <cfRule type="expression" dxfId="0" priority="5329">
      <formula>COUNTIF(I979:CV979,"&lt;&gt;" &amp; "")&gt;0</formula>
    </cfRule>
    <cfRule type="expression" dxfId="1" priority="5330">
      <formula>AND(COUNTIF(I979:CV979,"&lt;&gt;" &amp; "")&gt;0,NOT(ISBLANK(G979)))</formula>
    </cfRule>
  </conditionalFormatting>
  <conditionalFormatting sqref="G98">
    <cfRule type="expression" dxfId="0" priority="2686">
      <formula>COUNTIF(I98:CV98,"&lt;&gt;" &amp; "")&gt;0</formula>
    </cfRule>
    <cfRule type="expression" dxfId="1" priority="2687">
      <formula>AND(COUNTIF(I98:CV98,"&lt;&gt;" &amp; "")&gt;0,NOT(ISBLANK(G98)))</formula>
    </cfRule>
  </conditionalFormatting>
  <conditionalFormatting sqref="G980">
    <cfRule type="expression" dxfId="0" priority="5332">
      <formula>COUNTIF(I980:CV980,"&lt;&gt;" &amp; "")&gt;0</formula>
    </cfRule>
    <cfRule type="expression" dxfId="1" priority="5333">
      <formula>AND(COUNTIF(I980:CV980,"&lt;&gt;" &amp; "")&gt;0,NOT(ISBLANK(G980)))</formula>
    </cfRule>
  </conditionalFormatting>
  <conditionalFormatting sqref="G981">
    <cfRule type="expression" dxfId="0" priority="5335">
      <formula>COUNTIF(I981:CV981,"&lt;&gt;" &amp; "")&gt;0</formula>
    </cfRule>
    <cfRule type="expression" dxfId="1" priority="5336">
      <formula>AND(COUNTIF(I981:CV981,"&lt;&gt;" &amp; "")&gt;0,NOT(ISBLANK(G981)))</formula>
    </cfRule>
  </conditionalFormatting>
  <conditionalFormatting sqref="G982">
    <cfRule type="expression" dxfId="0" priority="5338">
      <formula>COUNTIF(I982:CV982,"&lt;&gt;" &amp; "")&gt;0</formula>
    </cfRule>
    <cfRule type="expression" dxfId="1" priority="5339">
      <formula>AND(COUNTIF(I982:CV982,"&lt;&gt;" &amp; "")&gt;0,NOT(ISBLANK(G982)))</formula>
    </cfRule>
  </conditionalFormatting>
  <conditionalFormatting sqref="G983">
    <cfRule type="expression" dxfId="0" priority="5341">
      <formula>COUNTIF(I983:CV983,"&lt;&gt;" &amp; "")&gt;0</formula>
    </cfRule>
    <cfRule type="expression" dxfId="1" priority="5342">
      <formula>AND(COUNTIF(I983:CV983,"&lt;&gt;" &amp; "")&gt;0,NOT(ISBLANK(G983)))</formula>
    </cfRule>
  </conditionalFormatting>
  <conditionalFormatting sqref="G984">
    <cfRule type="expression" dxfId="0" priority="5344">
      <formula>COUNTIF(I984:CV984,"&lt;&gt;" &amp; "")&gt;0</formula>
    </cfRule>
    <cfRule type="expression" dxfId="1" priority="5345">
      <formula>AND(COUNTIF(I984:CV984,"&lt;&gt;" &amp; "")&gt;0,NOT(ISBLANK(G984)))</formula>
    </cfRule>
  </conditionalFormatting>
  <conditionalFormatting sqref="G985">
    <cfRule type="expression" dxfId="0" priority="5347">
      <formula>COUNTIF(I985:CV985,"&lt;&gt;" &amp; "")&gt;0</formula>
    </cfRule>
    <cfRule type="expression" dxfId="1" priority="5348">
      <formula>AND(COUNTIF(I985:CV985,"&lt;&gt;" &amp; "")&gt;0,NOT(ISBLANK(G985)))</formula>
    </cfRule>
  </conditionalFormatting>
  <conditionalFormatting sqref="G986">
    <cfRule type="expression" dxfId="0" priority="5350">
      <formula>COUNTIF(I986:CV986,"&lt;&gt;" &amp; "")&gt;0</formula>
    </cfRule>
    <cfRule type="expression" dxfId="1" priority="5351">
      <formula>AND(COUNTIF(I986:CV986,"&lt;&gt;" &amp; "")&gt;0,NOT(ISBLANK(G986)))</formula>
    </cfRule>
  </conditionalFormatting>
  <conditionalFormatting sqref="G987">
    <cfRule type="expression" dxfId="0" priority="5353">
      <formula>COUNTIF(I987:CV987,"&lt;&gt;" &amp; "")&gt;0</formula>
    </cfRule>
    <cfRule type="expression" dxfId="1" priority="5354">
      <formula>AND(COUNTIF(I987:CV987,"&lt;&gt;" &amp; "")&gt;0,NOT(ISBLANK(G987)))</formula>
    </cfRule>
  </conditionalFormatting>
  <conditionalFormatting sqref="G988">
    <cfRule type="expression" dxfId="0" priority="5356">
      <formula>COUNTIF(I988:CV988,"&lt;&gt;" &amp; "")&gt;0</formula>
    </cfRule>
    <cfRule type="expression" dxfId="1" priority="5357">
      <formula>AND(COUNTIF(I988:CV988,"&lt;&gt;" &amp; "")&gt;0,NOT(ISBLANK(G988)))</formula>
    </cfRule>
  </conditionalFormatting>
  <conditionalFormatting sqref="G989">
    <cfRule type="expression" dxfId="0" priority="5359">
      <formula>COUNTIF(I989:CV989,"&lt;&gt;" &amp; "")&gt;0</formula>
    </cfRule>
    <cfRule type="expression" dxfId="1" priority="5360">
      <formula>AND(COUNTIF(I989:CV989,"&lt;&gt;" &amp; "")&gt;0,NOT(ISBLANK(G989)))</formula>
    </cfRule>
  </conditionalFormatting>
  <conditionalFormatting sqref="G99">
    <cfRule type="expression" dxfId="0" priority="2689">
      <formula>COUNTIF(I99:CV99,"&lt;&gt;" &amp; "")&gt;0</formula>
    </cfRule>
    <cfRule type="expression" dxfId="1" priority="2690">
      <formula>AND(COUNTIF(I99:CV99,"&lt;&gt;" &amp; "")&gt;0,NOT(ISBLANK(G99)))</formula>
    </cfRule>
  </conditionalFormatting>
  <conditionalFormatting sqref="G990">
    <cfRule type="expression" dxfId="0" priority="5362">
      <formula>COUNTIF(I990:CV990,"&lt;&gt;" &amp; "")&gt;0</formula>
    </cfRule>
    <cfRule type="expression" dxfId="1" priority="5363">
      <formula>AND(COUNTIF(I990:CV990,"&lt;&gt;" &amp; "")&gt;0,NOT(ISBLANK(G990)))</formula>
    </cfRule>
  </conditionalFormatting>
  <conditionalFormatting sqref="G991">
    <cfRule type="expression" dxfId="0" priority="5365">
      <formula>COUNTIF(I991:CV991,"&lt;&gt;" &amp; "")&gt;0</formula>
    </cfRule>
    <cfRule type="expression" dxfId="1" priority="5366">
      <formula>AND(COUNTIF(I991:CV991,"&lt;&gt;" &amp; "")&gt;0,NOT(ISBLANK(G991)))</formula>
    </cfRule>
  </conditionalFormatting>
  <conditionalFormatting sqref="G992">
    <cfRule type="expression" dxfId="0" priority="5368">
      <formula>COUNTIF(I992:CV992,"&lt;&gt;" &amp; "")&gt;0</formula>
    </cfRule>
    <cfRule type="expression" dxfId="1" priority="5369">
      <formula>AND(COUNTIF(I992:CV992,"&lt;&gt;" &amp; "")&gt;0,NOT(ISBLANK(G992)))</formula>
    </cfRule>
  </conditionalFormatting>
  <conditionalFormatting sqref="G993">
    <cfRule type="expression" dxfId="0" priority="5371">
      <formula>COUNTIF(I993:CV993,"&lt;&gt;" &amp; "")&gt;0</formula>
    </cfRule>
    <cfRule type="expression" dxfId="1" priority="5372">
      <formula>AND(COUNTIF(I993:CV993,"&lt;&gt;" &amp; "")&gt;0,NOT(ISBLANK(G993)))</formula>
    </cfRule>
  </conditionalFormatting>
  <conditionalFormatting sqref="G994">
    <cfRule type="expression" dxfId="0" priority="5374">
      <formula>COUNTIF(I994:CV994,"&lt;&gt;" &amp; "")&gt;0</formula>
    </cfRule>
    <cfRule type="expression" dxfId="1" priority="5375">
      <formula>AND(COUNTIF(I994:CV994,"&lt;&gt;" &amp; "")&gt;0,NOT(ISBLANK(G994)))</formula>
    </cfRule>
  </conditionalFormatting>
  <conditionalFormatting sqref="G995">
    <cfRule type="expression" dxfId="0" priority="5377">
      <formula>COUNTIF(I995:CV995,"&lt;&gt;" &amp; "")&gt;0</formula>
    </cfRule>
    <cfRule type="expression" dxfId="1" priority="5378">
      <formula>AND(COUNTIF(I995:CV995,"&lt;&gt;" &amp; "")&gt;0,NOT(ISBLANK(G995)))</formula>
    </cfRule>
  </conditionalFormatting>
  <conditionalFormatting sqref="G996">
    <cfRule type="expression" dxfId="0" priority="5380">
      <formula>COUNTIF(I996:CV996,"&lt;&gt;" &amp; "")&gt;0</formula>
    </cfRule>
    <cfRule type="expression" dxfId="1" priority="5381">
      <formula>AND(COUNTIF(I996:CV996,"&lt;&gt;" &amp; "")&gt;0,NOT(ISBLANK(G996)))</formula>
    </cfRule>
  </conditionalFormatting>
  <conditionalFormatting sqref="G997">
    <cfRule type="expression" dxfId="0" priority="5383">
      <formula>COUNTIF(I997:CV997,"&lt;&gt;" &amp; "")&gt;0</formula>
    </cfRule>
    <cfRule type="expression" dxfId="1" priority="5384">
      <formula>AND(COUNTIF(I997:CV997,"&lt;&gt;" &amp; "")&gt;0,NOT(ISBLANK(G997)))</formula>
    </cfRule>
  </conditionalFormatting>
  <conditionalFormatting sqref="G998">
    <cfRule type="expression" dxfId="0" priority="5386">
      <formula>COUNTIF(I998:CV998,"&lt;&gt;" &amp; "")&gt;0</formula>
    </cfRule>
    <cfRule type="expression" dxfId="1" priority="5387">
      <formula>AND(COUNTIF(I998:CV998,"&lt;&gt;" &amp; "")&gt;0,NOT(ISBLANK(G998)))</formula>
    </cfRule>
  </conditionalFormatting>
  <conditionalFormatting sqref="G999">
    <cfRule type="expression" dxfId="0" priority="5389">
      <formula>COUNTIF(I999:CV999,"&lt;&gt;" &amp; "")&gt;0</formula>
    </cfRule>
    <cfRule type="expression" dxfId="1" priority="5390">
      <formula>AND(COUNTIF(I999:CV999,"&lt;&gt;" &amp; "")&gt;0,NOT(ISBLANK(G999)))</formula>
    </cfRule>
  </conditionalFormatting>
  <conditionalFormatting sqref="H10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H12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H13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H14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H15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H16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H17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H18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H19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0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H21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H23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H25">
    <cfRule type="cellIs" dxfId="2" priority="1413" operator="equal">
      <formula>"Y"</formula>
    </cfRule>
    <cfRule type="cellIs" dxfId="3" priority="1414" operator="equal">
      <formula>"N"</formula>
    </cfRule>
  </conditionalFormatting>
  <conditionalFormatting sqref="H26">
    <cfRule type="cellIs" dxfId="2" priority="1483" operator="equal">
      <formula>"Y"</formula>
    </cfRule>
    <cfRule type="cellIs" dxfId="3" priority="1484" operator="equal">
      <formula>"N"</formula>
    </cfRule>
  </conditionalFormatting>
  <conditionalFormatting sqref="H27">
    <cfRule type="cellIs" dxfId="2" priority="1553" operator="equal">
      <formula>"Y"</formula>
    </cfRule>
    <cfRule type="cellIs" dxfId="3" priority="1554" operator="equal">
      <formula>"N"</formula>
    </cfRule>
  </conditionalFormatting>
  <conditionalFormatting sqref="H28">
    <cfRule type="cellIs" dxfId="2" priority="1623" operator="equal">
      <formula>"Y"</formula>
    </cfRule>
    <cfRule type="cellIs" dxfId="3" priority="1624" operator="equal">
      <formula>"N"</formula>
    </cfRule>
  </conditionalFormatting>
  <conditionalFormatting sqref="H29">
    <cfRule type="cellIs" dxfId="2" priority="1693" operator="equal">
      <formula>"Y"</formula>
    </cfRule>
    <cfRule type="cellIs" dxfId="3" priority="1694" operator="equal">
      <formula>"N"</formula>
    </cfRule>
  </conditionalFormatting>
  <conditionalFormatting sqref="H30">
    <cfRule type="cellIs" dxfId="2" priority="1763" operator="equal">
      <formula>"Y"</formula>
    </cfRule>
    <cfRule type="cellIs" dxfId="3" priority="1764" operator="equal">
      <formula>"N"</formula>
    </cfRule>
  </conditionalFormatting>
  <conditionalFormatting sqref="H31">
    <cfRule type="cellIs" dxfId="2" priority="1833" operator="equal">
      <formula>"Y"</formula>
    </cfRule>
    <cfRule type="cellIs" dxfId="3" priority="1834" operator="equal">
      <formula>"N"</formula>
    </cfRule>
  </conditionalFormatting>
  <conditionalFormatting sqref="H32">
    <cfRule type="cellIs" dxfId="2" priority="1903" operator="equal">
      <formula>"Y"</formula>
    </cfRule>
    <cfRule type="cellIs" dxfId="3" priority="1904" operator="equal">
      <formula>"N"</formula>
    </cfRule>
  </conditionalFormatting>
  <conditionalFormatting sqref="H33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H3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H35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H36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H37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H38">
    <cfRule type="cellIs" dxfId="2" priority="2323" operator="equal">
      <formula>"Y"</formula>
    </cfRule>
    <cfRule type="cellIs" dxfId="3" priority="2324" operator="equal">
      <formula>"N"</formula>
    </cfRule>
  </conditionalFormatting>
  <conditionalFormatting sqref="H39">
    <cfRule type="cellIs" dxfId="2" priority="2393" operator="equal">
      <formula>"Y"</formula>
    </cfRule>
    <cfRule type="cellIs" dxfId="3" priority="2394" operator="equal">
      <formula>"N"</formula>
    </cfRule>
  </conditionalFormatting>
  <conditionalFormatting sqref="H40">
    <cfRule type="cellIs" dxfId="2" priority="2463" operator="equal">
      <formula>"Y"</formula>
    </cfRule>
    <cfRule type="cellIs" dxfId="3" priority="2464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H7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H8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9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I10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I11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I13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I14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I15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I16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I17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I18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I19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0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I21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I23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4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I25">
    <cfRule type="cellIs" dxfId="2" priority="1415" operator="equal">
      <formula>"Y"</formula>
    </cfRule>
    <cfRule type="cellIs" dxfId="3" priority="1416" operator="equal">
      <formula>"N"</formula>
    </cfRule>
  </conditionalFormatting>
  <conditionalFormatting sqref="I26">
    <cfRule type="cellIs" dxfId="2" priority="1485" operator="equal">
      <formula>"Y"</formula>
    </cfRule>
    <cfRule type="cellIs" dxfId="3" priority="1486" operator="equal">
      <formula>"N"</formula>
    </cfRule>
  </conditionalFormatting>
  <conditionalFormatting sqref="I27">
    <cfRule type="cellIs" dxfId="2" priority="1555" operator="equal">
      <formula>"Y"</formula>
    </cfRule>
    <cfRule type="cellIs" dxfId="3" priority="1556" operator="equal">
      <formula>"N"</formula>
    </cfRule>
  </conditionalFormatting>
  <conditionalFormatting sqref="I28">
    <cfRule type="cellIs" dxfId="2" priority="1625" operator="equal">
      <formula>"Y"</formula>
    </cfRule>
    <cfRule type="cellIs" dxfId="3" priority="1626" operator="equal">
      <formula>"N"</formula>
    </cfRule>
  </conditionalFormatting>
  <conditionalFormatting sqref="I29">
    <cfRule type="cellIs" dxfId="2" priority="1695" operator="equal">
      <formula>"Y"</formula>
    </cfRule>
    <cfRule type="cellIs" dxfId="3" priority="1696" operator="equal">
      <formula>"N"</formula>
    </cfRule>
  </conditionalFormatting>
  <conditionalFormatting sqref="I30">
    <cfRule type="cellIs" dxfId="2" priority="1765" operator="equal">
      <formula>"Y"</formula>
    </cfRule>
    <cfRule type="cellIs" dxfId="3" priority="1766" operator="equal">
      <formula>"N"</formula>
    </cfRule>
  </conditionalFormatting>
  <conditionalFormatting sqref="I31">
    <cfRule type="cellIs" dxfId="2" priority="1835" operator="equal">
      <formula>"Y"</formula>
    </cfRule>
    <cfRule type="cellIs" dxfId="3" priority="1836" operator="equal">
      <formula>"N"</formula>
    </cfRule>
  </conditionalFormatting>
  <conditionalFormatting sqref="I32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I33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I3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I35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I36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I37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I38">
    <cfRule type="cellIs" dxfId="2" priority="2325" operator="equal">
      <formula>"Y"</formula>
    </cfRule>
    <cfRule type="cellIs" dxfId="3" priority="2326" operator="equal">
      <formula>"N"</formula>
    </cfRule>
  </conditionalFormatting>
  <conditionalFormatting sqref="I39">
    <cfRule type="cellIs" dxfId="2" priority="2395" operator="equal">
      <formula>"Y"</formula>
    </cfRule>
    <cfRule type="cellIs" dxfId="3" priority="2396" operator="equal">
      <formula>"N"</formula>
    </cfRule>
  </conditionalFormatting>
  <conditionalFormatting sqref="I40">
    <cfRule type="cellIs" dxfId="2" priority="2465" operator="equal">
      <formula>"Y"</formula>
    </cfRule>
    <cfRule type="cellIs" dxfId="3" priority="2466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I7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I8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9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J10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J11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J12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J14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J15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J16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J17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J18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J19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0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J21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J23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4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J25">
    <cfRule type="cellIs" dxfId="2" priority="1417" operator="equal">
      <formula>"Y"</formula>
    </cfRule>
    <cfRule type="cellIs" dxfId="3" priority="1418" operator="equal">
      <formula>"N"</formula>
    </cfRule>
  </conditionalFormatting>
  <conditionalFormatting sqref="J26">
    <cfRule type="cellIs" dxfId="2" priority="1487" operator="equal">
      <formula>"Y"</formula>
    </cfRule>
    <cfRule type="cellIs" dxfId="3" priority="1488" operator="equal">
      <formula>"N"</formula>
    </cfRule>
  </conditionalFormatting>
  <conditionalFormatting sqref="J27">
    <cfRule type="cellIs" dxfId="2" priority="1557" operator="equal">
      <formula>"Y"</formula>
    </cfRule>
    <cfRule type="cellIs" dxfId="3" priority="1558" operator="equal">
      <formula>"N"</formula>
    </cfRule>
  </conditionalFormatting>
  <conditionalFormatting sqref="J28">
    <cfRule type="cellIs" dxfId="2" priority="1627" operator="equal">
      <formula>"Y"</formula>
    </cfRule>
    <cfRule type="cellIs" dxfId="3" priority="1628" operator="equal">
      <formula>"N"</formula>
    </cfRule>
  </conditionalFormatting>
  <conditionalFormatting sqref="J29">
    <cfRule type="cellIs" dxfId="2" priority="1697" operator="equal">
      <formula>"Y"</formula>
    </cfRule>
    <cfRule type="cellIs" dxfId="3" priority="1698" operator="equal">
      <formula>"N"</formula>
    </cfRule>
  </conditionalFormatting>
  <conditionalFormatting sqref="J30">
    <cfRule type="cellIs" dxfId="2" priority="1767" operator="equal">
      <formula>"Y"</formula>
    </cfRule>
    <cfRule type="cellIs" dxfId="3" priority="1768" operator="equal">
      <formula>"N"</formula>
    </cfRule>
  </conditionalFormatting>
  <conditionalFormatting sqref="J31">
    <cfRule type="cellIs" dxfId="2" priority="1837" operator="equal">
      <formula>"Y"</formula>
    </cfRule>
    <cfRule type="cellIs" dxfId="3" priority="1838" operator="equal">
      <formula>"N"</formula>
    </cfRule>
  </conditionalFormatting>
  <conditionalFormatting sqref="J32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J33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J3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J35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J36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J37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J38">
    <cfRule type="cellIs" dxfId="2" priority="2327" operator="equal">
      <formula>"Y"</formula>
    </cfRule>
    <cfRule type="cellIs" dxfId="3" priority="2328" operator="equal">
      <formula>"N"</formula>
    </cfRule>
  </conditionalFormatting>
  <conditionalFormatting sqref="J39">
    <cfRule type="cellIs" dxfId="2" priority="2397" operator="equal">
      <formula>"Y"</formula>
    </cfRule>
    <cfRule type="cellIs" dxfId="3" priority="2398" operator="equal">
      <formula>"N"</formula>
    </cfRule>
  </conditionalFormatting>
  <conditionalFormatting sqref="J40">
    <cfRule type="cellIs" dxfId="2" priority="2467" operator="equal">
      <formula>"Y"</formula>
    </cfRule>
    <cfRule type="cellIs" dxfId="3" priority="2468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J7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J8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J9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K10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K11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K12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K13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K15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K16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K17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K18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K19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0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K21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K23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4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K25">
    <cfRule type="cellIs" dxfId="2" priority="1419" operator="equal">
      <formula>"Y"</formula>
    </cfRule>
    <cfRule type="cellIs" dxfId="3" priority="1420" operator="equal">
      <formula>"N"</formula>
    </cfRule>
  </conditionalFormatting>
  <conditionalFormatting sqref="K26">
    <cfRule type="cellIs" dxfId="2" priority="1489" operator="equal">
      <formula>"Y"</formula>
    </cfRule>
    <cfRule type="cellIs" dxfId="3" priority="1490" operator="equal">
      <formula>"N"</formula>
    </cfRule>
  </conditionalFormatting>
  <conditionalFormatting sqref="K27">
    <cfRule type="cellIs" dxfId="2" priority="1559" operator="equal">
      <formula>"Y"</formula>
    </cfRule>
    <cfRule type="cellIs" dxfId="3" priority="1560" operator="equal">
      <formula>"N"</formula>
    </cfRule>
  </conditionalFormatting>
  <conditionalFormatting sqref="K28">
    <cfRule type="cellIs" dxfId="2" priority="1629" operator="equal">
      <formula>"Y"</formula>
    </cfRule>
    <cfRule type="cellIs" dxfId="3" priority="1630" operator="equal">
      <formula>"N"</formula>
    </cfRule>
  </conditionalFormatting>
  <conditionalFormatting sqref="K29">
    <cfRule type="cellIs" dxfId="2" priority="1699" operator="equal">
      <formula>"Y"</formula>
    </cfRule>
    <cfRule type="cellIs" dxfId="3" priority="1700" operator="equal">
      <formula>"N"</formula>
    </cfRule>
  </conditionalFormatting>
  <conditionalFormatting sqref="K30">
    <cfRule type="cellIs" dxfId="2" priority="1769" operator="equal">
      <formula>"Y"</formula>
    </cfRule>
    <cfRule type="cellIs" dxfId="3" priority="1770" operator="equal">
      <formula>"N"</formula>
    </cfRule>
  </conditionalFormatting>
  <conditionalFormatting sqref="K31">
    <cfRule type="cellIs" dxfId="2" priority="1839" operator="equal">
      <formula>"Y"</formula>
    </cfRule>
    <cfRule type="cellIs" dxfId="3" priority="1840" operator="equal">
      <formula>"N"</formula>
    </cfRule>
  </conditionalFormatting>
  <conditionalFormatting sqref="K32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K33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K3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K35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K36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K37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K38">
    <cfRule type="cellIs" dxfId="2" priority="2329" operator="equal">
      <formula>"Y"</formula>
    </cfRule>
    <cfRule type="cellIs" dxfId="3" priority="2330" operator="equal">
      <formula>"N"</formula>
    </cfRule>
  </conditionalFormatting>
  <conditionalFormatting sqref="K39">
    <cfRule type="cellIs" dxfId="2" priority="2399" operator="equal">
      <formula>"Y"</formula>
    </cfRule>
    <cfRule type="cellIs" dxfId="3" priority="2400" operator="equal">
      <formula>"N"</formula>
    </cfRule>
  </conditionalFormatting>
  <conditionalFormatting sqref="K40">
    <cfRule type="cellIs" dxfId="2" priority="2469" operator="equal">
      <formula>"Y"</formula>
    </cfRule>
    <cfRule type="cellIs" dxfId="3" priority="2470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K7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K8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K9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L10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L11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L12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L13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L14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L16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L17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L18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L19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0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L21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L23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4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L25">
    <cfRule type="cellIs" dxfId="2" priority="1421" operator="equal">
      <formula>"Y"</formula>
    </cfRule>
    <cfRule type="cellIs" dxfId="3" priority="1422" operator="equal">
      <formula>"N"</formula>
    </cfRule>
  </conditionalFormatting>
  <conditionalFormatting sqref="L26">
    <cfRule type="cellIs" dxfId="2" priority="1491" operator="equal">
      <formula>"Y"</formula>
    </cfRule>
    <cfRule type="cellIs" dxfId="3" priority="1492" operator="equal">
      <formula>"N"</formula>
    </cfRule>
  </conditionalFormatting>
  <conditionalFormatting sqref="L27">
    <cfRule type="cellIs" dxfId="2" priority="1561" operator="equal">
      <formula>"Y"</formula>
    </cfRule>
    <cfRule type="cellIs" dxfId="3" priority="1562" operator="equal">
      <formula>"N"</formula>
    </cfRule>
  </conditionalFormatting>
  <conditionalFormatting sqref="L28">
    <cfRule type="cellIs" dxfId="2" priority="1631" operator="equal">
      <formula>"Y"</formula>
    </cfRule>
    <cfRule type="cellIs" dxfId="3" priority="1632" operator="equal">
      <formula>"N"</formula>
    </cfRule>
  </conditionalFormatting>
  <conditionalFormatting sqref="L29">
    <cfRule type="cellIs" dxfId="2" priority="1701" operator="equal">
      <formula>"Y"</formula>
    </cfRule>
    <cfRule type="cellIs" dxfId="3" priority="1702" operator="equal">
      <formula>"N"</formula>
    </cfRule>
  </conditionalFormatting>
  <conditionalFormatting sqref="L30">
    <cfRule type="cellIs" dxfId="2" priority="1771" operator="equal">
      <formula>"Y"</formula>
    </cfRule>
    <cfRule type="cellIs" dxfId="3" priority="1772" operator="equal">
      <formula>"N"</formula>
    </cfRule>
  </conditionalFormatting>
  <conditionalFormatting sqref="L31">
    <cfRule type="cellIs" dxfId="2" priority="1841" operator="equal">
      <formula>"Y"</formula>
    </cfRule>
    <cfRule type="cellIs" dxfId="3" priority="1842" operator="equal">
      <formula>"N"</formula>
    </cfRule>
  </conditionalFormatting>
  <conditionalFormatting sqref="L32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L33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L3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L35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L36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L37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L38">
    <cfRule type="cellIs" dxfId="2" priority="2331" operator="equal">
      <formula>"Y"</formula>
    </cfRule>
    <cfRule type="cellIs" dxfId="3" priority="2332" operator="equal">
      <formula>"N"</formula>
    </cfRule>
  </conditionalFormatting>
  <conditionalFormatting sqref="L39">
    <cfRule type="cellIs" dxfId="2" priority="2401" operator="equal">
      <formula>"Y"</formula>
    </cfRule>
    <cfRule type="cellIs" dxfId="3" priority="2402" operator="equal">
      <formula>"N"</formula>
    </cfRule>
  </conditionalFormatting>
  <conditionalFormatting sqref="L40">
    <cfRule type="cellIs" dxfId="2" priority="2471" operator="equal">
      <formula>"Y"</formula>
    </cfRule>
    <cfRule type="cellIs" dxfId="3" priority="2472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L7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L8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L9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M10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M11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M12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M13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M14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M15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M17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M18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M19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0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M21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M23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4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M25">
    <cfRule type="cellIs" dxfId="2" priority="1423" operator="equal">
      <formula>"Y"</formula>
    </cfRule>
    <cfRule type="cellIs" dxfId="3" priority="1424" operator="equal">
      <formula>"N"</formula>
    </cfRule>
  </conditionalFormatting>
  <conditionalFormatting sqref="M26">
    <cfRule type="cellIs" dxfId="2" priority="1493" operator="equal">
      <formula>"Y"</formula>
    </cfRule>
    <cfRule type="cellIs" dxfId="3" priority="1494" operator="equal">
      <formula>"N"</formula>
    </cfRule>
  </conditionalFormatting>
  <conditionalFormatting sqref="M27">
    <cfRule type="cellIs" dxfId="2" priority="1563" operator="equal">
      <formula>"Y"</formula>
    </cfRule>
    <cfRule type="cellIs" dxfId="3" priority="1564" operator="equal">
      <formula>"N"</formula>
    </cfRule>
  </conditionalFormatting>
  <conditionalFormatting sqref="M28">
    <cfRule type="cellIs" dxfId="2" priority="1633" operator="equal">
      <formula>"Y"</formula>
    </cfRule>
    <cfRule type="cellIs" dxfId="3" priority="1634" operator="equal">
      <formula>"N"</formula>
    </cfRule>
  </conditionalFormatting>
  <conditionalFormatting sqref="M29">
    <cfRule type="cellIs" dxfId="2" priority="1703" operator="equal">
      <formula>"Y"</formula>
    </cfRule>
    <cfRule type="cellIs" dxfId="3" priority="1704" operator="equal">
      <formula>"N"</formula>
    </cfRule>
  </conditionalFormatting>
  <conditionalFormatting sqref="M30">
    <cfRule type="cellIs" dxfId="2" priority="1773" operator="equal">
      <formula>"Y"</formula>
    </cfRule>
    <cfRule type="cellIs" dxfId="3" priority="1774" operator="equal">
      <formula>"N"</formula>
    </cfRule>
  </conditionalFormatting>
  <conditionalFormatting sqref="M31">
    <cfRule type="cellIs" dxfId="2" priority="1843" operator="equal">
      <formula>"Y"</formula>
    </cfRule>
    <cfRule type="cellIs" dxfId="3" priority="1844" operator="equal">
      <formula>"N"</formula>
    </cfRule>
  </conditionalFormatting>
  <conditionalFormatting sqref="M32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M33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M3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M35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M36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M37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M38">
    <cfRule type="cellIs" dxfId="2" priority="2333" operator="equal">
      <formula>"Y"</formula>
    </cfRule>
    <cfRule type="cellIs" dxfId="3" priority="2334" operator="equal">
      <formula>"N"</formula>
    </cfRule>
  </conditionalFormatting>
  <conditionalFormatting sqref="M39">
    <cfRule type="cellIs" dxfId="2" priority="2403" operator="equal">
      <formula>"Y"</formula>
    </cfRule>
    <cfRule type="cellIs" dxfId="3" priority="2404" operator="equal">
      <formula>"N"</formula>
    </cfRule>
  </conditionalFormatting>
  <conditionalFormatting sqref="M40">
    <cfRule type="cellIs" dxfId="2" priority="2473" operator="equal">
      <formula>"Y"</formula>
    </cfRule>
    <cfRule type="cellIs" dxfId="3" priority="2474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M7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M8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M9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N10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N11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N12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N13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N14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N15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N16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18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N19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0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N21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N23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4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N25">
    <cfRule type="cellIs" dxfId="2" priority="1425" operator="equal">
      <formula>"Y"</formula>
    </cfRule>
    <cfRule type="cellIs" dxfId="3" priority="1426" operator="equal">
      <formula>"N"</formula>
    </cfRule>
  </conditionalFormatting>
  <conditionalFormatting sqref="N26">
    <cfRule type="cellIs" dxfId="2" priority="1495" operator="equal">
      <formula>"Y"</formula>
    </cfRule>
    <cfRule type="cellIs" dxfId="3" priority="1496" operator="equal">
      <formula>"N"</formula>
    </cfRule>
  </conditionalFormatting>
  <conditionalFormatting sqref="N27">
    <cfRule type="cellIs" dxfId="2" priority="1565" operator="equal">
      <formula>"Y"</formula>
    </cfRule>
    <cfRule type="cellIs" dxfId="3" priority="1566" operator="equal">
      <formula>"N"</formula>
    </cfRule>
  </conditionalFormatting>
  <conditionalFormatting sqref="N28">
    <cfRule type="cellIs" dxfId="2" priority="1635" operator="equal">
      <formula>"Y"</formula>
    </cfRule>
    <cfRule type="cellIs" dxfId="3" priority="1636" operator="equal">
      <formula>"N"</formula>
    </cfRule>
  </conditionalFormatting>
  <conditionalFormatting sqref="N29">
    <cfRule type="cellIs" dxfId="2" priority="1705" operator="equal">
      <formula>"Y"</formula>
    </cfRule>
    <cfRule type="cellIs" dxfId="3" priority="1706" operator="equal">
      <formula>"N"</formula>
    </cfRule>
  </conditionalFormatting>
  <conditionalFormatting sqref="N30">
    <cfRule type="cellIs" dxfId="2" priority="1775" operator="equal">
      <formula>"Y"</formula>
    </cfRule>
    <cfRule type="cellIs" dxfId="3" priority="1776" operator="equal">
      <formula>"N"</formula>
    </cfRule>
  </conditionalFormatting>
  <conditionalFormatting sqref="N31">
    <cfRule type="cellIs" dxfId="2" priority="1845" operator="equal">
      <formula>"Y"</formula>
    </cfRule>
    <cfRule type="cellIs" dxfId="3" priority="1846" operator="equal">
      <formula>"N"</formula>
    </cfRule>
  </conditionalFormatting>
  <conditionalFormatting sqref="N32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N33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N3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N35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N36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N37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N38">
    <cfRule type="cellIs" dxfId="2" priority="2335" operator="equal">
      <formula>"Y"</formula>
    </cfRule>
    <cfRule type="cellIs" dxfId="3" priority="2336" operator="equal">
      <formula>"N"</formula>
    </cfRule>
  </conditionalFormatting>
  <conditionalFormatting sqref="N39">
    <cfRule type="cellIs" dxfId="2" priority="2405" operator="equal">
      <formula>"Y"</formula>
    </cfRule>
    <cfRule type="cellIs" dxfId="3" priority="2406" operator="equal">
      <formula>"N"</formula>
    </cfRule>
  </conditionalFormatting>
  <conditionalFormatting sqref="N40">
    <cfRule type="cellIs" dxfId="2" priority="2475" operator="equal">
      <formula>"Y"</formula>
    </cfRule>
    <cfRule type="cellIs" dxfId="3" priority="2476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N7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N8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N9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O10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O11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O12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O13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O14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O15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O16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17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O19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0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O21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O23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4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O25">
    <cfRule type="cellIs" dxfId="2" priority="1427" operator="equal">
      <formula>"Y"</formula>
    </cfRule>
    <cfRule type="cellIs" dxfId="3" priority="1428" operator="equal">
      <formula>"N"</formula>
    </cfRule>
  </conditionalFormatting>
  <conditionalFormatting sqref="O26">
    <cfRule type="cellIs" dxfId="2" priority="1497" operator="equal">
      <formula>"Y"</formula>
    </cfRule>
    <cfRule type="cellIs" dxfId="3" priority="1498" operator="equal">
      <formula>"N"</formula>
    </cfRule>
  </conditionalFormatting>
  <conditionalFormatting sqref="O27">
    <cfRule type="cellIs" dxfId="2" priority="1567" operator="equal">
      <formula>"Y"</formula>
    </cfRule>
    <cfRule type="cellIs" dxfId="3" priority="1568" operator="equal">
      <formula>"N"</formula>
    </cfRule>
  </conditionalFormatting>
  <conditionalFormatting sqref="O28">
    <cfRule type="cellIs" dxfId="2" priority="1637" operator="equal">
      <formula>"Y"</formula>
    </cfRule>
    <cfRule type="cellIs" dxfId="3" priority="1638" operator="equal">
      <formula>"N"</formula>
    </cfRule>
  </conditionalFormatting>
  <conditionalFormatting sqref="O29">
    <cfRule type="cellIs" dxfId="2" priority="1707" operator="equal">
      <formula>"Y"</formula>
    </cfRule>
    <cfRule type="cellIs" dxfId="3" priority="1708" operator="equal">
      <formula>"N"</formula>
    </cfRule>
  </conditionalFormatting>
  <conditionalFormatting sqref="O30">
    <cfRule type="cellIs" dxfId="2" priority="1777" operator="equal">
      <formula>"Y"</formula>
    </cfRule>
    <cfRule type="cellIs" dxfId="3" priority="1778" operator="equal">
      <formula>"N"</formula>
    </cfRule>
  </conditionalFormatting>
  <conditionalFormatting sqref="O31">
    <cfRule type="cellIs" dxfId="2" priority="1847" operator="equal">
      <formula>"Y"</formula>
    </cfRule>
    <cfRule type="cellIs" dxfId="3" priority="1848" operator="equal">
      <formula>"N"</formula>
    </cfRule>
  </conditionalFormatting>
  <conditionalFormatting sqref="O32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O33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O3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O35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O36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O37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O38">
    <cfRule type="cellIs" dxfId="2" priority="2337" operator="equal">
      <formula>"Y"</formula>
    </cfRule>
    <cfRule type="cellIs" dxfId="3" priority="2338" operator="equal">
      <formula>"N"</formula>
    </cfRule>
  </conditionalFormatting>
  <conditionalFormatting sqref="O39">
    <cfRule type="cellIs" dxfId="2" priority="2407" operator="equal">
      <formula>"Y"</formula>
    </cfRule>
    <cfRule type="cellIs" dxfId="3" priority="2408" operator="equal">
      <formula>"N"</formula>
    </cfRule>
  </conditionalFormatting>
  <conditionalFormatting sqref="O40">
    <cfRule type="cellIs" dxfId="2" priority="2477" operator="equal">
      <formula>"Y"</formula>
    </cfRule>
    <cfRule type="cellIs" dxfId="3" priority="2478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O7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O8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O9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P10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P11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P12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P13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P14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P15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P16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17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P18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P20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P21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P2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P2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P24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P25">
    <cfRule type="cellIs" dxfId="2" priority="1429" operator="equal">
      <formula>"Y"</formula>
    </cfRule>
    <cfRule type="cellIs" dxfId="3" priority="1430" operator="equal">
      <formula>"N"</formula>
    </cfRule>
  </conditionalFormatting>
  <conditionalFormatting sqref="P26">
    <cfRule type="cellIs" dxfId="2" priority="1499" operator="equal">
      <formula>"Y"</formula>
    </cfRule>
    <cfRule type="cellIs" dxfId="3" priority="1500" operator="equal">
      <formula>"N"</formula>
    </cfRule>
  </conditionalFormatting>
  <conditionalFormatting sqref="P27">
    <cfRule type="cellIs" dxfId="2" priority="1569" operator="equal">
      <formula>"Y"</formula>
    </cfRule>
    <cfRule type="cellIs" dxfId="3" priority="1570" operator="equal">
      <formula>"N"</formula>
    </cfRule>
  </conditionalFormatting>
  <conditionalFormatting sqref="P28">
    <cfRule type="cellIs" dxfId="2" priority="1639" operator="equal">
      <formula>"Y"</formula>
    </cfRule>
    <cfRule type="cellIs" dxfId="3" priority="1640" operator="equal">
      <formula>"N"</formula>
    </cfRule>
  </conditionalFormatting>
  <conditionalFormatting sqref="P29">
    <cfRule type="cellIs" dxfId="2" priority="1709" operator="equal">
      <formula>"Y"</formula>
    </cfRule>
    <cfRule type="cellIs" dxfId="3" priority="1710" operator="equal">
      <formula>"N"</formula>
    </cfRule>
  </conditionalFormatting>
  <conditionalFormatting sqref="P30">
    <cfRule type="cellIs" dxfId="2" priority="1779" operator="equal">
      <formula>"Y"</formula>
    </cfRule>
    <cfRule type="cellIs" dxfId="3" priority="1780" operator="equal">
      <formula>"N"</formula>
    </cfRule>
  </conditionalFormatting>
  <conditionalFormatting sqref="P31">
    <cfRule type="cellIs" dxfId="2" priority="1849" operator="equal">
      <formula>"Y"</formula>
    </cfRule>
    <cfRule type="cellIs" dxfId="3" priority="1850" operator="equal">
      <formula>"N"</formula>
    </cfRule>
  </conditionalFormatting>
  <conditionalFormatting sqref="P32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P33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P3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P35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P36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P37">
    <cfRule type="cellIs" dxfId="2" priority="2269" operator="equal">
      <formula>"Y"</formula>
    </cfRule>
    <cfRule type="cellIs" dxfId="3" priority="2270" operator="equal">
      <formula>"N"</formula>
    </cfRule>
  </conditionalFormatting>
  <conditionalFormatting sqref="P38">
    <cfRule type="cellIs" dxfId="2" priority="2339" operator="equal">
      <formula>"Y"</formula>
    </cfRule>
    <cfRule type="cellIs" dxfId="3" priority="2340" operator="equal">
      <formula>"N"</formula>
    </cfRule>
  </conditionalFormatting>
  <conditionalFormatting sqref="P39">
    <cfRule type="cellIs" dxfId="2" priority="2409" operator="equal">
      <formula>"Y"</formula>
    </cfRule>
    <cfRule type="cellIs" dxfId="3" priority="2410" operator="equal">
      <formula>"N"</formula>
    </cfRule>
  </conditionalFormatting>
  <conditionalFormatting sqref="P40">
    <cfRule type="cellIs" dxfId="2" priority="2479" operator="equal">
      <formula>"Y"</formula>
    </cfRule>
    <cfRule type="cellIs" dxfId="3" priority="2480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P7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P8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P9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Q10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Q11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Q12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Q13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Q14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Q15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Q16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17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Q18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Q19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Q21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Q2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Q2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Q24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Q25">
    <cfRule type="cellIs" dxfId="2" priority="1431" operator="equal">
      <formula>"Y"</formula>
    </cfRule>
    <cfRule type="cellIs" dxfId="3" priority="1432" operator="equal">
      <formula>"N"</formula>
    </cfRule>
  </conditionalFormatting>
  <conditionalFormatting sqref="Q26">
    <cfRule type="cellIs" dxfId="2" priority="1501" operator="equal">
      <formula>"Y"</formula>
    </cfRule>
    <cfRule type="cellIs" dxfId="3" priority="1502" operator="equal">
      <formula>"N"</formula>
    </cfRule>
  </conditionalFormatting>
  <conditionalFormatting sqref="Q27">
    <cfRule type="cellIs" dxfId="2" priority="1571" operator="equal">
      <formula>"Y"</formula>
    </cfRule>
    <cfRule type="cellIs" dxfId="3" priority="1572" operator="equal">
      <formula>"N"</formula>
    </cfRule>
  </conditionalFormatting>
  <conditionalFormatting sqref="Q28">
    <cfRule type="cellIs" dxfId="2" priority="1641" operator="equal">
      <formula>"Y"</formula>
    </cfRule>
    <cfRule type="cellIs" dxfId="3" priority="1642" operator="equal">
      <formula>"N"</formula>
    </cfRule>
  </conditionalFormatting>
  <conditionalFormatting sqref="Q29">
    <cfRule type="cellIs" dxfId="2" priority="1711" operator="equal">
      <formula>"Y"</formula>
    </cfRule>
    <cfRule type="cellIs" dxfId="3" priority="1712" operator="equal">
      <formula>"N"</formula>
    </cfRule>
  </conditionalFormatting>
  <conditionalFormatting sqref="Q30">
    <cfRule type="cellIs" dxfId="2" priority="1781" operator="equal">
      <formula>"Y"</formula>
    </cfRule>
    <cfRule type="cellIs" dxfId="3" priority="1782" operator="equal">
      <formula>"N"</formula>
    </cfRule>
  </conditionalFormatting>
  <conditionalFormatting sqref="Q31">
    <cfRule type="cellIs" dxfId="2" priority="1851" operator="equal">
      <formula>"Y"</formula>
    </cfRule>
    <cfRule type="cellIs" dxfId="3" priority="1852" operator="equal">
      <formula>"N"</formula>
    </cfRule>
  </conditionalFormatting>
  <conditionalFormatting sqref="Q32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Q33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Q34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Q35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Q36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Q37">
    <cfRule type="cellIs" dxfId="2" priority="2271" operator="equal">
      <formula>"Y"</formula>
    </cfRule>
    <cfRule type="cellIs" dxfId="3" priority="2272" operator="equal">
      <formula>"N"</formula>
    </cfRule>
  </conditionalFormatting>
  <conditionalFormatting sqref="Q38">
    <cfRule type="cellIs" dxfId="2" priority="2341" operator="equal">
      <formula>"Y"</formula>
    </cfRule>
    <cfRule type="cellIs" dxfId="3" priority="2342" operator="equal">
      <formula>"N"</formula>
    </cfRule>
  </conditionalFormatting>
  <conditionalFormatting sqref="Q39">
    <cfRule type="cellIs" dxfId="2" priority="2411" operator="equal">
      <formula>"Y"</formula>
    </cfRule>
    <cfRule type="cellIs" dxfId="3" priority="2412" operator="equal">
      <formula>"N"</formula>
    </cfRule>
  </conditionalFormatting>
  <conditionalFormatting sqref="Q40">
    <cfRule type="cellIs" dxfId="2" priority="2481" operator="equal">
      <formula>"Y"</formula>
    </cfRule>
    <cfRule type="cellIs" dxfId="3" priority="2482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Q7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Q8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Q9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R10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R11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R12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R13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R14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R15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R16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17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R18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R19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R20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R2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R2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R24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R25">
    <cfRule type="cellIs" dxfId="2" priority="1433" operator="equal">
      <formula>"Y"</formula>
    </cfRule>
    <cfRule type="cellIs" dxfId="3" priority="1434" operator="equal">
      <formula>"N"</formula>
    </cfRule>
  </conditionalFormatting>
  <conditionalFormatting sqref="R26">
    <cfRule type="cellIs" dxfId="2" priority="1503" operator="equal">
      <formula>"Y"</formula>
    </cfRule>
    <cfRule type="cellIs" dxfId="3" priority="1504" operator="equal">
      <formula>"N"</formula>
    </cfRule>
  </conditionalFormatting>
  <conditionalFormatting sqref="R27">
    <cfRule type="cellIs" dxfId="2" priority="1573" operator="equal">
      <formula>"Y"</formula>
    </cfRule>
    <cfRule type="cellIs" dxfId="3" priority="1574" operator="equal">
      <formula>"N"</formula>
    </cfRule>
  </conditionalFormatting>
  <conditionalFormatting sqref="R28">
    <cfRule type="cellIs" dxfId="2" priority="1643" operator="equal">
      <formula>"Y"</formula>
    </cfRule>
    <cfRule type="cellIs" dxfId="3" priority="1644" operator="equal">
      <formula>"N"</formula>
    </cfRule>
  </conditionalFormatting>
  <conditionalFormatting sqref="R29">
    <cfRule type="cellIs" dxfId="2" priority="1713" operator="equal">
      <formula>"Y"</formula>
    </cfRule>
    <cfRule type="cellIs" dxfId="3" priority="1714" operator="equal">
      <formula>"N"</formula>
    </cfRule>
  </conditionalFormatting>
  <conditionalFormatting sqref="R30">
    <cfRule type="cellIs" dxfId="2" priority="1783" operator="equal">
      <formula>"Y"</formula>
    </cfRule>
    <cfRule type="cellIs" dxfId="3" priority="1784" operator="equal">
      <formula>"N"</formula>
    </cfRule>
  </conditionalFormatting>
  <conditionalFormatting sqref="R31">
    <cfRule type="cellIs" dxfId="2" priority="1853" operator="equal">
      <formula>"Y"</formula>
    </cfRule>
    <cfRule type="cellIs" dxfId="3" priority="1854" operator="equal">
      <formula>"N"</formula>
    </cfRule>
  </conditionalFormatting>
  <conditionalFormatting sqref="R32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R33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R34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R35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R36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R37">
    <cfRule type="cellIs" dxfId="2" priority="2273" operator="equal">
      <formula>"Y"</formula>
    </cfRule>
    <cfRule type="cellIs" dxfId="3" priority="2274" operator="equal">
      <formula>"N"</formula>
    </cfRule>
  </conditionalFormatting>
  <conditionalFormatting sqref="R38">
    <cfRule type="cellIs" dxfId="2" priority="2343" operator="equal">
      <formula>"Y"</formula>
    </cfRule>
    <cfRule type="cellIs" dxfId="3" priority="2344" operator="equal">
      <formula>"N"</formula>
    </cfRule>
  </conditionalFormatting>
  <conditionalFormatting sqref="R39">
    <cfRule type="cellIs" dxfId="2" priority="2413" operator="equal">
      <formula>"Y"</formula>
    </cfRule>
    <cfRule type="cellIs" dxfId="3" priority="2414" operator="equal">
      <formula>"N"</formula>
    </cfRule>
  </conditionalFormatting>
  <conditionalFormatting sqref="R40">
    <cfRule type="cellIs" dxfId="2" priority="2483" operator="equal">
      <formula>"Y"</formula>
    </cfRule>
    <cfRule type="cellIs" dxfId="3" priority="2484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R7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R8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R9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S10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S11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S12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S13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S14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S15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S16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17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S18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S19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S20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S21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S2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S24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S25">
    <cfRule type="cellIs" dxfId="2" priority="1435" operator="equal">
      <formula>"Y"</formula>
    </cfRule>
    <cfRule type="cellIs" dxfId="3" priority="1436" operator="equal">
      <formula>"N"</formula>
    </cfRule>
  </conditionalFormatting>
  <conditionalFormatting sqref="S26">
    <cfRule type="cellIs" dxfId="2" priority="1505" operator="equal">
      <formula>"Y"</formula>
    </cfRule>
    <cfRule type="cellIs" dxfId="3" priority="1506" operator="equal">
      <formula>"N"</formula>
    </cfRule>
  </conditionalFormatting>
  <conditionalFormatting sqref="S27">
    <cfRule type="cellIs" dxfId="2" priority="1575" operator="equal">
      <formula>"Y"</formula>
    </cfRule>
    <cfRule type="cellIs" dxfId="3" priority="1576" operator="equal">
      <formula>"N"</formula>
    </cfRule>
  </conditionalFormatting>
  <conditionalFormatting sqref="S28">
    <cfRule type="cellIs" dxfId="2" priority="1645" operator="equal">
      <formula>"Y"</formula>
    </cfRule>
    <cfRule type="cellIs" dxfId="3" priority="1646" operator="equal">
      <formula>"N"</formula>
    </cfRule>
  </conditionalFormatting>
  <conditionalFormatting sqref="S29">
    <cfRule type="cellIs" dxfId="2" priority="1715" operator="equal">
      <formula>"Y"</formula>
    </cfRule>
    <cfRule type="cellIs" dxfId="3" priority="1716" operator="equal">
      <formula>"N"</formula>
    </cfRule>
  </conditionalFormatting>
  <conditionalFormatting sqref="S30">
    <cfRule type="cellIs" dxfId="2" priority="1785" operator="equal">
      <formula>"Y"</formula>
    </cfRule>
    <cfRule type="cellIs" dxfId="3" priority="1786" operator="equal">
      <formula>"N"</formula>
    </cfRule>
  </conditionalFormatting>
  <conditionalFormatting sqref="S31">
    <cfRule type="cellIs" dxfId="2" priority="1855" operator="equal">
      <formula>"Y"</formula>
    </cfRule>
    <cfRule type="cellIs" dxfId="3" priority="1856" operator="equal">
      <formula>"N"</formula>
    </cfRule>
  </conditionalFormatting>
  <conditionalFormatting sqref="S32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S33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S34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S35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S36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S37">
    <cfRule type="cellIs" dxfId="2" priority="2275" operator="equal">
      <formula>"Y"</formula>
    </cfRule>
    <cfRule type="cellIs" dxfId="3" priority="2276" operator="equal">
      <formula>"N"</formula>
    </cfRule>
  </conditionalFormatting>
  <conditionalFormatting sqref="S38">
    <cfRule type="cellIs" dxfId="2" priority="2345" operator="equal">
      <formula>"Y"</formula>
    </cfRule>
    <cfRule type="cellIs" dxfId="3" priority="2346" operator="equal">
      <formula>"N"</formula>
    </cfRule>
  </conditionalFormatting>
  <conditionalFormatting sqref="S39">
    <cfRule type="cellIs" dxfId="2" priority="2415" operator="equal">
      <formula>"Y"</formula>
    </cfRule>
    <cfRule type="cellIs" dxfId="3" priority="2416" operator="equal">
      <formula>"N"</formula>
    </cfRule>
  </conditionalFormatting>
  <conditionalFormatting sqref="S40">
    <cfRule type="cellIs" dxfId="2" priority="2485" operator="equal">
      <formula>"Y"</formula>
    </cfRule>
    <cfRule type="cellIs" dxfId="3" priority="2486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S7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S8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S9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T10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T11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T12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T13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T14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T15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T16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17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T18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T19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T20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T21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T2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T24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T25">
    <cfRule type="cellIs" dxfId="2" priority="1437" operator="equal">
      <formula>"Y"</formula>
    </cfRule>
    <cfRule type="cellIs" dxfId="3" priority="1438" operator="equal">
      <formula>"N"</formula>
    </cfRule>
  </conditionalFormatting>
  <conditionalFormatting sqref="T26">
    <cfRule type="cellIs" dxfId="2" priority="1507" operator="equal">
      <formula>"Y"</formula>
    </cfRule>
    <cfRule type="cellIs" dxfId="3" priority="1508" operator="equal">
      <formula>"N"</formula>
    </cfRule>
  </conditionalFormatting>
  <conditionalFormatting sqref="T27">
    <cfRule type="cellIs" dxfId="2" priority="1577" operator="equal">
      <formula>"Y"</formula>
    </cfRule>
    <cfRule type="cellIs" dxfId="3" priority="1578" operator="equal">
      <formula>"N"</formula>
    </cfRule>
  </conditionalFormatting>
  <conditionalFormatting sqref="T28">
    <cfRule type="cellIs" dxfId="2" priority="1647" operator="equal">
      <formula>"Y"</formula>
    </cfRule>
    <cfRule type="cellIs" dxfId="3" priority="1648" operator="equal">
      <formula>"N"</formula>
    </cfRule>
  </conditionalFormatting>
  <conditionalFormatting sqref="T29">
    <cfRule type="cellIs" dxfId="2" priority="1717" operator="equal">
      <formula>"Y"</formula>
    </cfRule>
    <cfRule type="cellIs" dxfId="3" priority="1718" operator="equal">
      <formula>"N"</formula>
    </cfRule>
  </conditionalFormatting>
  <conditionalFormatting sqref="T30">
    <cfRule type="cellIs" dxfId="2" priority="1787" operator="equal">
      <formula>"Y"</formula>
    </cfRule>
    <cfRule type="cellIs" dxfId="3" priority="1788" operator="equal">
      <formula>"N"</formula>
    </cfRule>
  </conditionalFormatting>
  <conditionalFormatting sqref="T31">
    <cfRule type="cellIs" dxfId="2" priority="1857" operator="equal">
      <formula>"Y"</formula>
    </cfRule>
    <cfRule type="cellIs" dxfId="3" priority="1858" operator="equal">
      <formula>"N"</formula>
    </cfRule>
  </conditionalFormatting>
  <conditionalFormatting sqref="T32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T33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T34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T35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T36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T37">
    <cfRule type="cellIs" dxfId="2" priority="2277" operator="equal">
      <formula>"Y"</formula>
    </cfRule>
    <cfRule type="cellIs" dxfId="3" priority="2278" operator="equal">
      <formula>"N"</formula>
    </cfRule>
  </conditionalFormatting>
  <conditionalFormatting sqref="T38">
    <cfRule type="cellIs" dxfId="2" priority="2347" operator="equal">
      <formula>"Y"</formula>
    </cfRule>
    <cfRule type="cellIs" dxfId="3" priority="2348" operator="equal">
      <formula>"N"</formula>
    </cfRule>
  </conditionalFormatting>
  <conditionalFormatting sqref="T39">
    <cfRule type="cellIs" dxfId="2" priority="2417" operator="equal">
      <formula>"Y"</formula>
    </cfRule>
    <cfRule type="cellIs" dxfId="3" priority="2418" operator="equal">
      <formula>"N"</formula>
    </cfRule>
  </conditionalFormatting>
  <conditionalFormatting sqref="T40">
    <cfRule type="cellIs" dxfId="2" priority="2487" operator="equal">
      <formula>"Y"</formula>
    </cfRule>
    <cfRule type="cellIs" dxfId="3" priority="2488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T7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T8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T9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U10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U11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U12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U13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U14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U15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U16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17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U18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U19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U20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U21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U2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U2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U25">
    <cfRule type="cellIs" dxfId="2" priority="1439" operator="equal">
      <formula>"Y"</formula>
    </cfRule>
    <cfRule type="cellIs" dxfId="3" priority="1440" operator="equal">
      <formula>"N"</formula>
    </cfRule>
  </conditionalFormatting>
  <conditionalFormatting sqref="U26">
    <cfRule type="cellIs" dxfId="2" priority="1509" operator="equal">
      <formula>"Y"</formula>
    </cfRule>
    <cfRule type="cellIs" dxfId="3" priority="1510" operator="equal">
      <formula>"N"</formula>
    </cfRule>
  </conditionalFormatting>
  <conditionalFormatting sqref="U27">
    <cfRule type="cellIs" dxfId="2" priority="1579" operator="equal">
      <formula>"Y"</formula>
    </cfRule>
    <cfRule type="cellIs" dxfId="3" priority="1580" operator="equal">
      <formula>"N"</formula>
    </cfRule>
  </conditionalFormatting>
  <conditionalFormatting sqref="U28">
    <cfRule type="cellIs" dxfId="2" priority="1649" operator="equal">
      <formula>"Y"</formula>
    </cfRule>
    <cfRule type="cellIs" dxfId="3" priority="1650" operator="equal">
      <formula>"N"</formula>
    </cfRule>
  </conditionalFormatting>
  <conditionalFormatting sqref="U29">
    <cfRule type="cellIs" dxfId="2" priority="1719" operator="equal">
      <formula>"Y"</formula>
    </cfRule>
    <cfRule type="cellIs" dxfId="3" priority="1720" operator="equal">
      <formula>"N"</formula>
    </cfRule>
  </conditionalFormatting>
  <conditionalFormatting sqref="U30">
    <cfRule type="cellIs" dxfId="2" priority="1789" operator="equal">
      <formula>"Y"</formula>
    </cfRule>
    <cfRule type="cellIs" dxfId="3" priority="1790" operator="equal">
      <formula>"N"</formula>
    </cfRule>
  </conditionalFormatting>
  <conditionalFormatting sqref="U31">
    <cfRule type="cellIs" dxfId="2" priority="1859" operator="equal">
      <formula>"Y"</formula>
    </cfRule>
    <cfRule type="cellIs" dxfId="3" priority="1860" operator="equal">
      <formula>"N"</formula>
    </cfRule>
  </conditionalFormatting>
  <conditionalFormatting sqref="U32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U33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U34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U35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U36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U37">
    <cfRule type="cellIs" dxfId="2" priority="2279" operator="equal">
      <formula>"Y"</formula>
    </cfRule>
    <cfRule type="cellIs" dxfId="3" priority="2280" operator="equal">
      <formula>"N"</formula>
    </cfRule>
  </conditionalFormatting>
  <conditionalFormatting sqref="U38">
    <cfRule type="cellIs" dxfId="2" priority="2349" operator="equal">
      <formula>"Y"</formula>
    </cfRule>
    <cfRule type="cellIs" dxfId="3" priority="2350" operator="equal">
      <formula>"N"</formula>
    </cfRule>
  </conditionalFormatting>
  <conditionalFormatting sqref="U39">
    <cfRule type="cellIs" dxfId="2" priority="2419" operator="equal">
      <formula>"Y"</formula>
    </cfRule>
    <cfRule type="cellIs" dxfId="3" priority="2420" operator="equal">
      <formula>"N"</formula>
    </cfRule>
  </conditionalFormatting>
  <conditionalFormatting sqref="U40">
    <cfRule type="cellIs" dxfId="2" priority="2489" operator="equal">
      <formula>"Y"</formula>
    </cfRule>
    <cfRule type="cellIs" dxfId="3" priority="2490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U7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U8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U9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V10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V11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V12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V13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V14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V15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V16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17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V18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V19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V20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V21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V2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V2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V24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V26">
    <cfRule type="cellIs" dxfId="2" priority="1511" operator="equal">
      <formula>"Y"</formula>
    </cfRule>
    <cfRule type="cellIs" dxfId="3" priority="1512" operator="equal">
      <formula>"N"</formula>
    </cfRule>
  </conditionalFormatting>
  <conditionalFormatting sqref="V27">
    <cfRule type="cellIs" dxfId="2" priority="1581" operator="equal">
      <formula>"Y"</formula>
    </cfRule>
    <cfRule type="cellIs" dxfId="3" priority="1582" operator="equal">
      <formula>"N"</formula>
    </cfRule>
  </conditionalFormatting>
  <conditionalFormatting sqref="V28">
    <cfRule type="cellIs" dxfId="2" priority="1651" operator="equal">
      <formula>"Y"</formula>
    </cfRule>
    <cfRule type="cellIs" dxfId="3" priority="1652" operator="equal">
      <formula>"N"</formula>
    </cfRule>
  </conditionalFormatting>
  <conditionalFormatting sqref="V29">
    <cfRule type="cellIs" dxfId="2" priority="1721" operator="equal">
      <formula>"Y"</formula>
    </cfRule>
    <cfRule type="cellIs" dxfId="3" priority="1722" operator="equal">
      <formula>"N"</formula>
    </cfRule>
  </conditionalFormatting>
  <conditionalFormatting sqref="V30">
    <cfRule type="cellIs" dxfId="2" priority="1791" operator="equal">
      <formula>"Y"</formula>
    </cfRule>
    <cfRule type="cellIs" dxfId="3" priority="1792" operator="equal">
      <formula>"N"</formula>
    </cfRule>
  </conditionalFormatting>
  <conditionalFormatting sqref="V31">
    <cfRule type="cellIs" dxfId="2" priority="1861" operator="equal">
      <formula>"Y"</formula>
    </cfRule>
    <cfRule type="cellIs" dxfId="3" priority="1862" operator="equal">
      <formula>"N"</formula>
    </cfRule>
  </conditionalFormatting>
  <conditionalFormatting sqref="V32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V33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V34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V35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V36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V37">
    <cfRule type="cellIs" dxfId="2" priority="2281" operator="equal">
      <formula>"Y"</formula>
    </cfRule>
    <cfRule type="cellIs" dxfId="3" priority="2282" operator="equal">
      <formula>"N"</formula>
    </cfRule>
  </conditionalFormatting>
  <conditionalFormatting sqref="V38">
    <cfRule type="cellIs" dxfId="2" priority="2351" operator="equal">
      <formula>"Y"</formula>
    </cfRule>
    <cfRule type="cellIs" dxfId="3" priority="2352" operator="equal">
      <formula>"N"</formula>
    </cfRule>
  </conditionalFormatting>
  <conditionalFormatting sqref="V39">
    <cfRule type="cellIs" dxfId="2" priority="2421" operator="equal">
      <formula>"Y"</formula>
    </cfRule>
    <cfRule type="cellIs" dxfId="3" priority="2422" operator="equal">
      <formula>"N"</formula>
    </cfRule>
  </conditionalFormatting>
  <conditionalFormatting sqref="V40">
    <cfRule type="cellIs" dxfId="2" priority="2491" operator="equal">
      <formula>"Y"</formula>
    </cfRule>
    <cfRule type="cellIs" dxfId="3" priority="2492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V7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V8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V9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W10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W11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W12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W13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W14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W15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W16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17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W18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W19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W20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W21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W2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W2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W24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W25">
    <cfRule type="cellIs" dxfId="2" priority="1441" operator="equal">
      <formula>"Y"</formula>
    </cfRule>
    <cfRule type="cellIs" dxfId="3" priority="1442" operator="equal">
      <formula>"N"</formula>
    </cfRule>
  </conditionalFormatting>
  <conditionalFormatting sqref="W27">
    <cfRule type="cellIs" dxfId="2" priority="1583" operator="equal">
      <formula>"Y"</formula>
    </cfRule>
    <cfRule type="cellIs" dxfId="3" priority="1584" operator="equal">
      <formula>"N"</formula>
    </cfRule>
  </conditionalFormatting>
  <conditionalFormatting sqref="W28">
    <cfRule type="cellIs" dxfId="2" priority="1653" operator="equal">
      <formula>"Y"</formula>
    </cfRule>
    <cfRule type="cellIs" dxfId="3" priority="1654" operator="equal">
      <formula>"N"</formula>
    </cfRule>
  </conditionalFormatting>
  <conditionalFormatting sqref="W29">
    <cfRule type="cellIs" dxfId="2" priority="1723" operator="equal">
      <formula>"Y"</formula>
    </cfRule>
    <cfRule type="cellIs" dxfId="3" priority="1724" operator="equal">
      <formula>"N"</formula>
    </cfRule>
  </conditionalFormatting>
  <conditionalFormatting sqref="W30">
    <cfRule type="cellIs" dxfId="2" priority="1793" operator="equal">
      <formula>"Y"</formula>
    </cfRule>
    <cfRule type="cellIs" dxfId="3" priority="1794" operator="equal">
      <formula>"N"</formula>
    </cfRule>
  </conditionalFormatting>
  <conditionalFormatting sqref="W31">
    <cfRule type="cellIs" dxfId="2" priority="1863" operator="equal">
      <formula>"Y"</formula>
    </cfRule>
    <cfRule type="cellIs" dxfId="3" priority="1864" operator="equal">
      <formula>"N"</formula>
    </cfRule>
  </conditionalFormatting>
  <conditionalFormatting sqref="W32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W33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W34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W35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W36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W37">
    <cfRule type="cellIs" dxfId="2" priority="2283" operator="equal">
      <formula>"Y"</formula>
    </cfRule>
    <cfRule type="cellIs" dxfId="3" priority="2284" operator="equal">
      <formula>"N"</formula>
    </cfRule>
  </conditionalFormatting>
  <conditionalFormatting sqref="W38">
    <cfRule type="cellIs" dxfId="2" priority="2353" operator="equal">
      <formula>"Y"</formula>
    </cfRule>
    <cfRule type="cellIs" dxfId="3" priority="2354" operator="equal">
      <formula>"N"</formula>
    </cfRule>
  </conditionalFormatting>
  <conditionalFormatting sqref="W39">
    <cfRule type="cellIs" dxfId="2" priority="2423" operator="equal">
      <formula>"Y"</formula>
    </cfRule>
    <cfRule type="cellIs" dxfId="3" priority="2424" operator="equal">
      <formula>"N"</formula>
    </cfRule>
  </conditionalFormatting>
  <conditionalFormatting sqref="W40">
    <cfRule type="cellIs" dxfId="2" priority="2493" operator="equal">
      <formula>"Y"</formula>
    </cfRule>
    <cfRule type="cellIs" dxfId="3" priority="2494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W7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W8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W9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X10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X11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X12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X13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X14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X15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X16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17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X18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X19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X20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X21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X2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X2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X24">
    <cfRule type="cellIs" dxfId="2" priority="1373" operator="equal">
      <formula>"Y"</formula>
    </cfRule>
    <cfRule type="cellIs" dxfId="3" priority="1374" operator="equal">
      <formula>"N"</formula>
    </cfRule>
  </conditionalFormatting>
  <conditionalFormatting sqref="X25">
    <cfRule type="cellIs" dxfId="2" priority="1443" operator="equal">
      <formula>"Y"</formula>
    </cfRule>
    <cfRule type="cellIs" dxfId="3" priority="1444" operator="equal">
      <formula>"N"</formula>
    </cfRule>
  </conditionalFormatting>
  <conditionalFormatting sqref="X26">
    <cfRule type="cellIs" dxfId="2" priority="1513" operator="equal">
      <formula>"Y"</formula>
    </cfRule>
    <cfRule type="cellIs" dxfId="3" priority="1514" operator="equal">
      <formula>"N"</formula>
    </cfRule>
  </conditionalFormatting>
  <conditionalFormatting sqref="X28">
    <cfRule type="cellIs" dxfId="2" priority="1655" operator="equal">
      <formula>"Y"</formula>
    </cfRule>
    <cfRule type="cellIs" dxfId="3" priority="1656" operator="equal">
      <formula>"N"</formula>
    </cfRule>
  </conditionalFormatting>
  <conditionalFormatting sqref="X29">
    <cfRule type="cellIs" dxfId="2" priority="1725" operator="equal">
      <formula>"Y"</formula>
    </cfRule>
    <cfRule type="cellIs" dxfId="3" priority="1726" operator="equal">
      <formula>"N"</formula>
    </cfRule>
  </conditionalFormatting>
  <conditionalFormatting sqref="X30">
    <cfRule type="cellIs" dxfId="2" priority="1795" operator="equal">
      <formula>"Y"</formula>
    </cfRule>
    <cfRule type="cellIs" dxfId="3" priority="1796" operator="equal">
      <formula>"N"</formula>
    </cfRule>
  </conditionalFormatting>
  <conditionalFormatting sqref="X31">
    <cfRule type="cellIs" dxfId="2" priority="1865" operator="equal">
      <formula>"Y"</formula>
    </cfRule>
    <cfRule type="cellIs" dxfId="3" priority="1866" operator="equal">
      <formula>"N"</formula>
    </cfRule>
  </conditionalFormatting>
  <conditionalFormatting sqref="X32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X33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X34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X35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X36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X37">
    <cfRule type="cellIs" dxfId="2" priority="2285" operator="equal">
      <formula>"Y"</formula>
    </cfRule>
    <cfRule type="cellIs" dxfId="3" priority="2286" operator="equal">
      <formula>"N"</formula>
    </cfRule>
  </conditionalFormatting>
  <conditionalFormatting sqref="X38">
    <cfRule type="cellIs" dxfId="2" priority="2355" operator="equal">
      <formula>"Y"</formula>
    </cfRule>
    <cfRule type="cellIs" dxfId="3" priority="2356" operator="equal">
      <formula>"N"</formula>
    </cfRule>
  </conditionalFormatting>
  <conditionalFormatting sqref="X39">
    <cfRule type="cellIs" dxfId="2" priority="2425" operator="equal">
      <formula>"Y"</formula>
    </cfRule>
    <cfRule type="cellIs" dxfId="3" priority="2426" operator="equal">
      <formula>"N"</formula>
    </cfRule>
  </conditionalFormatting>
  <conditionalFormatting sqref="X40">
    <cfRule type="cellIs" dxfId="2" priority="2495" operator="equal">
      <formula>"Y"</formula>
    </cfRule>
    <cfRule type="cellIs" dxfId="3" priority="2496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X7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X8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X9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Y10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Y11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Y12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Y13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Y14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Y15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Y16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17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Y18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Y19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Y20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Y21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Y2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Y2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Y24">
    <cfRule type="cellIs" dxfId="2" priority="1375" operator="equal">
      <formula>"Y"</formula>
    </cfRule>
    <cfRule type="cellIs" dxfId="3" priority="1376" operator="equal">
      <formula>"N"</formula>
    </cfRule>
  </conditionalFormatting>
  <conditionalFormatting sqref="Y25">
    <cfRule type="cellIs" dxfId="2" priority="1445" operator="equal">
      <formula>"Y"</formula>
    </cfRule>
    <cfRule type="cellIs" dxfId="3" priority="1446" operator="equal">
      <formula>"N"</formula>
    </cfRule>
  </conditionalFormatting>
  <conditionalFormatting sqref="Y26">
    <cfRule type="cellIs" dxfId="2" priority="1515" operator="equal">
      <formula>"Y"</formula>
    </cfRule>
    <cfRule type="cellIs" dxfId="3" priority="1516" operator="equal">
      <formula>"N"</formula>
    </cfRule>
  </conditionalFormatting>
  <conditionalFormatting sqref="Y27">
    <cfRule type="cellIs" dxfId="2" priority="1585" operator="equal">
      <formula>"Y"</formula>
    </cfRule>
    <cfRule type="cellIs" dxfId="3" priority="1586" operator="equal">
      <formula>"N"</formula>
    </cfRule>
  </conditionalFormatting>
  <conditionalFormatting sqref="Y29">
    <cfRule type="cellIs" dxfId="2" priority="1727" operator="equal">
      <formula>"Y"</formula>
    </cfRule>
    <cfRule type="cellIs" dxfId="3" priority="1728" operator="equal">
      <formula>"N"</formula>
    </cfRule>
  </conditionalFormatting>
  <conditionalFormatting sqref="Y30">
    <cfRule type="cellIs" dxfId="2" priority="1797" operator="equal">
      <formula>"Y"</formula>
    </cfRule>
    <cfRule type="cellIs" dxfId="3" priority="1798" operator="equal">
      <formula>"N"</formula>
    </cfRule>
  </conditionalFormatting>
  <conditionalFormatting sqref="Y31">
    <cfRule type="cellIs" dxfId="2" priority="1867" operator="equal">
      <formula>"Y"</formula>
    </cfRule>
    <cfRule type="cellIs" dxfId="3" priority="1868" operator="equal">
      <formula>"N"</formula>
    </cfRule>
  </conditionalFormatting>
  <conditionalFormatting sqref="Y32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Y33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Y34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Y35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Y36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Y37">
    <cfRule type="cellIs" dxfId="2" priority="2287" operator="equal">
      <formula>"Y"</formula>
    </cfRule>
    <cfRule type="cellIs" dxfId="3" priority="2288" operator="equal">
      <formula>"N"</formula>
    </cfRule>
  </conditionalFormatting>
  <conditionalFormatting sqref="Y38">
    <cfRule type="cellIs" dxfId="2" priority="2357" operator="equal">
      <formula>"Y"</formula>
    </cfRule>
    <cfRule type="cellIs" dxfId="3" priority="2358" operator="equal">
      <formula>"N"</formula>
    </cfRule>
  </conditionalFormatting>
  <conditionalFormatting sqref="Y39">
    <cfRule type="cellIs" dxfId="2" priority="2427" operator="equal">
      <formula>"Y"</formula>
    </cfRule>
    <cfRule type="cellIs" dxfId="3" priority="2428" operator="equal">
      <formula>"N"</formula>
    </cfRule>
  </conditionalFormatting>
  <conditionalFormatting sqref="Y40">
    <cfRule type="cellIs" dxfId="2" priority="2497" operator="equal">
      <formula>"Y"</formula>
    </cfRule>
    <cfRule type="cellIs" dxfId="3" priority="249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Y7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Y8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Y9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Z10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Z11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Z12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Z13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Z14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Z15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Z16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Z17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Z18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Z19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Z20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Z21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Z2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Z2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Z24">
    <cfRule type="cellIs" dxfId="2" priority="1377" operator="equal">
      <formula>"Y"</formula>
    </cfRule>
    <cfRule type="cellIs" dxfId="3" priority="1378" operator="equal">
      <formula>"N"</formula>
    </cfRule>
  </conditionalFormatting>
  <conditionalFormatting sqref="Z25">
    <cfRule type="cellIs" dxfId="2" priority="1447" operator="equal">
      <formula>"Y"</formula>
    </cfRule>
    <cfRule type="cellIs" dxfId="3" priority="1448" operator="equal">
      <formula>"N"</formula>
    </cfRule>
  </conditionalFormatting>
  <conditionalFormatting sqref="Z26">
    <cfRule type="cellIs" dxfId="2" priority="1517" operator="equal">
      <formula>"Y"</formula>
    </cfRule>
    <cfRule type="cellIs" dxfId="3" priority="1518" operator="equal">
      <formula>"N"</formula>
    </cfRule>
  </conditionalFormatting>
  <conditionalFormatting sqref="Z27">
    <cfRule type="cellIs" dxfId="2" priority="1587" operator="equal">
      <formula>"Y"</formula>
    </cfRule>
    <cfRule type="cellIs" dxfId="3" priority="1588" operator="equal">
      <formula>"N"</formula>
    </cfRule>
  </conditionalFormatting>
  <conditionalFormatting sqref="Z28">
    <cfRule type="cellIs" dxfId="2" priority="1657" operator="equal">
      <formula>"Y"</formula>
    </cfRule>
    <cfRule type="cellIs" dxfId="3" priority="1658" operator="equal">
      <formula>"N"</formula>
    </cfRule>
  </conditionalFormatting>
  <conditionalFormatting sqref="Z30">
    <cfRule type="cellIs" dxfId="2" priority="1799" operator="equal">
      <formula>"Y"</formula>
    </cfRule>
    <cfRule type="cellIs" dxfId="3" priority="1800" operator="equal">
      <formula>"N"</formula>
    </cfRule>
  </conditionalFormatting>
  <conditionalFormatting sqref="Z31">
    <cfRule type="cellIs" dxfId="2" priority="1869" operator="equal">
      <formula>"Y"</formula>
    </cfRule>
    <cfRule type="cellIs" dxfId="3" priority="1870" operator="equal">
      <formula>"N"</formula>
    </cfRule>
  </conditionalFormatting>
  <conditionalFormatting sqref="Z32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Z3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Z34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Z35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Z36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Z37">
    <cfRule type="cellIs" dxfId="2" priority="2289" operator="equal">
      <formula>"Y"</formula>
    </cfRule>
    <cfRule type="cellIs" dxfId="3" priority="2290" operator="equal">
      <formula>"N"</formula>
    </cfRule>
  </conditionalFormatting>
  <conditionalFormatting sqref="Z38">
    <cfRule type="cellIs" dxfId="2" priority="2359" operator="equal">
      <formula>"Y"</formula>
    </cfRule>
    <cfRule type="cellIs" dxfId="3" priority="2360" operator="equal">
      <formula>"N"</formula>
    </cfRule>
  </conditionalFormatting>
  <conditionalFormatting sqref="Z39">
    <cfRule type="cellIs" dxfId="2" priority="2429" operator="equal">
      <formula>"Y"</formula>
    </cfRule>
    <cfRule type="cellIs" dxfId="3" priority="2430" operator="equal">
      <formula>"N"</formula>
    </cfRule>
  </conditionalFormatting>
  <conditionalFormatting sqref="Z40">
    <cfRule type="cellIs" dxfId="2" priority="2499" operator="equal">
      <formula>"Y"</formula>
    </cfRule>
    <cfRule type="cellIs" dxfId="3" priority="2500" operator="equal">
      <formula>"N"</formula>
    </cfRule>
  </conditionalFormatting>
  <conditionalFormatting sqref="Z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Z6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Z7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Z8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Z9">
    <cfRule type="cellIs" dxfId="2" priority="327" operator="equal">
      <formula>"Y"</formula>
    </cfRule>
    <cfRule type="cellIs" dxfId="3" priority="328" operator="equal">
      <formula>"N"</formula>
    </cfRule>
  </conditionalFormatting>
  <dataValidations count="259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Z5">
      <formula1>"Y,N"</formula1>
    </dataValidation>
    <dataValidation type="list" allowBlank="1" showInputMessage="1" showErrorMessage="1" sqref="AA5">
      <formula1>"Y,N"</formula1>
    </dataValidation>
    <dataValidation type="list" allowBlank="1" showInputMessage="1" showErrorMessage="1" sqref="AB5">
      <formula1>"Y,N"</formula1>
    </dataValidation>
    <dataValidation type="list" allowBlank="1" showInputMessage="1" showErrorMessage="1" sqref="AC5">
      <formula1>"Y,N"</formula1>
    </dataValidation>
    <dataValidation type="list" allowBlank="1" showInputMessage="1" showErrorMessage="1" sqref="AD5">
      <formula1>"Y,N"</formula1>
    </dataValidation>
    <dataValidation type="list" allowBlank="1" showInputMessage="1" showErrorMessage="1" sqref="AE5">
      <formula1>"Y,N"</formula1>
    </dataValidation>
    <dataValidation type="list" allowBlank="1" showInputMessage="1" showErrorMessage="1" sqref="AF5">
      <formula1>"Y,N"</formula1>
    </dataValidation>
    <dataValidation type="list" allowBlank="1" showInputMessage="1" showErrorMessage="1" sqref="AG5">
      <formula1>"Y,N"</formula1>
    </dataValidation>
    <dataValidation type="list" allowBlank="1" showInputMessage="1" showErrorMessage="1" sqref="AH5">
      <formula1>"Y,N"</formula1>
    </dataValidation>
    <dataValidation type="list" allowBlank="1" showInputMessage="1" showErrorMessage="1" sqref="AI5">
      <formula1>"Y,N"</formula1>
    </dataValidation>
    <dataValidation type="list" allowBlank="1" showInputMessage="1" showErrorMessage="1" sqref="AJ5">
      <formula1>"Y,N"</formula1>
    </dataValidation>
    <dataValidation type="list" allowBlank="1" showInputMessage="1" showErrorMessage="1" sqref="AK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Z6">
      <formula1>"Y,N"</formula1>
    </dataValidation>
    <dataValidation type="list" allowBlank="1" showInputMessage="1" showErrorMessage="1" sqref="AA6">
      <formula1>"Y,N"</formula1>
    </dataValidation>
    <dataValidation type="list" allowBlank="1" showInputMessage="1" showErrorMessage="1" sqref="AB6">
      <formula1>"Y,N"</formula1>
    </dataValidation>
    <dataValidation type="list" allowBlank="1" showInputMessage="1" showErrorMessage="1" sqref="AC6">
      <formula1>"Y,N"</formula1>
    </dataValidation>
    <dataValidation type="list" allowBlank="1" showInputMessage="1" showErrorMessage="1" sqref="AD6">
      <formula1>"Y,N"</formula1>
    </dataValidation>
    <dataValidation type="list" allowBlank="1" showInputMessage="1" showErrorMessage="1" sqref="AE6">
      <formula1>"Y,N"</formula1>
    </dataValidation>
    <dataValidation type="list" allowBlank="1" showInputMessage="1" showErrorMessage="1" sqref="AF6">
      <formula1>"Y,N"</formula1>
    </dataValidation>
    <dataValidation type="list" allowBlank="1" showInputMessage="1" showErrorMessage="1" sqref="AG6">
      <formula1>"Y,N"</formula1>
    </dataValidation>
    <dataValidation type="list" allowBlank="1" showInputMessage="1" showErrorMessage="1" sqref="AH6">
      <formula1>"Y,N"</formula1>
    </dataValidation>
    <dataValidation type="list" allowBlank="1" showInputMessage="1" showErrorMessage="1" sqref="AI6">
      <formula1>"Y,N"</formula1>
    </dataValidation>
    <dataValidation type="list" allowBlank="1" showInputMessage="1" showErrorMessage="1" sqref="AJ6">
      <formula1>"Y,N"</formula1>
    </dataValidation>
    <dataValidation type="list" allowBlank="1" showInputMessage="1" showErrorMessage="1" sqref="AK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Z7">
      <formula1>"Y,N"</formula1>
    </dataValidation>
    <dataValidation type="list" allowBlank="1" showInputMessage="1" showErrorMessage="1" sqref="AA7">
      <formula1>"Y,N"</formula1>
    </dataValidation>
    <dataValidation type="list" allowBlank="1" showInputMessage="1" showErrorMessage="1" sqref="AB7">
      <formula1>"Y,N"</formula1>
    </dataValidation>
    <dataValidation type="list" allowBlank="1" showInputMessage="1" showErrorMessage="1" sqref="AC7">
      <formula1>"Y,N"</formula1>
    </dataValidation>
    <dataValidation type="list" allowBlank="1" showInputMessage="1" showErrorMessage="1" sqref="AD7">
      <formula1>"Y,N"</formula1>
    </dataValidation>
    <dataValidation type="list" allowBlank="1" showInputMessage="1" showErrorMessage="1" sqref="AE7">
      <formula1>"Y,N"</formula1>
    </dataValidation>
    <dataValidation type="list" allowBlank="1" showInputMessage="1" showErrorMessage="1" sqref="AF7">
      <formula1>"Y,N"</formula1>
    </dataValidation>
    <dataValidation type="list" allowBlank="1" showInputMessage="1" showErrorMessage="1" sqref="AG7">
      <formula1>"Y,N"</formula1>
    </dataValidation>
    <dataValidation type="list" allowBlank="1" showInputMessage="1" showErrorMessage="1" sqref="AH7">
      <formula1>"Y,N"</formula1>
    </dataValidation>
    <dataValidation type="list" allowBlank="1" showInputMessage="1" showErrorMessage="1" sqref="AI7">
      <formula1>"Y,N"</formula1>
    </dataValidation>
    <dataValidation type="list" allowBlank="1" showInputMessage="1" showErrorMessage="1" sqref="AJ7">
      <formula1>"Y,N"</formula1>
    </dataValidation>
    <dataValidation type="list" allowBlank="1" showInputMessage="1" showErrorMessage="1" sqref="AK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Z8">
      <formula1>"Y,N"</formula1>
    </dataValidation>
    <dataValidation type="list" allowBlank="1" showInputMessage="1" showErrorMessage="1" sqref="AA8">
      <formula1>"Y,N"</formula1>
    </dataValidation>
    <dataValidation type="list" allowBlank="1" showInputMessage="1" showErrorMessage="1" sqref="AB8">
      <formula1>"Y,N"</formula1>
    </dataValidation>
    <dataValidation type="list" allowBlank="1" showInputMessage="1" showErrorMessage="1" sqref="AC8">
      <formula1>"Y,N"</formula1>
    </dataValidation>
    <dataValidation type="list" allowBlank="1" showInputMessage="1" showErrorMessage="1" sqref="AD8">
      <formula1>"Y,N"</formula1>
    </dataValidation>
    <dataValidation type="list" allowBlank="1" showInputMessage="1" showErrorMessage="1" sqref="AE8">
      <formula1>"Y,N"</formula1>
    </dataValidation>
    <dataValidation type="list" allowBlank="1" showInputMessage="1" showErrorMessage="1" sqref="AF8">
      <formula1>"Y,N"</formula1>
    </dataValidation>
    <dataValidation type="list" allowBlank="1" showInputMessage="1" showErrorMessage="1" sqref="AG8">
      <formula1>"Y,N"</formula1>
    </dataValidation>
    <dataValidation type="list" allowBlank="1" showInputMessage="1" showErrorMessage="1" sqref="AH8">
      <formula1>"Y,N"</formula1>
    </dataValidation>
    <dataValidation type="list" allowBlank="1" showInputMessage="1" showErrorMessage="1" sqref="AI8">
      <formula1>"Y,N"</formula1>
    </dataValidation>
    <dataValidation type="list" allowBlank="1" showInputMessage="1" showErrorMessage="1" sqref="AJ8">
      <formula1>"Y,N"</formula1>
    </dataValidation>
    <dataValidation type="list" allowBlank="1" showInputMessage="1" showErrorMessage="1" sqref="AK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Z9">
      <formula1>"Y,N"</formula1>
    </dataValidation>
    <dataValidation type="list" allowBlank="1" showInputMessage="1" showErrorMessage="1" sqref="AA9">
      <formula1>"Y,N"</formula1>
    </dataValidation>
    <dataValidation type="list" allowBlank="1" showInputMessage="1" showErrorMessage="1" sqref="AB9">
      <formula1>"Y,N"</formula1>
    </dataValidation>
    <dataValidation type="list" allowBlank="1" showInputMessage="1" showErrorMessage="1" sqref="AC9">
      <formula1>"Y,N"</formula1>
    </dataValidation>
    <dataValidation type="list" allowBlank="1" showInputMessage="1" showErrorMessage="1" sqref="AD9">
      <formula1>"Y,N"</formula1>
    </dataValidation>
    <dataValidation type="list" allowBlank="1" showInputMessage="1" showErrorMessage="1" sqref="AE9">
      <formula1>"Y,N"</formula1>
    </dataValidation>
    <dataValidation type="list" allowBlank="1" showInputMessage="1" showErrorMessage="1" sqref="AF9">
      <formula1>"Y,N"</formula1>
    </dataValidation>
    <dataValidation type="list" allowBlank="1" showInputMessage="1" showErrorMessage="1" sqref="AG9">
      <formula1>"Y,N"</formula1>
    </dataValidation>
    <dataValidation type="list" allowBlank="1" showInputMessage="1" showErrorMessage="1" sqref="AH9">
      <formula1>"Y,N"</formula1>
    </dataValidation>
    <dataValidation type="list" allowBlank="1" showInputMessage="1" showErrorMessage="1" sqref="AI9">
      <formula1>"Y,N"</formula1>
    </dataValidation>
    <dataValidation type="list" allowBlank="1" showInputMessage="1" showErrorMessage="1" sqref="AJ9">
      <formula1>"Y,N"</formula1>
    </dataValidation>
    <dataValidation type="list" allowBlank="1" showInputMessage="1" showErrorMessage="1" sqref="AK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Z10">
      <formula1>"Y,N"</formula1>
    </dataValidation>
    <dataValidation type="list" allowBlank="1" showInputMessage="1" showErrorMessage="1" sqref="AA10">
      <formula1>"Y,N"</formula1>
    </dataValidation>
    <dataValidation type="list" allowBlank="1" showInputMessage="1" showErrorMessage="1" sqref="AB10">
      <formula1>"Y,N"</formula1>
    </dataValidation>
    <dataValidation type="list" allowBlank="1" showInputMessage="1" showErrorMessage="1" sqref="AC10">
      <formula1>"Y,N"</formula1>
    </dataValidation>
    <dataValidation type="list" allowBlank="1" showInputMessage="1" showErrorMessage="1" sqref="AD10">
      <formula1>"Y,N"</formula1>
    </dataValidation>
    <dataValidation type="list" allowBlank="1" showInputMessage="1" showErrorMessage="1" sqref="AE10">
      <formula1>"Y,N"</formula1>
    </dataValidation>
    <dataValidation type="list" allowBlank="1" showInputMessage="1" showErrorMessage="1" sqref="AF10">
      <formula1>"Y,N"</formula1>
    </dataValidation>
    <dataValidation type="list" allowBlank="1" showInputMessage="1" showErrorMessage="1" sqref="AG10">
      <formula1>"Y,N"</formula1>
    </dataValidation>
    <dataValidation type="list" allowBlank="1" showInputMessage="1" showErrorMessage="1" sqref="AH10">
      <formula1>"Y,N"</formula1>
    </dataValidation>
    <dataValidation type="list" allowBlank="1" showInputMessage="1" showErrorMessage="1" sqref="AI10">
      <formula1>"Y,N"</formula1>
    </dataValidation>
    <dataValidation type="list" allowBlank="1" showInputMessage="1" showErrorMessage="1" sqref="AJ10">
      <formula1>"Y,N"</formula1>
    </dataValidation>
    <dataValidation type="list" allowBlank="1" showInputMessage="1" showErrorMessage="1" sqref="AK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Z11">
      <formula1>"Y,N"</formula1>
    </dataValidation>
    <dataValidation type="list" allowBlank="1" showInputMessage="1" showErrorMessage="1" sqref="AA11">
      <formula1>"Y,N"</formula1>
    </dataValidation>
    <dataValidation type="list" allowBlank="1" showInputMessage="1" showErrorMessage="1" sqref="AB11">
      <formula1>"Y,N"</formula1>
    </dataValidation>
    <dataValidation type="list" allowBlank="1" showInputMessage="1" showErrorMessage="1" sqref="AC11">
      <formula1>"Y,N"</formula1>
    </dataValidation>
    <dataValidation type="list" allowBlank="1" showInputMessage="1" showErrorMessage="1" sqref="AD11">
      <formula1>"Y,N"</formula1>
    </dataValidation>
    <dataValidation type="list" allowBlank="1" showInputMessage="1" showErrorMessage="1" sqref="AE11">
      <formula1>"Y,N"</formula1>
    </dataValidation>
    <dataValidation type="list" allowBlank="1" showInputMessage="1" showErrorMessage="1" sqref="AF11">
      <formula1>"Y,N"</formula1>
    </dataValidation>
    <dataValidation type="list" allowBlank="1" showInputMessage="1" showErrorMessage="1" sqref="AG11">
      <formula1>"Y,N"</formula1>
    </dataValidation>
    <dataValidation type="list" allowBlank="1" showInputMessage="1" showErrorMessage="1" sqref="AH11">
      <formula1>"Y,N"</formula1>
    </dataValidation>
    <dataValidation type="list" allowBlank="1" showInputMessage="1" showErrorMessage="1" sqref="AI11">
      <formula1>"Y,N"</formula1>
    </dataValidation>
    <dataValidation type="list" allowBlank="1" showInputMessage="1" showErrorMessage="1" sqref="AJ11">
      <formula1>"Y,N"</formula1>
    </dataValidation>
    <dataValidation type="list" allowBlank="1" showInputMessage="1" showErrorMessage="1" sqref="AK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Z12">
      <formula1>"Y,N"</formula1>
    </dataValidation>
    <dataValidation type="list" allowBlank="1" showInputMessage="1" showErrorMessage="1" sqref="AA12">
      <formula1>"Y,N"</formula1>
    </dataValidation>
    <dataValidation type="list" allowBlank="1" showInputMessage="1" showErrorMessage="1" sqref="AB12">
      <formula1>"Y,N"</formula1>
    </dataValidation>
    <dataValidation type="list" allowBlank="1" showInputMessage="1" showErrorMessage="1" sqref="AC12">
      <formula1>"Y,N"</formula1>
    </dataValidation>
    <dataValidation type="list" allowBlank="1" showInputMessage="1" showErrorMessage="1" sqref="AD12">
      <formula1>"Y,N"</formula1>
    </dataValidation>
    <dataValidation type="list" allowBlank="1" showInputMessage="1" showErrorMessage="1" sqref="AE12">
      <formula1>"Y,N"</formula1>
    </dataValidation>
    <dataValidation type="list" allowBlank="1" showInputMessage="1" showErrorMessage="1" sqref="AF12">
      <formula1>"Y,N"</formula1>
    </dataValidation>
    <dataValidation type="list" allowBlank="1" showInputMessage="1" showErrorMessage="1" sqref="AG12">
      <formula1>"Y,N"</formula1>
    </dataValidation>
    <dataValidation type="list" allowBlank="1" showInputMessage="1" showErrorMessage="1" sqref="AH12">
      <formula1>"Y,N"</formula1>
    </dataValidation>
    <dataValidation type="list" allowBlank="1" showInputMessage="1" showErrorMessage="1" sqref="AI12">
      <formula1>"Y,N"</formula1>
    </dataValidation>
    <dataValidation type="list" allowBlank="1" showInputMessage="1" showErrorMessage="1" sqref="AJ12">
      <formula1>"Y,N"</formula1>
    </dataValidation>
    <dataValidation type="list" allowBlank="1" showInputMessage="1" showErrorMessage="1" sqref="AK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Z13">
      <formula1>"Y,N"</formula1>
    </dataValidation>
    <dataValidation type="list" allowBlank="1" showInputMessage="1" showErrorMessage="1" sqref="AA13">
      <formula1>"Y,N"</formula1>
    </dataValidation>
    <dataValidation type="list" allowBlank="1" showInputMessage="1" showErrorMessage="1" sqref="AB13">
      <formula1>"Y,N"</formula1>
    </dataValidation>
    <dataValidation type="list" allowBlank="1" showInputMessage="1" showErrorMessage="1" sqref="AC13">
      <formula1>"Y,N"</formula1>
    </dataValidation>
    <dataValidation type="list" allowBlank="1" showInputMessage="1" showErrorMessage="1" sqref="AD13">
      <formula1>"Y,N"</formula1>
    </dataValidation>
    <dataValidation type="list" allowBlank="1" showInputMessage="1" showErrorMessage="1" sqref="AE13">
      <formula1>"Y,N"</formula1>
    </dataValidation>
    <dataValidation type="list" allowBlank="1" showInputMessage="1" showErrorMessage="1" sqref="AF13">
      <formula1>"Y,N"</formula1>
    </dataValidation>
    <dataValidation type="list" allowBlank="1" showInputMessage="1" showErrorMessage="1" sqref="AG13">
      <formula1>"Y,N"</formula1>
    </dataValidation>
    <dataValidation type="list" allowBlank="1" showInputMessage="1" showErrorMessage="1" sqref="AH13">
      <formula1>"Y,N"</formula1>
    </dataValidation>
    <dataValidation type="list" allowBlank="1" showInputMessage="1" showErrorMessage="1" sqref="AI13">
      <formula1>"Y,N"</formula1>
    </dataValidation>
    <dataValidation type="list" allowBlank="1" showInputMessage="1" showErrorMessage="1" sqref="AJ13">
      <formula1>"Y,N"</formula1>
    </dataValidation>
    <dataValidation type="list" allowBlank="1" showInputMessage="1" showErrorMessage="1" sqref="AK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Z14">
      <formula1>"Y,N"</formula1>
    </dataValidation>
    <dataValidation type="list" allowBlank="1" showInputMessage="1" showErrorMessage="1" sqref="AA14">
      <formula1>"Y,N"</formula1>
    </dataValidation>
    <dataValidation type="list" allowBlank="1" showInputMessage="1" showErrorMessage="1" sqref="AB14">
      <formula1>"Y,N"</formula1>
    </dataValidation>
    <dataValidation type="list" allowBlank="1" showInputMessage="1" showErrorMessage="1" sqref="AC14">
      <formula1>"Y,N"</formula1>
    </dataValidation>
    <dataValidation type="list" allowBlank="1" showInputMessage="1" showErrorMessage="1" sqref="AD14">
      <formula1>"Y,N"</formula1>
    </dataValidation>
    <dataValidation type="list" allowBlank="1" showInputMessage="1" showErrorMessage="1" sqref="AE14">
      <formula1>"Y,N"</formula1>
    </dataValidation>
    <dataValidation type="list" allowBlank="1" showInputMessage="1" showErrorMessage="1" sqref="AF14">
      <formula1>"Y,N"</formula1>
    </dataValidation>
    <dataValidation type="list" allowBlank="1" showInputMessage="1" showErrorMessage="1" sqref="AG14">
      <formula1>"Y,N"</formula1>
    </dataValidation>
    <dataValidation type="list" allowBlank="1" showInputMessage="1" showErrorMessage="1" sqref="AH14">
      <formula1>"Y,N"</formula1>
    </dataValidation>
    <dataValidation type="list" allowBlank="1" showInputMessage="1" showErrorMessage="1" sqref="AI14">
      <formula1>"Y,N"</formula1>
    </dataValidation>
    <dataValidation type="list" allowBlank="1" showInputMessage="1" showErrorMessage="1" sqref="AJ14">
      <formula1>"Y,N"</formula1>
    </dataValidation>
    <dataValidation type="list" allowBlank="1" showInputMessage="1" showErrorMessage="1" sqref="AK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Z15">
      <formula1>"Y,N"</formula1>
    </dataValidation>
    <dataValidation type="list" allowBlank="1" showInputMessage="1" showErrorMessage="1" sqref="AA15">
      <formula1>"Y,N"</formula1>
    </dataValidation>
    <dataValidation type="list" allowBlank="1" showInputMessage="1" showErrorMessage="1" sqref="AB15">
      <formula1>"Y,N"</formula1>
    </dataValidation>
    <dataValidation type="list" allowBlank="1" showInputMessage="1" showErrorMessage="1" sqref="AC15">
      <formula1>"Y,N"</formula1>
    </dataValidation>
    <dataValidation type="list" allowBlank="1" showInputMessage="1" showErrorMessage="1" sqref="AD15">
      <formula1>"Y,N"</formula1>
    </dataValidation>
    <dataValidation type="list" allowBlank="1" showInputMessage="1" showErrorMessage="1" sqref="AE15">
      <formula1>"Y,N"</formula1>
    </dataValidation>
    <dataValidation type="list" allowBlank="1" showInputMessage="1" showErrorMessage="1" sqref="AF15">
      <formula1>"Y,N"</formula1>
    </dataValidation>
    <dataValidation type="list" allowBlank="1" showInputMessage="1" showErrorMessage="1" sqref="AG15">
      <formula1>"Y,N"</formula1>
    </dataValidation>
    <dataValidation type="list" allowBlank="1" showInputMessage="1" showErrorMessage="1" sqref="AH15">
      <formula1>"Y,N"</formula1>
    </dataValidation>
    <dataValidation type="list" allowBlank="1" showInputMessage="1" showErrorMessage="1" sqref="AI15">
      <formula1>"Y,N"</formula1>
    </dataValidation>
    <dataValidation type="list" allowBlank="1" showInputMessage="1" showErrorMessage="1" sqref="AJ15">
      <formula1>"Y,N"</formula1>
    </dataValidation>
    <dataValidation type="list" allowBlank="1" showInputMessage="1" showErrorMessage="1" sqref="AK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Z16">
      <formula1>"Y,N"</formula1>
    </dataValidation>
    <dataValidation type="list" allowBlank="1" showInputMessage="1" showErrorMessage="1" sqref="AA16">
      <formula1>"Y,N"</formula1>
    </dataValidation>
    <dataValidation type="list" allowBlank="1" showInputMessage="1" showErrorMessage="1" sqref="AB16">
      <formula1>"Y,N"</formula1>
    </dataValidation>
    <dataValidation type="list" allowBlank="1" showInputMessage="1" showErrorMessage="1" sqref="AC16">
      <formula1>"Y,N"</formula1>
    </dataValidation>
    <dataValidation type="list" allowBlank="1" showInputMessage="1" showErrorMessage="1" sqref="AD16">
      <formula1>"Y,N"</formula1>
    </dataValidation>
    <dataValidation type="list" allowBlank="1" showInputMessage="1" showErrorMessage="1" sqref="AE16">
      <formula1>"Y,N"</formula1>
    </dataValidation>
    <dataValidation type="list" allowBlank="1" showInputMessage="1" showErrorMessage="1" sqref="AF16">
      <formula1>"Y,N"</formula1>
    </dataValidation>
    <dataValidation type="list" allowBlank="1" showInputMessage="1" showErrorMessage="1" sqref="AG16">
      <formula1>"Y,N"</formula1>
    </dataValidation>
    <dataValidation type="list" allowBlank="1" showInputMessage="1" showErrorMessage="1" sqref="AH16">
      <formula1>"Y,N"</formula1>
    </dataValidation>
    <dataValidation type="list" allowBlank="1" showInputMessage="1" showErrorMessage="1" sqref="AI16">
      <formula1>"Y,N"</formula1>
    </dataValidation>
    <dataValidation type="list" allowBlank="1" showInputMessage="1" showErrorMessage="1" sqref="AJ16">
      <formula1>"Y,N"</formula1>
    </dataValidation>
    <dataValidation type="list" allowBlank="1" showInputMessage="1" showErrorMessage="1" sqref="AK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Z17">
      <formula1>"Y,N"</formula1>
    </dataValidation>
    <dataValidation type="list" allowBlank="1" showInputMessage="1" showErrorMessage="1" sqref="AA17">
      <formula1>"Y,N"</formula1>
    </dataValidation>
    <dataValidation type="list" allowBlank="1" showInputMessage="1" showErrorMessage="1" sqref="AB17">
      <formula1>"Y,N"</formula1>
    </dataValidation>
    <dataValidation type="list" allowBlank="1" showInputMessage="1" showErrorMessage="1" sqref="AC17">
      <formula1>"Y,N"</formula1>
    </dataValidation>
    <dataValidation type="list" allowBlank="1" showInputMessage="1" showErrorMessage="1" sqref="AD17">
      <formula1>"Y,N"</formula1>
    </dataValidation>
    <dataValidation type="list" allowBlank="1" showInputMessage="1" showErrorMessage="1" sqref="AE17">
      <formula1>"Y,N"</formula1>
    </dataValidation>
    <dataValidation type="list" allowBlank="1" showInputMessage="1" showErrorMessage="1" sqref="AF17">
      <formula1>"Y,N"</formula1>
    </dataValidation>
    <dataValidation type="list" allowBlank="1" showInputMessage="1" showErrorMessage="1" sqref="AG17">
      <formula1>"Y,N"</formula1>
    </dataValidation>
    <dataValidation type="list" allowBlank="1" showInputMessage="1" showErrorMessage="1" sqref="AH17">
      <formula1>"Y,N"</formula1>
    </dataValidation>
    <dataValidation type="list" allowBlank="1" showInputMessage="1" showErrorMessage="1" sqref="AI17">
      <formula1>"Y,N"</formula1>
    </dataValidation>
    <dataValidation type="list" allowBlank="1" showInputMessage="1" showErrorMessage="1" sqref="AJ17">
      <formula1>"Y,N"</formula1>
    </dataValidation>
    <dataValidation type="list" allowBlank="1" showInputMessage="1" showErrorMessage="1" sqref="AK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Z18">
      <formula1>"Y,N"</formula1>
    </dataValidation>
    <dataValidation type="list" allowBlank="1" showInputMessage="1" showErrorMessage="1" sqref="AA18">
      <formula1>"Y,N"</formula1>
    </dataValidation>
    <dataValidation type="list" allowBlank="1" showInputMessage="1" showErrorMessage="1" sqref="AB18">
      <formula1>"Y,N"</formula1>
    </dataValidation>
    <dataValidation type="list" allowBlank="1" showInputMessage="1" showErrorMessage="1" sqref="AC18">
      <formula1>"Y,N"</formula1>
    </dataValidation>
    <dataValidation type="list" allowBlank="1" showInputMessage="1" showErrorMessage="1" sqref="AD18">
      <formula1>"Y,N"</formula1>
    </dataValidation>
    <dataValidation type="list" allowBlank="1" showInputMessage="1" showErrorMessage="1" sqref="AE18">
      <formula1>"Y,N"</formula1>
    </dataValidation>
    <dataValidation type="list" allowBlank="1" showInputMessage="1" showErrorMessage="1" sqref="AF18">
      <formula1>"Y,N"</formula1>
    </dataValidation>
    <dataValidation type="list" allowBlank="1" showInputMessage="1" showErrorMessage="1" sqref="AG18">
      <formula1>"Y,N"</formula1>
    </dataValidation>
    <dataValidation type="list" allowBlank="1" showInputMessage="1" showErrorMessage="1" sqref="AH18">
      <formula1>"Y,N"</formula1>
    </dataValidation>
    <dataValidation type="list" allowBlank="1" showInputMessage="1" showErrorMessage="1" sqref="AI18">
      <formula1>"Y,N"</formula1>
    </dataValidation>
    <dataValidation type="list" allowBlank="1" showInputMessage="1" showErrorMessage="1" sqref="AJ18">
      <formula1>"Y,N"</formula1>
    </dataValidation>
    <dataValidation type="list" allowBlank="1" showInputMessage="1" showErrorMessage="1" sqref="AK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Z19">
      <formula1>"Y,N"</formula1>
    </dataValidation>
    <dataValidation type="list" allowBlank="1" showInputMessage="1" showErrorMessage="1" sqref="AA19">
      <formula1>"Y,N"</formula1>
    </dataValidation>
    <dataValidation type="list" allowBlank="1" showInputMessage="1" showErrorMessage="1" sqref="AB19">
      <formula1>"Y,N"</formula1>
    </dataValidation>
    <dataValidation type="list" allowBlank="1" showInputMessage="1" showErrorMessage="1" sqref="AC19">
      <formula1>"Y,N"</formula1>
    </dataValidation>
    <dataValidation type="list" allowBlank="1" showInputMessage="1" showErrorMessage="1" sqref="AD19">
      <formula1>"Y,N"</formula1>
    </dataValidation>
    <dataValidation type="list" allowBlank="1" showInputMessage="1" showErrorMessage="1" sqref="AE19">
      <formula1>"Y,N"</formula1>
    </dataValidation>
    <dataValidation type="list" allowBlank="1" showInputMessage="1" showErrorMessage="1" sqref="AF19">
      <formula1>"Y,N"</formula1>
    </dataValidation>
    <dataValidation type="list" allowBlank="1" showInputMessage="1" showErrorMessage="1" sqref="AG19">
      <formula1>"Y,N"</formula1>
    </dataValidation>
    <dataValidation type="list" allowBlank="1" showInputMessage="1" showErrorMessage="1" sqref="AH19">
      <formula1>"Y,N"</formula1>
    </dataValidation>
    <dataValidation type="list" allowBlank="1" showInputMessage="1" showErrorMessage="1" sqref="AI19">
      <formula1>"Y,N"</formula1>
    </dataValidation>
    <dataValidation type="list" allowBlank="1" showInputMessage="1" showErrorMessage="1" sqref="AJ19">
      <formula1>"Y,N"</formula1>
    </dataValidation>
    <dataValidation type="list" allowBlank="1" showInputMessage="1" showErrorMessage="1" sqref="AK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Z20">
      <formula1>"Y,N"</formula1>
    </dataValidation>
    <dataValidation type="list" allowBlank="1" showInputMessage="1" showErrorMessage="1" sqref="AA20">
      <formula1>"Y,N"</formula1>
    </dataValidation>
    <dataValidation type="list" allowBlank="1" showInputMessage="1" showErrorMessage="1" sqref="AB20">
      <formula1>"Y,N"</formula1>
    </dataValidation>
    <dataValidation type="list" allowBlank="1" showInputMessage="1" showErrorMessage="1" sqref="AC20">
      <formula1>"Y,N"</formula1>
    </dataValidation>
    <dataValidation type="list" allowBlank="1" showInputMessage="1" showErrorMessage="1" sqref="AD20">
      <formula1>"Y,N"</formula1>
    </dataValidation>
    <dataValidation type="list" allowBlank="1" showInputMessage="1" showErrorMessage="1" sqref="AE20">
      <formula1>"Y,N"</formula1>
    </dataValidation>
    <dataValidation type="list" allowBlank="1" showInputMessage="1" showErrorMessage="1" sqref="AF20">
      <formula1>"Y,N"</formula1>
    </dataValidation>
    <dataValidation type="list" allowBlank="1" showInputMessage="1" showErrorMessage="1" sqref="AG20">
      <formula1>"Y,N"</formula1>
    </dataValidation>
    <dataValidation type="list" allowBlank="1" showInputMessage="1" showErrorMessage="1" sqref="AH20">
      <formula1>"Y,N"</formula1>
    </dataValidation>
    <dataValidation type="list" allowBlank="1" showInputMessage="1" showErrorMessage="1" sqref="AI20">
      <formula1>"Y,N"</formula1>
    </dataValidation>
    <dataValidation type="list" allowBlank="1" showInputMessage="1" showErrorMessage="1" sqref="AJ20">
      <formula1>"Y,N"</formula1>
    </dataValidation>
    <dataValidation type="list" allowBlank="1" showInputMessage="1" showErrorMessage="1" sqref="AK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Z21">
      <formula1>"Y,N"</formula1>
    </dataValidation>
    <dataValidation type="list" allowBlank="1" showInputMessage="1" showErrorMessage="1" sqref="AA21">
      <formula1>"Y,N"</formula1>
    </dataValidation>
    <dataValidation type="list" allowBlank="1" showInputMessage="1" showErrorMessage="1" sqref="AB21">
      <formula1>"Y,N"</formula1>
    </dataValidation>
    <dataValidation type="list" allowBlank="1" showInputMessage="1" showErrorMessage="1" sqref="AC21">
      <formula1>"Y,N"</formula1>
    </dataValidation>
    <dataValidation type="list" allowBlank="1" showInputMessage="1" showErrorMessage="1" sqref="AD21">
      <formula1>"Y,N"</formula1>
    </dataValidation>
    <dataValidation type="list" allowBlank="1" showInputMessage="1" showErrorMessage="1" sqref="AE21">
      <formula1>"Y,N"</formula1>
    </dataValidation>
    <dataValidation type="list" allowBlank="1" showInputMessage="1" showErrorMessage="1" sqref="AF21">
      <formula1>"Y,N"</formula1>
    </dataValidation>
    <dataValidation type="list" allowBlank="1" showInputMessage="1" showErrorMessage="1" sqref="AG21">
      <formula1>"Y,N"</formula1>
    </dataValidation>
    <dataValidation type="list" allowBlank="1" showInputMessage="1" showErrorMessage="1" sqref="AH21">
      <formula1>"Y,N"</formula1>
    </dataValidation>
    <dataValidation type="list" allowBlank="1" showInputMessage="1" showErrorMessage="1" sqref="AI21">
      <formula1>"Y,N"</formula1>
    </dataValidation>
    <dataValidation type="list" allowBlank="1" showInputMessage="1" showErrorMessage="1" sqref="AJ21">
      <formula1>"Y,N"</formula1>
    </dataValidation>
    <dataValidation type="list" allowBlank="1" showInputMessage="1" showErrorMessage="1" sqref="AK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Z22">
      <formula1>"Y,N"</formula1>
    </dataValidation>
    <dataValidation type="list" allowBlank="1" showInputMessage="1" showErrorMessage="1" sqref="AA22">
      <formula1>"Y,N"</formula1>
    </dataValidation>
    <dataValidation type="list" allowBlank="1" showInputMessage="1" showErrorMessage="1" sqref="AB22">
      <formula1>"Y,N"</formula1>
    </dataValidation>
    <dataValidation type="list" allowBlank="1" showInputMessage="1" showErrorMessage="1" sqref="AC22">
      <formula1>"Y,N"</formula1>
    </dataValidation>
    <dataValidation type="list" allowBlank="1" showInputMessage="1" showErrorMessage="1" sqref="AD22">
      <formula1>"Y,N"</formula1>
    </dataValidation>
    <dataValidation type="list" allowBlank="1" showInputMessage="1" showErrorMessage="1" sqref="AE22">
      <formula1>"Y,N"</formula1>
    </dataValidation>
    <dataValidation type="list" allowBlank="1" showInputMessage="1" showErrorMessage="1" sqref="AF22">
      <formula1>"Y,N"</formula1>
    </dataValidation>
    <dataValidation type="list" allowBlank="1" showInputMessage="1" showErrorMessage="1" sqref="AG22">
      <formula1>"Y,N"</formula1>
    </dataValidation>
    <dataValidation type="list" allowBlank="1" showInputMessage="1" showErrorMessage="1" sqref="AH22">
      <formula1>"Y,N"</formula1>
    </dataValidation>
    <dataValidation type="list" allowBlank="1" showInputMessage="1" showErrorMessage="1" sqref="AI22">
      <formula1>"Y,N"</formula1>
    </dataValidation>
    <dataValidation type="list" allowBlank="1" showInputMessage="1" showErrorMessage="1" sqref="AJ22">
      <formula1>"Y,N"</formula1>
    </dataValidation>
    <dataValidation type="list" allowBlank="1" showInputMessage="1" showErrorMessage="1" sqref="AK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Z23">
      <formula1>"Y,N"</formula1>
    </dataValidation>
    <dataValidation type="list" allowBlank="1" showInputMessage="1" showErrorMessage="1" sqref="AA23">
      <formula1>"Y,N"</formula1>
    </dataValidation>
    <dataValidation type="list" allowBlank="1" showInputMessage="1" showErrorMessage="1" sqref="AB23">
      <formula1>"Y,N"</formula1>
    </dataValidation>
    <dataValidation type="list" allowBlank="1" showInputMessage="1" showErrorMessage="1" sqref="AC23">
      <formula1>"Y,N"</formula1>
    </dataValidation>
    <dataValidation type="list" allowBlank="1" showInputMessage="1" showErrorMessage="1" sqref="AD23">
      <formula1>"Y,N"</formula1>
    </dataValidation>
    <dataValidation type="list" allowBlank="1" showInputMessage="1" showErrorMessage="1" sqref="AE23">
      <formula1>"Y,N"</formula1>
    </dataValidation>
    <dataValidation type="list" allowBlank="1" showInputMessage="1" showErrorMessage="1" sqref="AF23">
      <formula1>"Y,N"</formula1>
    </dataValidation>
    <dataValidation type="list" allowBlank="1" showInputMessage="1" showErrorMessage="1" sqref="AG23">
      <formula1>"Y,N"</formula1>
    </dataValidation>
    <dataValidation type="list" allowBlank="1" showInputMessage="1" showErrorMessage="1" sqref="AH23">
      <formula1>"Y,N"</formula1>
    </dataValidation>
    <dataValidation type="list" allowBlank="1" showInputMessage="1" showErrorMessage="1" sqref="AI23">
      <formula1>"Y,N"</formula1>
    </dataValidation>
    <dataValidation type="list" allowBlank="1" showInputMessage="1" showErrorMessage="1" sqref="AJ23">
      <formula1>"Y,N"</formula1>
    </dataValidation>
    <dataValidation type="list" allowBlank="1" showInputMessage="1" showErrorMessage="1" sqref="AK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Z24">
      <formula1>"Y,N"</formula1>
    </dataValidation>
    <dataValidation type="list" allowBlank="1" showInputMessage="1" showErrorMessage="1" sqref="AA24">
      <formula1>"Y,N"</formula1>
    </dataValidation>
    <dataValidation type="list" allowBlank="1" showInputMessage="1" showErrorMessage="1" sqref="AB24">
      <formula1>"Y,N"</formula1>
    </dataValidation>
    <dataValidation type="list" allowBlank="1" showInputMessage="1" showErrorMessage="1" sqref="AC24">
      <formula1>"Y,N"</formula1>
    </dataValidation>
    <dataValidation type="list" allowBlank="1" showInputMessage="1" showErrorMessage="1" sqref="AD24">
      <formula1>"Y,N"</formula1>
    </dataValidation>
    <dataValidation type="list" allowBlank="1" showInputMessage="1" showErrorMessage="1" sqref="AE24">
      <formula1>"Y,N"</formula1>
    </dataValidation>
    <dataValidation type="list" allowBlank="1" showInputMessage="1" showErrorMessage="1" sqref="AF24">
      <formula1>"Y,N"</formula1>
    </dataValidation>
    <dataValidation type="list" allowBlank="1" showInputMessage="1" showErrorMessage="1" sqref="AG24">
      <formula1>"Y,N"</formula1>
    </dataValidation>
    <dataValidation type="list" allowBlank="1" showInputMessage="1" showErrorMessage="1" sqref="AH24">
      <formula1>"Y,N"</formula1>
    </dataValidation>
    <dataValidation type="list" allowBlank="1" showInputMessage="1" showErrorMessage="1" sqref="AI24">
      <formula1>"Y,N"</formula1>
    </dataValidation>
    <dataValidation type="list" allowBlank="1" showInputMessage="1" showErrorMessage="1" sqref="AJ24">
      <formula1>"Y,N"</formula1>
    </dataValidation>
    <dataValidation type="list" allowBlank="1" showInputMessage="1" showErrorMessage="1" sqref="AK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Z25">
      <formula1>"Y,N"</formula1>
    </dataValidation>
    <dataValidation type="list" allowBlank="1" showInputMessage="1" showErrorMessage="1" sqref="AA25">
      <formula1>"Y,N"</formula1>
    </dataValidation>
    <dataValidation type="list" allowBlank="1" showInputMessage="1" showErrorMessage="1" sqref="AB25">
      <formula1>"Y,N"</formula1>
    </dataValidation>
    <dataValidation type="list" allowBlank="1" showInputMessage="1" showErrorMessage="1" sqref="AC25">
      <formula1>"Y,N"</formula1>
    </dataValidation>
    <dataValidation type="list" allowBlank="1" showInputMessage="1" showErrorMessage="1" sqref="AD25">
      <formula1>"Y,N"</formula1>
    </dataValidation>
    <dataValidation type="list" allowBlank="1" showInputMessage="1" showErrorMessage="1" sqref="AE25">
      <formula1>"Y,N"</formula1>
    </dataValidation>
    <dataValidation type="list" allowBlank="1" showInputMessage="1" showErrorMessage="1" sqref="AF25">
      <formula1>"Y,N"</formula1>
    </dataValidation>
    <dataValidation type="list" allowBlank="1" showInputMessage="1" showErrorMessage="1" sqref="AG25">
      <formula1>"Y,N"</formula1>
    </dataValidation>
    <dataValidation type="list" allowBlank="1" showInputMessage="1" showErrorMessage="1" sqref="AH25">
      <formula1>"Y,N"</formula1>
    </dataValidation>
    <dataValidation type="list" allowBlank="1" showInputMessage="1" showErrorMessage="1" sqref="AI25">
      <formula1>"Y,N"</formula1>
    </dataValidation>
    <dataValidation type="list" allowBlank="1" showInputMessage="1" showErrorMessage="1" sqref="AJ25">
      <formula1>"Y,N"</formula1>
    </dataValidation>
    <dataValidation type="list" allowBlank="1" showInputMessage="1" showErrorMessage="1" sqref="AK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Z26">
      <formula1>"Y,N"</formula1>
    </dataValidation>
    <dataValidation type="list" allowBlank="1" showInputMessage="1" showErrorMessage="1" sqref="AA26">
      <formula1>"Y,N"</formula1>
    </dataValidation>
    <dataValidation type="list" allowBlank="1" showInputMessage="1" showErrorMessage="1" sqref="AB26">
      <formula1>"Y,N"</formula1>
    </dataValidation>
    <dataValidation type="list" allowBlank="1" showInputMessage="1" showErrorMessage="1" sqref="AC26">
      <formula1>"Y,N"</formula1>
    </dataValidation>
    <dataValidation type="list" allowBlank="1" showInputMessage="1" showErrorMessage="1" sqref="AD26">
      <formula1>"Y,N"</formula1>
    </dataValidation>
    <dataValidation type="list" allowBlank="1" showInputMessage="1" showErrorMessage="1" sqref="AE26">
      <formula1>"Y,N"</formula1>
    </dataValidation>
    <dataValidation type="list" allowBlank="1" showInputMessage="1" showErrorMessage="1" sqref="AF26">
      <formula1>"Y,N"</formula1>
    </dataValidation>
    <dataValidation type="list" allowBlank="1" showInputMessage="1" showErrorMessage="1" sqref="AG26">
      <formula1>"Y,N"</formula1>
    </dataValidation>
    <dataValidation type="list" allowBlank="1" showInputMessage="1" showErrorMessage="1" sqref="AH26">
      <formula1>"Y,N"</formula1>
    </dataValidation>
    <dataValidation type="list" allowBlank="1" showInputMessage="1" showErrorMessage="1" sqref="AI26">
      <formula1>"Y,N"</formula1>
    </dataValidation>
    <dataValidation type="list" allowBlank="1" showInputMessage="1" showErrorMessage="1" sqref="AJ26">
      <formula1>"Y,N"</formula1>
    </dataValidation>
    <dataValidation type="list" allowBlank="1" showInputMessage="1" showErrorMessage="1" sqref="AK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Z27">
      <formula1>"Y,N"</formula1>
    </dataValidation>
    <dataValidation type="list" allowBlank="1" showInputMessage="1" showErrorMessage="1" sqref="AA27">
      <formula1>"Y,N"</formula1>
    </dataValidation>
    <dataValidation type="list" allowBlank="1" showInputMessage="1" showErrorMessage="1" sqref="AB27">
      <formula1>"Y,N"</formula1>
    </dataValidation>
    <dataValidation type="list" allowBlank="1" showInputMessage="1" showErrorMessage="1" sqref="AC27">
      <formula1>"Y,N"</formula1>
    </dataValidation>
    <dataValidation type="list" allowBlank="1" showInputMessage="1" showErrorMessage="1" sqref="AD27">
      <formula1>"Y,N"</formula1>
    </dataValidation>
    <dataValidation type="list" allowBlank="1" showInputMessage="1" showErrorMessage="1" sqref="AE27">
      <formula1>"Y,N"</formula1>
    </dataValidation>
    <dataValidation type="list" allowBlank="1" showInputMessage="1" showErrorMessage="1" sqref="AF27">
      <formula1>"Y,N"</formula1>
    </dataValidation>
    <dataValidation type="list" allowBlank="1" showInputMessage="1" showErrorMessage="1" sqref="AG27">
      <formula1>"Y,N"</formula1>
    </dataValidation>
    <dataValidation type="list" allowBlank="1" showInputMessage="1" showErrorMessage="1" sqref="AH27">
      <formula1>"Y,N"</formula1>
    </dataValidation>
    <dataValidation type="list" allowBlank="1" showInputMessage="1" showErrorMessage="1" sqref="AI27">
      <formula1>"Y,N"</formula1>
    </dataValidation>
    <dataValidation type="list" allowBlank="1" showInputMessage="1" showErrorMessage="1" sqref="AJ27">
      <formula1>"Y,N"</formula1>
    </dataValidation>
    <dataValidation type="list" allowBlank="1" showInputMessage="1" showErrorMessage="1" sqref="AK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Z28">
      <formula1>"Y,N"</formula1>
    </dataValidation>
    <dataValidation type="list" allowBlank="1" showInputMessage="1" showErrorMessage="1" sqref="AA28">
      <formula1>"Y,N"</formula1>
    </dataValidation>
    <dataValidation type="list" allowBlank="1" showInputMessage="1" showErrorMessage="1" sqref="AB28">
      <formula1>"Y,N"</formula1>
    </dataValidation>
    <dataValidation type="list" allowBlank="1" showInputMessage="1" showErrorMessage="1" sqref="AC28">
      <formula1>"Y,N"</formula1>
    </dataValidation>
    <dataValidation type="list" allowBlank="1" showInputMessage="1" showErrorMessage="1" sqref="AD28">
      <formula1>"Y,N"</formula1>
    </dataValidation>
    <dataValidation type="list" allowBlank="1" showInputMessage="1" showErrorMessage="1" sqref="AE28">
      <formula1>"Y,N"</formula1>
    </dataValidation>
    <dataValidation type="list" allowBlank="1" showInputMessage="1" showErrorMessage="1" sqref="AF28">
      <formula1>"Y,N"</formula1>
    </dataValidation>
    <dataValidation type="list" allowBlank="1" showInputMessage="1" showErrorMessage="1" sqref="AG28">
      <formula1>"Y,N"</formula1>
    </dataValidation>
    <dataValidation type="list" allowBlank="1" showInputMessage="1" showErrorMessage="1" sqref="AH28">
      <formula1>"Y,N"</formula1>
    </dataValidation>
    <dataValidation type="list" allowBlank="1" showInputMessage="1" showErrorMessage="1" sqref="AI28">
      <formula1>"Y,N"</formula1>
    </dataValidation>
    <dataValidation type="list" allowBlank="1" showInputMessage="1" showErrorMessage="1" sqref="AJ28">
      <formula1>"Y,N"</formula1>
    </dataValidation>
    <dataValidation type="list" allowBlank="1" showInputMessage="1" showErrorMessage="1" sqref="AK28">
      <formula1>"Y,N"</formula1>
    </dataValidation>
    <dataValidation type="list" allowBlank="1" showInputMessage="1" showErrorMessage="1" sqref="B29">
      <formula1>"Y,N"</formula1>
    </dataValidation>
    <dataValidation type="list" allowBlank="1" showInputMessage="1" showErrorMessage="1" sqref="C29">
      <formula1>"Y,N"</formula1>
    </dataValidation>
    <dataValidation type="list" allowBlank="1" showInputMessage="1" showErrorMessage="1" sqref="D29">
      <formula1>"Y,N"</formula1>
    </dataValidation>
    <dataValidation type="list" allowBlank="1" showInputMessage="1" showErrorMessage="1" sqref="E29">
      <formula1>"Y,N"</formula1>
    </dataValidation>
    <dataValidation type="list" allowBlank="1" showInputMessage="1" showErrorMessage="1" sqref="F29">
      <formula1>"Y,N"</formula1>
    </dataValidation>
    <dataValidation type="list" allowBlank="1" showInputMessage="1" showErrorMessage="1" sqref="G29">
      <formula1>"Y,N"</formula1>
    </dataValidation>
    <dataValidation type="list" allowBlank="1" showInputMessage="1" showErrorMessage="1" sqref="H29">
      <formula1>"Y,N"</formula1>
    </dataValidation>
    <dataValidation type="list" allowBlank="1" showInputMessage="1" showErrorMessage="1" sqref="I29">
      <formula1>"Y,N"</formula1>
    </dataValidation>
    <dataValidation type="list" allowBlank="1" showInputMessage="1" showErrorMessage="1" sqref="J29">
      <formula1>"Y,N"</formula1>
    </dataValidation>
    <dataValidation type="list" allowBlank="1" showInputMessage="1" showErrorMessage="1" sqref="K29">
      <formula1>"Y,N"</formula1>
    </dataValidation>
    <dataValidation type="list" allowBlank="1" showInputMessage="1" showErrorMessage="1" sqref="L29">
      <formula1>"Y,N"</formula1>
    </dataValidation>
    <dataValidation type="list" allowBlank="1" showInputMessage="1" showErrorMessage="1" sqref="M29">
      <formula1>"Y,N"</formula1>
    </dataValidation>
    <dataValidation type="list" allowBlank="1" showInputMessage="1" showErrorMessage="1" sqref="N29">
      <formula1>"Y,N"</formula1>
    </dataValidation>
    <dataValidation type="list" allowBlank="1" showInputMessage="1" showErrorMessage="1" sqref="O29">
      <formula1>"Y,N"</formula1>
    </dataValidation>
    <dataValidation type="list" allowBlank="1" showInputMessage="1" showErrorMessage="1" sqref="P29">
      <formula1>"Y,N"</formula1>
    </dataValidation>
    <dataValidation type="list" allowBlank="1" showInputMessage="1" showErrorMessage="1" sqref="Q29">
      <formula1>"Y,N"</formula1>
    </dataValidation>
    <dataValidation type="list" allowBlank="1" showInputMessage="1" showErrorMessage="1" sqref="R29">
      <formula1>"Y,N"</formula1>
    </dataValidation>
    <dataValidation type="list" allowBlank="1" showInputMessage="1" showErrorMessage="1" sqref="S29">
      <formula1>"Y,N"</formula1>
    </dataValidation>
    <dataValidation type="list" allowBlank="1" showInputMessage="1" showErrorMessage="1" sqref="T29">
      <formula1>"Y,N"</formula1>
    </dataValidation>
    <dataValidation type="list" allowBlank="1" showInputMessage="1" showErrorMessage="1" sqref="U29">
      <formula1>"Y,N"</formula1>
    </dataValidation>
    <dataValidation type="list" allowBlank="1" showInputMessage="1" showErrorMessage="1" sqref="V29">
      <formula1>"Y,N"</formula1>
    </dataValidation>
    <dataValidation type="list" allowBlank="1" showInputMessage="1" showErrorMessage="1" sqref="W29">
      <formula1>"Y,N"</formula1>
    </dataValidation>
    <dataValidation type="list" allowBlank="1" showInputMessage="1" showErrorMessage="1" sqref="X29">
      <formula1>"Y,N"</formula1>
    </dataValidation>
    <dataValidation type="list" allowBlank="1" showInputMessage="1" showErrorMessage="1" sqref="Y29">
      <formula1>"Y,N"</formula1>
    </dataValidation>
    <dataValidation type="list" allowBlank="1" showInputMessage="1" showErrorMessage="1" sqref="Z29">
      <formula1>"N.A."</formula1>
    </dataValidation>
    <dataValidation type="list" allowBlank="1" showInputMessage="1" showErrorMessage="1" sqref="AA29">
      <formula1>"Y,N"</formula1>
    </dataValidation>
    <dataValidation type="list" allowBlank="1" showInputMessage="1" showErrorMessage="1" sqref="AB29">
      <formula1>"Y,N"</formula1>
    </dataValidation>
    <dataValidation type="list" allowBlank="1" showInputMessage="1" showErrorMessage="1" sqref="AC29">
      <formula1>"Y,N"</formula1>
    </dataValidation>
    <dataValidation type="list" allowBlank="1" showInputMessage="1" showErrorMessage="1" sqref="AD29">
      <formula1>"Y,N"</formula1>
    </dataValidation>
    <dataValidation type="list" allowBlank="1" showInputMessage="1" showErrorMessage="1" sqref="AE29">
      <formula1>"Y,N"</formula1>
    </dataValidation>
    <dataValidation type="list" allowBlank="1" showInputMessage="1" showErrorMessage="1" sqref="AF29">
      <formula1>"Y,N"</formula1>
    </dataValidation>
    <dataValidation type="list" allowBlank="1" showInputMessage="1" showErrorMessage="1" sqref="AG29">
      <formula1>"Y,N"</formula1>
    </dataValidation>
    <dataValidation type="list" allowBlank="1" showInputMessage="1" showErrorMessage="1" sqref="AH29">
      <formula1>"Y,N"</formula1>
    </dataValidation>
    <dataValidation type="list" allowBlank="1" showInputMessage="1" showErrorMessage="1" sqref="AI29">
      <formula1>"Y,N"</formula1>
    </dataValidation>
    <dataValidation type="list" allowBlank="1" showInputMessage="1" showErrorMessage="1" sqref="AJ29">
      <formula1>"Y,N"</formula1>
    </dataValidation>
    <dataValidation type="list" allowBlank="1" showInputMessage="1" showErrorMessage="1" sqref="AK29">
      <formula1>"Y,N"</formula1>
    </dataValidation>
    <dataValidation type="list" allowBlank="1" showInputMessage="1" showErrorMessage="1" sqref="B30">
      <formula1>"Y,N"</formula1>
    </dataValidation>
    <dataValidation type="list" allowBlank="1" showInputMessage="1" showErrorMessage="1" sqref="C30">
      <formula1>"Y,N"</formula1>
    </dataValidation>
    <dataValidation type="list" allowBlank="1" showInputMessage="1" showErrorMessage="1" sqref="D30">
      <formula1>"Y,N"</formula1>
    </dataValidation>
    <dataValidation type="list" allowBlank="1" showInputMessage="1" showErrorMessage="1" sqref="E30">
      <formula1>"Y,N"</formula1>
    </dataValidation>
    <dataValidation type="list" allowBlank="1" showInputMessage="1" showErrorMessage="1" sqref="F30">
      <formula1>"Y,N"</formula1>
    </dataValidation>
    <dataValidation type="list" allowBlank="1" showInputMessage="1" showErrorMessage="1" sqref="G30">
      <formula1>"Y,N"</formula1>
    </dataValidation>
    <dataValidation type="list" allowBlank="1" showInputMessage="1" showErrorMessage="1" sqref="H30">
      <formula1>"Y,N"</formula1>
    </dataValidation>
    <dataValidation type="list" allowBlank="1" showInputMessage="1" showErrorMessage="1" sqref="I30">
      <formula1>"Y,N"</formula1>
    </dataValidation>
    <dataValidation type="list" allowBlank="1" showInputMessage="1" showErrorMessage="1" sqref="J30">
      <formula1>"Y,N"</formula1>
    </dataValidation>
    <dataValidation type="list" allowBlank="1" showInputMessage="1" showErrorMessage="1" sqref="K30">
      <formula1>"Y,N"</formula1>
    </dataValidation>
    <dataValidation type="list" allowBlank="1" showInputMessage="1" showErrorMessage="1" sqref="L30">
      <formula1>"Y,N"</formula1>
    </dataValidation>
    <dataValidation type="list" allowBlank="1" showInputMessage="1" showErrorMessage="1" sqref="M30">
      <formula1>"Y,N"</formula1>
    </dataValidation>
    <dataValidation type="list" allowBlank="1" showInputMessage="1" showErrorMessage="1" sqref="N30">
      <formula1>"Y,N"</formula1>
    </dataValidation>
    <dataValidation type="list" allowBlank="1" showInputMessage="1" showErrorMessage="1" sqref="O30">
      <formula1>"Y,N"</formula1>
    </dataValidation>
    <dataValidation type="list" allowBlank="1" showInputMessage="1" showErrorMessage="1" sqref="P30">
      <formula1>"Y,N"</formula1>
    </dataValidation>
    <dataValidation type="list" allowBlank="1" showInputMessage="1" showErrorMessage="1" sqref="Q30">
      <formula1>"Y,N"</formula1>
    </dataValidation>
    <dataValidation type="list" allowBlank="1" showInputMessage="1" showErrorMessage="1" sqref="R30">
      <formula1>"Y,N"</formula1>
    </dataValidation>
    <dataValidation type="list" allowBlank="1" showInputMessage="1" showErrorMessage="1" sqref="S30">
      <formula1>"Y,N"</formula1>
    </dataValidation>
    <dataValidation type="list" allowBlank="1" showInputMessage="1" showErrorMessage="1" sqref="T30">
      <formula1>"Y,N"</formula1>
    </dataValidation>
    <dataValidation type="list" allowBlank="1" showInputMessage="1" showErrorMessage="1" sqref="U30">
      <formula1>"Y,N"</formula1>
    </dataValidation>
    <dataValidation type="list" allowBlank="1" showInputMessage="1" showErrorMessage="1" sqref="V30">
      <formula1>"Y,N"</formula1>
    </dataValidation>
    <dataValidation type="list" allowBlank="1" showInputMessage="1" showErrorMessage="1" sqref="W30">
      <formula1>"Y,N"</formula1>
    </dataValidation>
    <dataValidation type="list" allowBlank="1" showInputMessage="1" showErrorMessage="1" sqref="X30">
      <formula1>"Y,N"</formula1>
    </dataValidation>
    <dataValidation type="list" allowBlank="1" showInputMessage="1" showErrorMessage="1" sqref="Y30">
      <formula1>"Y,N"</formula1>
    </dataValidation>
    <dataValidation type="list" allowBlank="1" showInputMessage="1" showErrorMessage="1" sqref="Z30">
      <formula1>"Y,N"</formula1>
    </dataValidation>
    <dataValidation type="list" allowBlank="1" showInputMessage="1" showErrorMessage="1" sqref="AA30">
      <formula1>"N.A."</formula1>
    </dataValidation>
    <dataValidation type="list" allowBlank="1" showInputMessage="1" showErrorMessage="1" sqref="AB30">
      <formula1>"Y,N"</formula1>
    </dataValidation>
    <dataValidation type="list" allowBlank="1" showInputMessage="1" showErrorMessage="1" sqref="AC30">
      <formula1>"Y,N"</formula1>
    </dataValidation>
    <dataValidation type="list" allowBlank="1" showInputMessage="1" showErrorMessage="1" sqref="AD30">
      <formula1>"Y,N"</formula1>
    </dataValidation>
    <dataValidation type="list" allowBlank="1" showInputMessage="1" showErrorMessage="1" sqref="AE30">
      <formula1>"Y,N"</formula1>
    </dataValidation>
    <dataValidation type="list" allowBlank="1" showInputMessage="1" showErrorMessage="1" sqref="AF30">
      <formula1>"Y,N"</formula1>
    </dataValidation>
    <dataValidation type="list" allowBlank="1" showInputMessage="1" showErrorMessage="1" sqref="AG30">
      <formula1>"Y,N"</formula1>
    </dataValidation>
    <dataValidation type="list" allowBlank="1" showInputMessage="1" showErrorMessage="1" sqref="AH30">
      <formula1>"Y,N"</formula1>
    </dataValidation>
    <dataValidation type="list" allowBlank="1" showInputMessage="1" showErrorMessage="1" sqref="AI30">
      <formula1>"Y,N"</formula1>
    </dataValidation>
    <dataValidation type="list" allowBlank="1" showInputMessage="1" showErrorMessage="1" sqref="AJ30">
      <formula1>"Y,N"</formula1>
    </dataValidation>
    <dataValidation type="list" allowBlank="1" showInputMessage="1" showErrorMessage="1" sqref="AK30">
      <formula1>"Y,N"</formula1>
    </dataValidation>
    <dataValidation type="list" allowBlank="1" showInputMessage="1" showErrorMessage="1" sqref="B31">
      <formula1>"Y,N"</formula1>
    </dataValidation>
    <dataValidation type="list" allowBlank="1" showInputMessage="1" showErrorMessage="1" sqref="C31">
      <formula1>"Y,N"</formula1>
    </dataValidation>
    <dataValidation type="list" allowBlank="1" showInputMessage="1" showErrorMessage="1" sqref="D31">
      <formula1>"Y,N"</formula1>
    </dataValidation>
    <dataValidation type="list" allowBlank="1" showInputMessage="1" showErrorMessage="1" sqref="E31">
      <formula1>"Y,N"</formula1>
    </dataValidation>
    <dataValidation type="list" allowBlank="1" showInputMessage="1" showErrorMessage="1" sqref="F31">
      <formula1>"Y,N"</formula1>
    </dataValidation>
    <dataValidation type="list" allowBlank="1" showInputMessage="1" showErrorMessage="1" sqref="G31">
      <formula1>"Y,N"</formula1>
    </dataValidation>
    <dataValidation type="list" allowBlank="1" showInputMessage="1" showErrorMessage="1" sqref="H31">
      <formula1>"Y,N"</formula1>
    </dataValidation>
    <dataValidation type="list" allowBlank="1" showInputMessage="1" showErrorMessage="1" sqref="I31">
      <formula1>"Y,N"</formula1>
    </dataValidation>
    <dataValidation type="list" allowBlank="1" showInputMessage="1" showErrorMessage="1" sqref="J31">
      <formula1>"Y,N"</formula1>
    </dataValidation>
    <dataValidation type="list" allowBlank="1" showInputMessage="1" showErrorMessage="1" sqref="K31">
      <formula1>"Y,N"</formula1>
    </dataValidation>
    <dataValidation type="list" allowBlank="1" showInputMessage="1" showErrorMessage="1" sqref="L31">
      <formula1>"Y,N"</formula1>
    </dataValidation>
    <dataValidation type="list" allowBlank="1" showInputMessage="1" showErrorMessage="1" sqref="M31">
      <formula1>"Y,N"</formula1>
    </dataValidation>
    <dataValidation type="list" allowBlank="1" showInputMessage="1" showErrorMessage="1" sqref="N31">
      <formula1>"Y,N"</formula1>
    </dataValidation>
    <dataValidation type="list" allowBlank="1" showInputMessage="1" showErrorMessage="1" sqref="O31">
      <formula1>"Y,N"</formula1>
    </dataValidation>
    <dataValidation type="list" allowBlank="1" showInputMessage="1" showErrorMessage="1" sqref="P31">
      <formula1>"Y,N"</formula1>
    </dataValidation>
    <dataValidation type="list" allowBlank="1" showInputMessage="1" showErrorMessage="1" sqref="Q31">
      <formula1>"Y,N"</formula1>
    </dataValidation>
    <dataValidation type="list" allowBlank="1" showInputMessage="1" showErrorMessage="1" sqref="R31">
      <formula1>"Y,N"</formula1>
    </dataValidation>
    <dataValidation type="list" allowBlank="1" showInputMessage="1" showErrorMessage="1" sqref="S31">
      <formula1>"Y,N"</formula1>
    </dataValidation>
    <dataValidation type="list" allowBlank="1" showInputMessage="1" showErrorMessage="1" sqref="T31">
      <formula1>"Y,N"</formula1>
    </dataValidation>
    <dataValidation type="list" allowBlank="1" showInputMessage="1" showErrorMessage="1" sqref="U31">
      <formula1>"Y,N"</formula1>
    </dataValidation>
    <dataValidation type="list" allowBlank="1" showInputMessage="1" showErrorMessage="1" sqref="V31">
      <formula1>"Y,N"</formula1>
    </dataValidation>
    <dataValidation type="list" allowBlank="1" showInputMessage="1" showErrorMessage="1" sqref="W31">
      <formula1>"Y,N"</formula1>
    </dataValidation>
    <dataValidation type="list" allowBlank="1" showInputMessage="1" showErrorMessage="1" sqref="X31">
      <formula1>"Y,N"</formula1>
    </dataValidation>
    <dataValidation type="list" allowBlank="1" showInputMessage="1" showErrorMessage="1" sqref="Y31">
      <formula1>"Y,N"</formula1>
    </dataValidation>
    <dataValidation type="list" allowBlank="1" showInputMessage="1" showErrorMessage="1" sqref="Z31">
      <formula1>"Y,N"</formula1>
    </dataValidation>
    <dataValidation type="list" allowBlank="1" showInputMessage="1" showErrorMessage="1" sqref="AA31">
      <formula1>"Y,N"</formula1>
    </dataValidation>
    <dataValidation type="list" allowBlank="1" showInputMessage="1" showErrorMessage="1" sqref="AB31">
      <formula1>"N.A."</formula1>
    </dataValidation>
    <dataValidation type="list" allowBlank="1" showInputMessage="1" showErrorMessage="1" sqref="AC31">
      <formula1>"Y,N"</formula1>
    </dataValidation>
    <dataValidation type="list" allowBlank="1" showInputMessage="1" showErrorMessage="1" sqref="AD31">
      <formula1>"Y,N"</formula1>
    </dataValidation>
    <dataValidation type="list" allowBlank="1" showInputMessage="1" showErrorMessage="1" sqref="AE31">
      <formula1>"Y,N"</formula1>
    </dataValidation>
    <dataValidation type="list" allowBlank="1" showInputMessage="1" showErrorMessage="1" sqref="AF31">
      <formula1>"Y,N"</formula1>
    </dataValidation>
    <dataValidation type="list" allowBlank="1" showInputMessage="1" showErrorMessage="1" sqref="AG31">
      <formula1>"Y,N"</formula1>
    </dataValidation>
    <dataValidation type="list" allowBlank="1" showInputMessage="1" showErrorMessage="1" sqref="AH31">
      <formula1>"Y,N"</formula1>
    </dataValidation>
    <dataValidation type="list" allowBlank="1" showInputMessage="1" showErrorMessage="1" sqref="AI31">
      <formula1>"Y,N"</formula1>
    </dataValidation>
    <dataValidation type="list" allowBlank="1" showInputMessage="1" showErrorMessage="1" sqref="AJ31">
      <formula1>"Y,N"</formula1>
    </dataValidation>
    <dataValidation type="list" allowBlank="1" showInputMessage="1" showErrorMessage="1" sqref="AK31">
      <formula1>"Y,N"</formula1>
    </dataValidation>
    <dataValidation type="list" allowBlank="1" showInputMessage="1" showErrorMessage="1" sqref="B32">
      <formula1>"Y,N"</formula1>
    </dataValidation>
    <dataValidation type="list" allowBlank="1" showInputMessage="1" showErrorMessage="1" sqref="C32">
      <formula1>"Y,N"</formula1>
    </dataValidation>
    <dataValidation type="list" allowBlank="1" showInputMessage="1" showErrorMessage="1" sqref="D32">
      <formula1>"Y,N"</formula1>
    </dataValidation>
    <dataValidation type="list" allowBlank="1" showInputMessage="1" showErrorMessage="1" sqref="E32">
      <formula1>"Y,N"</formula1>
    </dataValidation>
    <dataValidation type="list" allowBlank="1" showInputMessage="1" showErrorMessage="1" sqref="F32">
      <formula1>"Y,N"</formula1>
    </dataValidation>
    <dataValidation type="list" allowBlank="1" showInputMessage="1" showErrorMessage="1" sqref="G32">
      <formula1>"Y,N"</formula1>
    </dataValidation>
    <dataValidation type="list" allowBlank="1" showInputMessage="1" showErrorMessage="1" sqref="H32">
      <formula1>"Y,N"</formula1>
    </dataValidation>
    <dataValidation type="list" allowBlank="1" showInputMessage="1" showErrorMessage="1" sqref="I32">
      <formula1>"Y,N"</formula1>
    </dataValidation>
    <dataValidation type="list" allowBlank="1" showInputMessage="1" showErrorMessage="1" sqref="J32">
      <formula1>"Y,N"</formula1>
    </dataValidation>
    <dataValidation type="list" allowBlank="1" showInputMessage="1" showErrorMessage="1" sqref="K32">
      <formula1>"Y,N"</formula1>
    </dataValidation>
    <dataValidation type="list" allowBlank="1" showInputMessage="1" showErrorMessage="1" sqref="L32">
      <formula1>"Y,N"</formula1>
    </dataValidation>
    <dataValidation type="list" allowBlank="1" showInputMessage="1" showErrorMessage="1" sqref="M32">
      <formula1>"Y,N"</formula1>
    </dataValidation>
    <dataValidation type="list" allowBlank="1" showInputMessage="1" showErrorMessage="1" sqref="N32">
      <formula1>"Y,N"</formula1>
    </dataValidation>
    <dataValidation type="list" allowBlank="1" showInputMessage="1" showErrorMessage="1" sqref="O32">
      <formula1>"Y,N"</formula1>
    </dataValidation>
    <dataValidation type="list" allowBlank="1" showInputMessage="1" showErrorMessage="1" sqref="P32">
      <formula1>"Y,N"</formula1>
    </dataValidation>
    <dataValidation type="list" allowBlank="1" showInputMessage="1" showErrorMessage="1" sqref="Q32">
      <formula1>"Y,N"</formula1>
    </dataValidation>
    <dataValidation type="list" allowBlank="1" showInputMessage="1" showErrorMessage="1" sqref="R32">
      <formula1>"Y,N"</formula1>
    </dataValidation>
    <dataValidation type="list" allowBlank="1" showInputMessage="1" showErrorMessage="1" sqref="S32">
      <formula1>"Y,N"</formula1>
    </dataValidation>
    <dataValidation type="list" allowBlank="1" showInputMessage="1" showErrorMessage="1" sqref="T32">
      <formula1>"Y,N"</formula1>
    </dataValidation>
    <dataValidation type="list" allowBlank="1" showInputMessage="1" showErrorMessage="1" sqref="U32">
      <formula1>"Y,N"</formula1>
    </dataValidation>
    <dataValidation type="list" allowBlank="1" showInputMessage="1" showErrorMessage="1" sqref="V32">
      <formula1>"Y,N"</formula1>
    </dataValidation>
    <dataValidation type="list" allowBlank="1" showInputMessage="1" showErrorMessage="1" sqref="W32">
      <formula1>"Y,N"</formula1>
    </dataValidation>
    <dataValidation type="list" allowBlank="1" showInputMessage="1" showErrorMessage="1" sqref="X32">
      <formula1>"Y,N"</formula1>
    </dataValidation>
    <dataValidation type="list" allowBlank="1" showInputMessage="1" showErrorMessage="1" sqref="Y32">
      <formula1>"Y,N"</formula1>
    </dataValidation>
    <dataValidation type="list" allowBlank="1" showInputMessage="1" showErrorMessage="1" sqref="Z32">
      <formula1>"Y,N"</formula1>
    </dataValidation>
    <dataValidation type="list" allowBlank="1" showInputMessage="1" showErrorMessage="1" sqref="AA32">
      <formula1>"Y,N"</formula1>
    </dataValidation>
    <dataValidation type="list" allowBlank="1" showInputMessage="1" showErrorMessage="1" sqref="AB32">
      <formula1>"Y,N"</formula1>
    </dataValidation>
    <dataValidation type="list" allowBlank="1" showInputMessage="1" showErrorMessage="1" sqref="AC32">
      <formula1>"N.A."</formula1>
    </dataValidation>
    <dataValidation type="list" allowBlank="1" showInputMessage="1" showErrorMessage="1" sqref="AD32">
      <formula1>"Y,N"</formula1>
    </dataValidation>
    <dataValidation type="list" allowBlank="1" showInputMessage="1" showErrorMessage="1" sqref="AE32">
      <formula1>"Y,N"</formula1>
    </dataValidation>
    <dataValidation type="list" allowBlank="1" showInputMessage="1" showErrorMessage="1" sqref="AF32">
      <formula1>"Y,N"</formula1>
    </dataValidation>
    <dataValidation type="list" allowBlank="1" showInputMessage="1" showErrorMessage="1" sqref="AG32">
      <formula1>"Y,N"</formula1>
    </dataValidation>
    <dataValidation type="list" allowBlank="1" showInputMessage="1" showErrorMessage="1" sqref="AH32">
      <formula1>"Y,N"</formula1>
    </dataValidation>
    <dataValidation type="list" allowBlank="1" showInputMessage="1" showErrorMessage="1" sqref="AI32">
      <formula1>"Y,N"</formula1>
    </dataValidation>
    <dataValidation type="list" allowBlank="1" showInputMessage="1" showErrorMessage="1" sqref="AJ32">
      <formula1>"Y,N"</formula1>
    </dataValidation>
    <dataValidation type="list" allowBlank="1" showInputMessage="1" showErrorMessage="1" sqref="AK32">
      <formula1>"Y,N"</formula1>
    </dataValidation>
    <dataValidation type="list" allowBlank="1" showInputMessage="1" showErrorMessage="1" sqref="B33">
      <formula1>"Y,N"</formula1>
    </dataValidation>
    <dataValidation type="list" allowBlank="1" showInputMessage="1" showErrorMessage="1" sqref="C33">
      <formula1>"Y,N"</formula1>
    </dataValidation>
    <dataValidation type="list" allowBlank="1" showInputMessage="1" showErrorMessage="1" sqref="D33">
      <formula1>"Y,N"</formula1>
    </dataValidation>
    <dataValidation type="list" allowBlank="1" showInputMessage="1" showErrorMessage="1" sqref="E33">
      <formula1>"Y,N"</formula1>
    </dataValidation>
    <dataValidation type="list" allowBlank="1" showInputMessage="1" showErrorMessage="1" sqref="F33">
      <formula1>"Y,N"</formula1>
    </dataValidation>
    <dataValidation type="list" allowBlank="1" showInputMessage="1" showErrorMessage="1" sqref="G33">
      <formula1>"Y,N"</formula1>
    </dataValidation>
    <dataValidation type="list" allowBlank="1" showInputMessage="1" showErrorMessage="1" sqref="H33">
      <formula1>"Y,N"</formula1>
    </dataValidation>
    <dataValidation type="list" allowBlank="1" showInputMessage="1" showErrorMessage="1" sqref="I33">
      <formula1>"Y,N"</formula1>
    </dataValidation>
    <dataValidation type="list" allowBlank="1" showInputMessage="1" showErrorMessage="1" sqref="J33">
      <formula1>"Y,N"</formula1>
    </dataValidation>
    <dataValidation type="list" allowBlank="1" showInputMessage="1" showErrorMessage="1" sqref="K33">
      <formula1>"Y,N"</formula1>
    </dataValidation>
    <dataValidation type="list" allowBlank="1" showInputMessage="1" showErrorMessage="1" sqref="L33">
      <formula1>"Y,N"</formula1>
    </dataValidation>
    <dataValidation type="list" allowBlank="1" showInputMessage="1" showErrorMessage="1" sqref="M33">
      <formula1>"Y,N"</formula1>
    </dataValidation>
    <dataValidation type="list" allowBlank="1" showInputMessage="1" showErrorMessage="1" sqref="N33">
      <formula1>"Y,N"</formula1>
    </dataValidation>
    <dataValidation type="list" allowBlank="1" showInputMessage="1" showErrorMessage="1" sqref="O33">
      <formula1>"Y,N"</formula1>
    </dataValidation>
    <dataValidation type="list" allowBlank="1" showInputMessage="1" showErrorMessage="1" sqref="P33">
      <formula1>"Y,N"</formula1>
    </dataValidation>
    <dataValidation type="list" allowBlank="1" showInputMessage="1" showErrorMessage="1" sqref="Q33">
      <formula1>"Y,N"</formula1>
    </dataValidation>
    <dataValidation type="list" allowBlank="1" showInputMessage="1" showErrorMessage="1" sqref="R33">
      <formula1>"Y,N"</formula1>
    </dataValidation>
    <dataValidation type="list" allowBlank="1" showInputMessage="1" showErrorMessage="1" sqref="S33">
      <formula1>"Y,N"</formula1>
    </dataValidation>
    <dataValidation type="list" allowBlank="1" showInputMessage="1" showErrorMessage="1" sqref="T33">
      <formula1>"Y,N"</formula1>
    </dataValidation>
    <dataValidation type="list" allowBlank="1" showInputMessage="1" showErrorMessage="1" sqref="U33">
      <formula1>"Y,N"</formula1>
    </dataValidation>
    <dataValidation type="list" allowBlank="1" showInputMessage="1" showErrorMessage="1" sqref="V33">
      <formula1>"Y,N"</formula1>
    </dataValidation>
    <dataValidation type="list" allowBlank="1" showInputMessage="1" showErrorMessage="1" sqref="W33">
      <formula1>"Y,N"</formula1>
    </dataValidation>
    <dataValidation type="list" allowBlank="1" showInputMessage="1" showErrorMessage="1" sqref="X33">
      <formula1>"Y,N"</formula1>
    </dataValidation>
    <dataValidation type="list" allowBlank="1" showInputMessage="1" showErrorMessage="1" sqref="Y33">
      <formula1>"Y,N"</formula1>
    </dataValidation>
    <dataValidation type="list" allowBlank="1" showInputMessage="1" showErrorMessage="1" sqref="Z33">
      <formula1>"Y,N"</formula1>
    </dataValidation>
    <dataValidation type="list" allowBlank="1" showInputMessage="1" showErrorMessage="1" sqref="AA33">
      <formula1>"Y,N"</formula1>
    </dataValidation>
    <dataValidation type="list" allowBlank="1" showInputMessage="1" showErrorMessage="1" sqref="AB33">
      <formula1>"Y,N"</formula1>
    </dataValidation>
    <dataValidation type="list" allowBlank="1" showInputMessage="1" showErrorMessage="1" sqref="AC33">
      <formula1>"Y,N"</formula1>
    </dataValidation>
    <dataValidation type="list" allowBlank="1" showInputMessage="1" showErrorMessage="1" sqref="AD33">
      <formula1>"N.A."</formula1>
    </dataValidation>
    <dataValidation type="list" allowBlank="1" showInputMessage="1" showErrorMessage="1" sqref="AE33">
      <formula1>"Y,N"</formula1>
    </dataValidation>
    <dataValidation type="list" allowBlank="1" showInputMessage="1" showErrorMessage="1" sqref="AF33">
      <formula1>"Y,N"</formula1>
    </dataValidation>
    <dataValidation type="list" allowBlank="1" showInputMessage="1" showErrorMessage="1" sqref="AG33">
      <formula1>"Y,N"</formula1>
    </dataValidation>
    <dataValidation type="list" allowBlank="1" showInputMessage="1" showErrorMessage="1" sqref="AH33">
      <formula1>"Y,N"</formula1>
    </dataValidation>
    <dataValidation type="list" allowBlank="1" showInputMessage="1" showErrorMessage="1" sqref="AI33">
      <formula1>"Y,N"</formula1>
    </dataValidation>
    <dataValidation type="list" allowBlank="1" showInputMessage="1" showErrorMessage="1" sqref="AJ33">
      <formula1>"Y,N"</formula1>
    </dataValidation>
    <dataValidation type="list" allowBlank="1" showInputMessage="1" showErrorMessage="1" sqref="AK33">
      <formula1>"Y,N"</formula1>
    </dataValidation>
    <dataValidation type="list" allowBlank="1" showInputMessage="1" showErrorMessage="1" sqref="B34">
      <formula1>"Y,N"</formula1>
    </dataValidation>
    <dataValidation type="list" allowBlank="1" showInputMessage="1" showErrorMessage="1" sqref="C34">
      <formula1>"Y,N"</formula1>
    </dataValidation>
    <dataValidation type="list" allowBlank="1" showInputMessage="1" showErrorMessage="1" sqref="D34">
      <formula1>"Y,N"</formula1>
    </dataValidation>
    <dataValidation type="list" allowBlank="1" showInputMessage="1" showErrorMessage="1" sqref="E34">
      <formula1>"Y,N"</formula1>
    </dataValidation>
    <dataValidation type="list" allowBlank="1" showInputMessage="1" showErrorMessage="1" sqref="F34">
      <formula1>"Y,N"</formula1>
    </dataValidation>
    <dataValidation type="list" allowBlank="1" showInputMessage="1" showErrorMessage="1" sqref="G34">
      <formula1>"Y,N"</formula1>
    </dataValidation>
    <dataValidation type="list" allowBlank="1" showInputMessage="1" showErrorMessage="1" sqref="H34">
      <formula1>"Y,N"</formula1>
    </dataValidation>
    <dataValidation type="list" allowBlank="1" showInputMessage="1" showErrorMessage="1" sqref="I34">
      <formula1>"Y,N"</formula1>
    </dataValidation>
    <dataValidation type="list" allowBlank="1" showInputMessage="1" showErrorMessage="1" sqref="J34">
      <formula1>"Y,N"</formula1>
    </dataValidation>
    <dataValidation type="list" allowBlank="1" showInputMessage="1" showErrorMessage="1" sqref="K34">
      <formula1>"Y,N"</formula1>
    </dataValidation>
    <dataValidation type="list" allowBlank="1" showInputMessage="1" showErrorMessage="1" sqref="L34">
      <formula1>"Y,N"</formula1>
    </dataValidation>
    <dataValidation type="list" allowBlank="1" showInputMessage="1" showErrorMessage="1" sqref="M34">
      <formula1>"Y,N"</formula1>
    </dataValidation>
    <dataValidation type="list" allowBlank="1" showInputMessage="1" showErrorMessage="1" sqref="N34">
      <formula1>"Y,N"</formula1>
    </dataValidation>
    <dataValidation type="list" allowBlank="1" showInputMessage="1" showErrorMessage="1" sqref="O34">
      <formula1>"Y,N"</formula1>
    </dataValidation>
    <dataValidation type="list" allowBlank="1" showInputMessage="1" showErrorMessage="1" sqref="P34">
      <formula1>"Y,N"</formula1>
    </dataValidation>
    <dataValidation type="list" allowBlank="1" showInputMessage="1" showErrorMessage="1" sqref="Q34">
      <formula1>"Y,N"</formula1>
    </dataValidation>
    <dataValidation type="list" allowBlank="1" showInputMessage="1" showErrorMessage="1" sqref="R34">
      <formula1>"Y,N"</formula1>
    </dataValidation>
    <dataValidation type="list" allowBlank="1" showInputMessage="1" showErrorMessage="1" sqref="S34">
      <formula1>"Y,N"</formula1>
    </dataValidation>
    <dataValidation type="list" allowBlank="1" showInputMessage="1" showErrorMessage="1" sqref="T34">
      <formula1>"Y,N"</formula1>
    </dataValidation>
    <dataValidation type="list" allowBlank="1" showInputMessage="1" showErrorMessage="1" sqref="U34">
      <formula1>"Y,N"</formula1>
    </dataValidation>
    <dataValidation type="list" allowBlank="1" showInputMessage="1" showErrorMessage="1" sqref="V34">
      <formula1>"Y,N"</formula1>
    </dataValidation>
    <dataValidation type="list" allowBlank="1" showInputMessage="1" showErrorMessage="1" sqref="W34">
      <formula1>"Y,N"</formula1>
    </dataValidation>
    <dataValidation type="list" allowBlank="1" showInputMessage="1" showErrorMessage="1" sqref="X34">
      <formula1>"Y,N"</formula1>
    </dataValidation>
    <dataValidation type="list" allowBlank="1" showInputMessage="1" showErrorMessage="1" sqref="Y34">
      <formula1>"Y,N"</formula1>
    </dataValidation>
    <dataValidation type="list" allowBlank="1" showInputMessage="1" showErrorMessage="1" sqref="Z34">
      <formula1>"Y,N"</formula1>
    </dataValidation>
    <dataValidation type="list" allowBlank="1" showInputMessage="1" showErrorMessage="1" sqref="AA34">
      <formula1>"Y,N"</formula1>
    </dataValidation>
    <dataValidation type="list" allowBlank="1" showInputMessage="1" showErrorMessage="1" sqref="AB34">
      <formula1>"Y,N"</formula1>
    </dataValidation>
    <dataValidation type="list" allowBlank="1" showInputMessage="1" showErrorMessage="1" sqref="AC34">
      <formula1>"Y,N"</formula1>
    </dataValidation>
    <dataValidation type="list" allowBlank="1" showInputMessage="1" showErrorMessage="1" sqref="AD34">
      <formula1>"Y,N"</formula1>
    </dataValidation>
    <dataValidation type="list" allowBlank="1" showInputMessage="1" showErrorMessage="1" sqref="AE34">
      <formula1>"N.A."</formula1>
    </dataValidation>
    <dataValidation type="list" allowBlank="1" showInputMessage="1" showErrorMessage="1" sqref="AF34">
      <formula1>"Y,N"</formula1>
    </dataValidation>
    <dataValidation type="list" allowBlank="1" showInputMessage="1" showErrorMessage="1" sqref="AG34">
      <formula1>"Y,N"</formula1>
    </dataValidation>
    <dataValidation type="list" allowBlank="1" showInputMessage="1" showErrorMessage="1" sqref="AH34">
      <formula1>"Y,N"</formula1>
    </dataValidation>
    <dataValidation type="list" allowBlank="1" showInputMessage="1" showErrorMessage="1" sqref="AI34">
      <formula1>"Y,N"</formula1>
    </dataValidation>
    <dataValidation type="list" allowBlank="1" showInputMessage="1" showErrorMessage="1" sqref="AJ34">
      <formula1>"Y,N"</formula1>
    </dataValidation>
    <dataValidation type="list" allowBlank="1" showInputMessage="1" showErrorMessage="1" sqref="AK34">
      <formula1>"Y,N"</formula1>
    </dataValidation>
    <dataValidation type="list" allowBlank="1" showInputMessage="1" showErrorMessage="1" sqref="B35">
      <formula1>"Y,N"</formula1>
    </dataValidation>
    <dataValidation type="list" allowBlank="1" showInputMessage="1" showErrorMessage="1" sqref="C35">
      <formula1>"Y,N"</formula1>
    </dataValidation>
    <dataValidation type="list" allowBlank="1" showInputMessage="1" showErrorMessage="1" sqref="D35">
      <formula1>"Y,N"</formula1>
    </dataValidation>
    <dataValidation type="list" allowBlank="1" showInputMessage="1" showErrorMessage="1" sqref="E35">
      <formula1>"Y,N"</formula1>
    </dataValidation>
    <dataValidation type="list" allowBlank="1" showInputMessage="1" showErrorMessage="1" sqref="F35">
      <formula1>"Y,N"</formula1>
    </dataValidation>
    <dataValidation type="list" allowBlank="1" showInputMessage="1" showErrorMessage="1" sqref="G35">
      <formula1>"Y,N"</formula1>
    </dataValidation>
    <dataValidation type="list" allowBlank="1" showInputMessage="1" showErrorMessage="1" sqref="H35">
      <formula1>"Y,N"</formula1>
    </dataValidation>
    <dataValidation type="list" allowBlank="1" showInputMessage="1" showErrorMessage="1" sqref="I35">
      <formula1>"Y,N"</formula1>
    </dataValidation>
    <dataValidation type="list" allowBlank="1" showInputMessage="1" showErrorMessage="1" sqref="J35">
      <formula1>"Y,N"</formula1>
    </dataValidation>
    <dataValidation type="list" allowBlank="1" showInputMessage="1" showErrorMessage="1" sqref="K35">
      <formula1>"Y,N"</formula1>
    </dataValidation>
    <dataValidation type="list" allowBlank="1" showInputMessage="1" showErrorMessage="1" sqref="L35">
      <formula1>"Y,N"</formula1>
    </dataValidation>
    <dataValidation type="list" allowBlank="1" showInputMessage="1" showErrorMessage="1" sqref="M35">
      <formula1>"Y,N"</formula1>
    </dataValidation>
    <dataValidation type="list" allowBlank="1" showInputMessage="1" showErrorMessage="1" sqref="N35">
      <formula1>"Y,N"</formula1>
    </dataValidation>
    <dataValidation type="list" allowBlank="1" showInputMessage="1" showErrorMessage="1" sqref="O35">
      <formula1>"Y,N"</formula1>
    </dataValidation>
    <dataValidation type="list" allowBlank="1" showInputMessage="1" showErrorMessage="1" sqref="P35">
      <formula1>"Y,N"</formula1>
    </dataValidation>
    <dataValidation type="list" allowBlank="1" showInputMessage="1" showErrorMessage="1" sqref="Q35">
      <formula1>"Y,N"</formula1>
    </dataValidation>
    <dataValidation type="list" allowBlank="1" showInputMessage="1" showErrorMessage="1" sqref="R35">
      <formula1>"Y,N"</formula1>
    </dataValidation>
    <dataValidation type="list" allowBlank="1" showInputMessage="1" showErrorMessage="1" sqref="S35">
      <formula1>"Y,N"</formula1>
    </dataValidation>
    <dataValidation type="list" allowBlank="1" showInputMessage="1" showErrorMessage="1" sqref="T35">
      <formula1>"Y,N"</formula1>
    </dataValidation>
    <dataValidation type="list" allowBlank="1" showInputMessage="1" showErrorMessage="1" sqref="U35">
      <formula1>"Y,N"</formula1>
    </dataValidation>
    <dataValidation type="list" allowBlank="1" showInputMessage="1" showErrorMessage="1" sqref="V35">
      <formula1>"Y,N"</formula1>
    </dataValidation>
    <dataValidation type="list" allowBlank="1" showInputMessage="1" showErrorMessage="1" sqref="W35">
      <formula1>"Y,N"</formula1>
    </dataValidation>
    <dataValidation type="list" allowBlank="1" showInputMessage="1" showErrorMessage="1" sqref="X35">
      <formula1>"Y,N"</formula1>
    </dataValidation>
    <dataValidation type="list" allowBlank="1" showInputMessage="1" showErrorMessage="1" sqref="Y35">
      <formula1>"Y,N"</formula1>
    </dataValidation>
    <dataValidation type="list" allowBlank="1" showInputMessage="1" showErrorMessage="1" sqref="Z35">
      <formula1>"Y,N"</formula1>
    </dataValidation>
    <dataValidation type="list" allowBlank="1" showInputMessage="1" showErrorMessage="1" sqref="AA35">
      <formula1>"Y,N"</formula1>
    </dataValidation>
    <dataValidation type="list" allowBlank="1" showInputMessage="1" showErrorMessage="1" sqref="AB35">
      <formula1>"Y,N"</formula1>
    </dataValidation>
    <dataValidation type="list" allowBlank="1" showInputMessage="1" showErrorMessage="1" sqref="AC35">
      <formula1>"Y,N"</formula1>
    </dataValidation>
    <dataValidation type="list" allowBlank="1" showInputMessage="1" showErrorMessage="1" sqref="AD35">
      <formula1>"Y,N"</formula1>
    </dataValidation>
    <dataValidation type="list" allowBlank="1" showInputMessage="1" showErrorMessage="1" sqref="AE35">
      <formula1>"Y,N"</formula1>
    </dataValidation>
    <dataValidation type="list" allowBlank="1" showInputMessage="1" showErrorMessage="1" sqref="AF35">
      <formula1>"N.A."</formula1>
    </dataValidation>
    <dataValidation type="list" allowBlank="1" showInputMessage="1" showErrorMessage="1" sqref="AG35">
      <formula1>"Y,N"</formula1>
    </dataValidation>
    <dataValidation type="list" allowBlank="1" showInputMessage="1" showErrorMessage="1" sqref="AH35">
      <formula1>"Y,N"</formula1>
    </dataValidation>
    <dataValidation type="list" allowBlank="1" showInputMessage="1" showErrorMessage="1" sqref="AI35">
      <formula1>"Y,N"</formula1>
    </dataValidation>
    <dataValidation type="list" allowBlank="1" showInputMessage="1" showErrorMessage="1" sqref="AJ35">
      <formula1>"Y,N"</formula1>
    </dataValidation>
    <dataValidation type="list" allowBlank="1" showInputMessage="1" showErrorMessage="1" sqref="AK35">
      <formula1>"Y,N"</formula1>
    </dataValidation>
    <dataValidation type="list" allowBlank="1" showInputMessage="1" showErrorMessage="1" sqref="B36">
      <formula1>"Y,N"</formula1>
    </dataValidation>
    <dataValidation type="list" allowBlank="1" showInputMessage="1" showErrorMessage="1" sqref="C36">
      <formula1>"Y,N"</formula1>
    </dataValidation>
    <dataValidation type="list" allowBlank="1" showInputMessage="1" showErrorMessage="1" sqref="D36">
      <formula1>"Y,N"</formula1>
    </dataValidation>
    <dataValidation type="list" allowBlank="1" showInputMessage="1" showErrorMessage="1" sqref="E36">
      <formula1>"Y,N"</formula1>
    </dataValidation>
    <dataValidation type="list" allowBlank="1" showInputMessage="1" showErrorMessage="1" sqref="F36">
      <formula1>"Y,N"</formula1>
    </dataValidation>
    <dataValidation type="list" allowBlank="1" showInputMessage="1" showErrorMessage="1" sqref="G36">
      <formula1>"Y,N"</formula1>
    </dataValidation>
    <dataValidation type="list" allowBlank="1" showInputMessage="1" showErrorMessage="1" sqref="H36">
      <formula1>"Y,N"</formula1>
    </dataValidation>
    <dataValidation type="list" allowBlank="1" showInputMessage="1" showErrorMessage="1" sqref="I36">
      <formula1>"Y,N"</formula1>
    </dataValidation>
    <dataValidation type="list" allowBlank="1" showInputMessage="1" showErrorMessage="1" sqref="J36">
      <formula1>"Y,N"</formula1>
    </dataValidation>
    <dataValidation type="list" allowBlank="1" showInputMessage="1" showErrorMessage="1" sqref="K36">
      <formula1>"Y,N"</formula1>
    </dataValidation>
    <dataValidation type="list" allowBlank="1" showInputMessage="1" showErrorMessage="1" sqref="L36">
      <formula1>"Y,N"</formula1>
    </dataValidation>
    <dataValidation type="list" allowBlank="1" showInputMessage="1" showErrorMessage="1" sqref="M36">
      <formula1>"Y,N"</formula1>
    </dataValidation>
    <dataValidation type="list" allowBlank="1" showInputMessage="1" showErrorMessage="1" sqref="N36">
      <formula1>"Y,N"</formula1>
    </dataValidation>
    <dataValidation type="list" allowBlank="1" showInputMessage="1" showErrorMessage="1" sqref="O36">
      <formula1>"Y,N"</formula1>
    </dataValidation>
    <dataValidation type="list" allowBlank="1" showInputMessage="1" showErrorMessage="1" sqref="P36">
      <formula1>"Y,N"</formula1>
    </dataValidation>
    <dataValidation type="list" allowBlank="1" showInputMessage="1" showErrorMessage="1" sqref="Q36">
      <formula1>"Y,N"</formula1>
    </dataValidation>
    <dataValidation type="list" allowBlank="1" showInputMessage="1" showErrorMessage="1" sqref="R36">
      <formula1>"Y,N"</formula1>
    </dataValidation>
    <dataValidation type="list" allowBlank="1" showInputMessage="1" showErrorMessage="1" sqref="S36">
      <formula1>"Y,N"</formula1>
    </dataValidation>
    <dataValidation type="list" allowBlank="1" showInputMessage="1" showErrorMessage="1" sqref="T36">
      <formula1>"Y,N"</formula1>
    </dataValidation>
    <dataValidation type="list" allowBlank="1" showInputMessage="1" showErrorMessage="1" sqref="U36">
      <formula1>"Y,N"</formula1>
    </dataValidation>
    <dataValidation type="list" allowBlank="1" showInputMessage="1" showErrorMessage="1" sqref="V36">
      <formula1>"Y,N"</formula1>
    </dataValidation>
    <dataValidation type="list" allowBlank="1" showInputMessage="1" showErrorMessage="1" sqref="W36">
      <formula1>"Y,N"</formula1>
    </dataValidation>
    <dataValidation type="list" allowBlank="1" showInputMessage="1" showErrorMessage="1" sqref="X36">
      <formula1>"Y,N"</formula1>
    </dataValidation>
    <dataValidation type="list" allowBlank="1" showInputMessage="1" showErrorMessage="1" sqref="Y36">
      <formula1>"Y,N"</formula1>
    </dataValidation>
    <dataValidation type="list" allowBlank="1" showInputMessage="1" showErrorMessage="1" sqref="Z36">
      <formula1>"Y,N"</formula1>
    </dataValidation>
    <dataValidation type="list" allowBlank="1" showInputMessage="1" showErrorMessage="1" sqref="AA36">
      <formula1>"Y,N"</formula1>
    </dataValidation>
    <dataValidation type="list" allowBlank="1" showInputMessage="1" showErrorMessage="1" sqref="AB36">
      <formula1>"Y,N"</formula1>
    </dataValidation>
    <dataValidation type="list" allowBlank="1" showInputMessage="1" showErrorMessage="1" sqref="AC36">
      <formula1>"Y,N"</formula1>
    </dataValidation>
    <dataValidation type="list" allowBlank="1" showInputMessage="1" showErrorMessage="1" sqref="AD36">
      <formula1>"Y,N"</formula1>
    </dataValidation>
    <dataValidation type="list" allowBlank="1" showInputMessage="1" showErrorMessage="1" sqref="AE36">
      <formula1>"Y,N"</formula1>
    </dataValidation>
    <dataValidation type="list" allowBlank="1" showInputMessage="1" showErrorMessage="1" sqref="AF36">
      <formula1>"Y,N"</formula1>
    </dataValidation>
    <dataValidation type="list" allowBlank="1" showInputMessage="1" showErrorMessage="1" sqref="AG36">
      <formula1>"N.A."</formula1>
    </dataValidation>
    <dataValidation type="list" allowBlank="1" showInputMessage="1" showErrorMessage="1" sqref="AH36">
      <formula1>"Y,N"</formula1>
    </dataValidation>
    <dataValidation type="list" allowBlank="1" showInputMessage="1" showErrorMessage="1" sqref="AI36">
      <formula1>"Y,N"</formula1>
    </dataValidation>
    <dataValidation type="list" allowBlank="1" showInputMessage="1" showErrorMessage="1" sqref="AJ36">
      <formula1>"Y,N"</formula1>
    </dataValidation>
    <dataValidation type="list" allowBlank="1" showInputMessage="1" showErrorMessage="1" sqref="AK36">
      <formula1>"Y,N"</formula1>
    </dataValidation>
    <dataValidation type="list" allowBlank="1" showInputMessage="1" showErrorMessage="1" sqref="B37">
      <formula1>"Y,N"</formula1>
    </dataValidation>
    <dataValidation type="list" allowBlank="1" showInputMessage="1" showErrorMessage="1" sqref="C37">
      <formula1>"Y,N"</formula1>
    </dataValidation>
    <dataValidation type="list" allowBlank="1" showInputMessage="1" showErrorMessage="1" sqref="D37">
      <formula1>"Y,N"</formula1>
    </dataValidation>
    <dataValidation type="list" allowBlank="1" showInputMessage="1" showErrorMessage="1" sqref="E37">
      <formula1>"Y,N"</formula1>
    </dataValidation>
    <dataValidation type="list" allowBlank="1" showInputMessage="1" showErrorMessage="1" sqref="F37">
      <formula1>"Y,N"</formula1>
    </dataValidation>
    <dataValidation type="list" allowBlank="1" showInputMessage="1" showErrorMessage="1" sqref="G37">
      <formula1>"Y,N"</formula1>
    </dataValidation>
    <dataValidation type="list" allowBlank="1" showInputMessage="1" showErrorMessage="1" sqref="H37">
      <formula1>"Y,N"</formula1>
    </dataValidation>
    <dataValidation type="list" allowBlank="1" showInputMessage="1" showErrorMessage="1" sqref="I37">
      <formula1>"Y,N"</formula1>
    </dataValidation>
    <dataValidation type="list" allowBlank="1" showInputMessage="1" showErrorMessage="1" sqref="J37">
      <formula1>"Y,N"</formula1>
    </dataValidation>
    <dataValidation type="list" allowBlank="1" showInputMessage="1" showErrorMessage="1" sqref="K37">
      <formula1>"Y,N"</formula1>
    </dataValidation>
    <dataValidation type="list" allowBlank="1" showInputMessage="1" showErrorMessage="1" sqref="L37">
      <formula1>"Y,N"</formula1>
    </dataValidation>
    <dataValidation type="list" allowBlank="1" showInputMessage="1" showErrorMessage="1" sqref="M37">
      <formula1>"Y,N"</formula1>
    </dataValidation>
    <dataValidation type="list" allowBlank="1" showInputMessage="1" showErrorMessage="1" sqref="N37">
      <formula1>"Y,N"</formula1>
    </dataValidation>
    <dataValidation type="list" allowBlank="1" showInputMessage="1" showErrorMessage="1" sqref="O37">
      <formula1>"Y,N"</formula1>
    </dataValidation>
    <dataValidation type="list" allowBlank="1" showInputMessage="1" showErrorMessage="1" sqref="P37">
      <formula1>"Y,N"</formula1>
    </dataValidation>
    <dataValidation type="list" allowBlank="1" showInputMessage="1" showErrorMessage="1" sqref="Q37">
      <formula1>"Y,N"</formula1>
    </dataValidation>
    <dataValidation type="list" allowBlank="1" showInputMessage="1" showErrorMessage="1" sqref="R37">
      <formula1>"Y,N"</formula1>
    </dataValidation>
    <dataValidation type="list" allowBlank="1" showInputMessage="1" showErrorMessage="1" sqref="S37">
      <formula1>"Y,N"</formula1>
    </dataValidation>
    <dataValidation type="list" allowBlank="1" showInputMessage="1" showErrorMessage="1" sqref="T37">
      <formula1>"Y,N"</formula1>
    </dataValidation>
    <dataValidation type="list" allowBlank="1" showInputMessage="1" showErrorMessage="1" sqref="U37">
      <formula1>"Y,N"</formula1>
    </dataValidation>
    <dataValidation type="list" allowBlank="1" showInputMessage="1" showErrorMessage="1" sqref="V37">
      <formula1>"Y,N"</formula1>
    </dataValidation>
    <dataValidation type="list" allowBlank="1" showInputMessage="1" showErrorMessage="1" sqref="W37">
      <formula1>"Y,N"</formula1>
    </dataValidation>
    <dataValidation type="list" allowBlank="1" showInputMessage="1" showErrorMessage="1" sqref="X37">
      <formula1>"Y,N"</formula1>
    </dataValidation>
    <dataValidation type="list" allowBlank="1" showInputMessage="1" showErrorMessage="1" sqref="Y37">
      <formula1>"Y,N"</formula1>
    </dataValidation>
    <dataValidation type="list" allowBlank="1" showInputMessage="1" showErrorMessage="1" sqref="Z37">
      <formula1>"Y,N"</formula1>
    </dataValidation>
    <dataValidation type="list" allowBlank="1" showInputMessage="1" showErrorMessage="1" sqref="AA37">
      <formula1>"Y,N"</formula1>
    </dataValidation>
    <dataValidation type="list" allowBlank="1" showInputMessage="1" showErrorMessage="1" sqref="AB37">
      <formula1>"Y,N"</formula1>
    </dataValidation>
    <dataValidation type="list" allowBlank="1" showInputMessage="1" showErrorMessage="1" sqref="AC37">
      <formula1>"Y,N"</formula1>
    </dataValidation>
    <dataValidation type="list" allowBlank="1" showInputMessage="1" showErrorMessage="1" sqref="AD37">
      <formula1>"Y,N"</formula1>
    </dataValidation>
    <dataValidation type="list" allowBlank="1" showInputMessage="1" showErrorMessage="1" sqref="AE37">
      <formula1>"Y,N"</formula1>
    </dataValidation>
    <dataValidation type="list" allowBlank="1" showInputMessage="1" showErrorMessage="1" sqref="AF37">
      <formula1>"Y,N"</formula1>
    </dataValidation>
    <dataValidation type="list" allowBlank="1" showInputMessage="1" showErrorMessage="1" sqref="AG37">
      <formula1>"Y,N"</formula1>
    </dataValidation>
    <dataValidation type="list" allowBlank="1" showInputMessage="1" showErrorMessage="1" sqref="AH37">
      <formula1>"N.A."</formula1>
    </dataValidation>
    <dataValidation type="list" allowBlank="1" showInputMessage="1" showErrorMessage="1" sqref="AI37">
      <formula1>"Y,N"</formula1>
    </dataValidation>
    <dataValidation type="list" allowBlank="1" showInputMessage="1" showErrorMessage="1" sqref="AJ37">
      <formula1>"Y,N"</formula1>
    </dataValidation>
    <dataValidation type="list" allowBlank="1" showInputMessage="1" showErrorMessage="1" sqref="AK37">
      <formula1>"Y,N"</formula1>
    </dataValidation>
    <dataValidation type="list" allowBlank="1" showInputMessage="1" showErrorMessage="1" sqref="B38">
      <formula1>"Y,N"</formula1>
    </dataValidation>
    <dataValidation type="list" allowBlank="1" showInputMessage="1" showErrorMessage="1" sqref="C38">
      <formula1>"Y,N"</formula1>
    </dataValidation>
    <dataValidation type="list" allowBlank="1" showInputMessage="1" showErrorMessage="1" sqref="D38">
      <formula1>"Y,N"</formula1>
    </dataValidation>
    <dataValidation type="list" allowBlank="1" showInputMessage="1" showErrorMessage="1" sqref="E38">
      <formula1>"Y,N"</formula1>
    </dataValidation>
    <dataValidation type="list" allowBlank="1" showInputMessage="1" showErrorMessage="1" sqref="F38">
      <formula1>"Y,N"</formula1>
    </dataValidation>
    <dataValidation type="list" allowBlank="1" showInputMessage="1" showErrorMessage="1" sqref="G38">
      <formula1>"Y,N"</formula1>
    </dataValidation>
    <dataValidation type="list" allowBlank="1" showInputMessage="1" showErrorMessage="1" sqref="H38">
      <formula1>"Y,N"</formula1>
    </dataValidation>
    <dataValidation type="list" allowBlank="1" showInputMessage="1" showErrorMessage="1" sqref="I38">
      <formula1>"Y,N"</formula1>
    </dataValidation>
    <dataValidation type="list" allowBlank="1" showInputMessage="1" showErrorMessage="1" sqref="J38">
      <formula1>"Y,N"</formula1>
    </dataValidation>
    <dataValidation type="list" allowBlank="1" showInputMessage="1" showErrorMessage="1" sqref="K38">
      <formula1>"Y,N"</formula1>
    </dataValidation>
    <dataValidation type="list" allowBlank="1" showInputMessage="1" showErrorMessage="1" sqref="L38">
      <formula1>"Y,N"</formula1>
    </dataValidation>
    <dataValidation type="list" allowBlank="1" showInputMessage="1" showErrorMessage="1" sqref="M38">
      <formula1>"Y,N"</formula1>
    </dataValidation>
    <dataValidation type="list" allowBlank="1" showInputMessage="1" showErrorMessage="1" sqref="N38">
      <formula1>"Y,N"</formula1>
    </dataValidation>
    <dataValidation type="list" allowBlank="1" showInputMessage="1" showErrorMessage="1" sqref="O38">
      <formula1>"Y,N"</formula1>
    </dataValidation>
    <dataValidation type="list" allowBlank="1" showInputMessage="1" showErrorMessage="1" sqref="P38">
      <formula1>"Y,N"</formula1>
    </dataValidation>
    <dataValidation type="list" allowBlank="1" showInputMessage="1" showErrorMessage="1" sqref="Q38">
      <formula1>"Y,N"</formula1>
    </dataValidation>
    <dataValidation type="list" allowBlank="1" showInputMessage="1" showErrorMessage="1" sqref="R38">
      <formula1>"Y,N"</formula1>
    </dataValidation>
    <dataValidation type="list" allowBlank="1" showInputMessage="1" showErrorMessage="1" sqref="S38">
      <formula1>"Y,N"</formula1>
    </dataValidation>
    <dataValidation type="list" allowBlank="1" showInputMessage="1" showErrorMessage="1" sqref="T38">
      <formula1>"Y,N"</formula1>
    </dataValidation>
    <dataValidation type="list" allowBlank="1" showInputMessage="1" showErrorMessage="1" sqref="U38">
      <formula1>"Y,N"</formula1>
    </dataValidation>
    <dataValidation type="list" allowBlank="1" showInputMessage="1" showErrorMessage="1" sqref="V38">
      <formula1>"Y,N"</formula1>
    </dataValidation>
    <dataValidation type="list" allowBlank="1" showInputMessage="1" showErrorMessage="1" sqref="W38">
      <formula1>"Y,N"</formula1>
    </dataValidation>
    <dataValidation type="list" allowBlank="1" showInputMessage="1" showErrorMessage="1" sqref="X38">
      <formula1>"Y,N"</formula1>
    </dataValidation>
    <dataValidation type="list" allowBlank="1" showInputMessage="1" showErrorMessage="1" sqref="Y38">
      <formula1>"Y,N"</formula1>
    </dataValidation>
    <dataValidation type="list" allowBlank="1" showInputMessage="1" showErrorMessage="1" sqref="Z38">
      <formula1>"Y,N"</formula1>
    </dataValidation>
    <dataValidation type="list" allowBlank="1" showInputMessage="1" showErrorMessage="1" sqref="AA38">
      <formula1>"Y,N"</formula1>
    </dataValidation>
    <dataValidation type="list" allowBlank="1" showInputMessage="1" showErrorMessage="1" sqref="AB38">
      <formula1>"Y,N"</formula1>
    </dataValidation>
    <dataValidation type="list" allowBlank="1" showInputMessage="1" showErrorMessage="1" sqref="AC38">
      <formula1>"Y,N"</formula1>
    </dataValidation>
    <dataValidation type="list" allowBlank="1" showInputMessage="1" showErrorMessage="1" sqref="AD38">
      <formula1>"Y,N"</formula1>
    </dataValidation>
    <dataValidation type="list" allowBlank="1" showInputMessage="1" showErrorMessage="1" sqref="AE38">
      <formula1>"Y,N"</formula1>
    </dataValidation>
    <dataValidation type="list" allowBlank="1" showInputMessage="1" showErrorMessage="1" sqref="AF38">
      <formula1>"Y,N"</formula1>
    </dataValidation>
    <dataValidation type="list" allowBlank="1" showInputMessage="1" showErrorMessage="1" sqref="AG38">
      <formula1>"Y,N"</formula1>
    </dataValidation>
    <dataValidation type="list" allowBlank="1" showInputMessage="1" showErrorMessage="1" sqref="AH38">
      <formula1>"Y,N"</formula1>
    </dataValidation>
    <dataValidation type="list" allowBlank="1" showInputMessage="1" showErrorMessage="1" sqref="AI38">
      <formula1>"N.A."</formula1>
    </dataValidation>
    <dataValidation type="list" allowBlank="1" showInputMessage="1" showErrorMessage="1" sqref="AJ38">
      <formula1>"Y,N"</formula1>
    </dataValidation>
    <dataValidation type="list" allowBlank="1" showInputMessage="1" showErrorMessage="1" sqref="AK38">
      <formula1>"Y,N"</formula1>
    </dataValidation>
    <dataValidation type="list" allowBlank="1" showInputMessage="1" showErrorMessage="1" sqref="B39">
      <formula1>"Y,N"</formula1>
    </dataValidation>
    <dataValidation type="list" allowBlank="1" showInputMessage="1" showErrorMessage="1" sqref="C39">
      <formula1>"Y,N"</formula1>
    </dataValidation>
    <dataValidation type="list" allowBlank="1" showInputMessage="1" showErrorMessage="1" sqref="D39">
      <formula1>"Y,N"</formula1>
    </dataValidation>
    <dataValidation type="list" allowBlank="1" showInputMessage="1" showErrorMessage="1" sqref="E39">
      <formula1>"Y,N"</formula1>
    </dataValidation>
    <dataValidation type="list" allowBlank="1" showInputMessage="1" showErrorMessage="1" sqref="F39">
      <formula1>"Y,N"</formula1>
    </dataValidation>
    <dataValidation type="list" allowBlank="1" showInputMessage="1" showErrorMessage="1" sqref="G39">
      <formula1>"Y,N"</formula1>
    </dataValidation>
    <dataValidation type="list" allowBlank="1" showInputMessage="1" showErrorMessage="1" sqref="H39">
      <formula1>"Y,N"</formula1>
    </dataValidation>
    <dataValidation type="list" allowBlank="1" showInputMessage="1" showErrorMessage="1" sqref="I39">
      <formula1>"Y,N"</formula1>
    </dataValidation>
    <dataValidation type="list" allowBlank="1" showInputMessage="1" showErrorMessage="1" sqref="J39">
      <formula1>"Y,N"</formula1>
    </dataValidation>
    <dataValidation type="list" allowBlank="1" showInputMessage="1" showErrorMessage="1" sqref="K39">
      <formula1>"Y,N"</formula1>
    </dataValidation>
    <dataValidation type="list" allowBlank="1" showInputMessage="1" showErrorMessage="1" sqref="L39">
      <formula1>"Y,N"</formula1>
    </dataValidation>
    <dataValidation type="list" allowBlank="1" showInputMessage="1" showErrorMessage="1" sqref="M39">
      <formula1>"Y,N"</formula1>
    </dataValidation>
    <dataValidation type="list" allowBlank="1" showInputMessage="1" showErrorMessage="1" sqref="N39">
      <formula1>"Y,N"</formula1>
    </dataValidation>
    <dataValidation type="list" allowBlank="1" showInputMessage="1" showErrorMessage="1" sqref="O39">
      <formula1>"Y,N"</formula1>
    </dataValidation>
    <dataValidation type="list" allowBlank="1" showInputMessage="1" showErrorMessage="1" sqref="P39">
      <formula1>"Y,N"</formula1>
    </dataValidation>
    <dataValidation type="list" allowBlank="1" showInputMessage="1" showErrorMessage="1" sqref="Q39">
      <formula1>"Y,N"</formula1>
    </dataValidation>
    <dataValidation type="list" allowBlank="1" showInputMessage="1" showErrorMessage="1" sqref="R39">
      <formula1>"Y,N"</formula1>
    </dataValidation>
    <dataValidation type="list" allowBlank="1" showInputMessage="1" showErrorMessage="1" sqref="S39">
      <formula1>"Y,N"</formula1>
    </dataValidation>
    <dataValidation type="list" allowBlank="1" showInputMessage="1" showErrorMessage="1" sqref="T39">
      <formula1>"Y,N"</formula1>
    </dataValidation>
    <dataValidation type="list" allowBlank="1" showInputMessage="1" showErrorMessage="1" sqref="U39">
      <formula1>"Y,N"</formula1>
    </dataValidation>
    <dataValidation type="list" allowBlank="1" showInputMessage="1" showErrorMessage="1" sqref="V39">
      <formula1>"Y,N"</formula1>
    </dataValidation>
    <dataValidation type="list" allowBlank="1" showInputMessage="1" showErrorMessage="1" sqref="W39">
      <formula1>"Y,N"</formula1>
    </dataValidation>
    <dataValidation type="list" allowBlank="1" showInputMessage="1" showErrorMessage="1" sqref="X39">
      <formula1>"Y,N"</formula1>
    </dataValidation>
    <dataValidation type="list" allowBlank="1" showInputMessage="1" showErrorMessage="1" sqref="Y39">
      <formula1>"Y,N"</formula1>
    </dataValidation>
    <dataValidation type="list" allowBlank="1" showInputMessage="1" showErrorMessage="1" sqref="Z39">
      <formula1>"Y,N"</formula1>
    </dataValidation>
    <dataValidation type="list" allowBlank="1" showInputMessage="1" showErrorMessage="1" sqref="AA39">
      <formula1>"Y,N"</formula1>
    </dataValidation>
    <dataValidation type="list" allowBlank="1" showInputMessage="1" showErrorMessage="1" sqref="AB39">
      <formula1>"Y,N"</formula1>
    </dataValidation>
    <dataValidation type="list" allowBlank="1" showInputMessage="1" showErrorMessage="1" sqref="AC39">
      <formula1>"Y,N"</formula1>
    </dataValidation>
    <dataValidation type="list" allowBlank="1" showInputMessage="1" showErrorMessage="1" sqref="AD39">
      <formula1>"Y,N"</formula1>
    </dataValidation>
    <dataValidation type="list" allowBlank="1" showInputMessage="1" showErrorMessage="1" sqref="AE39">
      <formula1>"Y,N"</formula1>
    </dataValidation>
    <dataValidation type="list" allowBlank="1" showInputMessage="1" showErrorMessage="1" sqref="AF39">
      <formula1>"Y,N"</formula1>
    </dataValidation>
    <dataValidation type="list" allowBlank="1" showInputMessage="1" showErrorMessage="1" sqref="AG39">
      <formula1>"Y,N"</formula1>
    </dataValidation>
    <dataValidation type="list" allowBlank="1" showInputMessage="1" showErrorMessage="1" sqref="AH39">
      <formula1>"Y,N"</formula1>
    </dataValidation>
    <dataValidation type="list" allowBlank="1" showInputMessage="1" showErrorMessage="1" sqref="AI39">
      <formula1>"Y,N"</formula1>
    </dataValidation>
    <dataValidation type="list" allowBlank="1" showInputMessage="1" showErrorMessage="1" sqref="AJ39">
      <formula1>"N.A."</formula1>
    </dataValidation>
    <dataValidation type="list" allowBlank="1" showInputMessage="1" showErrorMessage="1" sqref="AK39">
      <formula1>"Y,N"</formula1>
    </dataValidation>
    <dataValidation type="list" allowBlank="1" showInputMessage="1" showErrorMessage="1" sqref="B40">
      <formula1>"Y,N"</formula1>
    </dataValidation>
    <dataValidation type="list" allowBlank="1" showInputMessage="1" showErrorMessage="1" sqref="C40">
      <formula1>"Y,N"</formula1>
    </dataValidation>
    <dataValidation type="list" allowBlank="1" showInputMessage="1" showErrorMessage="1" sqref="D40">
      <formula1>"Y,N"</formula1>
    </dataValidation>
    <dataValidation type="list" allowBlank="1" showInputMessage="1" showErrorMessage="1" sqref="E40">
      <formula1>"Y,N"</formula1>
    </dataValidation>
    <dataValidation type="list" allowBlank="1" showInputMessage="1" showErrorMessage="1" sqref="F40">
      <formula1>"Y,N"</formula1>
    </dataValidation>
    <dataValidation type="list" allowBlank="1" showInputMessage="1" showErrorMessage="1" sqref="G40">
      <formula1>"Y,N"</formula1>
    </dataValidation>
    <dataValidation type="list" allowBlank="1" showInputMessage="1" showErrorMessage="1" sqref="H40">
      <formula1>"Y,N"</formula1>
    </dataValidation>
    <dataValidation type="list" allowBlank="1" showInputMessage="1" showErrorMessage="1" sqref="I40">
      <formula1>"Y,N"</formula1>
    </dataValidation>
    <dataValidation type="list" allowBlank="1" showInputMessage="1" showErrorMessage="1" sqref="J40">
      <formula1>"Y,N"</formula1>
    </dataValidation>
    <dataValidation type="list" allowBlank="1" showInputMessage="1" showErrorMessage="1" sqref="K40">
      <formula1>"Y,N"</formula1>
    </dataValidation>
    <dataValidation type="list" allowBlank="1" showInputMessage="1" showErrorMessage="1" sqref="L40">
      <formula1>"Y,N"</formula1>
    </dataValidation>
    <dataValidation type="list" allowBlank="1" showInputMessage="1" showErrorMessage="1" sqref="M40">
      <formula1>"Y,N"</formula1>
    </dataValidation>
    <dataValidation type="list" allowBlank="1" showInputMessage="1" showErrorMessage="1" sqref="N40">
      <formula1>"Y,N"</formula1>
    </dataValidation>
    <dataValidation type="list" allowBlank="1" showInputMessage="1" showErrorMessage="1" sqref="O40">
      <formula1>"Y,N"</formula1>
    </dataValidation>
    <dataValidation type="list" allowBlank="1" showInputMessage="1" showErrorMessage="1" sqref="P40">
      <formula1>"Y,N"</formula1>
    </dataValidation>
    <dataValidation type="list" allowBlank="1" showInputMessage="1" showErrorMessage="1" sqref="Q40">
      <formula1>"Y,N"</formula1>
    </dataValidation>
    <dataValidation type="list" allowBlank="1" showInputMessage="1" showErrorMessage="1" sqref="R40">
      <formula1>"Y,N"</formula1>
    </dataValidation>
    <dataValidation type="list" allowBlank="1" showInputMessage="1" showErrorMessage="1" sqref="S40">
      <formula1>"Y,N"</formula1>
    </dataValidation>
    <dataValidation type="list" allowBlank="1" showInputMessage="1" showErrorMessage="1" sqref="T40">
      <formula1>"Y,N"</formula1>
    </dataValidation>
    <dataValidation type="list" allowBlank="1" showInputMessage="1" showErrorMessage="1" sqref="U40">
      <formula1>"Y,N"</formula1>
    </dataValidation>
    <dataValidation type="list" allowBlank="1" showInputMessage="1" showErrorMessage="1" sqref="V40">
      <formula1>"Y,N"</formula1>
    </dataValidation>
    <dataValidation type="list" allowBlank="1" showInputMessage="1" showErrorMessage="1" sqref="W40">
      <formula1>"Y,N"</formula1>
    </dataValidation>
    <dataValidation type="list" allowBlank="1" showInputMessage="1" showErrorMessage="1" sqref="X40">
      <formula1>"Y,N"</formula1>
    </dataValidation>
    <dataValidation type="list" allowBlank="1" showInputMessage="1" showErrorMessage="1" sqref="Y40">
      <formula1>"Y,N"</formula1>
    </dataValidation>
    <dataValidation type="list" allowBlank="1" showInputMessage="1" showErrorMessage="1" sqref="Z40">
      <formula1>"Y,N"</formula1>
    </dataValidation>
    <dataValidation type="list" allowBlank="1" showInputMessage="1" showErrorMessage="1" sqref="AA40">
      <formula1>"Y,N"</formula1>
    </dataValidation>
    <dataValidation type="list" allowBlank="1" showInputMessage="1" showErrorMessage="1" sqref="AB40">
      <formula1>"Y,N"</formula1>
    </dataValidation>
    <dataValidation type="list" allowBlank="1" showInputMessage="1" showErrorMessage="1" sqref="AC40">
      <formula1>"Y,N"</formula1>
    </dataValidation>
    <dataValidation type="list" allowBlank="1" showInputMessage="1" showErrorMessage="1" sqref="AD40">
      <formula1>"Y,N"</formula1>
    </dataValidation>
    <dataValidation type="list" allowBlank="1" showInputMessage="1" showErrorMessage="1" sqref="AE40">
      <formula1>"Y,N"</formula1>
    </dataValidation>
    <dataValidation type="list" allowBlank="1" showInputMessage="1" showErrorMessage="1" sqref="AF40">
      <formula1>"Y,N"</formula1>
    </dataValidation>
    <dataValidation type="list" allowBlank="1" showInputMessage="1" showErrorMessage="1" sqref="AG40">
      <formula1>"Y,N"</formula1>
    </dataValidation>
    <dataValidation type="list" allowBlank="1" showInputMessage="1" showErrorMessage="1" sqref="AH40">
      <formula1>"Y,N"</formula1>
    </dataValidation>
    <dataValidation type="list" allowBlank="1" showInputMessage="1" showErrorMessage="1" sqref="AI40">
      <formula1>"Y,N"</formula1>
    </dataValidation>
    <dataValidation type="list" allowBlank="1" showInputMessage="1" showErrorMessage="1" sqref="AJ40">
      <formula1>"Y,N"</formula1>
    </dataValidation>
    <dataValidation type="list" allowBlank="1" showInputMessage="1" showErrorMessage="1" sqref="AK40">
      <formula1>"N.A."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  <dataValidation type="list" allowBlank="1" showInputMessage="1" showErrorMessage="1" sqref="E651">
      <formula1>"Number (years),Rate (per year),Duration (years)"</formula1>
    </dataValidation>
    <dataValidation type="list" allowBlank="1" showInputMessage="1" showErrorMessage="1" sqref="E652">
      <formula1>"Number (years),Rate (per year),Duration (years)"</formula1>
    </dataValidation>
    <dataValidation type="list" allowBlank="1" showInputMessage="1" showErrorMessage="1" sqref="E653">
      <formula1>"Number (years),Rate (per year),Duration (years)"</formula1>
    </dataValidation>
    <dataValidation type="list" allowBlank="1" showInputMessage="1" showErrorMessage="1" sqref="E654">
      <formula1>"Number (years),Rate (per year),Duration (years)"</formula1>
    </dataValidation>
    <dataValidation type="list" allowBlank="1" showInputMessage="1" showErrorMessage="1" sqref="E655">
      <formula1>"Number (years),Rate (per year),Duration (years)"</formula1>
    </dataValidation>
    <dataValidation type="list" allowBlank="1" showInputMessage="1" showErrorMessage="1" sqref="E656">
      <formula1>"Number (years),Rate (per year),Duration (years)"</formula1>
    </dataValidation>
    <dataValidation type="list" allowBlank="1" showInputMessage="1" showErrorMessage="1" sqref="E657">
      <formula1>"Number (years),Rate (per year),Duration (years)"</formula1>
    </dataValidation>
    <dataValidation type="list" allowBlank="1" showInputMessage="1" showErrorMessage="1" sqref="E658">
      <formula1>"Number (years),Rate (per year),Duration (years)"</formula1>
    </dataValidation>
    <dataValidation type="list" allowBlank="1" showInputMessage="1" showErrorMessage="1" sqref="E659">
      <formula1>"Number (years),Rate (per year),Duration (years)"</formula1>
    </dataValidation>
    <dataValidation type="list" allowBlank="1" showInputMessage="1" showErrorMessage="1" sqref="E660">
      <formula1>"Number (years),Rate (per year),Duration (years)"</formula1>
    </dataValidation>
    <dataValidation type="list" allowBlank="1" showInputMessage="1" showErrorMessage="1" sqref="E661">
      <formula1>"Number (years),Rate (per year),Duration (years)"</formula1>
    </dataValidation>
    <dataValidation type="list" allowBlank="1" showInputMessage="1" showErrorMessage="1" sqref="E662">
      <formula1>"Number (years),Rate (per year),Duration (years)"</formula1>
    </dataValidation>
    <dataValidation type="list" allowBlank="1" showInputMessage="1" showErrorMessage="1" sqref="E663">
      <formula1>"Number (years),Rate (per year),Duration (years)"</formula1>
    </dataValidation>
    <dataValidation type="list" allowBlank="1" showInputMessage="1" showErrorMessage="1" sqref="E664">
      <formula1>"Number (years),Rate (per year),Duration (years)"</formula1>
    </dataValidation>
    <dataValidation type="list" allowBlank="1" showInputMessage="1" showErrorMessage="1" sqref="E665">
      <formula1>"Number (years),Rate (per year),Duration (years)"</formula1>
    </dataValidation>
    <dataValidation type="list" allowBlank="1" showInputMessage="1" showErrorMessage="1" sqref="E666">
      <formula1>"Number (years),Rate (per year),Duration (years)"</formula1>
    </dataValidation>
    <dataValidation type="list" allowBlank="1" showInputMessage="1" showErrorMessage="1" sqref="E667">
      <formula1>"Number (years),Rate (per year),Duration (years)"</formula1>
    </dataValidation>
    <dataValidation type="list" allowBlank="1" showInputMessage="1" showErrorMessage="1" sqref="E668">
      <formula1>"Number (years),Rate (per year),Duration (years)"</formula1>
    </dataValidation>
    <dataValidation type="list" allowBlank="1" showInputMessage="1" showErrorMessage="1" sqref="E669">
      <formula1>"Number (years),Rate (per year),Duration (years)"</formula1>
    </dataValidation>
    <dataValidation type="list" allowBlank="1" showInputMessage="1" showErrorMessage="1" sqref="E670">
      <formula1>"Number (years),Rate (per year),Duration (years)"</formula1>
    </dataValidation>
    <dataValidation type="list" allowBlank="1" showInputMessage="1" showErrorMessage="1" sqref="E671">
      <formula1>"Number (years),Rate (per year),Duration (years)"</formula1>
    </dataValidation>
    <dataValidation type="list" allowBlank="1" showInputMessage="1" showErrorMessage="1" sqref="E672">
      <formula1>"Number (years),Rate (per year),Duration (years)"</formula1>
    </dataValidation>
    <dataValidation type="list" allowBlank="1" showInputMessage="1" showErrorMessage="1" sqref="E673">
      <formula1>"Number (years),Rate (per year),Duration (years)"</formula1>
    </dataValidation>
    <dataValidation type="list" allowBlank="1" showInputMessage="1" showErrorMessage="1" sqref="E674">
      <formula1>"Number (years),Rate (per year),Duration (years)"</formula1>
    </dataValidation>
    <dataValidation type="list" allowBlank="1" showInputMessage="1" showErrorMessage="1" sqref="E675">
      <formula1>"Number (years),Rate (per year),Duration (years)"</formula1>
    </dataValidation>
    <dataValidation type="list" allowBlank="1" showInputMessage="1" showErrorMessage="1" sqref="E676">
      <formula1>"Number (years),Rate (per year),Duration (years)"</formula1>
    </dataValidation>
    <dataValidation type="list" allowBlank="1" showInputMessage="1" showErrorMessage="1" sqref="E677">
      <formula1>"Number (years),Rate (per year),Duration (years)"</formula1>
    </dataValidation>
    <dataValidation type="list" allowBlank="1" showInputMessage="1" showErrorMessage="1" sqref="E678">
      <formula1>"Number (years),Rate (per year),Duration (years)"</formula1>
    </dataValidation>
    <dataValidation type="list" allowBlank="1" showInputMessage="1" showErrorMessage="1" sqref="E679">
      <formula1>"Number (years),Rate (per year),Duration (years)"</formula1>
    </dataValidation>
    <dataValidation type="list" allowBlank="1" showInputMessage="1" showErrorMessage="1" sqref="E680">
      <formula1>"Number (years),Rate (per year),Duration (years)"</formula1>
    </dataValidation>
    <dataValidation type="list" allowBlank="1" showInputMessage="1" showErrorMessage="1" sqref="E681">
      <formula1>"Number (years),Rate (per year),Duration (years)"</formula1>
    </dataValidation>
    <dataValidation type="list" allowBlank="1" showInputMessage="1" showErrorMessage="1" sqref="E682">
      <formula1>"Number (years),Rate (per year),Duration (years)"</formula1>
    </dataValidation>
    <dataValidation type="list" allowBlank="1" showInputMessage="1" showErrorMessage="1" sqref="E683">
      <formula1>"Number (years),Rate (per year),Duration (years)"</formula1>
    </dataValidation>
    <dataValidation type="list" allowBlank="1" showInputMessage="1" showErrorMessage="1" sqref="E684">
      <formula1>"Number (years),Rate (per year),Duration (years)"</formula1>
    </dataValidation>
    <dataValidation type="list" allowBlank="1" showInputMessage="1" showErrorMessage="1" sqref="E685">
      <formula1>"Number (years),Rate (per year),Duration (years)"</formula1>
    </dataValidation>
    <dataValidation type="list" allowBlank="1" showInputMessage="1" showErrorMessage="1" sqref="E686">
      <formula1>"Number (years),Rate (per year),Duration (years)"</formula1>
    </dataValidation>
    <dataValidation type="list" allowBlank="1" showInputMessage="1" showErrorMessage="1" sqref="E687">
      <formula1>"Number (years),Rate (per year),Duration (years)"</formula1>
    </dataValidation>
    <dataValidation type="list" allowBlank="1" showInputMessage="1" showErrorMessage="1" sqref="E688">
      <formula1>"Number (years),Rate (per year),Duration (years)"</formula1>
    </dataValidation>
    <dataValidation type="list" allowBlank="1" showInputMessage="1" showErrorMessage="1" sqref="E689">
      <formula1>"Number (years),Rate (per year),Duration (years)"</formula1>
    </dataValidation>
    <dataValidation type="list" allowBlank="1" showInputMessage="1" showErrorMessage="1" sqref="E690">
      <formula1>"Number (years),Rate (per year),Duration (years)"</formula1>
    </dataValidation>
    <dataValidation type="list" allowBlank="1" showInputMessage="1" showErrorMessage="1" sqref="E691">
      <formula1>"Number (years),Rate (per year),Duration (years)"</formula1>
    </dataValidation>
    <dataValidation type="list" allowBlank="1" showInputMessage="1" showErrorMessage="1" sqref="E692">
      <formula1>"Number (years),Rate (per year),Duration (years)"</formula1>
    </dataValidation>
    <dataValidation type="list" allowBlank="1" showInputMessage="1" showErrorMessage="1" sqref="E693">
      <formula1>"Number (years),Rate (per year),Duration (years)"</formula1>
    </dataValidation>
    <dataValidation type="list" allowBlank="1" showInputMessage="1" showErrorMessage="1" sqref="E694">
      <formula1>"Number (years),Rate (per year),Duration (years)"</formula1>
    </dataValidation>
    <dataValidation type="list" allowBlank="1" showInputMessage="1" showErrorMessage="1" sqref="E695">
      <formula1>"Number (years),Rate (per year),Duration (years)"</formula1>
    </dataValidation>
    <dataValidation type="list" allowBlank="1" showInputMessage="1" showErrorMessage="1" sqref="E696">
      <formula1>"Number (years),Rate (per year),Duration (years)"</formula1>
    </dataValidation>
    <dataValidation type="list" allowBlank="1" showInputMessage="1" showErrorMessage="1" sqref="E697">
      <formula1>"Number (years),Rate (per year),Duration (years)"</formula1>
    </dataValidation>
    <dataValidation type="list" allowBlank="1" showInputMessage="1" showErrorMessage="1" sqref="E698">
      <formula1>"Number (years),Rate (per year),Duration (years)"</formula1>
    </dataValidation>
    <dataValidation type="list" allowBlank="1" showInputMessage="1" showErrorMessage="1" sqref="E699">
      <formula1>"Number (years),Rate (per year),Duration (years)"</formula1>
    </dataValidation>
    <dataValidation type="list" allowBlank="1" showInputMessage="1" showErrorMessage="1" sqref="E700">
      <formula1>"Number (years),Rate (per year),Duration (years)"</formula1>
    </dataValidation>
    <dataValidation type="list" allowBlank="1" showInputMessage="1" showErrorMessage="1" sqref="E701">
      <formula1>"Number (years),Rate (per year),Duration (years)"</formula1>
    </dataValidation>
    <dataValidation type="list" allowBlank="1" showInputMessage="1" showErrorMessage="1" sqref="E702">
      <formula1>"Number (years),Rate (per year),Duration (years)"</formula1>
    </dataValidation>
    <dataValidation type="list" allowBlank="1" showInputMessage="1" showErrorMessage="1" sqref="E703">
      <formula1>"Number (years),Rate (per year),Duration (years)"</formula1>
    </dataValidation>
    <dataValidation type="list" allowBlank="1" showInputMessage="1" showErrorMessage="1" sqref="E704">
      <formula1>"Number (years),Rate (per year),Duration (years)"</formula1>
    </dataValidation>
    <dataValidation type="list" allowBlank="1" showInputMessage="1" showErrorMessage="1" sqref="E705">
      <formula1>"Number (years),Rate (per year),Duration (years)"</formula1>
    </dataValidation>
    <dataValidation type="list" allowBlank="1" showInputMessage="1" showErrorMessage="1" sqref="E706">
      <formula1>"Number (years),Rate (per year),Duration (years)"</formula1>
    </dataValidation>
    <dataValidation type="list" allowBlank="1" showInputMessage="1" showErrorMessage="1" sqref="E707">
      <formula1>"Number (years),Rate (per year),Duration (years)"</formula1>
    </dataValidation>
    <dataValidation type="list" allowBlank="1" showInputMessage="1" showErrorMessage="1" sqref="E708">
      <formula1>"Number (years),Rate (per year),Duration (years)"</formula1>
    </dataValidation>
    <dataValidation type="list" allowBlank="1" showInputMessage="1" showErrorMessage="1" sqref="E709">
      <formula1>"Number (years),Rate (per year),Duration (years)"</formula1>
    </dataValidation>
    <dataValidation type="list" allowBlank="1" showInputMessage="1" showErrorMessage="1" sqref="E710">
      <formula1>"Number (years),Rate (per year),Duration (years)"</formula1>
    </dataValidation>
    <dataValidation type="list" allowBlank="1" showInputMessage="1" showErrorMessage="1" sqref="E711">
      <formula1>"Number (years),Rate (per year),Duration (years)"</formula1>
    </dataValidation>
    <dataValidation type="list" allowBlank="1" showInputMessage="1" showErrorMessage="1" sqref="E712">
      <formula1>"Number (years),Rate (per year),Duration (years)"</formula1>
    </dataValidation>
    <dataValidation type="list" allowBlank="1" showInputMessage="1" showErrorMessage="1" sqref="E713">
      <formula1>"Number (years),Rate (per year),Duration (years)"</formula1>
    </dataValidation>
    <dataValidation type="list" allowBlank="1" showInputMessage="1" showErrorMessage="1" sqref="E714">
      <formula1>"Number (years),Rate (per year),Duration (years)"</formula1>
    </dataValidation>
    <dataValidation type="list" allowBlank="1" showInputMessage="1" showErrorMessage="1" sqref="E715">
      <formula1>"Number (years),Rate (per year),Duration (years)"</formula1>
    </dataValidation>
    <dataValidation type="list" allowBlank="1" showInputMessage="1" showErrorMessage="1" sqref="E716">
      <formula1>"Number (years),Rate (per year),Duration (years)"</formula1>
    </dataValidation>
    <dataValidation type="list" allowBlank="1" showInputMessage="1" showErrorMessage="1" sqref="E717">
      <formula1>"Number (years),Rate (per year),Duration (years)"</formula1>
    </dataValidation>
    <dataValidation type="list" allowBlank="1" showInputMessage="1" showErrorMessage="1" sqref="E718">
      <formula1>"Number (years),Rate (per year),Duration (years)"</formula1>
    </dataValidation>
    <dataValidation type="list" allowBlank="1" showInputMessage="1" showErrorMessage="1" sqref="E719">
      <formula1>"Number (years),Rate (per year),Duration (years)"</formula1>
    </dataValidation>
    <dataValidation type="list" allowBlank="1" showInputMessage="1" showErrorMessage="1" sqref="E720">
      <formula1>"Number (years),Rate (per year),Duration (years)"</formula1>
    </dataValidation>
    <dataValidation type="list" allowBlank="1" showInputMessage="1" showErrorMessage="1" sqref="E721">
      <formula1>"Number (years),Rate (per year),Duration (years)"</formula1>
    </dataValidation>
    <dataValidation type="list" allowBlank="1" showInputMessage="1" showErrorMessage="1" sqref="E722">
      <formula1>"Number (years),Rate (per year),Duration (years)"</formula1>
    </dataValidation>
    <dataValidation type="list" allowBlank="1" showInputMessage="1" showErrorMessage="1" sqref="E723">
      <formula1>"Number (years),Rate (per year),Duration (years)"</formula1>
    </dataValidation>
    <dataValidation type="list" allowBlank="1" showInputMessage="1" showErrorMessage="1" sqref="E724">
      <formula1>"Number (years),Rate (per year),Duration (years)"</formula1>
    </dataValidation>
    <dataValidation type="list" allowBlank="1" showInputMessage="1" showErrorMessage="1" sqref="E725">
      <formula1>"Number (years),Rate (per year),Duration (years)"</formula1>
    </dataValidation>
    <dataValidation type="list" allowBlank="1" showInputMessage="1" showErrorMessage="1" sqref="E726">
      <formula1>"Number (years),Rate (per year),Duration (years)"</formula1>
    </dataValidation>
    <dataValidation type="list" allowBlank="1" showInputMessage="1" showErrorMessage="1" sqref="E727">
      <formula1>"Number (years),Rate (per year),Duration (years)"</formula1>
    </dataValidation>
    <dataValidation type="list" allowBlank="1" showInputMessage="1" showErrorMessage="1" sqref="E728">
      <formula1>"Number (years),Rate (per year),Duration (years)"</formula1>
    </dataValidation>
    <dataValidation type="list" allowBlank="1" showInputMessage="1" showErrorMessage="1" sqref="E729">
      <formula1>"Number (years),Rate (per year),Duration (years)"</formula1>
    </dataValidation>
    <dataValidation type="list" allowBlank="1" showInputMessage="1" showErrorMessage="1" sqref="E730">
      <formula1>"Number (years),Rate (per year),Duration (years)"</formula1>
    </dataValidation>
    <dataValidation type="list" allowBlank="1" showInputMessage="1" showErrorMessage="1" sqref="E731">
      <formula1>"Number (years),Rate (per year),Duration (years)"</formula1>
    </dataValidation>
    <dataValidation type="list" allowBlank="1" showInputMessage="1" showErrorMessage="1" sqref="E732">
      <formula1>"Number (years),Rate (per year),Duration (years)"</formula1>
    </dataValidation>
    <dataValidation type="list" allowBlank="1" showInputMessage="1" showErrorMessage="1" sqref="E733">
      <formula1>"Number (years),Rate (per year),Duration (years)"</formula1>
    </dataValidation>
    <dataValidation type="list" allowBlank="1" showInputMessage="1" showErrorMessage="1" sqref="E734">
      <formula1>"Number (years),Rate (per year),Duration (years)"</formula1>
    </dataValidation>
    <dataValidation type="list" allowBlank="1" showInputMessage="1" showErrorMessage="1" sqref="E735">
      <formula1>"Number (years),Rate (per year),Duration (years)"</formula1>
    </dataValidation>
    <dataValidation type="list" allowBlank="1" showInputMessage="1" showErrorMessage="1" sqref="E736">
      <formula1>"Number (years),Rate (per year),Duration (years)"</formula1>
    </dataValidation>
    <dataValidation type="list" allowBlank="1" showInputMessage="1" showErrorMessage="1" sqref="E737">
      <formula1>"Number (years),Rate (per year),Duration (years)"</formula1>
    </dataValidation>
    <dataValidation type="list" allowBlank="1" showInputMessage="1" showErrorMessage="1" sqref="E738">
      <formula1>"Number (years),Rate (per year),Duration (years)"</formula1>
    </dataValidation>
    <dataValidation type="list" allowBlank="1" showInputMessage="1" showErrorMessage="1" sqref="E739">
      <formula1>"Number (years),Rate (per year),Duration (years)"</formula1>
    </dataValidation>
    <dataValidation type="list" allowBlank="1" showInputMessage="1" showErrorMessage="1" sqref="E740">
      <formula1>"Number (years),Rate (per year),Duration (years)"</formula1>
    </dataValidation>
    <dataValidation type="list" allowBlank="1" showInputMessage="1" showErrorMessage="1" sqref="E741">
      <formula1>"Number (years),Rate (per year),Duration (years)"</formula1>
    </dataValidation>
    <dataValidation type="list" allowBlank="1" showInputMessage="1" showErrorMessage="1" sqref="E742">
      <formula1>"Number (years),Rate (per year),Duration (years)"</formula1>
    </dataValidation>
    <dataValidation type="list" allowBlank="1" showInputMessage="1" showErrorMessage="1" sqref="E743">
      <formula1>"Number (years),Rate (per year),Duration (years)"</formula1>
    </dataValidation>
    <dataValidation type="list" allowBlank="1" showInputMessage="1" showErrorMessage="1" sqref="E744">
      <formula1>"Number (years),Rate (per year),Duration (years)"</formula1>
    </dataValidation>
    <dataValidation type="list" allowBlank="1" showInputMessage="1" showErrorMessage="1" sqref="E745">
      <formula1>"Number (years),Rate (per year),Duration (years)"</formula1>
    </dataValidation>
    <dataValidation type="list" allowBlank="1" showInputMessage="1" showErrorMessage="1" sqref="E746">
      <formula1>"Number (years),Rate (per year),Duration (years)"</formula1>
    </dataValidation>
    <dataValidation type="list" allowBlank="1" showInputMessage="1" showErrorMessage="1" sqref="E747">
      <formula1>"Number (years),Rate (per year),Duration (years)"</formula1>
    </dataValidation>
    <dataValidation type="list" allowBlank="1" showInputMessage="1" showErrorMessage="1" sqref="E748">
      <formula1>"Number (years),Rate (per year),Duration (years)"</formula1>
    </dataValidation>
    <dataValidation type="list" allowBlank="1" showInputMessage="1" showErrorMessage="1" sqref="E749">
      <formula1>"Number (years),Rate (per year),Duration (years)"</formula1>
    </dataValidation>
    <dataValidation type="list" allowBlank="1" showInputMessage="1" showErrorMessage="1" sqref="E750">
      <formula1>"Number (years),Rate (per year),Duration (years)"</formula1>
    </dataValidation>
    <dataValidation type="list" allowBlank="1" showInputMessage="1" showErrorMessage="1" sqref="E751">
      <formula1>"Number (years),Rate (per year),Duration (years)"</formula1>
    </dataValidation>
    <dataValidation type="list" allowBlank="1" showInputMessage="1" showErrorMessage="1" sqref="E752">
      <formula1>"Number (years),Rate (per year),Duration (years)"</formula1>
    </dataValidation>
    <dataValidation type="list" allowBlank="1" showInputMessage="1" showErrorMessage="1" sqref="E753">
      <formula1>"Number (years),Rate (per year),Duration (years)"</formula1>
    </dataValidation>
    <dataValidation type="list" allowBlank="1" showInputMessage="1" showErrorMessage="1" sqref="E754">
      <formula1>"Number (years),Rate (per year),Duration (years)"</formula1>
    </dataValidation>
    <dataValidation type="list" allowBlank="1" showInputMessage="1" showErrorMessage="1" sqref="E755">
      <formula1>"Number (years),Rate (per year),Duration (years)"</formula1>
    </dataValidation>
    <dataValidation type="list" allowBlank="1" showInputMessage="1" showErrorMessage="1" sqref="E756">
      <formula1>"Number (years),Rate (per year),Duration (years)"</formula1>
    </dataValidation>
    <dataValidation type="list" allowBlank="1" showInputMessage="1" showErrorMessage="1" sqref="E757">
      <formula1>"Number (years),Rate (per year),Duration (years)"</formula1>
    </dataValidation>
    <dataValidation type="list" allowBlank="1" showInputMessage="1" showErrorMessage="1" sqref="E758">
      <formula1>"Number (years),Rate (per year),Duration (years)"</formula1>
    </dataValidation>
    <dataValidation type="list" allowBlank="1" showInputMessage="1" showErrorMessage="1" sqref="E759">
      <formula1>"Number (years),Rate (per year),Duration (years)"</formula1>
    </dataValidation>
    <dataValidation type="list" allowBlank="1" showInputMessage="1" showErrorMessage="1" sqref="E760">
      <formula1>"Number (years),Rate (per year),Duration (years)"</formula1>
    </dataValidation>
    <dataValidation type="list" allowBlank="1" showInputMessage="1" showErrorMessage="1" sqref="E761">
      <formula1>"Number (years),Rate (per year),Duration (years)"</formula1>
    </dataValidation>
    <dataValidation type="list" allowBlank="1" showInputMessage="1" showErrorMessage="1" sqref="E762">
      <formula1>"Number (years),Rate (per year),Duration (years)"</formula1>
    </dataValidation>
    <dataValidation type="list" allowBlank="1" showInputMessage="1" showErrorMessage="1" sqref="E763">
      <formula1>"Number (years),Rate (per year),Duration (years)"</formula1>
    </dataValidation>
    <dataValidation type="list" allowBlank="1" showInputMessage="1" showErrorMessage="1" sqref="E764">
      <formula1>"Number (years),Rate (per year),Duration (years)"</formula1>
    </dataValidation>
    <dataValidation type="list" allowBlank="1" showInputMessage="1" showErrorMessage="1" sqref="E765">
      <formula1>"Number (years),Rate (per year),Duration (years)"</formula1>
    </dataValidation>
    <dataValidation type="list" allowBlank="1" showInputMessage="1" showErrorMessage="1" sqref="E766">
      <formula1>"Number (years),Rate (per year),Duration (years)"</formula1>
    </dataValidation>
    <dataValidation type="list" allowBlank="1" showInputMessage="1" showErrorMessage="1" sqref="E767">
      <formula1>"Number (years),Rate (per year),Duration (years)"</formula1>
    </dataValidation>
    <dataValidation type="list" allowBlank="1" showInputMessage="1" showErrorMessage="1" sqref="E768">
      <formula1>"Number (years),Rate (per year),Duration (years)"</formula1>
    </dataValidation>
    <dataValidation type="list" allowBlank="1" showInputMessage="1" showErrorMessage="1" sqref="E769">
      <formula1>"Number (years),Rate (per year),Duration (years)"</formula1>
    </dataValidation>
    <dataValidation type="list" allowBlank="1" showInputMessage="1" showErrorMessage="1" sqref="E770">
      <formula1>"Number (years),Rate (per year),Duration (years)"</formula1>
    </dataValidation>
    <dataValidation type="list" allowBlank="1" showInputMessage="1" showErrorMessage="1" sqref="E771">
      <formula1>"Number (years),Rate (per year),Duration (years)"</formula1>
    </dataValidation>
    <dataValidation type="list" allowBlank="1" showInputMessage="1" showErrorMessage="1" sqref="E772">
      <formula1>"Number (years),Rate (per year),Duration (years)"</formula1>
    </dataValidation>
    <dataValidation type="list" allowBlank="1" showInputMessage="1" showErrorMessage="1" sqref="E773">
      <formula1>"Number (years),Rate (per year),Duration (years)"</formula1>
    </dataValidation>
    <dataValidation type="list" allowBlank="1" showInputMessage="1" showErrorMessage="1" sqref="E774">
      <formula1>"Number (years),Rate (per year),Duration (years)"</formula1>
    </dataValidation>
    <dataValidation type="list" allowBlank="1" showInputMessage="1" showErrorMessage="1" sqref="E775">
      <formula1>"Number (years),Rate (per year),Duration (years)"</formula1>
    </dataValidation>
    <dataValidation type="list" allowBlank="1" showInputMessage="1" showErrorMessage="1" sqref="E776">
      <formula1>"Number (years),Rate (per year),Duration (years)"</formula1>
    </dataValidation>
    <dataValidation type="list" allowBlank="1" showInputMessage="1" showErrorMessage="1" sqref="E777">
      <formula1>"Number (years),Rate (per year),Duration (years)"</formula1>
    </dataValidation>
    <dataValidation type="list" allowBlank="1" showInputMessage="1" showErrorMessage="1" sqref="E778">
      <formula1>"Number (years),Rate (per year),Duration (years)"</formula1>
    </dataValidation>
    <dataValidation type="list" allowBlank="1" showInputMessage="1" showErrorMessage="1" sqref="E779">
      <formula1>"Number (years),Rate (per year),Duration (years)"</formula1>
    </dataValidation>
    <dataValidation type="list" allowBlank="1" showInputMessage="1" showErrorMessage="1" sqref="E780">
      <formula1>"Number (years),Rate (per year),Duration (years)"</formula1>
    </dataValidation>
    <dataValidation type="list" allowBlank="1" showInputMessage="1" showErrorMessage="1" sqref="E781">
      <formula1>"Number (years),Rate (per year),Duration (years)"</formula1>
    </dataValidation>
    <dataValidation type="list" allowBlank="1" showInputMessage="1" showErrorMessage="1" sqref="E782">
      <formula1>"Number (years),Rate (per year),Duration (years)"</formula1>
    </dataValidation>
    <dataValidation type="list" allowBlank="1" showInputMessage="1" showErrorMessage="1" sqref="E783">
      <formula1>"Number (years),Rate (per year),Duration (years)"</formula1>
    </dataValidation>
    <dataValidation type="list" allowBlank="1" showInputMessage="1" showErrorMessage="1" sqref="E784">
      <formula1>"Number (years),Rate (per year),Duration (years)"</formula1>
    </dataValidation>
    <dataValidation type="list" allowBlank="1" showInputMessage="1" showErrorMessage="1" sqref="E785">
      <formula1>"Number (years),Rate (per year),Duration (years)"</formula1>
    </dataValidation>
    <dataValidation type="list" allowBlank="1" showInputMessage="1" showErrorMessage="1" sqref="E786">
      <formula1>"Number (years),Rate (per year),Duration (years)"</formula1>
    </dataValidation>
    <dataValidation type="list" allowBlank="1" showInputMessage="1" showErrorMessage="1" sqref="E787">
      <formula1>"Number (years),Rate (per year),Duration (years)"</formula1>
    </dataValidation>
    <dataValidation type="list" allowBlank="1" showInputMessage="1" showErrorMessage="1" sqref="E788">
      <formula1>"Number (years),Rate (per year),Duration (years)"</formula1>
    </dataValidation>
    <dataValidation type="list" allowBlank="1" showInputMessage="1" showErrorMessage="1" sqref="E789">
      <formula1>"Number (years),Rate (per year),Duration (years)"</formula1>
    </dataValidation>
    <dataValidation type="list" allowBlank="1" showInputMessage="1" showErrorMessage="1" sqref="E790">
      <formula1>"Number (years),Rate (per year),Duration (years)"</formula1>
    </dataValidation>
    <dataValidation type="list" allowBlank="1" showInputMessage="1" showErrorMessage="1" sqref="E791">
      <formula1>"Number (years),Rate (per year),Duration (years)"</formula1>
    </dataValidation>
    <dataValidation type="list" allowBlank="1" showInputMessage="1" showErrorMessage="1" sqref="E792">
      <formula1>"Number (years),Rate (per year),Duration (years)"</formula1>
    </dataValidation>
    <dataValidation type="list" allowBlank="1" showInputMessage="1" showErrorMessage="1" sqref="E793">
      <formula1>"Number (years),Rate (per year),Duration (years)"</formula1>
    </dataValidation>
    <dataValidation type="list" allowBlank="1" showInputMessage="1" showErrorMessage="1" sqref="E794">
      <formula1>"Number (years),Rate (per year),Duration (years)"</formula1>
    </dataValidation>
    <dataValidation type="list" allowBlank="1" showInputMessage="1" showErrorMessage="1" sqref="E795">
      <formula1>"Number (years),Rate (per year),Duration (years)"</formula1>
    </dataValidation>
    <dataValidation type="list" allowBlank="1" showInputMessage="1" showErrorMessage="1" sqref="E796">
      <formula1>"Number (years),Rate (per year),Duration (years)"</formula1>
    </dataValidation>
    <dataValidation type="list" allowBlank="1" showInputMessage="1" showErrorMessage="1" sqref="E797">
      <formula1>"Number (years),Rate (per year),Duration (years)"</formula1>
    </dataValidation>
    <dataValidation type="list" allowBlank="1" showInputMessage="1" showErrorMessage="1" sqref="E798">
      <formula1>"Number (years),Rate (per year),Duration (years)"</formula1>
    </dataValidation>
    <dataValidation type="list" allowBlank="1" showInputMessage="1" showErrorMessage="1" sqref="E799">
      <formula1>"Number (years),Rate (per year),Duration (years)"</formula1>
    </dataValidation>
    <dataValidation type="list" allowBlank="1" showInputMessage="1" showErrorMessage="1" sqref="E800">
      <formula1>"Number (years),Rate (per year),Duration (years)"</formula1>
    </dataValidation>
    <dataValidation type="list" allowBlank="1" showInputMessage="1" showErrorMessage="1" sqref="E801">
      <formula1>"Number (years),Rate (per year),Duration (years)"</formula1>
    </dataValidation>
    <dataValidation type="list" allowBlank="1" showInputMessage="1" showErrorMessage="1" sqref="E802">
      <formula1>"Number (years),Rate (per year),Duration (years)"</formula1>
    </dataValidation>
    <dataValidation type="list" allowBlank="1" showInputMessage="1" showErrorMessage="1" sqref="E803">
      <formula1>"Number (years),Rate (per year),Duration (years)"</formula1>
    </dataValidation>
    <dataValidation type="list" allowBlank="1" showInputMessage="1" showErrorMessage="1" sqref="E804">
      <formula1>"Number (years),Rate (per year),Duration (years)"</formula1>
    </dataValidation>
    <dataValidation type="list" allowBlank="1" showInputMessage="1" showErrorMessage="1" sqref="E805">
      <formula1>"Number (years),Rate (per year),Duration (years)"</formula1>
    </dataValidation>
    <dataValidation type="list" allowBlank="1" showInputMessage="1" showErrorMessage="1" sqref="E806">
      <formula1>"Number (years),Rate (per year),Duration (years)"</formula1>
    </dataValidation>
    <dataValidation type="list" allowBlank="1" showInputMessage="1" showErrorMessage="1" sqref="E807">
      <formula1>"Number (years),Rate (per year),Duration (years)"</formula1>
    </dataValidation>
    <dataValidation type="list" allowBlank="1" showInputMessage="1" showErrorMessage="1" sqref="E808">
      <formula1>"Number (years),Rate (per year),Duration (years)"</formula1>
    </dataValidation>
    <dataValidation type="list" allowBlank="1" showInputMessage="1" showErrorMessage="1" sqref="E809">
      <formula1>"Number (years),Rate (per year),Duration (years)"</formula1>
    </dataValidation>
    <dataValidation type="list" allowBlank="1" showInputMessage="1" showErrorMessage="1" sqref="E810">
      <formula1>"Number (years),Rate (per year),Duration (years)"</formula1>
    </dataValidation>
    <dataValidation type="list" allowBlank="1" showInputMessage="1" showErrorMessage="1" sqref="E811">
      <formula1>"Number (years),Rate (per year),Duration (years)"</formula1>
    </dataValidation>
    <dataValidation type="list" allowBlank="1" showInputMessage="1" showErrorMessage="1" sqref="E812">
      <formula1>"Number (years),Rate (per year),Duration (years)"</formula1>
    </dataValidation>
    <dataValidation type="list" allowBlank="1" showInputMessage="1" showErrorMessage="1" sqref="E813">
      <formula1>"Number (years),Rate (per year),Duration (years)"</formula1>
    </dataValidation>
    <dataValidation type="list" allowBlank="1" showInputMessage="1" showErrorMessage="1" sqref="E814">
      <formula1>"Number (years),Rate (per year),Duration (years)"</formula1>
    </dataValidation>
    <dataValidation type="list" allowBlank="1" showInputMessage="1" showErrorMessage="1" sqref="E815">
      <formula1>"Number (years),Rate (per year),Duration (years)"</formula1>
    </dataValidation>
    <dataValidation type="list" allowBlank="1" showInputMessage="1" showErrorMessage="1" sqref="E816">
      <formula1>"Number (years),Rate (per year),Duration (years)"</formula1>
    </dataValidation>
    <dataValidation type="list" allowBlank="1" showInputMessage="1" showErrorMessage="1" sqref="E817">
      <formula1>"Number (years),Rate (per year),Duration (years)"</formula1>
    </dataValidation>
    <dataValidation type="list" allowBlank="1" showInputMessage="1" showErrorMessage="1" sqref="E818">
      <formula1>"Number (years),Rate (per year),Duration (years)"</formula1>
    </dataValidation>
    <dataValidation type="list" allowBlank="1" showInputMessage="1" showErrorMessage="1" sqref="E819">
      <formula1>"Number (years),Rate (per year),Duration (years)"</formula1>
    </dataValidation>
    <dataValidation type="list" allowBlank="1" showInputMessage="1" showErrorMessage="1" sqref="E820">
      <formula1>"Number (years),Rate (per year),Duration (years)"</formula1>
    </dataValidation>
    <dataValidation type="list" allowBlank="1" showInputMessage="1" showErrorMessage="1" sqref="E821">
      <formula1>"Number (years),Rate (per year),Duration (years)"</formula1>
    </dataValidation>
    <dataValidation type="list" allowBlank="1" showInputMessage="1" showErrorMessage="1" sqref="E822">
      <formula1>"Number (years),Rate (per year),Duration (years)"</formula1>
    </dataValidation>
    <dataValidation type="list" allowBlank="1" showInputMessage="1" showErrorMessage="1" sqref="E823">
      <formula1>"Number (years),Rate (per year),Duration (years)"</formula1>
    </dataValidation>
    <dataValidation type="list" allowBlank="1" showInputMessage="1" showErrorMessage="1" sqref="E824">
      <formula1>"Number (years),Rate (per year),Duration (years)"</formula1>
    </dataValidation>
    <dataValidation type="list" allowBlank="1" showInputMessage="1" showErrorMessage="1" sqref="E825">
      <formula1>"Number (years),Rate (per year),Duration (years)"</formula1>
    </dataValidation>
    <dataValidation type="list" allowBlank="1" showInputMessage="1" showErrorMessage="1" sqref="E826">
      <formula1>"Number (years),Rate (per year),Duration (years)"</formula1>
    </dataValidation>
    <dataValidation type="list" allowBlank="1" showInputMessage="1" showErrorMessage="1" sqref="E827">
      <formula1>"Number (years),Rate (per year),Duration (years)"</formula1>
    </dataValidation>
    <dataValidation type="list" allowBlank="1" showInputMessage="1" showErrorMessage="1" sqref="E828">
      <formula1>"Number (years),Rate (per year),Duration (years)"</formula1>
    </dataValidation>
    <dataValidation type="list" allowBlank="1" showInputMessage="1" showErrorMessage="1" sqref="E829">
      <formula1>"Number (years),Rate (per year),Duration (years)"</formula1>
    </dataValidation>
    <dataValidation type="list" allowBlank="1" showInputMessage="1" showErrorMessage="1" sqref="E830">
      <formula1>"Number (years),Rate (per year),Duration (years)"</formula1>
    </dataValidation>
    <dataValidation type="list" allowBlank="1" showInputMessage="1" showErrorMessage="1" sqref="E831">
      <formula1>"Number (years),Rate (per year),Duration (years)"</formula1>
    </dataValidation>
    <dataValidation type="list" allowBlank="1" showInputMessage="1" showErrorMessage="1" sqref="E832">
      <formula1>"Number (years),Rate (per year),Duration (years)"</formula1>
    </dataValidation>
    <dataValidation type="list" allowBlank="1" showInputMessage="1" showErrorMessage="1" sqref="E833">
      <formula1>"Number (years),Rate (per year),Duration (years)"</formula1>
    </dataValidation>
    <dataValidation type="list" allowBlank="1" showInputMessage="1" showErrorMessage="1" sqref="E834">
      <formula1>"Number (years),Rate (per year),Duration (years)"</formula1>
    </dataValidation>
    <dataValidation type="list" allowBlank="1" showInputMessage="1" showErrorMessage="1" sqref="E835">
      <formula1>"Number (years),Rate (per year),Duration (years)"</formula1>
    </dataValidation>
    <dataValidation type="list" allowBlank="1" showInputMessage="1" showErrorMessage="1" sqref="E836">
      <formula1>"Number (years),Rate (per year),Duration (years)"</formula1>
    </dataValidation>
    <dataValidation type="list" allowBlank="1" showInputMessage="1" showErrorMessage="1" sqref="E837">
      <formula1>"Number (years),Rate (per year),Duration (years)"</formula1>
    </dataValidation>
    <dataValidation type="list" allowBlank="1" showInputMessage="1" showErrorMessage="1" sqref="E838">
      <formula1>"Number (years),Rate (per year),Duration (years)"</formula1>
    </dataValidation>
    <dataValidation type="list" allowBlank="1" showInputMessage="1" showErrorMessage="1" sqref="E839">
      <formula1>"Number (years),Rate (per year),Duration (years)"</formula1>
    </dataValidation>
    <dataValidation type="list" allowBlank="1" showInputMessage="1" showErrorMessage="1" sqref="E840">
      <formula1>"Number (years),Rate (per year),Duration (years)"</formula1>
    </dataValidation>
    <dataValidation type="list" allowBlank="1" showInputMessage="1" showErrorMessage="1" sqref="E841">
      <formula1>"Number (years),Rate (per year),Duration (years)"</formula1>
    </dataValidation>
    <dataValidation type="list" allowBlank="1" showInputMessage="1" showErrorMessage="1" sqref="E842">
      <formula1>"Number (years),Rate (per year),Duration (years)"</formula1>
    </dataValidation>
    <dataValidation type="list" allowBlank="1" showInputMessage="1" showErrorMessage="1" sqref="E843">
      <formula1>"Number (years),Rate (per year),Duration (years)"</formula1>
    </dataValidation>
    <dataValidation type="list" allowBlank="1" showInputMessage="1" showErrorMessage="1" sqref="E844">
      <formula1>"Number (years),Rate (per year),Duration (years)"</formula1>
    </dataValidation>
    <dataValidation type="list" allowBlank="1" showInputMessage="1" showErrorMessage="1" sqref="E845">
      <formula1>"Number (years),Rate (per year),Duration (years)"</formula1>
    </dataValidation>
    <dataValidation type="list" allowBlank="1" showInputMessage="1" showErrorMessage="1" sqref="E846">
      <formula1>"Number (years),Rate (per year),Duration (years)"</formula1>
    </dataValidation>
    <dataValidation type="list" allowBlank="1" showInputMessage="1" showErrorMessage="1" sqref="E847">
      <formula1>"Number (years),Rate (per year),Duration (years)"</formula1>
    </dataValidation>
    <dataValidation type="list" allowBlank="1" showInputMessage="1" showErrorMessage="1" sqref="E848">
      <formula1>"Number (years),Rate (per year),Duration (years)"</formula1>
    </dataValidation>
    <dataValidation type="list" allowBlank="1" showInputMessage="1" showErrorMessage="1" sqref="E849">
      <formula1>"Number (years),Rate (per year),Duration (years)"</formula1>
    </dataValidation>
    <dataValidation type="list" allowBlank="1" showInputMessage="1" showErrorMessage="1" sqref="E850">
      <formula1>"Number (years),Rate (per year),Duration (years)"</formula1>
    </dataValidation>
    <dataValidation type="list" allowBlank="1" showInputMessage="1" showErrorMessage="1" sqref="E851">
      <formula1>"Number (years),Rate (per year),Duration (years)"</formula1>
    </dataValidation>
    <dataValidation type="list" allowBlank="1" showInputMessage="1" showErrorMessage="1" sqref="E852">
      <formula1>"Number (years),Rate (per year),Duration (years)"</formula1>
    </dataValidation>
    <dataValidation type="list" allowBlank="1" showInputMessage="1" showErrorMessage="1" sqref="E853">
      <formula1>"Number (years),Rate (per year),Duration (years)"</formula1>
    </dataValidation>
    <dataValidation type="list" allowBlank="1" showInputMessage="1" showErrorMessage="1" sqref="E854">
      <formula1>"Number (years),Rate (per year),Duration (years)"</formula1>
    </dataValidation>
    <dataValidation type="list" allowBlank="1" showInputMessage="1" showErrorMessage="1" sqref="E855">
      <formula1>"Number (years),Rate (per year),Duration (years)"</formula1>
    </dataValidation>
    <dataValidation type="list" allowBlank="1" showInputMessage="1" showErrorMessage="1" sqref="E856">
      <formula1>"Number (years),Rate (per year),Duration (years)"</formula1>
    </dataValidation>
    <dataValidation type="list" allowBlank="1" showInputMessage="1" showErrorMessage="1" sqref="E857">
      <formula1>"Number (years),Rate (per year),Duration (years)"</formula1>
    </dataValidation>
    <dataValidation type="list" allowBlank="1" showInputMessage="1" showErrorMessage="1" sqref="E858">
      <formula1>"Number (years),Rate (per year),Duration (years)"</formula1>
    </dataValidation>
    <dataValidation type="list" allowBlank="1" showInputMessage="1" showErrorMessage="1" sqref="E859">
      <formula1>"Number (years),Rate (per year),Duration (years)"</formula1>
    </dataValidation>
    <dataValidation type="list" allowBlank="1" showInputMessage="1" showErrorMessage="1" sqref="E860">
      <formula1>"Number (years),Rate (per year),Duration (years)"</formula1>
    </dataValidation>
    <dataValidation type="list" allowBlank="1" showInputMessage="1" showErrorMessage="1" sqref="E861">
      <formula1>"Number (years),Rate (per year),Duration (years)"</formula1>
    </dataValidation>
    <dataValidation type="list" allowBlank="1" showInputMessage="1" showErrorMessage="1" sqref="E862">
      <formula1>"Number (years),Rate (per year),Duration (years)"</formula1>
    </dataValidation>
    <dataValidation type="list" allowBlank="1" showInputMessage="1" showErrorMessage="1" sqref="E863">
      <formula1>"Number (years),Rate (per year),Duration (years)"</formula1>
    </dataValidation>
    <dataValidation type="list" allowBlank="1" showInputMessage="1" showErrorMessage="1" sqref="E864">
      <formula1>"Number (years),Rate (per year),Duration (years)"</formula1>
    </dataValidation>
    <dataValidation type="list" allowBlank="1" showInputMessage="1" showErrorMessage="1" sqref="E865">
      <formula1>"Number (years),Rate (per year),Duration (years)"</formula1>
    </dataValidation>
    <dataValidation type="list" allowBlank="1" showInputMessage="1" showErrorMessage="1" sqref="E866">
      <formula1>"Number (years),Rate (per year),Duration (years)"</formula1>
    </dataValidation>
    <dataValidation type="list" allowBlank="1" showInputMessage="1" showErrorMessage="1" sqref="E867">
      <formula1>"Number (years),Rate (per year),Duration (years)"</formula1>
    </dataValidation>
    <dataValidation type="list" allowBlank="1" showInputMessage="1" showErrorMessage="1" sqref="E868">
      <formula1>"Number (years),Rate (per year),Duration (years)"</formula1>
    </dataValidation>
    <dataValidation type="list" allowBlank="1" showInputMessage="1" showErrorMessage="1" sqref="E869">
      <formula1>"Number (years),Rate (per year),Duration (years)"</formula1>
    </dataValidation>
    <dataValidation type="list" allowBlank="1" showInputMessage="1" showErrorMessage="1" sqref="E870">
      <formula1>"Number (years),Rate (per year),Duration (years)"</formula1>
    </dataValidation>
    <dataValidation type="list" allowBlank="1" showInputMessage="1" showErrorMessage="1" sqref="E871">
      <formula1>"Number (years),Rate (per year),Duration (years)"</formula1>
    </dataValidation>
    <dataValidation type="list" allowBlank="1" showInputMessage="1" showErrorMessage="1" sqref="E872">
      <formula1>"Number (years),Rate (per year),Duration (years)"</formula1>
    </dataValidation>
    <dataValidation type="list" allowBlank="1" showInputMessage="1" showErrorMessage="1" sqref="E873">
      <formula1>"Number (years),Rate (per year),Duration (years)"</formula1>
    </dataValidation>
    <dataValidation type="list" allowBlank="1" showInputMessage="1" showErrorMessage="1" sqref="E874">
      <formula1>"Number (years),Rate (per year),Duration (years)"</formula1>
    </dataValidation>
    <dataValidation type="list" allowBlank="1" showInputMessage="1" showErrorMessage="1" sqref="E875">
      <formula1>"Number (years),Rate (per year),Duration (years)"</formula1>
    </dataValidation>
    <dataValidation type="list" allowBlank="1" showInputMessage="1" showErrorMessage="1" sqref="E876">
      <formula1>"Number (years),Rate (per year),Duration (years)"</formula1>
    </dataValidation>
    <dataValidation type="list" allowBlank="1" showInputMessage="1" showErrorMessage="1" sqref="E877">
      <formula1>"Number (years),Rate (per year),Duration (years)"</formula1>
    </dataValidation>
    <dataValidation type="list" allowBlank="1" showInputMessage="1" showErrorMessage="1" sqref="E878">
      <formula1>"Number (years),Rate (per year),Duration (years)"</formula1>
    </dataValidation>
    <dataValidation type="list" allowBlank="1" showInputMessage="1" showErrorMessage="1" sqref="E879">
      <formula1>"Number (years),Rate (per year),Duration (years)"</formula1>
    </dataValidation>
    <dataValidation type="list" allowBlank="1" showInputMessage="1" showErrorMessage="1" sqref="E880">
      <formula1>"Number (years),Rate (per year),Duration (years)"</formula1>
    </dataValidation>
    <dataValidation type="list" allowBlank="1" showInputMessage="1" showErrorMessage="1" sqref="E881">
      <formula1>"Number (years),Rate (per year),Duration (years)"</formula1>
    </dataValidation>
    <dataValidation type="list" allowBlank="1" showInputMessage="1" showErrorMessage="1" sqref="E882">
      <formula1>"Number (years),Rate (per year),Duration (years)"</formula1>
    </dataValidation>
    <dataValidation type="list" allowBlank="1" showInputMessage="1" showErrorMessage="1" sqref="E883">
      <formula1>"Number (years),Rate (per year),Duration (years)"</formula1>
    </dataValidation>
    <dataValidation type="list" allowBlank="1" showInputMessage="1" showErrorMessage="1" sqref="E884">
      <formula1>"Number (years),Rate (per year),Duration (years)"</formula1>
    </dataValidation>
    <dataValidation type="list" allowBlank="1" showInputMessage="1" showErrorMessage="1" sqref="E885">
      <formula1>"Number (years),Rate (per year),Duration (years)"</formula1>
    </dataValidation>
    <dataValidation type="list" allowBlank="1" showInputMessage="1" showErrorMessage="1" sqref="E886">
      <formula1>"Number (years),Rate (per year),Duration (years)"</formula1>
    </dataValidation>
    <dataValidation type="list" allowBlank="1" showInputMessage="1" showErrorMessage="1" sqref="E887">
      <formula1>"Number (years),Rate (per year),Duration (years)"</formula1>
    </dataValidation>
    <dataValidation type="list" allowBlank="1" showInputMessage="1" showErrorMessage="1" sqref="E888">
      <formula1>"Number (years),Rate (per year),Duration (years)"</formula1>
    </dataValidation>
    <dataValidation type="list" allowBlank="1" showInputMessage="1" showErrorMessage="1" sqref="E889">
      <formula1>"Number (years),Rate (per year),Duration (years)"</formula1>
    </dataValidation>
    <dataValidation type="list" allowBlank="1" showInputMessage="1" showErrorMessage="1" sqref="E890">
      <formula1>"Number (years),Rate (per year),Duration (years)"</formula1>
    </dataValidation>
    <dataValidation type="list" allowBlank="1" showInputMessage="1" showErrorMessage="1" sqref="E891">
      <formula1>"Number (years),Rate (per year),Duration (years)"</formula1>
    </dataValidation>
    <dataValidation type="list" allowBlank="1" showInputMessage="1" showErrorMessage="1" sqref="E892">
      <formula1>"Number (years),Rate (per year),Duration (years)"</formula1>
    </dataValidation>
    <dataValidation type="list" allowBlank="1" showInputMessage="1" showErrorMessage="1" sqref="E893">
      <formula1>"Number (years),Rate (per year),Duration (years)"</formula1>
    </dataValidation>
    <dataValidation type="list" allowBlank="1" showInputMessage="1" showErrorMessage="1" sqref="E894">
      <formula1>"Number (years),Rate (per year),Duration (years)"</formula1>
    </dataValidation>
    <dataValidation type="list" allowBlank="1" showInputMessage="1" showErrorMessage="1" sqref="E895">
      <formula1>"Number (years),Rate (per year),Duration (years)"</formula1>
    </dataValidation>
    <dataValidation type="list" allowBlank="1" showInputMessage="1" showErrorMessage="1" sqref="E896">
      <formula1>"Number (years),Rate (per year),Duration (years)"</formula1>
    </dataValidation>
    <dataValidation type="list" allowBlank="1" showInputMessage="1" showErrorMessage="1" sqref="E897">
      <formula1>"Number (years),Rate (per year),Duration (years)"</formula1>
    </dataValidation>
    <dataValidation type="list" allowBlank="1" showInputMessage="1" showErrorMessage="1" sqref="E898">
      <formula1>"Number (years),Rate (per year),Duration (years)"</formula1>
    </dataValidation>
    <dataValidation type="list" allowBlank="1" showInputMessage="1" showErrorMessage="1" sqref="E899">
      <formula1>"Number (years),Rate (per year),Duration (years)"</formula1>
    </dataValidation>
    <dataValidation type="list" allowBlank="1" showInputMessage="1" showErrorMessage="1" sqref="E900">
      <formula1>"Number (years),Rate (per year),Duration (years)"</formula1>
    </dataValidation>
    <dataValidation type="list" allowBlank="1" showInputMessage="1" showErrorMessage="1" sqref="E901">
      <formula1>"Number (years),Rate (per year),Duration (years)"</formula1>
    </dataValidation>
    <dataValidation type="list" allowBlank="1" showInputMessage="1" showErrorMessage="1" sqref="E902">
      <formula1>"Number (years),Rate (per year),Duration (years)"</formula1>
    </dataValidation>
    <dataValidation type="list" allowBlank="1" showInputMessage="1" showErrorMessage="1" sqref="E903">
      <formula1>"Number (years),Rate (per year),Duration (years)"</formula1>
    </dataValidation>
    <dataValidation type="list" allowBlank="1" showInputMessage="1" showErrorMessage="1" sqref="E904">
      <formula1>"Number (years),Rate (per year),Duration (years)"</formula1>
    </dataValidation>
    <dataValidation type="list" allowBlank="1" showInputMessage="1" showErrorMessage="1" sqref="E905">
      <formula1>"Number (years),Rate (per year),Duration (years)"</formula1>
    </dataValidation>
    <dataValidation type="list" allowBlank="1" showInputMessage="1" showErrorMessage="1" sqref="E906">
      <formula1>"Number (years),Rate (per year),Duration (years)"</formula1>
    </dataValidation>
    <dataValidation type="list" allowBlank="1" showInputMessage="1" showErrorMessage="1" sqref="E907">
      <formula1>"Number (years),Rate (per year),Duration (years)"</formula1>
    </dataValidation>
    <dataValidation type="list" allowBlank="1" showInputMessage="1" showErrorMessage="1" sqref="E908">
      <formula1>"Number (years),Rate (per year),Duration (years)"</formula1>
    </dataValidation>
    <dataValidation type="list" allowBlank="1" showInputMessage="1" showErrorMessage="1" sqref="E909">
      <formula1>"Number (years),Rate (per year),Duration (years)"</formula1>
    </dataValidation>
    <dataValidation type="list" allowBlank="1" showInputMessage="1" showErrorMessage="1" sqref="E910">
      <formula1>"Number (years),Rate (per year),Duration (years)"</formula1>
    </dataValidation>
    <dataValidation type="list" allowBlank="1" showInputMessage="1" showErrorMessage="1" sqref="E911">
      <formula1>"Number (years),Rate (per year),Duration (years)"</formula1>
    </dataValidation>
    <dataValidation type="list" allowBlank="1" showInputMessage="1" showErrorMessage="1" sqref="E912">
      <formula1>"Number (years),Rate (per year),Duration (years)"</formula1>
    </dataValidation>
    <dataValidation type="list" allowBlank="1" showInputMessage="1" showErrorMessage="1" sqref="E913">
      <formula1>"Number (years),Rate (per year),Duration (years)"</formula1>
    </dataValidation>
    <dataValidation type="list" allowBlank="1" showInputMessage="1" showErrorMessage="1" sqref="E914">
      <formula1>"Number (years),Rate (per year),Duration (years)"</formula1>
    </dataValidation>
    <dataValidation type="list" allowBlank="1" showInputMessage="1" showErrorMessage="1" sqref="E915">
      <formula1>"Number (years),Rate (per year),Duration (years)"</formula1>
    </dataValidation>
    <dataValidation type="list" allowBlank="1" showInputMessage="1" showErrorMessage="1" sqref="E916">
      <formula1>"Number (years),Rate (per year),Duration (years)"</formula1>
    </dataValidation>
    <dataValidation type="list" allowBlank="1" showInputMessage="1" showErrorMessage="1" sqref="E917">
      <formula1>"Number (years),Rate (per year),Duration (years)"</formula1>
    </dataValidation>
    <dataValidation type="list" allowBlank="1" showInputMessage="1" showErrorMessage="1" sqref="E918">
      <formula1>"Number (years),Rate (per year),Duration (years)"</formula1>
    </dataValidation>
    <dataValidation type="list" allowBlank="1" showInputMessage="1" showErrorMessage="1" sqref="E919">
      <formula1>"Number (years),Rate (per year),Duration (years)"</formula1>
    </dataValidation>
    <dataValidation type="list" allowBlank="1" showInputMessage="1" showErrorMessage="1" sqref="E920">
      <formula1>"Number (years),Rate (per year),Duration (years)"</formula1>
    </dataValidation>
    <dataValidation type="list" allowBlank="1" showInputMessage="1" showErrorMessage="1" sqref="E921">
      <formula1>"Number (years),Rate (per year),Duration (years)"</formula1>
    </dataValidation>
    <dataValidation type="list" allowBlank="1" showInputMessage="1" showErrorMessage="1" sqref="E922">
      <formula1>"Number (years),Rate (per year),Duration (years)"</formula1>
    </dataValidation>
    <dataValidation type="list" allowBlank="1" showInputMessage="1" showErrorMessage="1" sqref="E923">
      <formula1>"Number (years),Rate (per year),Duration (years)"</formula1>
    </dataValidation>
    <dataValidation type="list" allowBlank="1" showInputMessage="1" showErrorMessage="1" sqref="E924">
      <formula1>"Number (years),Rate (per year),Duration (years)"</formula1>
    </dataValidation>
    <dataValidation type="list" allowBlank="1" showInputMessage="1" showErrorMessage="1" sqref="E925">
      <formula1>"Number (years),Rate (per year),Duration (years)"</formula1>
    </dataValidation>
    <dataValidation type="list" allowBlank="1" showInputMessage="1" showErrorMessage="1" sqref="E926">
      <formula1>"Number (years),Rate (per year),Duration (years)"</formula1>
    </dataValidation>
    <dataValidation type="list" allowBlank="1" showInputMessage="1" showErrorMessage="1" sqref="E927">
      <formula1>"Number (years),Rate (per year),Duration (years)"</formula1>
    </dataValidation>
    <dataValidation type="list" allowBlank="1" showInputMessage="1" showErrorMessage="1" sqref="E928">
      <formula1>"Number (years),Rate (per year),Duration (years)"</formula1>
    </dataValidation>
    <dataValidation type="list" allowBlank="1" showInputMessage="1" showErrorMessage="1" sqref="E929">
      <formula1>"Number (years),Rate (per year),Duration (years)"</formula1>
    </dataValidation>
    <dataValidation type="list" allowBlank="1" showInputMessage="1" showErrorMessage="1" sqref="E930">
      <formula1>"Number (years),Rate (per year),Duration (years)"</formula1>
    </dataValidation>
    <dataValidation type="list" allowBlank="1" showInputMessage="1" showErrorMessage="1" sqref="E931">
      <formula1>"Number (years),Rate (per year),Duration (years)"</formula1>
    </dataValidation>
    <dataValidation type="list" allowBlank="1" showInputMessage="1" showErrorMessage="1" sqref="E932">
      <formula1>"Number (years),Rate (per year),Duration (years)"</formula1>
    </dataValidation>
    <dataValidation type="list" allowBlank="1" showInputMessage="1" showErrorMessage="1" sqref="E933">
      <formula1>"Number (years),Rate (per year),Duration (years)"</formula1>
    </dataValidation>
    <dataValidation type="list" allowBlank="1" showInputMessage="1" showErrorMessage="1" sqref="E934">
      <formula1>"Number (years),Rate (per year),Duration (years)"</formula1>
    </dataValidation>
    <dataValidation type="list" allowBlank="1" showInputMessage="1" showErrorMessage="1" sqref="E935">
      <formula1>"Number (years),Rate (per year),Duration (years)"</formula1>
    </dataValidation>
    <dataValidation type="list" allowBlank="1" showInputMessage="1" showErrorMessage="1" sqref="E936">
      <formula1>"Number (years),Rate (per year),Duration (years)"</formula1>
    </dataValidation>
    <dataValidation type="list" allowBlank="1" showInputMessage="1" showErrorMessage="1" sqref="E937">
      <formula1>"Number (years),Rate (per year),Duration (years)"</formula1>
    </dataValidation>
    <dataValidation type="list" allowBlank="1" showInputMessage="1" showErrorMessage="1" sqref="E938">
      <formula1>"Number (years),Rate (per year),Duration (years)"</formula1>
    </dataValidation>
    <dataValidation type="list" allowBlank="1" showInputMessage="1" showErrorMessage="1" sqref="E939">
      <formula1>"Number (years),Rate (per year),Duration (years)"</formula1>
    </dataValidation>
    <dataValidation type="list" allowBlank="1" showInputMessage="1" showErrorMessage="1" sqref="E940">
      <formula1>"Number (years),Rate (per year),Duration (years)"</formula1>
    </dataValidation>
    <dataValidation type="list" allowBlank="1" showInputMessage="1" showErrorMessage="1" sqref="E941">
      <formula1>"Number (years),Rate (per year),Duration (years)"</formula1>
    </dataValidation>
    <dataValidation type="list" allowBlank="1" showInputMessage="1" showErrorMessage="1" sqref="E942">
      <formula1>"Number (years),Rate (per year),Duration (years)"</formula1>
    </dataValidation>
    <dataValidation type="list" allowBlank="1" showInputMessage="1" showErrorMessage="1" sqref="E943">
      <formula1>"Number (years),Rate (per year),Duration (years)"</formula1>
    </dataValidation>
    <dataValidation type="list" allowBlank="1" showInputMessage="1" showErrorMessage="1" sqref="E944">
      <formula1>"Number (years),Rate (per year),Duration (years)"</formula1>
    </dataValidation>
    <dataValidation type="list" allowBlank="1" showInputMessage="1" showErrorMessage="1" sqref="E945">
      <formula1>"Number (years),Rate (per year),Duration (years)"</formula1>
    </dataValidation>
    <dataValidation type="list" allowBlank="1" showInputMessage="1" showErrorMessage="1" sqref="E946">
      <formula1>"Number (years),Rate (per year),Duration (years)"</formula1>
    </dataValidation>
    <dataValidation type="list" allowBlank="1" showInputMessage="1" showErrorMessage="1" sqref="E947">
      <formula1>"Number (years),Rate (per year),Duration (years)"</formula1>
    </dataValidation>
    <dataValidation type="list" allowBlank="1" showInputMessage="1" showErrorMessage="1" sqref="E948">
      <formula1>"Number (years),Rate (per year),Duration (years)"</formula1>
    </dataValidation>
    <dataValidation type="list" allowBlank="1" showInputMessage="1" showErrorMessage="1" sqref="E949">
      <formula1>"Number (years),Rate (per year),Duration (years)"</formula1>
    </dataValidation>
    <dataValidation type="list" allowBlank="1" showInputMessage="1" showErrorMessage="1" sqref="E950">
      <formula1>"Number (years),Rate (per year),Duration (years)"</formula1>
    </dataValidation>
    <dataValidation type="list" allowBlank="1" showInputMessage="1" showErrorMessage="1" sqref="E951">
      <formula1>"Number (years),Rate (per year),Duration (years)"</formula1>
    </dataValidation>
    <dataValidation type="list" allowBlank="1" showInputMessage="1" showErrorMessage="1" sqref="E952">
      <formula1>"Number (years),Rate (per year),Duration (years)"</formula1>
    </dataValidation>
    <dataValidation type="list" allowBlank="1" showInputMessage="1" showErrorMessage="1" sqref="E953">
      <formula1>"Number (years),Rate (per year),Duration (years)"</formula1>
    </dataValidation>
    <dataValidation type="list" allowBlank="1" showInputMessage="1" showErrorMessage="1" sqref="E954">
      <formula1>"Number (years),Rate (per year),Duration (years)"</formula1>
    </dataValidation>
    <dataValidation type="list" allowBlank="1" showInputMessage="1" showErrorMessage="1" sqref="E955">
      <formula1>"Number (years),Rate (per year),Duration (years)"</formula1>
    </dataValidation>
    <dataValidation type="list" allowBlank="1" showInputMessage="1" showErrorMessage="1" sqref="E956">
      <formula1>"Number (years),Rate (per year),Duration (years)"</formula1>
    </dataValidation>
    <dataValidation type="list" allowBlank="1" showInputMessage="1" showErrorMessage="1" sqref="E957">
      <formula1>"Number (years),Rate (per year),Duration (years)"</formula1>
    </dataValidation>
    <dataValidation type="list" allowBlank="1" showInputMessage="1" showErrorMessage="1" sqref="E958">
      <formula1>"Number (years),Rate (per year),Duration (years)"</formula1>
    </dataValidation>
    <dataValidation type="list" allowBlank="1" showInputMessage="1" showErrorMessage="1" sqref="E959">
      <formula1>"Number (years),Rate (per year),Duration (years)"</formula1>
    </dataValidation>
    <dataValidation type="list" allowBlank="1" showInputMessage="1" showErrorMessage="1" sqref="E960">
      <formula1>"Number (years),Rate (per year),Duration (years)"</formula1>
    </dataValidation>
    <dataValidation type="list" allowBlank="1" showInputMessage="1" showErrorMessage="1" sqref="E961">
      <formula1>"Number (years),Rate (per year),Duration (years)"</formula1>
    </dataValidation>
    <dataValidation type="list" allowBlank="1" showInputMessage="1" showErrorMessage="1" sqref="E962">
      <formula1>"Number (years),Rate (per year),Duration (years)"</formula1>
    </dataValidation>
    <dataValidation type="list" allowBlank="1" showInputMessage="1" showErrorMessage="1" sqref="E963">
      <formula1>"Number (years),Rate (per year),Duration (years)"</formula1>
    </dataValidation>
    <dataValidation type="list" allowBlank="1" showInputMessage="1" showErrorMessage="1" sqref="E964">
      <formula1>"Number (years),Rate (per year),Duration (years)"</formula1>
    </dataValidation>
    <dataValidation type="list" allowBlank="1" showInputMessage="1" showErrorMessage="1" sqref="E965">
      <formula1>"Number (years),Rate (per year),Duration (years)"</formula1>
    </dataValidation>
    <dataValidation type="list" allowBlank="1" showInputMessage="1" showErrorMessage="1" sqref="E966">
      <formula1>"Number (years),Rate (per year),Duration (years)"</formula1>
    </dataValidation>
    <dataValidation type="list" allowBlank="1" showInputMessage="1" showErrorMessage="1" sqref="E967">
      <formula1>"Number (years),Rate (per year),Duration (years)"</formula1>
    </dataValidation>
    <dataValidation type="list" allowBlank="1" showInputMessage="1" showErrorMessage="1" sqref="E968">
      <formula1>"Number (years),Rate (per year),Duration (years)"</formula1>
    </dataValidation>
    <dataValidation type="list" allowBlank="1" showInputMessage="1" showErrorMessage="1" sqref="E969">
      <formula1>"Number (years),Rate (per year),Duration (years)"</formula1>
    </dataValidation>
    <dataValidation type="list" allowBlank="1" showInputMessage="1" showErrorMessage="1" sqref="E970">
      <formula1>"Number (years),Rate (per year),Duration (years)"</formula1>
    </dataValidation>
    <dataValidation type="list" allowBlank="1" showInputMessage="1" showErrorMessage="1" sqref="E971">
      <formula1>"Number (years),Rate (per year),Duration (years)"</formula1>
    </dataValidation>
    <dataValidation type="list" allowBlank="1" showInputMessage="1" showErrorMessage="1" sqref="E972">
      <formula1>"Number (years),Rate (per year),Duration (years)"</formula1>
    </dataValidation>
    <dataValidation type="list" allowBlank="1" showInputMessage="1" showErrorMessage="1" sqref="E973">
      <formula1>"Number (years),Rate (per year),Duration (years)"</formula1>
    </dataValidation>
    <dataValidation type="list" allowBlank="1" showInputMessage="1" showErrorMessage="1" sqref="E974">
      <formula1>"Number (years),Rate (per year),Duration (years)"</formula1>
    </dataValidation>
    <dataValidation type="list" allowBlank="1" showInputMessage="1" showErrorMessage="1" sqref="E975">
      <formula1>"Number (years),Rate (per year),Duration (years)"</formula1>
    </dataValidation>
    <dataValidation type="list" allowBlank="1" showInputMessage="1" showErrorMessage="1" sqref="E976">
      <formula1>"Number (years),Rate (per year),Duration (years)"</formula1>
    </dataValidation>
    <dataValidation type="list" allowBlank="1" showInputMessage="1" showErrorMessage="1" sqref="E977">
      <formula1>"Number (years),Rate (per year),Duration (years)"</formula1>
    </dataValidation>
    <dataValidation type="list" allowBlank="1" showInputMessage="1" showErrorMessage="1" sqref="E978">
      <formula1>"Number (years),Rate (per year),Duration (years)"</formula1>
    </dataValidation>
    <dataValidation type="list" allowBlank="1" showInputMessage="1" showErrorMessage="1" sqref="E979">
      <formula1>"Number (years),Rate (per year),Duration (years)"</formula1>
    </dataValidation>
    <dataValidation type="list" allowBlank="1" showInputMessage="1" showErrorMessage="1" sqref="E980">
      <formula1>"Number (years),Rate (per year),Duration (years)"</formula1>
    </dataValidation>
    <dataValidation type="list" allowBlank="1" showInputMessage="1" showErrorMessage="1" sqref="E981">
      <formula1>"Number (years),Rate (per year),Duration (years)"</formula1>
    </dataValidation>
    <dataValidation type="list" allowBlank="1" showInputMessage="1" showErrorMessage="1" sqref="E982">
      <formula1>"Number (years),Rate (per year),Duration (years)"</formula1>
    </dataValidation>
    <dataValidation type="list" allowBlank="1" showInputMessage="1" showErrorMessage="1" sqref="E983">
      <formula1>"Number (years),Rate (per year),Duration (years)"</formula1>
    </dataValidation>
    <dataValidation type="list" allowBlank="1" showInputMessage="1" showErrorMessage="1" sqref="E984">
      <formula1>"Number (years),Rate (per year),Duration (years)"</formula1>
    </dataValidation>
    <dataValidation type="list" allowBlank="1" showInputMessage="1" showErrorMessage="1" sqref="E985">
      <formula1>"Number (years),Rate (per year),Duration (years)"</formula1>
    </dataValidation>
    <dataValidation type="list" allowBlank="1" showInputMessage="1" showErrorMessage="1" sqref="E986">
      <formula1>"Number (years),Rate (per year),Duration (years)"</formula1>
    </dataValidation>
    <dataValidation type="list" allowBlank="1" showInputMessage="1" showErrorMessage="1" sqref="E987">
      <formula1>"Number (years),Rate (per year),Duration (years)"</formula1>
    </dataValidation>
    <dataValidation type="list" allowBlank="1" showInputMessage="1" showErrorMessage="1" sqref="E988">
      <formula1>"Number (years),Rate (per year),Duration (years)"</formula1>
    </dataValidation>
    <dataValidation type="list" allowBlank="1" showInputMessage="1" showErrorMessage="1" sqref="E989">
      <formula1>"Number (years),Rate (per year),Duration (years)"</formula1>
    </dataValidation>
    <dataValidation type="list" allowBlank="1" showInputMessage="1" showErrorMessage="1" sqref="E990">
      <formula1>"Number (years),Rate (per year),Duration (years)"</formula1>
    </dataValidation>
    <dataValidation type="list" allowBlank="1" showInputMessage="1" showErrorMessage="1" sqref="E991">
      <formula1>"Number (years),Rate (per year),Duration (years)"</formula1>
    </dataValidation>
    <dataValidation type="list" allowBlank="1" showInputMessage="1" showErrorMessage="1" sqref="E992">
      <formula1>"Number (years),Rate (per year),Duration (years)"</formula1>
    </dataValidation>
    <dataValidation type="list" allowBlank="1" showInputMessage="1" showErrorMessage="1" sqref="E993">
      <formula1>"Number (years),Rate (per year),Duration (years)"</formula1>
    </dataValidation>
    <dataValidation type="list" allowBlank="1" showInputMessage="1" showErrorMessage="1" sqref="E994">
      <formula1>"Number (years),Rate (per year),Duration (years)"</formula1>
    </dataValidation>
    <dataValidation type="list" allowBlank="1" showInputMessage="1" showErrorMessage="1" sqref="E995">
      <formula1>"Number (years),Rate (per year),Duration (years)"</formula1>
    </dataValidation>
    <dataValidation type="list" allowBlank="1" showInputMessage="1" showErrorMessage="1" sqref="E996">
      <formula1>"Number (years),Rate (per year),Duration (years)"</formula1>
    </dataValidation>
    <dataValidation type="list" allowBlank="1" showInputMessage="1" showErrorMessage="1" sqref="E997">
      <formula1>"Number (years),Rate (per year),Duration (years)"</formula1>
    </dataValidation>
    <dataValidation type="list" allowBlank="1" showInputMessage="1" showErrorMessage="1" sqref="E998">
      <formula1>"Number (years),Rate (per year),Duration (years)"</formula1>
    </dataValidation>
    <dataValidation type="list" allowBlank="1" showInputMessage="1" showErrorMessage="1" sqref="E999">
      <formula1>"Number (years),Rate (per year),Duration (years)"</formula1>
    </dataValidation>
    <dataValidation type="list" allowBlank="1" showInputMessage="1" showErrorMessage="1" sqref="E1000">
      <formula1>"Number (years),Rate (per year),Duration (years)"</formula1>
    </dataValidation>
    <dataValidation type="list" allowBlank="1" showInputMessage="1" showErrorMessage="1" sqref="E1001">
      <formula1>"Number (years),Rate (per year),Duration (years)"</formula1>
    </dataValidation>
    <dataValidation type="list" allowBlank="1" showInputMessage="1" showErrorMessage="1" sqref="E1002">
      <formula1>"Number (years),Rate (per year),Duration (years)"</formula1>
    </dataValidation>
    <dataValidation type="list" allowBlank="1" showInputMessage="1" showErrorMessage="1" sqref="E1003">
      <formula1>"Number (years),Rate (per year),Duration (years)"</formula1>
    </dataValidation>
    <dataValidation type="list" allowBlank="1" showInputMessage="1" showErrorMessage="1" sqref="E1004">
      <formula1>"Number (years),Rate (per year),Duration (years)"</formula1>
    </dataValidation>
    <dataValidation type="list" allowBlank="1" showInputMessage="1" showErrorMessage="1" sqref="E1005">
      <formula1>"Number (years),Rate (per year),Duration (years)"</formula1>
    </dataValidation>
    <dataValidation type="list" allowBlank="1" showInputMessage="1" showErrorMessage="1" sqref="E1006">
      <formula1>"Number (years),Rate (per year),Duration (years)"</formula1>
    </dataValidation>
    <dataValidation type="list" allowBlank="1" showInputMessage="1" showErrorMessage="1" sqref="E1007">
      <formula1>"Number (years),Rate (per year),Duration (years)"</formula1>
    </dataValidation>
    <dataValidation type="list" allowBlank="1" showInputMessage="1" showErrorMessage="1" sqref="E1008">
      <formula1>"Number (years),Rate (per year),Duration (years)"</formula1>
    </dataValidation>
    <dataValidation type="list" allowBlank="1" showInputMessage="1" showErrorMessage="1" sqref="E1009">
      <formula1>"Number (years),Rate (per year),Duration (years)"</formula1>
    </dataValidation>
    <dataValidation type="list" allowBlank="1" showInputMessage="1" showErrorMessage="1" sqref="E1010">
      <formula1>"Number (years),Rate (per year),Duration (years)"</formula1>
    </dataValidation>
    <dataValidation type="list" allowBlank="1" showInputMessage="1" showErrorMessage="1" sqref="E1011">
      <formula1>"Number (years),Rate (per year),Duration (years)"</formula1>
    </dataValidation>
    <dataValidation type="list" allowBlank="1" showInputMessage="1" showErrorMessage="1" sqref="E1012">
      <formula1>"Number (years),Rate (per year),Duration (years)"</formula1>
    </dataValidation>
    <dataValidation type="list" allowBlank="1" showInputMessage="1" showErrorMessage="1" sqref="E1013">
      <formula1>"Number (years),Rate (per year),Duration (years)"</formula1>
    </dataValidation>
    <dataValidation type="list" allowBlank="1" showInputMessage="1" showErrorMessage="1" sqref="E1014">
      <formula1>"Number (years),Rate (per year),Duration (years)"</formula1>
    </dataValidation>
    <dataValidation type="list" allowBlank="1" showInputMessage="1" showErrorMessage="1" sqref="E1015">
      <formula1>"Number (years),Rate (per year),Duration (years)"</formula1>
    </dataValidation>
    <dataValidation type="list" allowBlank="1" showInputMessage="1" showErrorMessage="1" sqref="E1016">
      <formula1>"Number (years),Rate (per year),Duration (years)"</formula1>
    </dataValidation>
    <dataValidation type="list" allowBlank="1" showInputMessage="1" showErrorMessage="1" sqref="E1017">
      <formula1>"Number (years),Rate (per year),Duration (years)"</formula1>
    </dataValidation>
    <dataValidation type="list" allowBlank="1" showInputMessage="1" showErrorMessage="1" sqref="E1018">
      <formula1>"Number (years),Rate (per year),Duration (years)"</formula1>
    </dataValidation>
    <dataValidation type="list" allowBlank="1" showInputMessage="1" showErrorMessage="1" sqref="E1019">
      <formula1>"Number (years),Rate (per year),Duration (years)"</formula1>
    </dataValidation>
    <dataValidation type="list" allowBlank="1" showInputMessage="1" showErrorMessage="1" sqref="E1020">
      <formula1>"Number (years),Rate (per year),Duration (years)"</formula1>
    </dataValidation>
    <dataValidation type="list" allowBlank="1" showInputMessage="1" showErrorMessage="1" sqref="E1021">
      <formula1>"Number (years),Rate (per year),Duration (years)"</formula1>
    </dataValidation>
    <dataValidation type="list" allowBlank="1" showInputMessage="1" showErrorMessage="1" sqref="E1022">
      <formula1>"Number (years),Rate (per year),Duration (years)"</formula1>
    </dataValidation>
    <dataValidation type="list" allowBlank="1" showInputMessage="1" showErrorMessage="1" sqref="E1023">
      <formula1>"Number (years),Rate (per year),Duration (years)"</formula1>
    </dataValidation>
    <dataValidation type="list" allowBlank="1" showInputMessage="1" showErrorMessage="1" sqref="E1024">
      <formula1>"Number (years),Rate (per year),Duration (years)"</formula1>
    </dataValidation>
    <dataValidation type="list" allowBlank="1" showInputMessage="1" showErrorMessage="1" sqref="E1025">
      <formula1>"Number (years),Rate (per year),Duration (years)"</formula1>
    </dataValidation>
    <dataValidation type="list" allowBlank="1" showInputMessage="1" showErrorMessage="1" sqref="E1026">
      <formula1>"Number (years),Rate (per year),Duration (years)"</formula1>
    </dataValidation>
    <dataValidation type="list" allowBlank="1" showInputMessage="1" showErrorMessage="1" sqref="E1027">
      <formula1>"Number (years),Rate (per year),Duration (years)"</formula1>
    </dataValidation>
    <dataValidation type="list" allowBlank="1" showInputMessage="1" showErrorMessage="1" sqref="E1028">
      <formula1>"Number (years),Rate (per year),Duration (years)"</formula1>
    </dataValidation>
    <dataValidation type="list" allowBlank="1" showInputMessage="1" showErrorMessage="1" sqref="E1029">
      <formula1>"Number (years),Rate (per year),Duration (years)"</formula1>
    </dataValidation>
    <dataValidation type="list" allowBlank="1" showInputMessage="1" showErrorMessage="1" sqref="E1030">
      <formula1>"Number (years),Rate (per year),Duration (years)"</formula1>
    </dataValidation>
    <dataValidation type="list" allowBlank="1" showInputMessage="1" showErrorMessage="1" sqref="E1031">
      <formula1>"Number (years),Rate (per year),Duration (years)"</formula1>
    </dataValidation>
    <dataValidation type="list" allowBlank="1" showInputMessage="1" showErrorMessage="1" sqref="E1032">
      <formula1>"Number (years),Rate (per year),Duration (years)"</formula1>
    </dataValidation>
    <dataValidation type="list" allowBlank="1" showInputMessage="1" showErrorMessage="1" sqref="E1033">
      <formula1>"Number (years),Rate (per year),Duration (years)"</formula1>
    </dataValidation>
    <dataValidation type="list" allowBlank="1" showInputMessage="1" showErrorMessage="1" sqref="E1034">
      <formula1>"Number (years),Rate (per year),Duration (years)"</formula1>
    </dataValidation>
    <dataValidation type="list" allowBlank="1" showInputMessage="1" showErrorMessage="1" sqref="E1035">
      <formula1>"Number (years),Rate (per year),Duration (years)"</formula1>
    </dataValidation>
    <dataValidation type="list" allowBlank="1" showInputMessage="1" showErrorMessage="1" sqref="E1036">
      <formula1>"Number (years),Rate (per year),Duration (years)"</formula1>
    </dataValidation>
    <dataValidation type="list" allowBlank="1" showInputMessage="1" showErrorMessage="1" sqref="E1037">
      <formula1>"Number (years),Rate (per year),Duration (years)"</formula1>
    </dataValidation>
    <dataValidation type="list" allowBlank="1" showInputMessage="1" showErrorMessage="1" sqref="E1038">
      <formula1>"Number (years),Rate (per year),Duration (years)"</formula1>
    </dataValidation>
    <dataValidation type="list" allowBlank="1" showInputMessage="1" showErrorMessage="1" sqref="E1039">
      <formula1>"Number (years),Rate (per year),Duration (years)"</formula1>
    </dataValidation>
    <dataValidation type="list" allowBlank="1" showInputMessage="1" showErrorMessage="1" sqref="E1040">
      <formula1>"Number (years),Rate (per year),Duration (years)"</formula1>
    </dataValidation>
    <dataValidation type="list" allowBlank="1" showInputMessage="1" showErrorMessage="1" sqref="E1041">
      <formula1>"Number (years),Rate (per year),Duration (years)"</formula1>
    </dataValidation>
    <dataValidation type="list" allowBlank="1" showInputMessage="1" showErrorMessage="1" sqref="E1042">
      <formula1>"Number (years),Rate (per year),Duration (years)"</formula1>
    </dataValidation>
    <dataValidation type="list" allowBlank="1" showInputMessage="1" showErrorMessage="1" sqref="E1043">
      <formula1>"Number (years),Rate (per year),Duration (years)"</formula1>
    </dataValidation>
    <dataValidation type="list" allowBlank="1" showInputMessage="1" showErrorMessage="1" sqref="E1044">
      <formula1>"Number (years),Rate (per year),Duration (years)"</formula1>
    </dataValidation>
    <dataValidation type="list" allowBlank="1" showInputMessage="1" showErrorMessage="1" sqref="E1045">
      <formula1>"Number (years),Rate (per year),Duration (years)"</formula1>
    </dataValidation>
    <dataValidation type="list" allowBlank="1" showInputMessage="1" showErrorMessage="1" sqref="E1046">
      <formula1>"Number (years),Rate (per year),Duration (years)"</formula1>
    </dataValidation>
    <dataValidation type="list" allowBlank="1" showInputMessage="1" showErrorMessage="1" sqref="E1047">
      <formula1>"Number (years),Rate (per year),Duration (years)"</formula1>
    </dataValidation>
    <dataValidation type="list" allowBlank="1" showInputMessage="1" showErrorMessage="1" sqref="E1048">
      <formula1>"Number (years),Rate (per year),Duration (years)"</formula1>
    </dataValidation>
    <dataValidation type="list" allowBlank="1" showInputMessage="1" showErrorMessage="1" sqref="E1049">
      <formula1>"Number (years),Rate (per year),Duration (years)"</formula1>
    </dataValidation>
    <dataValidation type="list" allowBlank="1" showInputMessage="1" showErrorMessage="1" sqref="E1050">
      <formula1>"Number (years),Rate (per year),Duration (years)"</formula1>
    </dataValidation>
    <dataValidation type="list" allowBlank="1" showInputMessage="1" showErrorMessage="1" sqref="E1051">
      <formula1>"Number (years),Rate (per year),Duration (years)"</formula1>
    </dataValidation>
    <dataValidation type="list" allowBlank="1" showInputMessage="1" showErrorMessage="1" sqref="E1052">
      <formula1>"Number (years),Rate (per year),Duration (years)"</formula1>
    </dataValidation>
    <dataValidation type="list" allowBlank="1" showInputMessage="1" showErrorMessage="1" sqref="E1053">
      <formula1>"Number (years),Rate (per year),Duration (years)"</formula1>
    </dataValidation>
    <dataValidation type="list" allowBlank="1" showInputMessage="1" showErrorMessage="1" sqref="E1054">
      <formula1>"Number (years),Rate (per year),Duration (years)"</formula1>
    </dataValidation>
    <dataValidation type="list" allowBlank="1" showInputMessage="1" showErrorMessage="1" sqref="E1055">
      <formula1>"Number (years),Rate (per year),Duration (years)"</formula1>
    </dataValidation>
    <dataValidation type="list" allowBlank="1" showInputMessage="1" showErrorMessage="1" sqref="E1056">
      <formula1>"Number (years),Rate (per year),Duration (years)"</formula1>
    </dataValidation>
    <dataValidation type="list" allowBlank="1" showInputMessage="1" showErrorMessage="1" sqref="E1057">
      <formula1>"Number (years),Rate (per year),Duration (years)"</formula1>
    </dataValidation>
    <dataValidation type="list" allowBlank="1" showInputMessage="1" showErrorMessage="1" sqref="E1058">
      <formula1>"Number (years),Rate (per year),Duration (years)"</formula1>
    </dataValidation>
    <dataValidation type="list" allowBlank="1" showInputMessage="1" showErrorMessage="1" sqref="E1059">
      <formula1>"Number (years),Rate (per year),Duration (years)"</formula1>
    </dataValidation>
    <dataValidation type="list" allowBlank="1" showInputMessage="1" showErrorMessage="1" sqref="E1060">
      <formula1>"Number (years),Rate (per year),Duration (years)"</formula1>
    </dataValidation>
    <dataValidation type="list" allowBlank="1" showInputMessage="1" showErrorMessage="1" sqref="E1061">
      <formula1>"Number (years),Rate (per year),Duration (years)"</formula1>
    </dataValidation>
    <dataValidation type="list" allowBlank="1" showInputMessage="1" showErrorMessage="1" sqref="E1062">
      <formula1>"Number (years),Rate (per year),Duration (years)"</formula1>
    </dataValidation>
    <dataValidation type="list" allowBlank="1" showInputMessage="1" showErrorMessage="1" sqref="E1063">
      <formula1>"Number (years),Rate (per year),Duration (years)"</formula1>
    </dataValidation>
    <dataValidation type="list" allowBlank="1" showInputMessage="1" showErrorMessage="1" sqref="E1064">
      <formula1>"Number (years),Rate (per year),Duration (years)"</formula1>
    </dataValidation>
    <dataValidation type="list" allowBlank="1" showInputMessage="1" showErrorMessage="1" sqref="E1065">
      <formula1>"Number (years),Rate (per year),Duration (years)"</formula1>
    </dataValidation>
    <dataValidation type="list" allowBlank="1" showInputMessage="1" showErrorMessage="1" sqref="E1066">
      <formula1>"Number (years),Rate (per year),Duration (years)"</formula1>
    </dataValidation>
    <dataValidation type="list" allowBlank="1" showInputMessage="1" showErrorMessage="1" sqref="E1067">
      <formula1>"Number (years),Rate (per year),Duration (years)"</formula1>
    </dataValidation>
    <dataValidation type="list" allowBlank="1" showInputMessage="1" showErrorMessage="1" sqref="E1068">
      <formula1>"Number (years),Rate (per year),Duration (years)"</formula1>
    </dataValidation>
    <dataValidation type="list" allowBlank="1" showInputMessage="1" showErrorMessage="1" sqref="E1069">
      <formula1>"Number (years),Rate (per year),Duration (years)"</formula1>
    </dataValidation>
    <dataValidation type="list" allowBlank="1" showInputMessage="1" showErrorMessage="1" sqref="E1070">
      <formula1>"Number (years),Rate (per year),Duration (years)"</formula1>
    </dataValidation>
    <dataValidation type="list" allowBlank="1" showInputMessage="1" showErrorMessage="1" sqref="E1071">
      <formula1>"Number (years),Rate (per year),Duration (years)"</formula1>
    </dataValidation>
    <dataValidation type="list" allowBlank="1" showInputMessage="1" showErrorMessage="1" sqref="E1072">
      <formula1>"Number (years),Rate (per year),Duration (years)"</formula1>
    </dataValidation>
    <dataValidation type="list" allowBlank="1" showInputMessage="1" showErrorMessage="1" sqref="E1073">
      <formula1>"Number (years),Rate (per year),Duration (years)"</formula1>
    </dataValidation>
    <dataValidation type="list" allowBlank="1" showInputMessage="1" showErrorMessage="1" sqref="E1074">
      <formula1>"Number (years),Rate (per year),Duration (years)"</formula1>
    </dataValidation>
    <dataValidation type="list" allowBlank="1" showInputMessage="1" showErrorMessage="1" sqref="E1075">
      <formula1>"Number (years),Rate (per year),Duration (years)"</formula1>
    </dataValidation>
    <dataValidation type="list" allowBlank="1" showInputMessage="1" showErrorMessage="1" sqref="E1076">
      <formula1>"Number (years),Rate (per year),Duration (years)"</formula1>
    </dataValidation>
    <dataValidation type="list" allowBlank="1" showInputMessage="1" showErrorMessage="1" sqref="E1077">
      <formula1>"Number (years),Rate (per year),Duration (years)"</formula1>
    </dataValidation>
    <dataValidation type="list" allowBlank="1" showInputMessage="1" showErrorMessage="1" sqref="E1078">
      <formula1>"Number (years),Rate (per year),Duration (years)"</formula1>
    </dataValidation>
    <dataValidation type="list" allowBlank="1" showInputMessage="1" showErrorMessage="1" sqref="E1079">
      <formula1>"Number (years),Rate (per year),Duration (years)"</formula1>
    </dataValidation>
    <dataValidation type="list" allowBlank="1" showInputMessage="1" showErrorMessage="1" sqref="E1080">
      <formula1>"Number (years),Rate (per year),Duration (years)"</formula1>
    </dataValidation>
    <dataValidation type="list" allowBlank="1" showInputMessage="1" showErrorMessage="1" sqref="E1081">
      <formula1>"Number (years),Rate (per year),Duration (years)"</formula1>
    </dataValidation>
    <dataValidation type="list" allowBlank="1" showInputMessage="1" showErrorMessage="1" sqref="E1082">
      <formula1>"Number (years),Rate (per year),Duration (years)"</formula1>
    </dataValidation>
    <dataValidation type="list" allowBlank="1" showInputMessage="1" showErrorMessage="1" sqref="E1083">
      <formula1>"Number (years),Rate (per year),Duration (years)"</formula1>
    </dataValidation>
    <dataValidation type="list" allowBlank="1" showInputMessage="1" showErrorMessage="1" sqref="E1084">
      <formula1>"Number (years),Rate (per year),Duration (years)"</formula1>
    </dataValidation>
    <dataValidation type="list" allowBlank="1" showInputMessage="1" showErrorMessage="1" sqref="E1085">
      <formula1>"Number (years),Rate (per year),Duration (years)"</formula1>
    </dataValidation>
    <dataValidation type="list" allowBlank="1" showInputMessage="1" showErrorMessage="1" sqref="E1086">
      <formula1>"Number (years),Rate (per year),Duration (years)"</formula1>
    </dataValidation>
    <dataValidation type="list" allowBlank="1" showInputMessage="1" showErrorMessage="1" sqref="E1087">
      <formula1>"Number (years),Rate (per year),Duration (years)"</formula1>
    </dataValidation>
    <dataValidation type="list" allowBlank="1" showInputMessage="1" showErrorMessage="1" sqref="E1088">
      <formula1>"Number (years),Rate (per year),Duration (years)"</formula1>
    </dataValidation>
    <dataValidation type="list" allowBlank="1" showInputMessage="1" showErrorMessage="1" sqref="E1089">
      <formula1>"Number (years),Rate (per year),Duration (years)"</formula1>
    </dataValidation>
    <dataValidation type="list" allowBlank="1" showInputMessage="1" showErrorMessage="1" sqref="E1090">
      <formula1>"Number (years),Rate (per year),Duration (years)"</formula1>
    </dataValidation>
    <dataValidation type="list" allowBlank="1" showInputMessage="1" showErrorMessage="1" sqref="E1091">
      <formula1>"Number (years),Rate (per year),Duration (years)"</formula1>
    </dataValidation>
    <dataValidation type="list" allowBlank="1" showInputMessage="1" showErrorMessage="1" sqref="E1092">
      <formula1>"Number (years),Rate (per year),Duration (years)"</formula1>
    </dataValidation>
    <dataValidation type="list" allowBlank="1" showInputMessage="1" showErrorMessage="1" sqref="E1093">
      <formula1>"Number (years),Rate (per year),Duration (years)"</formula1>
    </dataValidation>
    <dataValidation type="list" allowBlank="1" showInputMessage="1" showErrorMessage="1" sqref="E1094">
      <formula1>"Number (years),Rate (per year),Duration (years)"</formula1>
    </dataValidation>
    <dataValidation type="list" allowBlank="1" showInputMessage="1" showErrorMessage="1" sqref="E1095">
      <formula1>"Number (years),Rate (per year),Duration (years)"</formula1>
    </dataValidation>
    <dataValidation type="list" allowBlank="1" showInputMessage="1" showErrorMessage="1" sqref="E1096">
      <formula1>"Number (years),Rate (per year),Duration (years)"</formula1>
    </dataValidation>
    <dataValidation type="list" allowBlank="1" showInputMessage="1" showErrorMessage="1" sqref="E1097">
      <formula1>"Number (years),Rate (per year),Duration (years)"</formula1>
    </dataValidation>
    <dataValidation type="list" allowBlank="1" showInputMessage="1" showErrorMessage="1" sqref="E1098">
      <formula1>"Number (years),Rate (per year),Duration (years)"</formula1>
    </dataValidation>
    <dataValidation type="list" allowBlank="1" showInputMessage="1" showErrorMessage="1" sqref="E1099">
      <formula1>"Number (years),Rate (per year),Duration (years)"</formula1>
    </dataValidation>
    <dataValidation type="list" allowBlank="1" showInputMessage="1" showErrorMessage="1" sqref="E1100">
      <formula1>"Number (years),Rate (per year),Duration (years)"</formula1>
    </dataValidation>
    <dataValidation type="list" allowBlank="1" showInputMessage="1" showErrorMessage="1" sqref="E1101">
      <formula1>"Number (years),Rate (per year),Duration (years)"</formula1>
    </dataValidation>
    <dataValidation type="list" allowBlank="1" showInputMessage="1" showErrorMessage="1" sqref="E1102">
      <formula1>"Number (years),Rate (per year),Duration (years)"</formula1>
    </dataValidation>
    <dataValidation type="list" allowBlank="1" showInputMessage="1" showErrorMessage="1" sqref="E1103">
      <formula1>"Number (years),Rate (per year),Duration (years)"</formula1>
    </dataValidation>
    <dataValidation type="list" allowBlank="1" showInputMessage="1" showErrorMessage="1" sqref="E1104">
      <formula1>"Number (years),Rate (per year),Duration (years)"</formula1>
    </dataValidation>
    <dataValidation type="list" allowBlank="1" showInputMessage="1" showErrorMessage="1" sqref="E1105">
      <formula1>"Number (years),Rate (per year),Duration (years)"</formula1>
    </dataValidation>
    <dataValidation type="list" allowBlank="1" showInputMessage="1" showErrorMessage="1" sqref="E1106">
      <formula1>"Number (years),Rate (per year),Duration (years)"</formula1>
    </dataValidation>
    <dataValidation type="list" allowBlank="1" showInputMessage="1" showErrorMessage="1" sqref="E1107">
      <formula1>"Number (years),Rate (per year),Duration (years)"</formula1>
    </dataValidation>
    <dataValidation type="list" allowBlank="1" showInputMessage="1" showErrorMessage="1" sqref="E1108">
      <formula1>"Number (years),Rate (per year),Duration (years)"</formula1>
    </dataValidation>
    <dataValidation type="list" allowBlank="1" showInputMessage="1" showErrorMessage="1" sqref="E1109">
      <formula1>"Number (years),Rate (per year),Duration (years)"</formula1>
    </dataValidation>
    <dataValidation type="list" allowBlank="1" showInputMessage="1" showErrorMessage="1" sqref="E1110">
      <formula1>"Number (years),Rate (per year),Duration (years)"</formula1>
    </dataValidation>
    <dataValidation type="list" allowBlank="1" showInputMessage="1" showErrorMessage="1" sqref="E1111">
      <formula1>"Number (years),Rate (per year),Duration (years)"</formula1>
    </dataValidation>
    <dataValidation type="list" allowBlank="1" showInputMessage="1" showErrorMessage="1" sqref="E1112">
      <formula1>"Number (years),Rate (per year),Duration (years)"</formula1>
    </dataValidation>
    <dataValidation type="list" allowBlank="1" showInputMessage="1" showErrorMessage="1" sqref="E1113">
      <formula1>"Number (years),Rate (per year),Duration (years)"</formula1>
    </dataValidation>
    <dataValidation type="list" allowBlank="1" showInputMessage="1" showErrorMessage="1" sqref="E1114">
      <formula1>"Number (years),Rate (per year),Duration (years)"</formula1>
    </dataValidation>
    <dataValidation type="list" allowBlank="1" showInputMessage="1" showErrorMessage="1" sqref="E1115">
      <formula1>"Number (years),Rate (per year),Duration (years)"</formula1>
    </dataValidation>
    <dataValidation type="list" allowBlank="1" showInputMessage="1" showErrorMessage="1" sqref="E1116">
      <formula1>"Number (years),Rate (per year),Duration (years)"</formula1>
    </dataValidation>
    <dataValidation type="list" allowBlank="1" showInputMessage="1" showErrorMessage="1" sqref="E1117">
      <formula1>"Number (years),Rate (per year),Duration (years)"</formula1>
    </dataValidation>
    <dataValidation type="list" allowBlank="1" showInputMessage="1" showErrorMessage="1" sqref="E1118">
      <formula1>"Number (years),Rate (per year),Duration (years)"</formula1>
    </dataValidation>
    <dataValidation type="list" allowBlank="1" showInputMessage="1" showErrorMessage="1" sqref="E1119">
      <formula1>"Number (years),Rate (per year),Duration (years)"</formula1>
    </dataValidation>
    <dataValidation type="list" allowBlank="1" showInputMessage="1" showErrorMessage="1" sqref="E1120">
      <formula1>"Number (years),Rate (per year),Duration (years)"</formula1>
    </dataValidation>
    <dataValidation type="list" allowBlank="1" showInputMessage="1" showErrorMessage="1" sqref="E1121">
      <formula1>"Number (years),Rate (per year),Duration (years)"</formula1>
    </dataValidation>
    <dataValidation type="list" allowBlank="1" showInputMessage="1" showErrorMessage="1" sqref="E1122">
      <formula1>"Number (years),Rate (per year),Duration (years)"</formula1>
    </dataValidation>
    <dataValidation type="list" allowBlank="1" showInputMessage="1" showErrorMessage="1" sqref="E1123">
      <formula1>"Number (years),Rate (per year),Duration (years)"</formula1>
    </dataValidation>
    <dataValidation type="list" allowBlank="1" showInputMessage="1" showErrorMessage="1" sqref="E1124">
      <formula1>"Number (years),Rate (per year),Duration (years)"</formula1>
    </dataValidation>
    <dataValidation type="list" allowBlank="1" showInputMessage="1" showErrorMessage="1" sqref="E1125">
      <formula1>"Number (years),Rate (per year),Duration (years)"</formula1>
    </dataValidation>
    <dataValidation type="list" allowBlank="1" showInputMessage="1" showErrorMessage="1" sqref="E1126">
      <formula1>"Number (years),Rate (per year),Duration (years)"</formula1>
    </dataValidation>
    <dataValidation type="list" allowBlank="1" showInputMessage="1" showErrorMessage="1" sqref="E1127">
      <formula1>"Number (years),Rate (per year),Duration (years)"</formula1>
    </dataValidation>
    <dataValidation type="list" allowBlank="1" showInputMessage="1" showErrorMessage="1" sqref="E1128">
      <formula1>"Number (years),Rate (per year),Duration (years)"</formula1>
    </dataValidation>
    <dataValidation type="list" allowBlank="1" showInputMessage="1" showErrorMessage="1" sqref="E1129">
      <formula1>"Number (years),Rate (per year),Duration (years)"</formula1>
    </dataValidation>
    <dataValidation type="list" allowBlank="1" showInputMessage="1" showErrorMessage="1" sqref="E1130">
      <formula1>"Number (years),Rate (per year),Duration (years)"</formula1>
    </dataValidation>
    <dataValidation type="list" allowBlank="1" showInputMessage="1" showErrorMessage="1" sqref="E1131">
      <formula1>"Number (years),Rate (per year),Duration (years)"</formula1>
    </dataValidation>
    <dataValidation type="list" allowBlank="1" showInputMessage="1" showErrorMessage="1" sqref="E1132">
      <formula1>"Number (years),Rate (per year),Duration (years)"</formula1>
    </dataValidation>
    <dataValidation type="list" allowBlank="1" showInputMessage="1" showErrorMessage="1" sqref="E1133">
      <formula1>"Number (years),Rate (per year),Duration (years)"</formula1>
    </dataValidation>
    <dataValidation type="list" allowBlank="1" showInputMessage="1" showErrorMessage="1" sqref="E1134">
      <formula1>"Number (years),Rate (per year),Duration (years)"</formula1>
    </dataValidation>
    <dataValidation type="list" allowBlank="1" showInputMessage="1" showErrorMessage="1" sqref="E1135">
      <formula1>"Number (years),Rate (per year),Duration (years)"</formula1>
    </dataValidation>
    <dataValidation type="list" allowBlank="1" showInputMessage="1" showErrorMessage="1" sqref="E1136">
      <formula1>"Number (years),Rate (per year),Duration (years)"</formula1>
    </dataValidation>
    <dataValidation type="list" allowBlank="1" showInputMessage="1" showErrorMessage="1" sqref="E1137">
      <formula1>"Number (years),Rate (per year),Duration (years)"</formula1>
    </dataValidation>
    <dataValidation type="list" allowBlank="1" showInputMessage="1" showErrorMessage="1" sqref="E1138">
      <formula1>"Number (years),Rate (per year),Duration (years)"</formula1>
    </dataValidation>
    <dataValidation type="list" allowBlank="1" showInputMessage="1" showErrorMessage="1" sqref="E1139">
      <formula1>"Number (years),Rate (per year),Duration (years)"</formula1>
    </dataValidation>
    <dataValidation type="list" allowBlank="1" showInputMessage="1" showErrorMessage="1" sqref="E1140">
      <formula1>"Number (years),Rate (per year),Duration (years)"</formula1>
    </dataValidation>
    <dataValidation type="list" allowBlank="1" showInputMessage="1" showErrorMessage="1" sqref="E1141">
      <formula1>"Number (years),Rate (per year),Duration (years)"</formula1>
    </dataValidation>
    <dataValidation type="list" allowBlank="1" showInputMessage="1" showErrorMessage="1" sqref="E1142">
      <formula1>"Number (years),Rate (per year),Duration (years)"</formula1>
    </dataValidation>
    <dataValidation type="list" allowBlank="1" showInputMessage="1" showErrorMessage="1" sqref="E1143">
      <formula1>"Number (years),Rate (per year),Duration (years)"</formula1>
    </dataValidation>
    <dataValidation type="list" allowBlank="1" showInputMessage="1" showErrorMessage="1" sqref="E1144">
      <formula1>"Number (years),Rate (per year),Duration (years)"</formula1>
    </dataValidation>
    <dataValidation type="list" allowBlank="1" showInputMessage="1" showErrorMessage="1" sqref="E1145">
      <formula1>"Number (years),Rate (per year),Duration (years)"</formula1>
    </dataValidation>
    <dataValidation type="list" allowBlank="1" showInputMessage="1" showErrorMessage="1" sqref="E1146">
      <formula1>"Number (years),Rate (per year),Duration (years)"</formula1>
    </dataValidation>
    <dataValidation type="list" allowBlank="1" showInputMessage="1" showErrorMessage="1" sqref="E1147">
      <formula1>"Number (years),Rate (per year),Duration (years)"</formula1>
    </dataValidation>
    <dataValidation type="list" allowBlank="1" showInputMessage="1" showErrorMessage="1" sqref="E1148">
      <formula1>"Number (years),Rate (per year),Duration (years)"</formula1>
    </dataValidation>
    <dataValidation type="list" allowBlank="1" showInputMessage="1" showErrorMessage="1" sqref="E1149">
      <formula1>"Number (years),Rate (per year),Duration (years)"</formula1>
    </dataValidation>
    <dataValidation type="list" allowBlank="1" showInputMessage="1" showErrorMessage="1" sqref="E1150">
      <formula1>"Number (years),Rate (per year),Duration (years)"</formula1>
    </dataValidation>
    <dataValidation type="list" allowBlank="1" showInputMessage="1" showErrorMessage="1" sqref="E1151">
      <formula1>"Number (years),Rate (per year),Duration (years)"</formula1>
    </dataValidation>
    <dataValidation type="list" allowBlank="1" showInputMessage="1" showErrorMessage="1" sqref="E1152">
      <formula1>"Number (years),Rate (per year),Duration (years)"</formula1>
    </dataValidation>
    <dataValidation type="list" allowBlank="1" showInputMessage="1" showErrorMessage="1" sqref="E1153">
      <formula1>"Number (years),Rate (per year),Duration (years)"</formula1>
    </dataValidation>
    <dataValidation type="list" allowBlank="1" showInputMessage="1" showErrorMessage="1" sqref="E1154">
      <formula1>"Number (years),Rate (per year),Duration (years)"</formula1>
    </dataValidation>
    <dataValidation type="list" allowBlank="1" showInputMessage="1" showErrorMessage="1" sqref="E1155">
      <formula1>"Number (years),Rate (per year),Duration (years)"</formula1>
    </dataValidation>
    <dataValidation type="list" allowBlank="1" showInputMessage="1" showErrorMessage="1" sqref="E1156">
      <formula1>"Number (years),Rate (per year),Duration (years)"</formula1>
    </dataValidation>
    <dataValidation type="list" allowBlank="1" showInputMessage="1" showErrorMessage="1" sqref="E1157">
      <formula1>"Number (years),Rate (per year),Duration (years)"</formula1>
    </dataValidation>
    <dataValidation type="list" allowBlank="1" showInputMessage="1" showErrorMessage="1" sqref="E1158">
      <formula1>"Number (years),Rate (per year),Duration (years)"</formula1>
    </dataValidation>
    <dataValidation type="list" allowBlank="1" showInputMessage="1" showErrorMessage="1" sqref="E1159">
      <formula1>"Number (years),Rate (per year),Duration (years)"</formula1>
    </dataValidation>
    <dataValidation type="list" allowBlank="1" showInputMessage="1" showErrorMessage="1" sqref="E1160">
      <formula1>"Number (years),Rate (per year),Duration (years)"</formula1>
    </dataValidation>
    <dataValidation type="list" allowBlank="1" showInputMessage="1" showErrorMessage="1" sqref="E1161">
      <formula1>"Number (years),Rate (per year),Duration (years)"</formula1>
    </dataValidation>
    <dataValidation type="list" allowBlank="1" showInputMessage="1" showErrorMessage="1" sqref="E1162">
      <formula1>"Number (years),Rate (per year),Duration (years)"</formula1>
    </dataValidation>
    <dataValidation type="list" allowBlank="1" showInputMessage="1" showErrorMessage="1" sqref="E1163">
      <formula1>"Number (years),Rate (per year),Duration (years)"</formula1>
    </dataValidation>
    <dataValidation type="list" allowBlank="1" showInputMessage="1" showErrorMessage="1" sqref="E1164">
      <formula1>"Number (years),Rate (per year),Duration (years)"</formula1>
    </dataValidation>
    <dataValidation type="list" allowBlank="1" showInputMessage="1" showErrorMessage="1" sqref="E1165">
      <formula1>"Number (years),Rate (per year),Duration (years)"</formula1>
    </dataValidation>
    <dataValidation type="list" allowBlank="1" showInputMessage="1" showErrorMessage="1" sqref="E1166">
      <formula1>"Number (years),Rate (per year),Duration (years)"</formula1>
    </dataValidation>
    <dataValidation type="list" allowBlank="1" showInputMessage="1" showErrorMessage="1" sqref="E1167">
      <formula1>"Number (years),Rate (per year),Duration (years)"</formula1>
    </dataValidation>
    <dataValidation type="list" allowBlank="1" showInputMessage="1" showErrorMessage="1" sqref="E1168">
      <formula1>"Number (years),Rate (per year),Duration (years)"</formula1>
    </dataValidation>
    <dataValidation type="list" allowBlank="1" showInputMessage="1" showErrorMessage="1" sqref="E1169">
      <formula1>"Number (years),Rate (per year),Duration (years)"</formula1>
    </dataValidation>
    <dataValidation type="list" allowBlank="1" showInputMessage="1" showErrorMessage="1" sqref="E1170">
      <formula1>"Number (years),Rate (per year),Duration (years)"</formula1>
    </dataValidation>
    <dataValidation type="list" allowBlank="1" showInputMessage="1" showErrorMessage="1" sqref="E1171">
      <formula1>"Number (years),Rate (per year),Duration (years)"</formula1>
    </dataValidation>
    <dataValidation type="list" allowBlank="1" showInputMessage="1" showErrorMessage="1" sqref="E1172">
      <formula1>"Number (years),Rate (per year),Duration (years)"</formula1>
    </dataValidation>
    <dataValidation type="list" allowBlank="1" showInputMessage="1" showErrorMessage="1" sqref="E1173">
      <formula1>"Number (years),Rate (per year),Duration (years)"</formula1>
    </dataValidation>
    <dataValidation type="list" allowBlank="1" showInputMessage="1" showErrorMessage="1" sqref="E1174">
      <formula1>"Number (years),Rate (per year),Duration (years)"</formula1>
    </dataValidation>
    <dataValidation type="list" allowBlank="1" showInputMessage="1" showErrorMessage="1" sqref="E1175">
      <formula1>"Number (years),Rate (per year),Duration (years)"</formula1>
    </dataValidation>
    <dataValidation type="list" allowBlank="1" showInputMessage="1" showErrorMessage="1" sqref="E1176">
      <formula1>"Number (years),Rate (per year),Duration (years)"</formula1>
    </dataValidation>
    <dataValidation type="list" allowBlank="1" showInputMessage="1" showErrorMessage="1" sqref="E1177">
      <formula1>"Number (years),Rate (per year),Duration (years)"</formula1>
    </dataValidation>
    <dataValidation type="list" allowBlank="1" showInputMessage="1" showErrorMessage="1" sqref="E1178">
      <formula1>"Number (years),Rate (per year),Duration (years)"</formula1>
    </dataValidation>
    <dataValidation type="list" allowBlank="1" showInputMessage="1" showErrorMessage="1" sqref="E1179">
      <formula1>"Number (years),Rate (per year),Duration (years)"</formula1>
    </dataValidation>
    <dataValidation type="list" allowBlank="1" showInputMessage="1" showErrorMessage="1" sqref="E1180">
      <formula1>"Number (years),Rate (per year),Duration (years)"</formula1>
    </dataValidation>
    <dataValidation type="list" allowBlank="1" showInputMessage="1" showErrorMessage="1" sqref="E1181">
      <formula1>"Number (years),Rate (per year),Duration (years)"</formula1>
    </dataValidation>
    <dataValidation type="list" allowBlank="1" showInputMessage="1" showErrorMessage="1" sqref="E1182">
      <formula1>"Number (years),Rate (per year),Duration (years)"</formula1>
    </dataValidation>
    <dataValidation type="list" allowBlank="1" showInputMessage="1" showErrorMessage="1" sqref="E1183">
      <formula1>"Number (years),Rate (per year),Duration (years)"</formula1>
    </dataValidation>
    <dataValidation type="list" allowBlank="1" showInputMessage="1" showErrorMessage="1" sqref="E1184">
      <formula1>"Number (years),Rate (per year),Duration (years)"</formula1>
    </dataValidation>
    <dataValidation type="list" allowBlank="1" showInputMessage="1" showErrorMessage="1" sqref="E1185">
      <formula1>"Number (years),Rate (per year),Duration (years)"</formula1>
    </dataValidation>
    <dataValidation type="list" allowBlank="1" showInputMessage="1" showErrorMessage="1" sqref="E1186">
      <formula1>"Number (years),Rate (per year),Duration (years)"</formula1>
    </dataValidation>
    <dataValidation type="list" allowBlank="1" showInputMessage="1" showErrorMessage="1" sqref="E1187">
      <formula1>"Number (years),Rate (per year),Duration (years)"</formula1>
    </dataValidation>
    <dataValidation type="list" allowBlank="1" showInputMessage="1" showErrorMessage="1" sqref="E1188">
      <formula1>"Number (years),Rate (per year),Duration (years)"</formula1>
    </dataValidation>
    <dataValidation type="list" allowBlank="1" showInputMessage="1" showErrorMessage="1" sqref="E1189">
      <formula1>"Number (years),Rate (per year),Duration (years)"</formula1>
    </dataValidation>
    <dataValidation type="list" allowBlank="1" showInputMessage="1" showErrorMessage="1" sqref="E1190">
      <formula1>"Number (years),Rate (per year),Duration (years)"</formula1>
    </dataValidation>
    <dataValidation type="list" allowBlank="1" showInputMessage="1" showErrorMessage="1" sqref="E1191">
      <formula1>"Number (years),Rate (per year),Duration (years)"</formula1>
    </dataValidation>
    <dataValidation type="list" allowBlank="1" showInputMessage="1" showErrorMessage="1" sqref="E1192">
      <formula1>"Number (years),Rate (per year),Duration (years)"</formula1>
    </dataValidation>
    <dataValidation type="list" allowBlank="1" showInputMessage="1" showErrorMessage="1" sqref="E1193">
      <formula1>"Number (years),Rate (per year),Duration (years)"</formula1>
    </dataValidation>
    <dataValidation type="list" allowBlank="1" showInputMessage="1" showErrorMessage="1" sqref="E1194">
      <formula1>"Number (years),Rate (per year),Duration (years)"</formula1>
    </dataValidation>
    <dataValidation type="list" allowBlank="1" showInputMessage="1" showErrorMessage="1" sqref="E1195">
      <formula1>"Number (years),Rate (per year),Duration (years)"</formula1>
    </dataValidation>
    <dataValidation type="list" allowBlank="1" showInputMessage="1" showErrorMessage="1" sqref="E1196">
      <formula1>"Number (years),Rate (per year),Duration (years)"</formula1>
    </dataValidation>
    <dataValidation type="list" allowBlank="1" showInputMessage="1" showErrorMessage="1" sqref="E1197">
      <formula1>"Number (years),Rate (per year),Duration (years)"</formula1>
    </dataValidation>
    <dataValidation type="list" allowBlank="1" showInputMessage="1" showErrorMessage="1" sqref="E1198">
      <formula1>"Number (years),Rate (per year),Duration (years)"</formula1>
    </dataValidation>
    <dataValidation type="list" allowBlank="1" showInputMessage="1" showErrorMessage="1" sqref="E1199">
      <formula1>"Number (years),Rate (per year),Duration (years)"</formula1>
    </dataValidation>
    <dataValidation type="list" allowBlank="1" showInputMessage="1" showErrorMessage="1" sqref="E1200">
      <formula1>"Number (years),Rate (per year),Duration (years)"</formula1>
    </dataValidation>
    <dataValidation type="list" allowBlank="1" showInputMessage="1" showErrorMessage="1" sqref="E1201">
      <formula1>"Number (years),Rate (per year),Duration (years)"</formula1>
    </dataValidation>
    <dataValidation type="list" allowBlank="1" showInputMessage="1" showErrorMessage="1" sqref="E1202">
      <formula1>"Number (years),Rate (per year),Duration (years)"</formula1>
    </dataValidation>
    <dataValidation type="list" allowBlank="1" showInputMessage="1" showErrorMessage="1" sqref="E1203">
      <formula1>"Number (years),Rate (per year),Duration (years)"</formula1>
    </dataValidation>
    <dataValidation type="list" allowBlank="1" showInputMessage="1" showErrorMessage="1" sqref="E1204">
      <formula1>"Number (years),Rate (per year),Duration (years)"</formula1>
    </dataValidation>
    <dataValidation type="list" allowBlank="1" showInputMessage="1" showErrorMessage="1" sqref="E1205">
      <formula1>"Number (years),Rate (per year),Duration (years)"</formula1>
    </dataValidation>
    <dataValidation type="list" allowBlank="1" showInputMessage="1" showErrorMessage="1" sqref="E1206">
      <formula1>"Number (years),Rate (per year),Duration (years)"</formula1>
    </dataValidation>
    <dataValidation type="list" allowBlank="1" showInputMessage="1" showErrorMessage="1" sqref="E1207">
      <formula1>"Number (years),Rate (per year),Duration (years)"</formula1>
    </dataValidation>
    <dataValidation type="list" allowBlank="1" showInputMessage="1" showErrorMessage="1" sqref="E1208">
      <formula1>"Number (years),Rate (per year),Duration (years)"</formula1>
    </dataValidation>
    <dataValidation type="list" allowBlank="1" showInputMessage="1" showErrorMessage="1" sqref="E1209">
      <formula1>"Number (years),Rate (per year),Duration (years)"</formula1>
    </dataValidation>
    <dataValidation type="list" allowBlank="1" showInputMessage="1" showErrorMessage="1" sqref="E1210">
      <formula1>"Number (years),Rate (per year),Duration (years)"</formula1>
    </dataValidation>
    <dataValidation type="list" allowBlank="1" showInputMessage="1" showErrorMessage="1" sqref="E1211">
      <formula1>"Number (years),Rate (per year),Duration (years)"</formula1>
    </dataValidation>
    <dataValidation type="list" allowBlank="1" showInputMessage="1" showErrorMessage="1" sqref="E1212">
      <formula1>"Number (years),Rate (per year),Duration (years)"</formula1>
    </dataValidation>
    <dataValidation type="list" allowBlank="1" showInputMessage="1" showErrorMessage="1" sqref="E1213">
      <formula1>"Number (years),Rate (per year),Duration (years)"</formula1>
    </dataValidation>
    <dataValidation type="list" allowBlank="1" showInputMessage="1" showErrorMessage="1" sqref="E1214">
      <formula1>"Number (years),Rate (per year),Duration (years)"</formula1>
    </dataValidation>
    <dataValidation type="list" allowBlank="1" showInputMessage="1" showErrorMessage="1" sqref="E1215">
      <formula1>"Number (years),Rate (per year),Duration (years)"</formula1>
    </dataValidation>
    <dataValidation type="list" allowBlank="1" showInputMessage="1" showErrorMessage="1" sqref="E1216">
      <formula1>"Number (years),Rate (per year),Duration (years)"</formula1>
    </dataValidation>
    <dataValidation type="list" allowBlank="1" showInputMessage="1" showErrorMessage="1" sqref="E1217">
      <formula1>"Number (years),Rate (per year),Duration (years)"</formula1>
    </dataValidation>
    <dataValidation type="list" allowBlank="1" showInputMessage="1" showErrorMessage="1" sqref="E1218">
      <formula1>"Number (years),Rate (per year),Duration (years)"</formula1>
    </dataValidation>
    <dataValidation type="list" allowBlank="1" showInputMessage="1" showErrorMessage="1" sqref="E1219">
      <formula1>"Number (years),Rate (per year),Duration (years)"</formula1>
    </dataValidation>
    <dataValidation type="list" allowBlank="1" showInputMessage="1" showErrorMessage="1" sqref="E1220">
      <formula1>"Number (years),Rate (per year),Duration (years)"</formula1>
    </dataValidation>
    <dataValidation type="list" allowBlank="1" showInputMessage="1" showErrorMessage="1" sqref="E1221">
      <formula1>"Number (years),Rate (per year),Duration (years)"</formula1>
    </dataValidation>
    <dataValidation type="list" allowBlank="1" showInputMessage="1" showErrorMessage="1" sqref="E1222">
      <formula1>"Number (years),Rate (per year),Duration (years)"</formula1>
    </dataValidation>
    <dataValidation type="list" allowBlank="1" showInputMessage="1" showErrorMessage="1" sqref="E1223">
      <formula1>"Number (years),Rate (per year),Duration (years)"</formula1>
    </dataValidation>
    <dataValidation type="list" allowBlank="1" showInputMessage="1" showErrorMessage="1" sqref="E1224">
      <formula1>"Number (years),Rate (per year),Duration (years)"</formula1>
    </dataValidation>
    <dataValidation type="list" allowBlank="1" showInputMessage="1" showErrorMessage="1" sqref="E1225">
      <formula1>"Number (years),Rate (per year),Duration (years)"</formula1>
    </dataValidation>
    <dataValidation type="list" allowBlank="1" showInputMessage="1" showErrorMessage="1" sqref="E1226">
      <formula1>"Number (years),Rate (per year),Duration (years)"</formula1>
    </dataValidation>
    <dataValidation type="list" allowBlank="1" showInputMessage="1" showErrorMessage="1" sqref="E1227">
      <formula1>"Number (years),Rate (per year),Duration (years)"</formula1>
    </dataValidation>
    <dataValidation type="list" allowBlank="1" showInputMessage="1" showErrorMessage="1" sqref="E1228">
      <formula1>"Number (years),Rate (per year),Duration (years)"</formula1>
    </dataValidation>
    <dataValidation type="list" allowBlank="1" showInputMessage="1" showErrorMessage="1" sqref="E1229">
      <formula1>"Number (years),Rate (per year),Duration (years)"</formula1>
    </dataValidation>
    <dataValidation type="list" allowBlank="1" showInputMessage="1" showErrorMessage="1" sqref="E1230">
      <formula1>"Number (years),Rate (per year),Duration (years)"</formula1>
    </dataValidation>
    <dataValidation type="list" allowBlank="1" showInputMessage="1" showErrorMessage="1" sqref="E1231">
      <formula1>"Number (years),Rate (per year),Duration (years)"</formula1>
    </dataValidation>
    <dataValidation type="list" allowBlank="1" showInputMessage="1" showErrorMessage="1" sqref="E1232">
      <formula1>"Number (years),Rate (per year),Duration (years)"</formula1>
    </dataValidation>
    <dataValidation type="list" allowBlank="1" showInputMessage="1" showErrorMessage="1" sqref="E1233">
      <formula1>"Number (years),Rate (per year),Duration (years)"</formula1>
    </dataValidation>
    <dataValidation type="list" allowBlank="1" showInputMessage="1" showErrorMessage="1" sqref="E1234">
      <formula1>"Number (years),Rate (per year),Duration (years)"</formula1>
    </dataValidation>
    <dataValidation type="list" allowBlank="1" showInputMessage="1" showErrorMessage="1" sqref="E1235">
      <formula1>"Number (years),Rate (per year),Duration (years)"</formula1>
    </dataValidation>
    <dataValidation type="list" allowBlank="1" showInputMessage="1" showErrorMessage="1" sqref="E1236">
      <formula1>"Number (years),Rate (per year),Duration (years)"</formula1>
    </dataValidation>
    <dataValidation type="list" allowBlank="1" showInputMessage="1" showErrorMessage="1" sqref="E1237">
      <formula1>"Number (years),Rate (per year),Duration (years)"</formula1>
    </dataValidation>
    <dataValidation type="list" allowBlank="1" showInputMessage="1" showErrorMessage="1" sqref="E1238">
      <formula1>"Number (years),Rate (per year),Duration (years)"</formula1>
    </dataValidation>
    <dataValidation type="list" allowBlank="1" showInputMessage="1" showErrorMessage="1" sqref="E1239">
      <formula1>"Number (years),Rate (per year),Duration (years)"</formula1>
    </dataValidation>
    <dataValidation type="list" allowBlank="1" showInputMessage="1" showErrorMessage="1" sqref="E1240">
      <formula1>"Number (years),Rate (per year),Duration (years)"</formula1>
    </dataValidation>
    <dataValidation type="list" allowBlank="1" showInputMessage="1" showErrorMessage="1" sqref="E1241">
      <formula1>"Number (years),Rate (per year),Duration (years)"</formula1>
    </dataValidation>
    <dataValidation type="list" allowBlank="1" showInputMessage="1" showErrorMessage="1" sqref="E1242">
      <formula1>"Number (years),Rate (per year),Duration (years)"</formula1>
    </dataValidation>
    <dataValidation type="list" allowBlank="1" showInputMessage="1" showErrorMessage="1" sqref="E1243">
      <formula1>"Number (years),Rate (per year),Duration (years)"</formula1>
    </dataValidation>
    <dataValidation type="list" allowBlank="1" showInputMessage="1" showErrorMessage="1" sqref="E1244">
      <formula1>"Number (years),Rate (per year),Duration (years)"</formula1>
    </dataValidation>
    <dataValidation type="list" allowBlank="1" showInputMessage="1" showErrorMessage="1" sqref="E1245">
      <formula1>"Number (years),Rate (per year),Duration (years)"</formula1>
    </dataValidation>
    <dataValidation type="list" allowBlank="1" showInputMessage="1" showErrorMessage="1" sqref="E1246">
      <formula1>"Number (years),Rate (per year),Duration (years)"</formula1>
    </dataValidation>
    <dataValidation type="list" allowBlank="1" showInputMessage="1" showErrorMessage="1" sqref="E1247">
      <formula1>"Number (years),Rate (per year),Duration (years)"</formula1>
    </dataValidation>
    <dataValidation type="list" allowBlank="1" showInputMessage="1" showErrorMessage="1" sqref="E1248">
      <formula1>"Number (years),Rate (per year),Duration (years)"</formula1>
    </dataValidation>
    <dataValidation type="list" allowBlank="1" showInputMessage="1" showErrorMessage="1" sqref="E1249">
      <formula1>"Number (years),Rate (per year),Duration (years)"</formula1>
    </dataValidation>
    <dataValidation type="list" allowBlank="1" showInputMessage="1" showErrorMessage="1" sqref="E1250">
      <formula1>"Number (years),Rate (per year),Duration (years)"</formula1>
    </dataValidation>
    <dataValidation type="list" allowBlank="1" showInputMessage="1" showErrorMessage="1" sqref="E1251">
      <formula1>"Number (years),Rate (per year),Duration (years)"</formula1>
    </dataValidation>
    <dataValidation type="list" allowBlank="1" showInputMessage="1" showErrorMessage="1" sqref="E1252">
      <formula1>"Number (years),Rate (per year),Duration (years)"</formula1>
    </dataValidation>
    <dataValidation type="list" allowBlank="1" showInputMessage="1" showErrorMessage="1" sqref="E1253">
      <formula1>"Number (years),Rate (per year),Duration (years)"</formula1>
    </dataValidation>
    <dataValidation type="list" allowBlank="1" showInputMessage="1" showErrorMessage="1" sqref="E1254">
      <formula1>"Number (years),Rate (per year),Duration (years)"</formula1>
    </dataValidation>
    <dataValidation type="list" allowBlank="1" showInputMessage="1" showErrorMessage="1" sqref="E1255">
      <formula1>"Number (years),Rate (per year),Duration (years)"</formula1>
    </dataValidation>
    <dataValidation type="list" allowBlank="1" showInputMessage="1" showErrorMessage="1" sqref="E1256">
      <formula1>"Number (years),Rate (per year),Duration (years)"</formula1>
    </dataValidation>
    <dataValidation type="list" allowBlank="1" showInputMessage="1" showErrorMessage="1" sqref="E1257">
      <formula1>"Number (years),Rate (per year),Duration (years)"</formula1>
    </dataValidation>
    <dataValidation type="list" allowBlank="1" showInputMessage="1" showErrorMessage="1" sqref="E1258">
      <formula1>"Number (years),Rate (per year),Duration (years)"</formula1>
    </dataValidation>
    <dataValidation type="list" allowBlank="1" showInputMessage="1" showErrorMessage="1" sqref="E1259">
      <formula1>"Number (years),Rate (per year),Duration (years)"</formula1>
    </dataValidation>
    <dataValidation type="list" allowBlank="1" showInputMessage="1" showErrorMessage="1" sqref="E1260">
      <formula1>"Number (years),Rate (per year),Duration (years)"</formula1>
    </dataValidation>
    <dataValidation type="list" allowBlank="1" showInputMessage="1" showErrorMessage="1" sqref="E1261">
      <formula1>"Number (years),Rate (per year),Duration (years)"</formula1>
    </dataValidation>
    <dataValidation type="list" allowBlank="1" showInputMessage="1" showErrorMessage="1" sqref="E1262">
      <formula1>"Number (years),Rate (per year),Duration (years)"</formula1>
    </dataValidation>
    <dataValidation type="list" allowBlank="1" showInputMessage="1" showErrorMessage="1" sqref="E1263">
      <formula1>"Number (years),Rate (per year),Duration (years)"</formula1>
    </dataValidation>
    <dataValidation type="list" allowBlank="1" showInputMessage="1" showErrorMessage="1" sqref="E1264">
      <formula1>"Number (years),Rate (per year),Duration (years)"</formula1>
    </dataValidation>
    <dataValidation type="list" allowBlank="1" showInputMessage="1" showErrorMessage="1" sqref="E1265">
      <formula1>"Number (years),Rate (per year),Duration (years)"</formula1>
    </dataValidation>
    <dataValidation type="list" allowBlank="1" showInputMessage="1" showErrorMessage="1" sqref="E1266">
      <formula1>"Number (years),Rate (per year),Duration (years)"</formula1>
    </dataValidation>
    <dataValidation type="list" allowBlank="1" showInputMessage="1" showErrorMessage="1" sqref="E1267">
      <formula1>"Number (years),Rate (per year),Duration (years)"</formula1>
    </dataValidation>
    <dataValidation type="list" allowBlank="1" showInputMessage="1" showErrorMessage="1" sqref="E1268">
      <formula1>"Number (years),Rate (per year),Duration (years)"</formula1>
    </dataValidation>
    <dataValidation type="list" allowBlank="1" showInputMessage="1" showErrorMessage="1" sqref="E1269">
      <formula1>"Number (years),Rate (per year),Duration (years)"</formula1>
    </dataValidation>
    <dataValidation type="list" allowBlank="1" showInputMessage="1" showErrorMessage="1" sqref="E1270">
      <formula1>"Number (years),Rate (per year),Duration (years)"</formula1>
    </dataValidation>
    <dataValidation type="list" allowBlank="1" showInputMessage="1" showErrorMessage="1" sqref="E1271">
      <formula1>"Number (years),Rate (per year),Duration (years)"</formula1>
    </dataValidation>
    <dataValidation type="list" allowBlank="1" showInputMessage="1" showErrorMessage="1" sqref="E1272">
      <formula1>"Number (years),Rate (per year),Duration (years)"</formula1>
    </dataValidation>
    <dataValidation type="list" allowBlank="1" showInputMessage="1" showErrorMessage="1" sqref="E1273">
      <formula1>"Number (years),Rate (per year),Duration (years)"</formula1>
    </dataValidation>
    <dataValidation type="list" allowBlank="1" showInputMessage="1" showErrorMessage="1" sqref="E1274">
      <formula1>"Number (years),Rate (per year),Duration (years)"</formula1>
    </dataValidation>
    <dataValidation type="list" allowBlank="1" showInputMessage="1" showErrorMessage="1" sqref="E1275">
      <formula1>"Number (years),Rate (per year),Duration (years)"</formula1>
    </dataValidation>
    <dataValidation type="list" allowBlank="1" showInputMessage="1" showErrorMessage="1" sqref="E1276">
      <formula1>"Number (years),Rate (per year),Duration (years)"</formula1>
    </dataValidation>
    <dataValidation type="list" allowBlank="1" showInputMessage="1" showErrorMessage="1" sqref="E1277">
      <formula1>"Number (years),Rate (per year),Duration (years)"</formula1>
    </dataValidation>
    <dataValidation type="list" allowBlank="1" showInputMessage="1" showErrorMessage="1" sqref="E1278">
      <formula1>"Number (years),Rate (per year),Duration (years)"</formula1>
    </dataValidation>
    <dataValidation type="list" allowBlank="1" showInputMessage="1" showErrorMessage="1" sqref="E1279">
      <formula1>"Number (years),Rate (per year),Duration (years)"</formula1>
    </dataValidation>
    <dataValidation type="list" allowBlank="1" showInputMessage="1" showErrorMessage="1" sqref="E1280">
      <formula1>"Number (years),Rate (per year),Duration (years)"</formula1>
    </dataValidation>
    <dataValidation type="list" allowBlank="1" showInputMessage="1" showErrorMessage="1" sqref="E1281">
      <formula1>"Number (years),Rate (per year),Duration (years)"</formula1>
    </dataValidation>
    <dataValidation type="list" allowBlank="1" showInputMessage="1" showErrorMessage="1" sqref="E1282">
      <formula1>"Number (years),Rate (per year),Duration (years)"</formula1>
    </dataValidation>
    <dataValidation type="list" allowBlank="1" showInputMessage="1" showErrorMessage="1" sqref="E1283">
      <formula1>"Number (years),Rate (per year),Duration (years)"</formula1>
    </dataValidation>
    <dataValidation type="list" allowBlank="1" showInputMessage="1" showErrorMessage="1" sqref="E1284">
      <formula1>"Number (years),Rate (per year),Duration (years)"</formula1>
    </dataValidation>
    <dataValidation type="list" allowBlank="1" showInputMessage="1" showErrorMessage="1" sqref="E1285">
      <formula1>"Number (years),Rate (per year),Duration (years)"</formula1>
    </dataValidation>
    <dataValidation type="list" allowBlank="1" showInputMessage="1" showErrorMessage="1" sqref="E1286">
      <formula1>"Number (years),Rate (per year),Duration (years)"</formula1>
    </dataValidation>
    <dataValidation type="list" allowBlank="1" showInputMessage="1" showErrorMessage="1" sqref="E1287">
      <formula1>"Number (years),Rate (per year),Duration (years)"</formula1>
    </dataValidation>
    <dataValidation type="list" allowBlank="1" showInputMessage="1" showErrorMessage="1" sqref="E1288">
      <formula1>"Number (years),Rate (per year),Duration (years)"</formula1>
    </dataValidation>
    <dataValidation type="list" allowBlank="1" showInputMessage="1" showErrorMessage="1" sqref="E1289">
      <formula1>"Number (years),Rate (per year),Duration (years)"</formula1>
    </dataValidation>
    <dataValidation type="list" allowBlank="1" showInputMessage="1" showErrorMessage="1" sqref="E1290">
      <formula1>"Number (years),Rate (per year),Duration (years)"</formula1>
    </dataValidation>
    <dataValidation type="list" allowBlank="1" showInputMessage="1" showErrorMessage="1" sqref="E1291">
      <formula1>"Number (years),Rate (per year),Duration (years)"</formula1>
    </dataValidation>
    <dataValidation type="list" allowBlank="1" showInputMessage="1" showErrorMessage="1" sqref="E1292">
      <formula1>"Number (years),Rate (per year),Duration (years)"</formula1>
    </dataValidation>
    <dataValidation type="list" allowBlank="1" showInputMessage="1" showErrorMessage="1" sqref="E1293">
      <formula1>"Number (years),Rate (per year),Duration (years)"</formula1>
    </dataValidation>
    <dataValidation type="list" allowBlank="1" showInputMessage="1" showErrorMessage="1" sqref="E1294">
      <formula1>"Number (years),Rate (per year),Duration (years)"</formula1>
    </dataValidation>
    <dataValidation type="list" allowBlank="1" showInputMessage="1" showErrorMessage="1" sqref="E1295">
      <formula1>"Number (years),Rate (per year),Duration (years)"</formula1>
    </dataValidation>
    <dataValidation type="list" allowBlank="1" showInputMessage="1" showErrorMessage="1" sqref="E1296">
      <formula1>"Number (years),Rate (per year),Duration (years)"</formula1>
    </dataValidation>
    <dataValidation type="list" allowBlank="1" showInputMessage="1" showErrorMessage="1" sqref="E1297">
      <formula1>"Number (years),Rate (per year),Duration (years)"</formula1>
    </dataValidation>
    <dataValidation type="list" allowBlank="1" showInputMessage="1" showErrorMessage="1" sqref="E1298">
      <formula1>"Number (years),Rate (per year),Duration (years)"</formula1>
    </dataValidation>
    <dataValidation type="list" allowBlank="1" showInputMessage="1" showErrorMessage="1" sqref="E1299">
      <formula1>"Number (years),Rate (per year),Duration (years)"</formula1>
    </dataValidation>
    <dataValidation type="list" allowBlank="1" showInputMessage="1" showErrorMessage="1" sqref="E1300">
      <formula1>"Number (years),Rate (per year),Duration (years)"</formula1>
    </dataValidation>
    <dataValidation type="list" allowBlank="1" showInputMessage="1" showErrorMessage="1" sqref="E1301">
      <formula1>"Number (years),Rate (per year),Duration (years)"</formula1>
    </dataValidation>
    <dataValidation type="list" allowBlank="1" showInputMessage="1" showErrorMessage="1" sqref="E1302">
      <formula1>"Number (years),Rate (per year),Duration (years)"</formula1>
    </dataValidation>
    <dataValidation type="list" allowBlank="1" showInputMessage="1" showErrorMessage="1" sqref="E1303">
      <formula1>"Number (years),Rate (per year),Duration (years)"</formula1>
    </dataValidation>
    <dataValidation type="list" allowBlank="1" showInputMessage="1" showErrorMessage="1" sqref="E1304">
      <formula1>"Number (years),Rate (per year),Duration (years)"</formula1>
    </dataValidation>
    <dataValidation type="list" allowBlank="1" showInputMessage="1" showErrorMessage="1" sqref="E1305">
      <formula1>"Number (years),Rate (per year),Duration (years)"</formula1>
    </dataValidation>
    <dataValidation type="list" allowBlank="1" showInputMessage="1" showErrorMessage="1" sqref="E1306">
      <formula1>"Number (years),Rate (per year),Duration (years)"</formula1>
    </dataValidation>
    <dataValidation type="list" allowBlank="1" showInputMessage="1" showErrorMessage="1" sqref="E1307">
      <formula1>"Number (years),Rate (per year),Duration (years)"</formula1>
    </dataValidation>
    <dataValidation type="list" allowBlank="1" showInputMessage="1" showErrorMessage="1" sqref="E1308">
      <formula1>"Number (years),Rate (per year),Duration (years)"</formula1>
    </dataValidation>
    <dataValidation type="list" allowBlank="1" showInputMessage="1" showErrorMessage="1" sqref="E1309">
      <formula1>"Number (years),Rate (per year),Duration (years)"</formula1>
    </dataValidation>
    <dataValidation type="list" allowBlank="1" showInputMessage="1" showErrorMessage="1" sqref="E1310">
      <formula1>"Number (years),Rate (per year),Duration (years)"</formula1>
    </dataValidation>
    <dataValidation type="list" allowBlank="1" showInputMessage="1" showErrorMessage="1" sqref="E1311">
      <formula1>"Number (years),Rate (per year),Duration (years)"</formula1>
    </dataValidation>
    <dataValidation type="list" allowBlank="1" showInputMessage="1" showErrorMessage="1" sqref="E1312">
      <formula1>"Number (years),Rate (per year),Duration (years)"</formula1>
    </dataValidation>
    <dataValidation type="list" allowBlank="1" showInputMessage="1" showErrorMessage="1" sqref="E1313">
      <formula1>"Number (years),Rate (per year),Duration (years)"</formula1>
    </dataValidation>
    <dataValidation type="list" allowBlank="1" showInputMessage="1" showErrorMessage="1" sqref="E1314">
      <formula1>"Number (years),Rate (per year),Duration (years)"</formula1>
    </dataValidation>
    <dataValidation type="list" allowBlank="1" showInputMessage="1" showErrorMessage="1" sqref="E1315">
      <formula1>"Number (years),Rate (per year),Duration (years)"</formula1>
    </dataValidation>
    <dataValidation type="list" allowBlank="1" showInputMessage="1" showErrorMessage="1" sqref="E1316">
      <formula1>"Number (years),Rate (per year),Duration (years)"</formula1>
    </dataValidation>
    <dataValidation type="list" allowBlank="1" showInputMessage="1" showErrorMessage="1" sqref="E1317">
      <formula1>"Number (years),Rate (per year),Duration (years)"</formula1>
    </dataValidation>
    <dataValidation type="list" allowBlank="1" showInputMessage="1" showErrorMessage="1" sqref="E1318">
      <formula1>"Number (years),Rate (per year),Duration (years)"</formula1>
    </dataValidation>
    <dataValidation type="list" allowBlank="1" showInputMessage="1" showErrorMessage="1" sqref="E1319">
      <formula1>"Number (years),Rate (per year),Duration (years)"</formula1>
    </dataValidation>
    <dataValidation type="list" allowBlank="1" showInputMessage="1" showErrorMessage="1" sqref="E1320">
      <formula1>"Number (years),Rate (per year),Duration (years)"</formula1>
    </dataValidation>
    <dataValidation type="list" allowBlank="1" showInputMessage="1" showErrorMessage="1" sqref="E1321">
      <formula1>"Number (years),Rate (per year),Duration (years)"</formula1>
    </dataValidation>
    <dataValidation type="list" allowBlank="1" showInputMessage="1" showErrorMessage="1" sqref="E1322">
      <formula1>"Number (years),Rate (per year),Duration (years)"</formula1>
    </dataValidation>
    <dataValidation type="list" allowBlank="1" showInputMessage="1" showErrorMessage="1" sqref="E1323">
      <formula1>"Number (years),Rate (per year),Duration (years)"</formula1>
    </dataValidation>
    <dataValidation type="list" allowBlank="1" showInputMessage="1" showErrorMessage="1" sqref="E1324">
      <formula1>"Number (years),Rate (per year),Duration (years)"</formula1>
    </dataValidation>
    <dataValidation type="list" allowBlank="1" showInputMessage="1" showErrorMessage="1" sqref="E1325">
      <formula1>"Number (years),Rate (per year),Duration (years)"</formula1>
    </dataValidation>
    <dataValidation type="list" allowBlank="1" showInputMessage="1" showErrorMessage="1" sqref="E1326">
      <formula1>"Number (years),Rate (per year),Duration (years)"</formula1>
    </dataValidation>
    <dataValidation type="list" allowBlank="1" showInputMessage="1" showErrorMessage="1" sqref="E1327">
      <formula1>"Number (years),Rate (per year),Duration (years)"</formula1>
    </dataValidation>
    <dataValidation type="list" allowBlank="1" showInputMessage="1" showErrorMessage="1" sqref="E1328">
      <formula1>"Number (years),Rate (per year),Duration (years)"</formula1>
    </dataValidation>
    <dataValidation type="list" allowBlank="1" showInputMessage="1" showErrorMessage="1" sqref="E1329">
      <formula1>"Number (years),Rate (per year),Duration (years)"</formula1>
    </dataValidation>
    <dataValidation type="list" allowBlank="1" showInputMessage="1" showErrorMessage="1" sqref="E1330">
      <formula1>"Number (years),Rate (per year),Duration (years)"</formula1>
    </dataValidation>
    <dataValidation type="list" allowBlank="1" showInputMessage="1" showErrorMessage="1" sqref="E1331">
      <formula1>"Number (years),Rate (per year),Duration (years)"</formula1>
    </dataValidation>
    <dataValidation type="list" allowBlank="1" showInputMessage="1" showErrorMessage="1" sqref="E1332">
      <formula1>"Number (years),Rate (per year),Duration (years)"</formula1>
    </dataValidation>
    <dataValidation type="list" allowBlank="1" showInputMessage="1" showErrorMessage="1" sqref="E1333">
      <formula1>"Number (years),Rate (per year),Duration (years)"</formula1>
    </dataValidation>
    <dataValidation type="list" allowBlank="1" showInputMessage="1" showErrorMessage="1" sqref="E1334">
      <formula1>"Number (years),Rate (per year),Duration (years)"</formula1>
    </dataValidation>
    <dataValidation type="list" allowBlank="1" showInputMessage="1" showErrorMessage="1" sqref="E1335">
      <formula1>"Number (years),Rate (per year),Duration (years)"</formula1>
    </dataValidation>
    <dataValidation type="list" allowBlank="1" showInputMessage="1" showErrorMessage="1" sqref="E1336">
      <formula1>"Number (years),Rate (per year),Duration (years)"</formula1>
    </dataValidation>
    <dataValidation type="list" allowBlank="1" showInputMessage="1" showErrorMessage="1" sqref="E1337">
      <formula1>"Number (years),Rate (per year),Duration (years)"</formula1>
    </dataValidation>
    <dataValidation type="list" allowBlank="1" showInputMessage="1" showErrorMessage="1" sqref="E1338">
      <formula1>"Number (years),Rate (per year),Duration (years)"</formula1>
    </dataValidation>
  </dataValidations>
  <hyperlinks>
    <hyperlink ref="C5" location="Transfers!B44" display="Y"/>
    <hyperlink ref="D5" location="Transfers!B45" display="N"/>
    <hyperlink ref="E5" location="Transfers!B46" display="N"/>
    <hyperlink ref="F5" location="Transfers!B47" display="N"/>
    <hyperlink ref="G5" location="Transfers!B48" display="N"/>
    <hyperlink ref="H5" location="Transfers!B49" display="N"/>
    <hyperlink ref="I5" location="Transfers!B50" display="N"/>
    <hyperlink ref="J5" location="Transfers!B51" display="N"/>
    <hyperlink ref="K5" location="Transfers!B52" display="N"/>
    <hyperlink ref="L5" location="Transfers!B53" display="N"/>
    <hyperlink ref="M5" location="Transfers!B54" display="N"/>
    <hyperlink ref="N5" location="Transfers!B55" display="N"/>
    <hyperlink ref="O5" location="Transfers!B56" display="N"/>
    <hyperlink ref="P5" location="Transfers!B57" display="N"/>
    <hyperlink ref="Q5" location="Transfers!B58" display="N"/>
    <hyperlink ref="R5" location="Transfers!B59" display="N"/>
    <hyperlink ref="S5" location="Transfers!B60" display="N"/>
    <hyperlink ref="T5" location="Transfers!B61" display="N"/>
    <hyperlink ref="U5" location="Transfers!B62" display="N"/>
    <hyperlink ref="V5" location="Transfers!B63" display="N"/>
    <hyperlink ref="W5" location="Transfers!B64" display="N"/>
    <hyperlink ref="X5" location="Transfers!B65" display="N"/>
    <hyperlink ref="Y5" location="Transfers!B66" display="N"/>
    <hyperlink ref="Z5" location="Transfers!B67" display="N"/>
    <hyperlink ref="AA5" location="Transfers!B68" display="N"/>
    <hyperlink ref="AB5" location="Transfers!B69" display="N"/>
    <hyperlink ref="AC5" location="Transfers!B70" display="N"/>
    <hyperlink ref="AD5" location="Transfers!B71" display="N"/>
    <hyperlink ref="AE5" location="Transfers!B72" display="N"/>
    <hyperlink ref="AF5" location="Transfers!B73" display="N"/>
    <hyperlink ref="AG5" location="Transfers!B74" display="N"/>
    <hyperlink ref="AH5" location="Transfers!B75" display="N"/>
    <hyperlink ref="AI5" location="Transfers!B76" display="N"/>
    <hyperlink ref="AJ5" location="Transfers!B77" display="N"/>
    <hyperlink ref="AK5" location="Transfers!B78" display="N"/>
    <hyperlink ref="B6" location="Transfers!B79" display="N"/>
    <hyperlink ref="D6" location="Transfers!B81" display="Y"/>
    <hyperlink ref="E6" location="Transfers!B82" display="N"/>
    <hyperlink ref="F6" location="Transfers!B83" display="N"/>
    <hyperlink ref="G6" location="Transfers!B84" display="N"/>
    <hyperlink ref="H6" location="Transfers!B85" display="N"/>
    <hyperlink ref="I6" location="Transfers!B86" display="N"/>
    <hyperlink ref="J6" location="Transfers!B87" display="N"/>
    <hyperlink ref="K6" location="Transfers!B88" display="N"/>
    <hyperlink ref="L6" location="Transfers!B89" display="N"/>
    <hyperlink ref="M6" location="Transfers!B90" display="N"/>
    <hyperlink ref="N6" location="Transfers!B91" display="N"/>
    <hyperlink ref="O6" location="Transfers!B92" display="N"/>
    <hyperlink ref="P6" location="Transfers!B93" display="N"/>
    <hyperlink ref="Q6" location="Transfers!B94" display="N"/>
    <hyperlink ref="R6" location="Transfers!B95" display="N"/>
    <hyperlink ref="S6" location="Transfers!B96" display="N"/>
    <hyperlink ref="T6" location="Transfers!B97" display="N"/>
    <hyperlink ref="U6" location="Transfers!B98" display="N"/>
    <hyperlink ref="V6" location="Transfers!B99" display="N"/>
    <hyperlink ref="W6" location="Transfers!B100" display="N"/>
    <hyperlink ref="X6" location="Transfers!B101" display="N"/>
    <hyperlink ref="Y6" location="Transfers!B102" display="N"/>
    <hyperlink ref="Z6" location="Transfers!B103" display="N"/>
    <hyperlink ref="AA6" location="Transfers!B104" display="N"/>
    <hyperlink ref="AB6" location="Transfers!B105" display="N"/>
    <hyperlink ref="AC6" location="Transfers!B106" display="N"/>
    <hyperlink ref="AD6" location="Transfers!B107" display="N"/>
    <hyperlink ref="AE6" location="Transfers!B108" display="N"/>
    <hyperlink ref="AF6" location="Transfers!B109" display="N"/>
    <hyperlink ref="AG6" location="Transfers!B110" display="N"/>
    <hyperlink ref="AH6" location="Transfers!B111" display="N"/>
    <hyperlink ref="AI6" location="Transfers!B112" display="N"/>
    <hyperlink ref="AJ6" location="Transfers!B113" display="N"/>
    <hyperlink ref="AK6" location="Transfers!B114" display="N"/>
    <hyperlink ref="B7" location="Transfers!B115" display="N"/>
    <hyperlink ref="C7" location="Transfers!B116" display="N"/>
    <hyperlink ref="E7" location="Transfers!B118" display="Y"/>
    <hyperlink ref="F7" location="Transfers!B119" display="N"/>
    <hyperlink ref="G7" location="Transfers!B120" display="N"/>
    <hyperlink ref="H7" location="Transfers!B121" display="N"/>
    <hyperlink ref="I7" location="Transfers!B122" display="N"/>
    <hyperlink ref="J7" location="Transfers!B123" display="N"/>
    <hyperlink ref="K7" location="Transfers!B124" display="N"/>
    <hyperlink ref="L7" location="Transfers!B125" display="N"/>
    <hyperlink ref="M7" location="Transfers!B126" display="N"/>
    <hyperlink ref="N7" location="Transfers!B127" display="N"/>
    <hyperlink ref="O7" location="Transfers!B128" display="N"/>
    <hyperlink ref="P7" location="Transfers!B129" display="N"/>
    <hyperlink ref="Q7" location="Transfers!B130" display="N"/>
    <hyperlink ref="R7" location="Transfers!B131" display="N"/>
    <hyperlink ref="S7" location="Transfers!B132" display="N"/>
    <hyperlink ref="T7" location="Transfers!B133" display="N"/>
    <hyperlink ref="U7" location="Transfers!B134" display="N"/>
    <hyperlink ref="V7" location="Transfers!B135" display="N"/>
    <hyperlink ref="W7" location="Transfers!B136" display="N"/>
    <hyperlink ref="X7" location="Transfers!B137" display="N"/>
    <hyperlink ref="Y7" location="Transfers!B138" display="N"/>
    <hyperlink ref="Z7" location="Transfers!B139" display="N"/>
    <hyperlink ref="AA7" location="Transfers!B140" display="N"/>
    <hyperlink ref="AB7" location="Transfers!B141" display="N"/>
    <hyperlink ref="AC7" location="Transfers!B142" display="N"/>
    <hyperlink ref="AD7" location="Transfers!B143" display="N"/>
    <hyperlink ref="AE7" location="Transfers!B144" display="N"/>
    <hyperlink ref="AF7" location="Transfers!B145" display="N"/>
    <hyperlink ref="AG7" location="Transfers!B146" display="N"/>
    <hyperlink ref="AH7" location="Transfers!B147" display="N"/>
    <hyperlink ref="AI7" location="Transfers!B148" display="N"/>
    <hyperlink ref="AJ7" location="Transfers!B149" display="N"/>
    <hyperlink ref="AK7" location="Transfers!B150" display="N"/>
    <hyperlink ref="B8" location="Transfers!B151" display="N"/>
    <hyperlink ref="C8" location="Transfers!B152" display="N"/>
    <hyperlink ref="D8" location="Transfers!B153" display="N"/>
    <hyperlink ref="F8" location="Transfers!B155" display="Y"/>
    <hyperlink ref="G8" location="Transfers!B156" display="N"/>
    <hyperlink ref="H8" location="Transfers!B157" display="N"/>
    <hyperlink ref="I8" location="Transfers!B158" display="N"/>
    <hyperlink ref="J8" location="Transfers!B159" display="N"/>
    <hyperlink ref="K8" location="Transfers!B160" display="N"/>
    <hyperlink ref="L8" location="Transfers!B161" display="N"/>
    <hyperlink ref="M8" location="Transfers!B162" display="N"/>
    <hyperlink ref="N8" location="Transfers!B163" display="N"/>
    <hyperlink ref="O8" location="Transfers!B164" display="N"/>
    <hyperlink ref="P8" location="Transfers!B165" display="N"/>
    <hyperlink ref="Q8" location="Transfers!B166" display="N"/>
    <hyperlink ref="R8" location="Transfers!B167" display="N"/>
    <hyperlink ref="S8" location="Transfers!B168" display="N"/>
    <hyperlink ref="T8" location="Transfers!B169" display="N"/>
    <hyperlink ref="U8" location="Transfers!B170" display="N"/>
    <hyperlink ref="V8" location="Transfers!B171" display="N"/>
    <hyperlink ref="W8" location="Transfers!B172" display="N"/>
    <hyperlink ref="X8" location="Transfers!B173" display="N"/>
    <hyperlink ref="Y8" location="Transfers!B174" display="N"/>
    <hyperlink ref="Z8" location="Transfers!B175" display="N"/>
    <hyperlink ref="AA8" location="Transfers!B176" display="N"/>
    <hyperlink ref="AB8" location="Transfers!B177" display="N"/>
    <hyperlink ref="AC8" location="Transfers!B178" display="N"/>
    <hyperlink ref="AD8" location="Transfers!B179" display="N"/>
    <hyperlink ref="AE8" location="Transfers!B180" display="N"/>
    <hyperlink ref="AF8" location="Transfers!B181" display="N"/>
    <hyperlink ref="AG8" location="Transfers!B182" display="N"/>
    <hyperlink ref="AH8" location="Transfers!B183" display="N"/>
    <hyperlink ref="AI8" location="Transfers!B184" display="N"/>
    <hyperlink ref="AJ8" location="Transfers!B185" display="N"/>
    <hyperlink ref="AK8" location="Transfers!B186" display="N"/>
    <hyperlink ref="B9" location="Transfers!B187" display="N"/>
    <hyperlink ref="C9" location="Transfers!B188" display="N"/>
    <hyperlink ref="D9" location="Transfers!B189" display="N"/>
    <hyperlink ref="E9" location="Transfers!B190" display="N"/>
    <hyperlink ref="G9" location="Transfers!B192" display="Y"/>
    <hyperlink ref="H9" location="Transfers!B193" display="N"/>
    <hyperlink ref="I9" location="Transfers!B194" display="N"/>
    <hyperlink ref="J9" location="Transfers!B195" display="N"/>
    <hyperlink ref="K9" location="Transfers!B196" display="N"/>
    <hyperlink ref="L9" location="Transfers!B197" display="N"/>
    <hyperlink ref="M9" location="Transfers!B198" display="N"/>
    <hyperlink ref="N9" location="Transfers!B199" display="N"/>
    <hyperlink ref="O9" location="Transfers!B200" display="N"/>
    <hyperlink ref="P9" location="Transfers!B201" display="N"/>
    <hyperlink ref="Q9" location="Transfers!B202" display="N"/>
    <hyperlink ref="R9" location="Transfers!B203" display="N"/>
    <hyperlink ref="S9" location="Transfers!B204" display="N"/>
    <hyperlink ref="T9" location="Transfers!B205" display="N"/>
    <hyperlink ref="U9" location="Transfers!B206" display="N"/>
    <hyperlink ref="V9" location="Transfers!B207" display="N"/>
    <hyperlink ref="W9" location="Transfers!B208" display="N"/>
    <hyperlink ref="X9" location="Transfers!B209" display="N"/>
    <hyperlink ref="Y9" location="Transfers!B210" display="N"/>
    <hyperlink ref="Z9" location="Transfers!B211" display="N"/>
    <hyperlink ref="AA9" location="Transfers!B212" display="N"/>
    <hyperlink ref="AB9" location="Transfers!B213" display="N"/>
    <hyperlink ref="AC9" location="Transfers!B214" display="N"/>
    <hyperlink ref="AD9" location="Transfers!B215" display="N"/>
    <hyperlink ref="AE9" location="Transfers!B216" display="N"/>
    <hyperlink ref="AF9" location="Transfers!B217" display="N"/>
    <hyperlink ref="AG9" location="Transfers!B218" display="N"/>
    <hyperlink ref="AH9" location="Transfers!B219" display="N"/>
    <hyperlink ref="AI9" location="Transfers!B220" display="N"/>
    <hyperlink ref="AJ9" location="Transfers!B221" display="N"/>
    <hyperlink ref="AK9" location="Transfers!B222" display="N"/>
    <hyperlink ref="B10" location="Transfers!B223" display="N"/>
    <hyperlink ref="C10" location="Transfers!B224" display="N"/>
    <hyperlink ref="D10" location="Transfers!B225" display="N"/>
    <hyperlink ref="E10" location="Transfers!B226" display="N"/>
    <hyperlink ref="F10" location="Transfers!B227" display="N"/>
    <hyperlink ref="H10" location="Transfers!B229" display="N"/>
    <hyperlink ref="I10" location="Transfers!B230" display="N"/>
    <hyperlink ref="J10" location="Transfers!B231" display="N"/>
    <hyperlink ref="K10" location="Transfers!B232" display="N"/>
    <hyperlink ref="L10" location="Transfers!B233" display="N"/>
    <hyperlink ref="M10" location="Transfers!B234" display="N"/>
    <hyperlink ref="N10" location="Transfers!B235" display="N"/>
    <hyperlink ref="O10" location="Transfers!B236" display="N"/>
    <hyperlink ref="P10" location="Transfers!B237" display="N"/>
    <hyperlink ref="Q10" location="Transfers!B238" display="N"/>
    <hyperlink ref="R10" location="Transfers!B239" display="N"/>
    <hyperlink ref="S10" location="Transfers!B240" display="N"/>
    <hyperlink ref="T10" location="Transfers!B241" display="N"/>
    <hyperlink ref="U10" location="Transfers!B242" display="N"/>
    <hyperlink ref="V10" location="Transfers!B243" display="N"/>
    <hyperlink ref="W10" location="Transfers!B244" display="N"/>
    <hyperlink ref="X10" location="Transfers!B245" display="N"/>
    <hyperlink ref="Y10" location="Transfers!B246" display="N"/>
    <hyperlink ref="Z10" location="Transfers!B247" display="N"/>
    <hyperlink ref="AA10" location="Transfers!B248" display="N"/>
    <hyperlink ref="AB10" location="Transfers!B249" display="N"/>
    <hyperlink ref="AC10" location="Transfers!B250" display="N"/>
    <hyperlink ref="AD10" location="Transfers!B251" display="N"/>
    <hyperlink ref="AE10" location="Transfers!B252" display="N"/>
    <hyperlink ref="AF10" location="Transfers!B253" display="N"/>
    <hyperlink ref="AG10" location="Transfers!B254" display="N"/>
    <hyperlink ref="AH10" location="Transfers!B255" display="N"/>
    <hyperlink ref="AI10" location="Transfers!B256" display="N"/>
    <hyperlink ref="AJ10" location="Transfers!B257" display="N"/>
    <hyperlink ref="AK10" location="Transfers!B258" display="N"/>
    <hyperlink ref="B11" location="Transfers!B259" display="N"/>
    <hyperlink ref="C11" location="Transfers!B260" display="N"/>
    <hyperlink ref="D11" location="Transfers!B261" display="N"/>
    <hyperlink ref="E11" location="Transfers!B262" display="N"/>
    <hyperlink ref="F11" location="Transfers!B263" display="N"/>
    <hyperlink ref="G11" location="Transfers!B264" display="N"/>
    <hyperlink ref="I11" location="Transfers!B266" display="Y"/>
    <hyperlink ref="J11" location="Transfers!B267" display="N"/>
    <hyperlink ref="K11" location="Transfers!B268" display="N"/>
    <hyperlink ref="L11" location="Transfers!B269" display="N"/>
    <hyperlink ref="M11" location="Transfers!B270" display="N"/>
    <hyperlink ref="N11" location="Transfers!B271" display="N"/>
    <hyperlink ref="O11" location="Transfers!B272" display="N"/>
    <hyperlink ref="P11" location="Transfers!B273" display="N"/>
    <hyperlink ref="Q11" location="Transfers!B274" display="N"/>
    <hyperlink ref="R11" location="Transfers!B275" display="N"/>
    <hyperlink ref="S11" location="Transfers!B276" display="N"/>
    <hyperlink ref="T11" location="Transfers!B277" display="N"/>
    <hyperlink ref="U11" location="Transfers!B278" display="N"/>
    <hyperlink ref="V11" location="Transfers!B279" display="N"/>
    <hyperlink ref="W11" location="Transfers!B280" display="N"/>
    <hyperlink ref="X11" location="Transfers!B281" display="N"/>
    <hyperlink ref="Y11" location="Transfers!B282" display="N"/>
    <hyperlink ref="Z11" location="Transfers!B283" display="N"/>
    <hyperlink ref="AA11" location="Transfers!B284" display="N"/>
    <hyperlink ref="AB11" location="Transfers!B285" display="N"/>
    <hyperlink ref="AC11" location="Transfers!B286" display="N"/>
    <hyperlink ref="AD11" location="Transfers!B287" display="N"/>
    <hyperlink ref="AE11" location="Transfers!B288" display="N"/>
    <hyperlink ref="AF11" location="Transfers!B289" display="N"/>
    <hyperlink ref="AG11" location="Transfers!B290" display="N"/>
    <hyperlink ref="AH11" location="Transfers!B291" display="N"/>
    <hyperlink ref="AI11" location="Transfers!B292" display="N"/>
    <hyperlink ref="AJ11" location="Transfers!B293" display="N"/>
    <hyperlink ref="AK11" location="Transfers!B294" display="N"/>
    <hyperlink ref="B12" location="Transfers!B295" display="N"/>
    <hyperlink ref="C12" location="Transfers!B296" display="N"/>
    <hyperlink ref="D12" location="Transfers!B297" display="N"/>
    <hyperlink ref="E12" location="Transfers!B298" display="N"/>
    <hyperlink ref="F12" location="Transfers!B299" display="N"/>
    <hyperlink ref="G12" location="Transfers!B300" display="N"/>
    <hyperlink ref="H12" location="Transfers!B301" display="N"/>
    <hyperlink ref="J12" location="Transfers!B303" display="Y"/>
    <hyperlink ref="K12" location="Transfers!B304" display="N"/>
    <hyperlink ref="L12" location="Transfers!B305" display="N"/>
    <hyperlink ref="M12" location="Transfers!B306" display="N"/>
    <hyperlink ref="N12" location="Transfers!B307" display="N"/>
    <hyperlink ref="O12" location="Transfers!B308" display="N"/>
    <hyperlink ref="P12" location="Transfers!B309" display="N"/>
    <hyperlink ref="Q12" location="Transfers!B310" display="N"/>
    <hyperlink ref="R12" location="Transfers!B311" display="N"/>
    <hyperlink ref="S12" location="Transfers!B312" display="N"/>
    <hyperlink ref="T12" location="Transfers!B313" display="N"/>
    <hyperlink ref="U12" location="Transfers!B314" display="N"/>
    <hyperlink ref="V12" location="Transfers!B315" display="N"/>
    <hyperlink ref="W12" location="Transfers!B316" display="N"/>
    <hyperlink ref="X12" location="Transfers!B317" display="N"/>
    <hyperlink ref="Y12" location="Transfers!B318" display="N"/>
    <hyperlink ref="Z12" location="Transfers!B319" display="N"/>
    <hyperlink ref="AA12" location="Transfers!B320" display="N"/>
    <hyperlink ref="AB12" location="Transfers!B321" display="N"/>
    <hyperlink ref="AC12" location="Transfers!B322" display="N"/>
    <hyperlink ref="AD12" location="Transfers!B323" display="N"/>
    <hyperlink ref="AE12" location="Transfers!B324" display="N"/>
    <hyperlink ref="AF12" location="Transfers!B325" display="N"/>
    <hyperlink ref="AG12" location="Transfers!B326" display="N"/>
    <hyperlink ref="AH12" location="Transfers!B327" display="N"/>
    <hyperlink ref="AI12" location="Transfers!B328" display="N"/>
    <hyperlink ref="AJ12" location="Transfers!B329" display="N"/>
    <hyperlink ref="AK12" location="Transfers!B330" display="N"/>
    <hyperlink ref="B13" location="Transfers!B331" display="N"/>
    <hyperlink ref="C13" location="Transfers!B332" display="N"/>
    <hyperlink ref="D13" location="Transfers!B333" display="N"/>
    <hyperlink ref="E13" location="Transfers!B334" display="N"/>
    <hyperlink ref="F13" location="Transfers!B335" display="N"/>
    <hyperlink ref="G13" location="Transfers!B336" display="N"/>
    <hyperlink ref="H13" location="Transfers!B337" display="N"/>
    <hyperlink ref="I13" location="Transfers!B338" display="N"/>
    <hyperlink ref="K13" location="Transfers!B340" display="Y"/>
    <hyperlink ref="L13" location="Transfers!B341" display="N"/>
    <hyperlink ref="M13" location="Transfers!B342" display="N"/>
    <hyperlink ref="N13" location="Transfers!B343" display="N"/>
    <hyperlink ref="O13" location="Transfers!B344" display="N"/>
    <hyperlink ref="P13" location="Transfers!B345" display="N"/>
    <hyperlink ref="Q13" location="Transfers!B346" display="N"/>
    <hyperlink ref="R13" location="Transfers!B347" display="N"/>
    <hyperlink ref="S13" location="Transfers!B348" display="N"/>
    <hyperlink ref="T13" location="Transfers!B349" display="N"/>
    <hyperlink ref="U13" location="Transfers!B350" display="N"/>
    <hyperlink ref="V13" location="Transfers!B351" display="N"/>
    <hyperlink ref="W13" location="Transfers!B352" display="N"/>
    <hyperlink ref="X13" location="Transfers!B353" display="N"/>
    <hyperlink ref="Y13" location="Transfers!B354" display="N"/>
    <hyperlink ref="Z13" location="Transfers!B355" display="N"/>
    <hyperlink ref="AA13" location="Transfers!B356" display="N"/>
    <hyperlink ref="AB13" location="Transfers!B357" display="N"/>
    <hyperlink ref="AC13" location="Transfers!B358" display="N"/>
    <hyperlink ref="AD13" location="Transfers!B359" display="N"/>
    <hyperlink ref="AE13" location="Transfers!B360" display="N"/>
    <hyperlink ref="AF13" location="Transfers!B361" display="N"/>
    <hyperlink ref="AG13" location="Transfers!B362" display="N"/>
    <hyperlink ref="AH13" location="Transfers!B363" display="N"/>
    <hyperlink ref="AI13" location="Transfers!B364" display="N"/>
    <hyperlink ref="AJ13" location="Transfers!B365" display="N"/>
    <hyperlink ref="AK13" location="Transfers!B366" display="N"/>
    <hyperlink ref="B14" location="Transfers!B367" display="N"/>
    <hyperlink ref="C14" location="Transfers!B368" display="N"/>
    <hyperlink ref="D14" location="Transfers!B369" display="N"/>
    <hyperlink ref="E14" location="Transfers!B370" display="N"/>
    <hyperlink ref="F14" location="Transfers!B371" display="N"/>
    <hyperlink ref="G14" location="Transfers!B372" display="N"/>
    <hyperlink ref="H14" location="Transfers!B373" display="N"/>
    <hyperlink ref="I14" location="Transfers!B374" display="N"/>
    <hyperlink ref="J14" location="Transfers!B375" display="N"/>
    <hyperlink ref="L14" location="Transfers!B377" display="Y"/>
    <hyperlink ref="M14" location="Transfers!B378" display="N"/>
    <hyperlink ref="N14" location="Transfers!B379" display="N"/>
    <hyperlink ref="O14" location="Transfers!B380" display="N"/>
    <hyperlink ref="P14" location="Transfers!B381" display="N"/>
    <hyperlink ref="Q14" location="Transfers!B382" display="N"/>
    <hyperlink ref="R14" location="Transfers!B383" display="N"/>
    <hyperlink ref="S14" location="Transfers!B384" display="N"/>
    <hyperlink ref="T14" location="Transfers!B385" display="N"/>
    <hyperlink ref="U14" location="Transfers!B386" display="N"/>
    <hyperlink ref="V14" location="Transfers!B387" display="N"/>
    <hyperlink ref="W14" location="Transfers!B388" display="N"/>
    <hyperlink ref="X14" location="Transfers!B389" display="N"/>
    <hyperlink ref="Y14" location="Transfers!B390" display="N"/>
    <hyperlink ref="Z14" location="Transfers!B391" display="N"/>
    <hyperlink ref="AA14" location="Transfers!B392" display="N"/>
    <hyperlink ref="AB14" location="Transfers!B393" display="N"/>
    <hyperlink ref="AC14" location="Transfers!B394" display="N"/>
    <hyperlink ref="AD14" location="Transfers!B395" display="N"/>
    <hyperlink ref="AE14" location="Transfers!B396" display="N"/>
    <hyperlink ref="AF14" location="Transfers!B397" display="N"/>
    <hyperlink ref="AG14" location="Transfers!B398" display="N"/>
    <hyperlink ref="AH14" location="Transfers!B399" display="N"/>
    <hyperlink ref="AI14" location="Transfers!B400" display="N"/>
    <hyperlink ref="AJ14" location="Transfers!B401" display="N"/>
    <hyperlink ref="AK14" location="Transfers!B402" display="N"/>
    <hyperlink ref="B15" location="Transfers!B403" display="N"/>
    <hyperlink ref="C15" location="Transfers!B404" display="N"/>
    <hyperlink ref="D15" location="Transfers!B405" display="N"/>
    <hyperlink ref="E15" location="Transfers!B406" display="N"/>
    <hyperlink ref="F15" location="Transfers!B407" display="N"/>
    <hyperlink ref="G15" location="Transfers!B408" display="N"/>
    <hyperlink ref="H15" location="Transfers!B409" display="N"/>
    <hyperlink ref="I15" location="Transfers!B410" display="N"/>
    <hyperlink ref="J15" location="Transfers!B411" display="N"/>
    <hyperlink ref="K15" location="Transfers!B412" display="N"/>
    <hyperlink ref="M15" location="Transfers!B414" display="Y"/>
    <hyperlink ref="N15" location="Transfers!B415" display="N"/>
    <hyperlink ref="O15" location="Transfers!B416" display="N"/>
    <hyperlink ref="P15" location="Transfers!B417" display="N"/>
    <hyperlink ref="Q15" location="Transfers!B418" display="N"/>
    <hyperlink ref="R15" location="Transfers!B419" display="N"/>
    <hyperlink ref="S15" location="Transfers!B420" display="N"/>
    <hyperlink ref="T15" location="Transfers!B421" display="N"/>
    <hyperlink ref="U15" location="Transfers!B422" display="N"/>
    <hyperlink ref="V15" location="Transfers!B423" display="N"/>
    <hyperlink ref="W15" location="Transfers!B424" display="N"/>
    <hyperlink ref="X15" location="Transfers!B425" display="N"/>
    <hyperlink ref="Y15" location="Transfers!B426" display="N"/>
    <hyperlink ref="Z15" location="Transfers!B427" display="N"/>
    <hyperlink ref="AA15" location="Transfers!B428" display="N"/>
    <hyperlink ref="AB15" location="Transfers!B429" display="N"/>
    <hyperlink ref="AC15" location="Transfers!B430" display="N"/>
    <hyperlink ref="AD15" location="Transfers!B431" display="N"/>
    <hyperlink ref="AE15" location="Transfers!B432" display="N"/>
    <hyperlink ref="AF15" location="Transfers!B433" display="N"/>
    <hyperlink ref="AG15" location="Transfers!B434" display="N"/>
    <hyperlink ref="AH15" location="Transfers!B435" display="N"/>
    <hyperlink ref="AI15" location="Transfers!B436" display="N"/>
    <hyperlink ref="AJ15" location="Transfers!B437" display="N"/>
    <hyperlink ref="AK15" location="Transfers!B438" display="N"/>
    <hyperlink ref="B16" location="Transfers!B439" display="N"/>
    <hyperlink ref="C16" location="Transfers!B440" display="N"/>
    <hyperlink ref="D16" location="Transfers!B441" display="N"/>
    <hyperlink ref="E16" location="Transfers!B442" display="N"/>
    <hyperlink ref="F16" location="Transfers!B443" display="N"/>
    <hyperlink ref="G16" location="Transfers!B444" display="N"/>
    <hyperlink ref="H16" location="Transfers!B445" display="N"/>
    <hyperlink ref="I16" location="Transfers!B446" display="N"/>
    <hyperlink ref="J16" location="Transfers!B447" display="N"/>
    <hyperlink ref="K16" location="Transfers!B448" display="N"/>
    <hyperlink ref="L16" location="Transfers!B449" display="N"/>
    <hyperlink ref="N16" location="Transfers!B451" display="N"/>
    <hyperlink ref="O16" location="Transfers!B452" display="N"/>
    <hyperlink ref="P16" location="Transfers!B453" display="N"/>
    <hyperlink ref="Q16" location="Transfers!B454" display="N"/>
    <hyperlink ref="R16" location="Transfers!B455" display="N"/>
    <hyperlink ref="S16" location="Transfers!B456" display="N"/>
    <hyperlink ref="T16" location="Transfers!B457" display="N"/>
    <hyperlink ref="U16" location="Transfers!B458" display="N"/>
    <hyperlink ref="V16" location="Transfers!B459" display="N"/>
    <hyperlink ref="W16" location="Transfers!B460" display="N"/>
    <hyperlink ref="X16" location="Transfers!B461" display="N"/>
    <hyperlink ref="Y16" location="Transfers!B462" display="N"/>
    <hyperlink ref="Z16" location="Transfers!B463" display="N"/>
    <hyperlink ref="AA16" location="Transfers!B464" display="N"/>
    <hyperlink ref="AB16" location="Transfers!B465" display="N"/>
    <hyperlink ref="AC16" location="Transfers!B466" display="N"/>
    <hyperlink ref="AD16" location="Transfers!B467" display="N"/>
    <hyperlink ref="AE16" location="Transfers!B468" display="N"/>
    <hyperlink ref="AF16" location="Transfers!B469" display="N"/>
    <hyperlink ref="AG16" location="Transfers!B470" display="N"/>
    <hyperlink ref="AH16" location="Transfers!B471" display="N"/>
    <hyperlink ref="AI16" location="Transfers!B472" display="N"/>
    <hyperlink ref="AJ16" location="Transfers!B473" display="N"/>
    <hyperlink ref="AK16" location="Transfers!B474" display="N"/>
    <hyperlink ref="B17" location="Transfers!B475" display="N"/>
    <hyperlink ref="C17" location="Transfers!B476" display="N"/>
    <hyperlink ref="D17" location="Transfers!B477" display="N"/>
    <hyperlink ref="E17" location="Transfers!B478" display="N"/>
    <hyperlink ref="F17" location="Transfers!B479" display="N"/>
    <hyperlink ref="G17" location="Transfers!B480" display="N"/>
    <hyperlink ref="H17" location="Transfers!B481" display="N"/>
    <hyperlink ref="I17" location="Transfers!B482" display="N"/>
    <hyperlink ref="J17" location="Transfers!B483" display="N"/>
    <hyperlink ref="K17" location="Transfers!B484" display="N"/>
    <hyperlink ref="L17" location="Transfers!B485" display="N"/>
    <hyperlink ref="M17" location="Transfers!B486" display="N"/>
    <hyperlink ref="O17" location="Transfers!B488" display="Y"/>
    <hyperlink ref="P17" location="Transfers!B489" display="N"/>
    <hyperlink ref="Q17" location="Transfers!B490" display="N"/>
    <hyperlink ref="R17" location="Transfers!B491" display="N"/>
    <hyperlink ref="S17" location="Transfers!B492" display="N"/>
    <hyperlink ref="T17" location="Transfers!B493" display="N"/>
    <hyperlink ref="U17" location="Transfers!B494" display="N"/>
    <hyperlink ref="V17" location="Transfers!B495" display="N"/>
    <hyperlink ref="W17" location="Transfers!B496" display="N"/>
    <hyperlink ref="X17" location="Transfers!B497" display="N"/>
    <hyperlink ref="Y17" location="Transfers!B498" display="N"/>
    <hyperlink ref="Z17" location="Transfers!B499" display="N"/>
    <hyperlink ref="AA17" location="Transfers!B500" display="N"/>
    <hyperlink ref="AB17" location="Transfers!B501" display="N"/>
    <hyperlink ref="AC17" location="Transfers!B502" display="N"/>
    <hyperlink ref="AD17" location="Transfers!B503" display="N"/>
    <hyperlink ref="AE17" location="Transfers!B504" display="N"/>
    <hyperlink ref="AF17" location="Transfers!B505" display="N"/>
    <hyperlink ref="AG17" location="Transfers!B506" display="N"/>
    <hyperlink ref="AH17" location="Transfers!B507" display="N"/>
    <hyperlink ref="AI17" location="Transfers!B508" display="N"/>
    <hyperlink ref="AJ17" location="Transfers!B509" display="N"/>
    <hyperlink ref="AK17" location="Transfers!B510" display="N"/>
    <hyperlink ref="B18" location="Transfers!B511" display="N"/>
    <hyperlink ref="C18" location="Transfers!B512" display="N"/>
    <hyperlink ref="D18" location="Transfers!B513" display="N"/>
    <hyperlink ref="E18" location="Transfers!B514" display="N"/>
    <hyperlink ref="F18" location="Transfers!B515" display="N"/>
    <hyperlink ref="G18" location="Transfers!B516" display="N"/>
    <hyperlink ref="H18" location="Transfers!B517" display="N"/>
    <hyperlink ref="I18" location="Transfers!B518" display="N"/>
    <hyperlink ref="J18" location="Transfers!B519" display="N"/>
    <hyperlink ref="K18" location="Transfers!B520" display="N"/>
    <hyperlink ref="L18" location="Transfers!B521" display="N"/>
    <hyperlink ref="M18" location="Transfers!B522" display="N"/>
    <hyperlink ref="N18" location="Transfers!B523" display="N"/>
    <hyperlink ref="P18" location="Transfers!B525" display="Y"/>
    <hyperlink ref="Q18" location="Transfers!B526" display="N"/>
    <hyperlink ref="R18" location="Transfers!B527" display="N"/>
    <hyperlink ref="S18" location="Transfers!B528" display="N"/>
    <hyperlink ref="T18" location="Transfers!B529" display="N"/>
    <hyperlink ref="U18" location="Transfers!B530" display="N"/>
    <hyperlink ref="V18" location="Transfers!B531" display="N"/>
    <hyperlink ref="W18" location="Transfers!B532" display="N"/>
    <hyperlink ref="X18" location="Transfers!B533" display="N"/>
    <hyperlink ref="Y18" location="Transfers!B534" display="N"/>
    <hyperlink ref="Z18" location="Transfers!B535" display="N"/>
    <hyperlink ref="AA18" location="Transfers!B536" display="N"/>
    <hyperlink ref="AB18" location="Transfers!B537" display="N"/>
    <hyperlink ref="AC18" location="Transfers!B538" display="N"/>
    <hyperlink ref="AD18" location="Transfers!B539" display="N"/>
    <hyperlink ref="AE18" location="Transfers!B540" display="N"/>
    <hyperlink ref="AF18" location="Transfers!B541" display="N"/>
    <hyperlink ref="AG18" location="Transfers!B542" display="N"/>
    <hyperlink ref="AH18" location="Transfers!B543" display="N"/>
    <hyperlink ref="AI18" location="Transfers!B544" display="N"/>
    <hyperlink ref="AJ18" location="Transfers!B545" display="N"/>
    <hyperlink ref="AK18" location="Transfers!B546" display="N"/>
    <hyperlink ref="B19" location="Transfers!B547" display="N"/>
    <hyperlink ref="C19" location="Transfers!B548" display="N"/>
    <hyperlink ref="D19" location="Transfers!B549" display="N"/>
    <hyperlink ref="E19" location="Transfers!B550" display="N"/>
    <hyperlink ref="F19" location="Transfers!B551" display="N"/>
    <hyperlink ref="G19" location="Transfers!B552" display="N"/>
    <hyperlink ref="H19" location="Transfers!B553" display="N"/>
    <hyperlink ref="I19" location="Transfers!B554" display="N"/>
    <hyperlink ref="J19" location="Transfers!B555" display="N"/>
    <hyperlink ref="K19" location="Transfers!B556" display="N"/>
    <hyperlink ref="L19" location="Transfers!B557" display="N"/>
    <hyperlink ref="M19" location="Transfers!B558" display="N"/>
    <hyperlink ref="N19" location="Transfers!B559" display="N"/>
    <hyperlink ref="O19" location="Transfers!B560" display="N"/>
    <hyperlink ref="Q19" location="Transfers!B562" display="Y"/>
    <hyperlink ref="R19" location="Transfers!B563" display="N"/>
    <hyperlink ref="S19" location="Transfers!B564" display="N"/>
    <hyperlink ref="T19" location="Transfers!B565" display="N"/>
    <hyperlink ref="U19" location="Transfers!B566" display="N"/>
    <hyperlink ref="V19" location="Transfers!B567" display="N"/>
    <hyperlink ref="W19" location="Transfers!B568" display="N"/>
    <hyperlink ref="X19" location="Transfers!B569" display="N"/>
    <hyperlink ref="Y19" location="Transfers!B570" display="N"/>
    <hyperlink ref="Z19" location="Transfers!B571" display="N"/>
    <hyperlink ref="AA19" location="Transfers!B572" display="N"/>
    <hyperlink ref="AB19" location="Transfers!B573" display="N"/>
    <hyperlink ref="AC19" location="Transfers!B574" display="N"/>
    <hyperlink ref="AD19" location="Transfers!B575" display="N"/>
    <hyperlink ref="AE19" location="Transfers!B576" display="N"/>
    <hyperlink ref="AF19" location="Transfers!B577" display="N"/>
    <hyperlink ref="AG19" location="Transfers!B578" display="N"/>
    <hyperlink ref="AH19" location="Transfers!B579" display="N"/>
    <hyperlink ref="AI19" location="Transfers!B580" display="N"/>
    <hyperlink ref="AJ19" location="Transfers!B581" display="N"/>
    <hyperlink ref="AK19" location="Transfers!B582" display="N"/>
    <hyperlink ref="B20" location="Transfers!B583" display="N"/>
    <hyperlink ref="C20" location="Transfers!B584" display="N"/>
    <hyperlink ref="D20" location="Transfers!B585" display="N"/>
    <hyperlink ref="E20" location="Transfers!B586" display="N"/>
    <hyperlink ref="F20" location="Transfers!B587" display="N"/>
    <hyperlink ref="G20" location="Transfers!B588" display="N"/>
    <hyperlink ref="H20" location="Transfers!B589" display="N"/>
    <hyperlink ref="I20" location="Transfers!B590" display="N"/>
    <hyperlink ref="J20" location="Transfers!B591" display="N"/>
    <hyperlink ref="K20" location="Transfers!B592" display="N"/>
    <hyperlink ref="L20" location="Transfers!B593" display="N"/>
    <hyperlink ref="M20" location="Transfers!B594" display="N"/>
    <hyperlink ref="N20" location="Transfers!B595" display="N"/>
    <hyperlink ref="O20" location="Transfers!B596" display="N"/>
    <hyperlink ref="P20" location="Transfers!B597" display="N"/>
    <hyperlink ref="R20" location="Transfers!B599" display="Y"/>
    <hyperlink ref="S20" location="Transfers!B600" display="N"/>
    <hyperlink ref="T20" location="Transfers!B601" display="N"/>
    <hyperlink ref="U20" location="Transfers!B602" display="N"/>
    <hyperlink ref="V20" location="Transfers!B603" display="N"/>
    <hyperlink ref="W20" location="Transfers!B604" display="N"/>
    <hyperlink ref="X20" location="Transfers!B605" display="N"/>
    <hyperlink ref="Y20" location="Transfers!B606" display="N"/>
    <hyperlink ref="Z20" location="Transfers!B607" display="N"/>
    <hyperlink ref="AA20" location="Transfers!B608" display="N"/>
    <hyperlink ref="AB20" location="Transfers!B609" display="N"/>
    <hyperlink ref="AC20" location="Transfers!B610" display="N"/>
    <hyperlink ref="AD20" location="Transfers!B611" display="N"/>
    <hyperlink ref="AE20" location="Transfers!B612" display="N"/>
    <hyperlink ref="AF20" location="Transfers!B613" display="N"/>
    <hyperlink ref="AG20" location="Transfers!B614" display="N"/>
    <hyperlink ref="AH20" location="Transfers!B615" display="N"/>
    <hyperlink ref="AI20" location="Transfers!B616" display="N"/>
    <hyperlink ref="AJ20" location="Transfers!B617" display="N"/>
    <hyperlink ref="AK20" location="Transfers!B618" display="N"/>
    <hyperlink ref="B21" location="Transfers!B619" display="N"/>
    <hyperlink ref="C21" location="Transfers!B620" display="N"/>
    <hyperlink ref="D21" location="Transfers!B621" display="N"/>
    <hyperlink ref="E21" location="Transfers!B622" display="N"/>
    <hyperlink ref="F21" location="Transfers!B623" display="N"/>
    <hyperlink ref="G21" location="Transfers!B624" display="N"/>
    <hyperlink ref="H21" location="Transfers!B625" display="N"/>
    <hyperlink ref="I21" location="Transfers!B626" display="N"/>
    <hyperlink ref="J21" location="Transfers!B627" display="N"/>
    <hyperlink ref="K21" location="Transfers!B628" display="N"/>
    <hyperlink ref="L21" location="Transfers!B629" display="N"/>
    <hyperlink ref="M21" location="Transfers!B630" display="N"/>
    <hyperlink ref="N21" location="Transfers!B631" display="N"/>
    <hyperlink ref="O21" location="Transfers!B632" display="N"/>
    <hyperlink ref="P21" location="Transfers!B633" display="N"/>
    <hyperlink ref="Q21" location="Transfers!B634" display="N"/>
    <hyperlink ref="S21" location="Transfers!B636" display="Y"/>
    <hyperlink ref="T21" location="Transfers!B637" display="N"/>
    <hyperlink ref="U21" location="Transfers!B638" display="N"/>
    <hyperlink ref="V21" location="Transfers!B639" display="N"/>
    <hyperlink ref="W21" location="Transfers!B640" display="N"/>
    <hyperlink ref="X21" location="Transfers!B641" display="N"/>
    <hyperlink ref="Y21" location="Transfers!B642" display="N"/>
    <hyperlink ref="Z21" location="Transfers!B643" display="N"/>
    <hyperlink ref="AA21" location="Transfers!B644" display="N"/>
    <hyperlink ref="AB21" location="Transfers!B645" display="N"/>
    <hyperlink ref="AC21" location="Transfers!B646" display="N"/>
    <hyperlink ref="AD21" location="Transfers!B647" display="N"/>
    <hyperlink ref="AE21" location="Transfers!B648" display="N"/>
    <hyperlink ref="AF21" location="Transfers!B649" display="N"/>
    <hyperlink ref="AG21" location="Transfers!B650" display="N"/>
    <hyperlink ref="AH21" location="Transfers!B651" display="N"/>
    <hyperlink ref="AI21" location="Transfers!B652" display="N"/>
    <hyperlink ref="AJ21" location="Transfers!B653" display="N"/>
    <hyperlink ref="AK21" location="Transfers!B654" display="N"/>
    <hyperlink ref="B22" location="Transfers!B655" display="N"/>
    <hyperlink ref="C22" location="Transfers!B656" display="N"/>
    <hyperlink ref="D22" location="Transfers!B657" display="N"/>
    <hyperlink ref="E22" location="Transfers!B658" display="N"/>
    <hyperlink ref="F22" location="Transfers!B659" display="N"/>
    <hyperlink ref="G22" location="Transfers!B660" display="N"/>
    <hyperlink ref="H22" location="Transfers!B661" display="N"/>
    <hyperlink ref="I22" location="Transfers!B662" display="N"/>
    <hyperlink ref="J22" location="Transfers!B663" display="N"/>
    <hyperlink ref="K22" location="Transfers!B664" display="N"/>
    <hyperlink ref="L22" location="Transfers!B665" display="N"/>
    <hyperlink ref="M22" location="Transfers!B666" display="N"/>
    <hyperlink ref="N22" location="Transfers!B667" display="N"/>
    <hyperlink ref="O22" location="Transfers!B668" display="N"/>
    <hyperlink ref="P22" location="Transfers!B669" display="N"/>
    <hyperlink ref="Q22" location="Transfers!B670" display="N"/>
    <hyperlink ref="R22" location="Transfers!B671" display="N"/>
    <hyperlink ref="T22" location="Transfers!B673" display="N"/>
    <hyperlink ref="U22" location="Transfers!B674" display="N"/>
    <hyperlink ref="V22" location="Transfers!B675" display="N"/>
    <hyperlink ref="W22" location="Transfers!B676" display="N"/>
    <hyperlink ref="X22" location="Transfers!B677" display="N"/>
    <hyperlink ref="Y22" location="Transfers!B678" display="N"/>
    <hyperlink ref="Z22" location="Transfers!B679" display="N"/>
    <hyperlink ref="AA22" location="Transfers!B680" display="N"/>
    <hyperlink ref="AB22" location="Transfers!B681" display="N"/>
    <hyperlink ref="AC22" location="Transfers!B682" display="N"/>
    <hyperlink ref="AD22" location="Transfers!B683" display="N"/>
    <hyperlink ref="AE22" location="Transfers!B684" display="N"/>
    <hyperlink ref="AF22" location="Transfers!B685" display="N"/>
    <hyperlink ref="AG22" location="Transfers!B686" display="N"/>
    <hyperlink ref="AH22" location="Transfers!B687" display="N"/>
    <hyperlink ref="AI22" location="Transfers!B688" display="N"/>
    <hyperlink ref="AJ22" location="Transfers!B689" display="N"/>
    <hyperlink ref="AK22" location="Transfers!B690" display="N"/>
    <hyperlink ref="B23" location="Transfers!B691" display="N"/>
    <hyperlink ref="C23" location="Transfers!B692" display="N"/>
    <hyperlink ref="D23" location="Transfers!B693" display="N"/>
    <hyperlink ref="E23" location="Transfers!B694" display="N"/>
    <hyperlink ref="F23" location="Transfers!B695" display="N"/>
    <hyperlink ref="G23" location="Transfers!B696" display="N"/>
    <hyperlink ref="H23" location="Transfers!B697" display="N"/>
    <hyperlink ref="I23" location="Transfers!B698" display="N"/>
    <hyperlink ref="J23" location="Transfers!B699" display="N"/>
    <hyperlink ref="K23" location="Transfers!B700" display="N"/>
    <hyperlink ref="L23" location="Transfers!B701" display="N"/>
    <hyperlink ref="M23" location="Transfers!B702" display="N"/>
    <hyperlink ref="N23" location="Transfers!B703" display="N"/>
    <hyperlink ref="O23" location="Transfers!B704" display="N"/>
    <hyperlink ref="P23" location="Transfers!B705" display="N"/>
    <hyperlink ref="Q23" location="Transfers!B706" display="N"/>
    <hyperlink ref="R23" location="Transfers!B707" display="N"/>
    <hyperlink ref="S23" location="Transfers!B708" display="N"/>
    <hyperlink ref="U23" location="Transfers!B710" display="Y"/>
    <hyperlink ref="V23" location="Transfers!B711" display="N"/>
    <hyperlink ref="W23" location="Transfers!B712" display="N"/>
    <hyperlink ref="X23" location="Transfers!B713" display="N"/>
    <hyperlink ref="Y23" location="Transfers!B714" display="N"/>
    <hyperlink ref="Z23" location="Transfers!B715" display="N"/>
    <hyperlink ref="AA23" location="Transfers!B716" display="N"/>
    <hyperlink ref="AB23" location="Transfers!B717" display="N"/>
    <hyperlink ref="AC23" location="Transfers!B718" display="N"/>
    <hyperlink ref="AD23" location="Transfers!B719" display="N"/>
    <hyperlink ref="AE23" location="Transfers!B720" display="N"/>
    <hyperlink ref="AF23" location="Transfers!B721" display="N"/>
    <hyperlink ref="AG23" location="Transfers!B722" display="N"/>
    <hyperlink ref="AH23" location="Transfers!B723" display="N"/>
    <hyperlink ref="AI23" location="Transfers!B724" display="N"/>
    <hyperlink ref="AJ23" location="Transfers!B725" display="N"/>
    <hyperlink ref="AK23" location="Transfers!B726" display="N"/>
    <hyperlink ref="B24" location="Transfers!B727" display="N"/>
    <hyperlink ref="C24" location="Transfers!B728" display="N"/>
    <hyperlink ref="D24" location="Transfers!B729" display="N"/>
    <hyperlink ref="E24" location="Transfers!B730" display="N"/>
    <hyperlink ref="F24" location="Transfers!B731" display="N"/>
    <hyperlink ref="G24" location="Transfers!B732" display="N"/>
    <hyperlink ref="H24" location="Transfers!B733" display="N"/>
    <hyperlink ref="I24" location="Transfers!B734" display="N"/>
    <hyperlink ref="J24" location="Transfers!B735" display="N"/>
    <hyperlink ref="K24" location="Transfers!B736" display="N"/>
    <hyperlink ref="L24" location="Transfers!B737" display="N"/>
    <hyperlink ref="M24" location="Transfers!B738" display="N"/>
    <hyperlink ref="N24" location="Transfers!B739" display="N"/>
    <hyperlink ref="O24" location="Transfers!B740" display="N"/>
    <hyperlink ref="P24" location="Transfers!B741" display="N"/>
    <hyperlink ref="Q24" location="Transfers!B742" display="N"/>
    <hyperlink ref="R24" location="Transfers!B743" display="N"/>
    <hyperlink ref="S24" location="Transfers!B744" display="N"/>
    <hyperlink ref="T24" location="Transfers!B745" display="N"/>
    <hyperlink ref="V24" location="Transfers!B747" display="Y"/>
    <hyperlink ref="W24" location="Transfers!B748" display="N"/>
    <hyperlink ref="X24" location="Transfers!B749" display="N"/>
    <hyperlink ref="Y24" location="Transfers!B750" display="N"/>
    <hyperlink ref="Z24" location="Transfers!B751" display="N"/>
    <hyperlink ref="AA24" location="Transfers!B752" display="N"/>
    <hyperlink ref="AB24" location="Transfers!B753" display="N"/>
    <hyperlink ref="AC24" location="Transfers!B754" display="N"/>
    <hyperlink ref="AD24" location="Transfers!B755" display="N"/>
    <hyperlink ref="AE24" location="Transfers!B756" display="N"/>
    <hyperlink ref="AF24" location="Transfers!B757" display="N"/>
    <hyperlink ref="AG24" location="Transfers!B758" display="N"/>
    <hyperlink ref="AH24" location="Transfers!B759" display="N"/>
    <hyperlink ref="AI24" location="Transfers!B760" display="N"/>
    <hyperlink ref="AJ24" location="Transfers!B761" display="N"/>
    <hyperlink ref="AK24" location="Transfers!B762" display="N"/>
    <hyperlink ref="B25" location="Transfers!B763" display="N"/>
    <hyperlink ref="C25" location="Transfers!B764" display="N"/>
    <hyperlink ref="D25" location="Transfers!B765" display="N"/>
    <hyperlink ref="E25" location="Transfers!B766" display="N"/>
    <hyperlink ref="F25" location="Transfers!B767" display="N"/>
    <hyperlink ref="G25" location="Transfers!B768" display="N"/>
    <hyperlink ref="H25" location="Transfers!B769" display="N"/>
    <hyperlink ref="I25" location="Transfers!B770" display="N"/>
    <hyperlink ref="J25" location="Transfers!B771" display="N"/>
    <hyperlink ref="K25" location="Transfers!B772" display="N"/>
    <hyperlink ref="L25" location="Transfers!B773" display="N"/>
    <hyperlink ref="M25" location="Transfers!B774" display="N"/>
    <hyperlink ref="N25" location="Transfers!B775" display="N"/>
    <hyperlink ref="O25" location="Transfers!B776" display="N"/>
    <hyperlink ref="P25" location="Transfers!B777" display="N"/>
    <hyperlink ref="Q25" location="Transfers!B778" display="N"/>
    <hyperlink ref="R25" location="Transfers!B779" display="N"/>
    <hyperlink ref="S25" location="Transfers!B780" display="N"/>
    <hyperlink ref="T25" location="Transfers!B781" display="N"/>
    <hyperlink ref="U25" location="Transfers!B782" display="N"/>
    <hyperlink ref="W25" location="Transfers!B784" display="Y"/>
    <hyperlink ref="X25" location="Transfers!B785" display="N"/>
    <hyperlink ref="Y25" location="Transfers!B786" display="N"/>
    <hyperlink ref="Z25" location="Transfers!B787" display="N"/>
    <hyperlink ref="AA25" location="Transfers!B788" display="N"/>
    <hyperlink ref="AB25" location="Transfers!B789" display="N"/>
    <hyperlink ref="AC25" location="Transfers!B790" display="N"/>
    <hyperlink ref="AD25" location="Transfers!B791" display="N"/>
    <hyperlink ref="AE25" location="Transfers!B792" display="N"/>
    <hyperlink ref="AF25" location="Transfers!B793" display="N"/>
    <hyperlink ref="AG25" location="Transfers!B794" display="N"/>
    <hyperlink ref="AH25" location="Transfers!B795" display="N"/>
    <hyperlink ref="AI25" location="Transfers!B796" display="N"/>
    <hyperlink ref="AJ25" location="Transfers!B797" display="N"/>
    <hyperlink ref="AK25" location="Transfers!B798" display="N"/>
    <hyperlink ref="B26" location="Transfers!B799" display="N"/>
    <hyperlink ref="C26" location="Transfers!B800" display="N"/>
    <hyperlink ref="D26" location="Transfers!B801" display="N"/>
    <hyperlink ref="E26" location="Transfers!B802" display="N"/>
    <hyperlink ref="F26" location="Transfers!B803" display="N"/>
    <hyperlink ref="G26" location="Transfers!B804" display="N"/>
    <hyperlink ref="H26" location="Transfers!B805" display="N"/>
    <hyperlink ref="I26" location="Transfers!B806" display="N"/>
    <hyperlink ref="J26" location="Transfers!B807" display="N"/>
    <hyperlink ref="K26" location="Transfers!B808" display="N"/>
    <hyperlink ref="L26" location="Transfers!B809" display="N"/>
    <hyperlink ref="M26" location="Transfers!B810" display="N"/>
    <hyperlink ref="N26" location="Transfers!B811" display="N"/>
    <hyperlink ref="O26" location="Transfers!B812" display="N"/>
    <hyperlink ref="P26" location="Transfers!B813" display="N"/>
    <hyperlink ref="Q26" location="Transfers!B814" display="N"/>
    <hyperlink ref="R26" location="Transfers!B815" display="N"/>
    <hyperlink ref="S26" location="Transfers!B816" display="N"/>
    <hyperlink ref="T26" location="Transfers!B817" display="N"/>
    <hyperlink ref="U26" location="Transfers!B818" display="N"/>
    <hyperlink ref="V26" location="Transfers!B819" display="N"/>
    <hyperlink ref="X26" location="Transfers!B821" display="Y"/>
    <hyperlink ref="Y26" location="Transfers!B822" display="N"/>
    <hyperlink ref="Z26" location="Transfers!B823" display="N"/>
    <hyperlink ref="AA26" location="Transfers!B824" display="N"/>
    <hyperlink ref="AB26" location="Transfers!B825" display="N"/>
    <hyperlink ref="AC26" location="Transfers!B826" display="N"/>
    <hyperlink ref="AD26" location="Transfers!B827" display="N"/>
    <hyperlink ref="AE26" location="Transfers!B828" display="N"/>
    <hyperlink ref="AF26" location="Transfers!B829" display="N"/>
    <hyperlink ref="AG26" location="Transfers!B830" display="N"/>
    <hyperlink ref="AH26" location="Transfers!B831" display="N"/>
    <hyperlink ref="AI26" location="Transfers!B832" display="N"/>
    <hyperlink ref="AJ26" location="Transfers!B833" display="N"/>
    <hyperlink ref="AK26" location="Transfers!B834" display="N"/>
    <hyperlink ref="B27" location="Transfers!B835" display="N"/>
    <hyperlink ref="C27" location="Transfers!B836" display="N"/>
    <hyperlink ref="D27" location="Transfers!B837" display="N"/>
    <hyperlink ref="E27" location="Transfers!B838" display="N"/>
    <hyperlink ref="F27" location="Transfers!B839" display="N"/>
    <hyperlink ref="G27" location="Transfers!B840" display="N"/>
    <hyperlink ref="H27" location="Transfers!B841" display="N"/>
    <hyperlink ref="I27" location="Transfers!B842" display="N"/>
    <hyperlink ref="J27" location="Transfers!B843" display="N"/>
    <hyperlink ref="K27" location="Transfers!B844" display="N"/>
    <hyperlink ref="L27" location="Transfers!B845" display="N"/>
    <hyperlink ref="M27" location="Transfers!B846" display="N"/>
    <hyperlink ref="N27" location="Transfers!B847" display="N"/>
    <hyperlink ref="O27" location="Transfers!B848" display="N"/>
    <hyperlink ref="P27" location="Transfers!B849" display="N"/>
    <hyperlink ref="Q27" location="Transfers!B850" display="N"/>
    <hyperlink ref="R27" location="Transfers!B851" display="N"/>
    <hyperlink ref="S27" location="Transfers!B852" display="N"/>
    <hyperlink ref="T27" location="Transfers!B853" display="N"/>
    <hyperlink ref="U27" location="Transfers!B854" display="N"/>
    <hyperlink ref="V27" location="Transfers!B855" display="N"/>
    <hyperlink ref="W27" location="Transfers!B856" display="N"/>
    <hyperlink ref="Y27" location="Transfers!B858" display="Y"/>
    <hyperlink ref="Z27" location="Transfers!B859" display="N"/>
    <hyperlink ref="AA27" location="Transfers!B860" display="N"/>
    <hyperlink ref="AB27" location="Transfers!B861" display="N"/>
    <hyperlink ref="AC27" location="Transfers!B862" display="N"/>
    <hyperlink ref="AD27" location="Transfers!B863" display="N"/>
    <hyperlink ref="AE27" location="Transfers!B864" display="N"/>
    <hyperlink ref="AF27" location="Transfers!B865" display="N"/>
    <hyperlink ref="AG27" location="Transfers!B866" display="N"/>
    <hyperlink ref="AH27" location="Transfers!B867" display="N"/>
    <hyperlink ref="AI27" location="Transfers!B868" display="N"/>
    <hyperlink ref="AJ27" location="Transfers!B869" display="N"/>
    <hyperlink ref="AK27" location="Transfers!B870" display="N"/>
    <hyperlink ref="B28" location="Transfers!B871" display="N"/>
    <hyperlink ref="C28" location="Transfers!B872" display="N"/>
    <hyperlink ref="D28" location="Transfers!B873" display="N"/>
    <hyperlink ref="E28" location="Transfers!B874" display="N"/>
    <hyperlink ref="F28" location="Transfers!B875" display="N"/>
    <hyperlink ref="G28" location="Transfers!B876" display="N"/>
    <hyperlink ref="H28" location="Transfers!B877" display="N"/>
    <hyperlink ref="I28" location="Transfers!B878" display="N"/>
    <hyperlink ref="J28" location="Transfers!B879" display="N"/>
    <hyperlink ref="K28" location="Transfers!B880" display="N"/>
    <hyperlink ref="L28" location="Transfers!B881" display="N"/>
    <hyperlink ref="M28" location="Transfers!B882" display="N"/>
    <hyperlink ref="N28" location="Transfers!B883" display="N"/>
    <hyperlink ref="O28" location="Transfers!B884" display="N"/>
    <hyperlink ref="P28" location="Transfers!B885" display="N"/>
    <hyperlink ref="Q28" location="Transfers!B886" display="N"/>
    <hyperlink ref="R28" location="Transfers!B887" display="N"/>
    <hyperlink ref="S28" location="Transfers!B888" display="N"/>
    <hyperlink ref="T28" location="Transfers!B889" display="N"/>
    <hyperlink ref="U28" location="Transfers!B890" display="N"/>
    <hyperlink ref="V28" location="Transfers!B891" display="N"/>
    <hyperlink ref="W28" location="Transfers!B892" display="N"/>
    <hyperlink ref="X28" location="Transfers!B893" display="N"/>
    <hyperlink ref="Z28" location="Transfers!B895" display="N"/>
    <hyperlink ref="AA28" location="Transfers!B896" display="N"/>
    <hyperlink ref="AB28" location="Transfers!B897" display="N"/>
    <hyperlink ref="AC28" location="Transfers!B898" display="N"/>
    <hyperlink ref="AD28" location="Transfers!B899" display="N"/>
    <hyperlink ref="AE28" location="Transfers!B900" display="N"/>
    <hyperlink ref="AF28" location="Transfers!B901" display="N"/>
    <hyperlink ref="AG28" location="Transfers!B902" display="N"/>
    <hyperlink ref="AH28" location="Transfers!B903" display="N"/>
    <hyperlink ref="AI28" location="Transfers!B904" display="N"/>
    <hyperlink ref="AJ28" location="Transfers!B905" display="N"/>
    <hyperlink ref="AK28" location="Transfers!B906" display="N"/>
    <hyperlink ref="B29" location="Transfers!B907" display="N"/>
    <hyperlink ref="C29" location="Transfers!B908" display="N"/>
    <hyperlink ref="D29" location="Transfers!B909" display="N"/>
    <hyperlink ref="E29" location="Transfers!B910" display="N"/>
    <hyperlink ref="F29" location="Transfers!B911" display="N"/>
    <hyperlink ref="G29" location="Transfers!B912" display="N"/>
    <hyperlink ref="H29" location="Transfers!B913" display="N"/>
    <hyperlink ref="I29" location="Transfers!B914" display="N"/>
    <hyperlink ref="J29" location="Transfers!B915" display="N"/>
    <hyperlink ref="K29" location="Transfers!B916" display="N"/>
    <hyperlink ref="L29" location="Transfers!B917" display="N"/>
    <hyperlink ref="M29" location="Transfers!B918" display="N"/>
    <hyperlink ref="N29" location="Transfers!B919" display="N"/>
    <hyperlink ref="O29" location="Transfers!B920" display="N"/>
    <hyperlink ref="P29" location="Transfers!B921" display="N"/>
    <hyperlink ref="Q29" location="Transfers!B922" display="N"/>
    <hyperlink ref="R29" location="Transfers!B923" display="N"/>
    <hyperlink ref="S29" location="Transfers!B924" display="N"/>
    <hyperlink ref="T29" location="Transfers!B925" display="N"/>
    <hyperlink ref="U29" location="Transfers!B926" display="N"/>
    <hyperlink ref="V29" location="Transfers!B927" display="N"/>
    <hyperlink ref="W29" location="Transfers!B928" display="N"/>
    <hyperlink ref="X29" location="Transfers!B929" display="N"/>
    <hyperlink ref="Y29" location="Transfers!B930" display="N"/>
    <hyperlink ref="AA29" location="Transfers!B932" display="Y"/>
    <hyperlink ref="AB29" location="Transfers!B933" display="N"/>
    <hyperlink ref="AC29" location="Transfers!B934" display="N"/>
    <hyperlink ref="AD29" location="Transfers!B935" display="N"/>
    <hyperlink ref="AE29" location="Transfers!B936" display="N"/>
    <hyperlink ref="AF29" location="Transfers!B937" display="N"/>
    <hyperlink ref="AG29" location="Transfers!B938" display="N"/>
    <hyperlink ref="AH29" location="Transfers!B939" display="N"/>
    <hyperlink ref="AI29" location="Transfers!B940" display="N"/>
    <hyperlink ref="AJ29" location="Transfers!B941" display="N"/>
    <hyperlink ref="AK29" location="Transfers!B942" display="N"/>
    <hyperlink ref="B30" location="Transfers!B943" display="N"/>
    <hyperlink ref="C30" location="Transfers!B944" display="N"/>
    <hyperlink ref="D30" location="Transfers!B945" display="N"/>
    <hyperlink ref="E30" location="Transfers!B946" display="N"/>
    <hyperlink ref="F30" location="Transfers!B947" display="N"/>
    <hyperlink ref="G30" location="Transfers!B948" display="N"/>
    <hyperlink ref="H30" location="Transfers!B949" display="N"/>
    <hyperlink ref="I30" location="Transfers!B950" display="N"/>
    <hyperlink ref="J30" location="Transfers!B951" display="N"/>
    <hyperlink ref="K30" location="Transfers!B952" display="N"/>
    <hyperlink ref="L30" location="Transfers!B953" display="N"/>
    <hyperlink ref="M30" location="Transfers!B954" display="N"/>
    <hyperlink ref="N30" location="Transfers!B955" display="N"/>
    <hyperlink ref="O30" location="Transfers!B956" display="N"/>
    <hyperlink ref="P30" location="Transfers!B957" display="N"/>
    <hyperlink ref="Q30" location="Transfers!B958" display="N"/>
    <hyperlink ref="R30" location="Transfers!B959" display="N"/>
    <hyperlink ref="S30" location="Transfers!B960" display="N"/>
    <hyperlink ref="T30" location="Transfers!B961" display="N"/>
    <hyperlink ref="U30" location="Transfers!B962" display="N"/>
    <hyperlink ref="V30" location="Transfers!B963" display="N"/>
    <hyperlink ref="W30" location="Transfers!B964" display="N"/>
    <hyperlink ref="X30" location="Transfers!B965" display="N"/>
    <hyperlink ref="Y30" location="Transfers!B966" display="N"/>
    <hyperlink ref="Z30" location="Transfers!B967" display="N"/>
    <hyperlink ref="AB30" location="Transfers!B969" display="Y"/>
    <hyperlink ref="AC30" location="Transfers!B970" display="N"/>
    <hyperlink ref="AD30" location="Transfers!B971" display="N"/>
    <hyperlink ref="AE30" location="Transfers!B972" display="N"/>
    <hyperlink ref="AF30" location="Transfers!B973" display="N"/>
    <hyperlink ref="AG30" location="Transfers!B974" display="N"/>
    <hyperlink ref="AH30" location="Transfers!B975" display="N"/>
    <hyperlink ref="AI30" location="Transfers!B976" display="N"/>
    <hyperlink ref="AJ30" location="Transfers!B977" display="N"/>
    <hyperlink ref="AK30" location="Transfers!B978" display="N"/>
    <hyperlink ref="B31" location="Transfers!B979" display="N"/>
    <hyperlink ref="C31" location="Transfers!B980" display="N"/>
    <hyperlink ref="D31" location="Transfers!B981" display="N"/>
    <hyperlink ref="E31" location="Transfers!B982" display="N"/>
    <hyperlink ref="F31" location="Transfers!B983" display="N"/>
    <hyperlink ref="G31" location="Transfers!B984" display="N"/>
    <hyperlink ref="H31" location="Transfers!B985" display="N"/>
    <hyperlink ref="I31" location="Transfers!B986" display="N"/>
    <hyperlink ref="J31" location="Transfers!B987" display="N"/>
    <hyperlink ref="K31" location="Transfers!B988" display="N"/>
    <hyperlink ref="L31" location="Transfers!B989" display="N"/>
    <hyperlink ref="M31" location="Transfers!B990" display="N"/>
    <hyperlink ref="N31" location="Transfers!B991" display="N"/>
    <hyperlink ref="O31" location="Transfers!B992" display="N"/>
    <hyperlink ref="P31" location="Transfers!B993" display="N"/>
    <hyperlink ref="Q31" location="Transfers!B994" display="N"/>
    <hyperlink ref="R31" location="Transfers!B995" display="N"/>
    <hyperlink ref="S31" location="Transfers!B996" display="N"/>
    <hyperlink ref="T31" location="Transfers!B997" display="N"/>
    <hyperlink ref="U31" location="Transfers!B998" display="N"/>
    <hyperlink ref="V31" location="Transfers!B999" display="N"/>
    <hyperlink ref="W31" location="Transfers!B1000" display="N"/>
    <hyperlink ref="X31" location="Transfers!B1001" display="N"/>
    <hyperlink ref="Y31" location="Transfers!B1002" display="N"/>
    <hyperlink ref="Z31" location="Transfers!B1003" display="N"/>
    <hyperlink ref="AA31" location="Transfers!B1004" display="N"/>
    <hyperlink ref="AC31" location="Transfers!B1006" display="Y"/>
    <hyperlink ref="AD31" location="Transfers!B1007" display="N"/>
    <hyperlink ref="AE31" location="Transfers!B1008" display="N"/>
    <hyperlink ref="AF31" location="Transfers!B1009" display="N"/>
    <hyperlink ref="AG31" location="Transfers!B1010" display="N"/>
    <hyperlink ref="AH31" location="Transfers!B1011" display="N"/>
    <hyperlink ref="AI31" location="Transfers!B1012" display="N"/>
    <hyperlink ref="AJ31" location="Transfers!B1013" display="N"/>
    <hyperlink ref="AK31" location="Transfers!B1014" display="N"/>
    <hyperlink ref="B32" location="Transfers!B1015" display="N"/>
    <hyperlink ref="C32" location="Transfers!B1016" display="N"/>
    <hyperlink ref="D32" location="Transfers!B1017" display="N"/>
    <hyperlink ref="E32" location="Transfers!B1018" display="N"/>
    <hyperlink ref="F32" location="Transfers!B1019" display="N"/>
    <hyperlink ref="G32" location="Transfers!B1020" display="N"/>
    <hyperlink ref="H32" location="Transfers!B1021" display="N"/>
    <hyperlink ref="I32" location="Transfers!B1022" display="N"/>
    <hyperlink ref="J32" location="Transfers!B1023" display="N"/>
    <hyperlink ref="K32" location="Transfers!B1024" display="N"/>
    <hyperlink ref="L32" location="Transfers!B1025" display="N"/>
    <hyperlink ref="M32" location="Transfers!B1026" display="N"/>
    <hyperlink ref="N32" location="Transfers!B1027" display="N"/>
    <hyperlink ref="O32" location="Transfers!B1028" display="N"/>
    <hyperlink ref="P32" location="Transfers!B1029" display="N"/>
    <hyperlink ref="Q32" location="Transfers!B1030" display="N"/>
    <hyperlink ref="R32" location="Transfers!B1031" display="N"/>
    <hyperlink ref="S32" location="Transfers!B1032" display="N"/>
    <hyperlink ref="T32" location="Transfers!B1033" display="N"/>
    <hyperlink ref="U32" location="Transfers!B1034" display="N"/>
    <hyperlink ref="V32" location="Transfers!B1035" display="N"/>
    <hyperlink ref="W32" location="Transfers!B1036" display="N"/>
    <hyperlink ref="X32" location="Transfers!B1037" display="N"/>
    <hyperlink ref="Y32" location="Transfers!B1038" display="N"/>
    <hyperlink ref="Z32" location="Transfers!B1039" display="N"/>
    <hyperlink ref="AA32" location="Transfers!B1040" display="N"/>
    <hyperlink ref="AB32" location="Transfers!B1041" display="N"/>
    <hyperlink ref="AD32" location="Transfers!B1043" display="Y"/>
    <hyperlink ref="AE32" location="Transfers!B1044" display="N"/>
    <hyperlink ref="AF32" location="Transfers!B1045" display="N"/>
    <hyperlink ref="AG32" location="Transfers!B1046" display="N"/>
    <hyperlink ref="AH32" location="Transfers!B1047" display="N"/>
    <hyperlink ref="AI32" location="Transfers!B1048" display="N"/>
    <hyperlink ref="AJ32" location="Transfers!B1049" display="N"/>
    <hyperlink ref="AK32" location="Transfers!B1050" display="N"/>
    <hyperlink ref="B33" location="Transfers!B1051" display="N"/>
    <hyperlink ref="C33" location="Transfers!B1052" display="N"/>
    <hyperlink ref="D33" location="Transfers!B1053" display="N"/>
    <hyperlink ref="E33" location="Transfers!B1054" display="N"/>
    <hyperlink ref="F33" location="Transfers!B1055" display="N"/>
    <hyperlink ref="G33" location="Transfers!B1056" display="N"/>
    <hyperlink ref="H33" location="Transfers!B1057" display="N"/>
    <hyperlink ref="I33" location="Transfers!B1058" display="N"/>
    <hyperlink ref="J33" location="Transfers!B1059" display="N"/>
    <hyperlink ref="K33" location="Transfers!B1060" display="N"/>
    <hyperlink ref="L33" location="Transfers!B1061" display="N"/>
    <hyperlink ref="M33" location="Transfers!B1062" display="N"/>
    <hyperlink ref="N33" location="Transfers!B1063" display="N"/>
    <hyperlink ref="O33" location="Transfers!B1064" display="N"/>
    <hyperlink ref="P33" location="Transfers!B1065" display="N"/>
    <hyperlink ref="Q33" location="Transfers!B1066" display="N"/>
    <hyperlink ref="R33" location="Transfers!B1067" display="N"/>
    <hyperlink ref="S33" location="Transfers!B1068" display="N"/>
    <hyperlink ref="T33" location="Transfers!B1069" display="N"/>
    <hyperlink ref="U33" location="Transfers!B1070" display="N"/>
    <hyperlink ref="V33" location="Transfers!B1071" display="N"/>
    <hyperlink ref="W33" location="Transfers!B1072" display="N"/>
    <hyperlink ref="X33" location="Transfers!B1073" display="N"/>
    <hyperlink ref="Y33" location="Transfers!B1074" display="N"/>
    <hyperlink ref="Z33" location="Transfers!B1075" display="N"/>
    <hyperlink ref="AA33" location="Transfers!B1076" display="N"/>
    <hyperlink ref="AB33" location="Transfers!B1077" display="N"/>
    <hyperlink ref="AC33" location="Transfers!B1078" display="N"/>
    <hyperlink ref="AE33" location="Transfers!B1080" display="Y"/>
    <hyperlink ref="AF33" location="Transfers!B1081" display="N"/>
    <hyperlink ref="AG33" location="Transfers!B1082" display="N"/>
    <hyperlink ref="AH33" location="Transfers!B1083" display="N"/>
    <hyperlink ref="AI33" location="Transfers!B1084" display="N"/>
    <hyperlink ref="AJ33" location="Transfers!B1085" display="N"/>
    <hyperlink ref="AK33" location="Transfers!B1086" display="N"/>
    <hyperlink ref="B34" location="Transfers!B1087" display="N"/>
    <hyperlink ref="C34" location="Transfers!B1088" display="N"/>
    <hyperlink ref="D34" location="Transfers!B1089" display="N"/>
    <hyperlink ref="E34" location="Transfers!B1090" display="N"/>
    <hyperlink ref="F34" location="Transfers!B1091" display="N"/>
    <hyperlink ref="G34" location="Transfers!B1092" display="N"/>
    <hyperlink ref="H34" location="Transfers!B1093" display="N"/>
    <hyperlink ref="I34" location="Transfers!B1094" display="N"/>
    <hyperlink ref="J34" location="Transfers!B1095" display="N"/>
    <hyperlink ref="K34" location="Transfers!B1096" display="N"/>
    <hyperlink ref="L34" location="Transfers!B1097" display="N"/>
    <hyperlink ref="M34" location="Transfers!B1098" display="N"/>
    <hyperlink ref="N34" location="Transfers!B1099" display="N"/>
    <hyperlink ref="O34" location="Transfers!B1100" display="N"/>
    <hyperlink ref="P34" location="Transfers!B1101" display="N"/>
    <hyperlink ref="Q34" location="Transfers!B1102" display="N"/>
    <hyperlink ref="R34" location="Transfers!B1103" display="N"/>
    <hyperlink ref="S34" location="Transfers!B1104" display="N"/>
    <hyperlink ref="T34" location="Transfers!B1105" display="N"/>
    <hyperlink ref="U34" location="Transfers!B1106" display="N"/>
    <hyperlink ref="V34" location="Transfers!B1107" display="N"/>
    <hyperlink ref="W34" location="Transfers!B1108" display="N"/>
    <hyperlink ref="X34" location="Transfers!B1109" display="N"/>
    <hyperlink ref="Y34" location="Transfers!B1110" display="N"/>
    <hyperlink ref="Z34" location="Transfers!B1111" display="N"/>
    <hyperlink ref="AA34" location="Transfers!B1112" display="N"/>
    <hyperlink ref="AB34" location="Transfers!B1113" display="N"/>
    <hyperlink ref="AC34" location="Transfers!B1114" display="N"/>
    <hyperlink ref="AD34" location="Transfers!B1115" display="N"/>
    <hyperlink ref="AF34" location="Transfers!B1117" display="N"/>
    <hyperlink ref="AG34" location="Transfers!B1118" display="N"/>
    <hyperlink ref="AH34" location="Transfers!B1119" display="N"/>
    <hyperlink ref="AI34" location="Transfers!B1120" display="N"/>
    <hyperlink ref="AJ34" location="Transfers!B1121" display="N"/>
    <hyperlink ref="AK34" location="Transfers!B1122" display="N"/>
    <hyperlink ref="B35" location="Transfers!B1123" display="N"/>
    <hyperlink ref="C35" location="Transfers!B1124" display="N"/>
    <hyperlink ref="D35" location="Transfers!B1125" display="N"/>
    <hyperlink ref="E35" location="Transfers!B1126" display="N"/>
    <hyperlink ref="F35" location="Transfers!B1127" display="N"/>
    <hyperlink ref="G35" location="Transfers!B1128" display="N"/>
    <hyperlink ref="H35" location="Transfers!B1129" display="N"/>
    <hyperlink ref="I35" location="Transfers!B1130" display="N"/>
    <hyperlink ref="J35" location="Transfers!B1131" display="N"/>
    <hyperlink ref="K35" location="Transfers!B1132" display="N"/>
    <hyperlink ref="L35" location="Transfers!B1133" display="N"/>
    <hyperlink ref="M35" location="Transfers!B1134" display="N"/>
    <hyperlink ref="N35" location="Transfers!B1135" display="N"/>
    <hyperlink ref="O35" location="Transfers!B1136" display="N"/>
    <hyperlink ref="P35" location="Transfers!B1137" display="N"/>
    <hyperlink ref="Q35" location="Transfers!B1138" display="N"/>
    <hyperlink ref="R35" location="Transfers!B1139" display="N"/>
    <hyperlink ref="S35" location="Transfers!B1140" display="N"/>
    <hyperlink ref="T35" location="Transfers!B1141" display="N"/>
    <hyperlink ref="U35" location="Transfers!B1142" display="N"/>
    <hyperlink ref="V35" location="Transfers!B1143" display="N"/>
    <hyperlink ref="W35" location="Transfers!B1144" display="N"/>
    <hyperlink ref="X35" location="Transfers!B1145" display="N"/>
    <hyperlink ref="Y35" location="Transfers!B1146" display="N"/>
    <hyperlink ref="Z35" location="Transfers!B1147" display="N"/>
    <hyperlink ref="AA35" location="Transfers!B1148" display="N"/>
    <hyperlink ref="AB35" location="Transfers!B1149" display="N"/>
    <hyperlink ref="AC35" location="Transfers!B1150" display="N"/>
    <hyperlink ref="AD35" location="Transfers!B1151" display="N"/>
    <hyperlink ref="AE35" location="Transfers!B1152" display="N"/>
    <hyperlink ref="AG35" location="Transfers!B1154" display="Y"/>
    <hyperlink ref="AH35" location="Transfers!B1155" display="N"/>
    <hyperlink ref="AI35" location="Transfers!B1156" display="N"/>
    <hyperlink ref="AJ35" location="Transfers!B1157" display="N"/>
    <hyperlink ref="AK35" location="Transfers!B1158" display="N"/>
    <hyperlink ref="B36" location="Transfers!B1159" display="N"/>
    <hyperlink ref="C36" location="Transfers!B1160" display="N"/>
    <hyperlink ref="D36" location="Transfers!B1161" display="N"/>
    <hyperlink ref="E36" location="Transfers!B1162" display="N"/>
    <hyperlink ref="F36" location="Transfers!B1163" display="N"/>
    <hyperlink ref="G36" location="Transfers!B1164" display="N"/>
    <hyperlink ref="H36" location="Transfers!B1165" display="N"/>
    <hyperlink ref="I36" location="Transfers!B1166" display="N"/>
    <hyperlink ref="J36" location="Transfers!B1167" display="N"/>
    <hyperlink ref="K36" location="Transfers!B1168" display="N"/>
    <hyperlink ref="L36" location="Transfers!B1169" display="N"/>
    <hyperlink ref="M36" location="Transfers!B1170" display="N"/>
    <hyperlink ref="N36" location="Transfers!B1171" display="N"/>
    <hyperlink ref="O36" location="Transfers!B1172" display="N"/>
    <hyperlink ref="P36" location="Transfers!B1173" display="N"/>
    <hyperlink ref="Q36" location="Transfers!B1174" display="N"/>
    <hyperlink ref="R36" location="Transfers!B1175" display="N"/>
    <hyperlink ref="S36" location="Transfers!B1176" display="N"/>
    <hyperlink ref="T36" location="Transfers!B1177" display="N"/>
    <hyperlink ref="U36" location="Transfers!B1178" display="N"/>
    <hyperlink ref="V36" location="Transfers!B1179" display="N"/>
    <hyperlink ref="W36" location="Transfers!B1180" display="N"/>
    <hyperlink ref="X36" location="Transfers!B1181" display="N"/>
    <hyperlink ref="Y36" location="Transfers!B1182" display="N"/>
    <hyperlink ref="Z36" location="Transfers!B1183" display="N"/>
    <hyperlink ref="AA36" location="Transfers!B1184" display="N"/>
    <hyperlink ref="AB36" location="Transfers!B1185" display="N"/>
    <hyperlink ref="AC36" location="Transfers!B1186" display="N"/>
    <hyperlink ref="AD36" location="Transfers!B1187" display="N"/>
    <hyperlink ref="AE36" location="Transfers!B1188" display="N"/>
    <hyperlink ref="AF36" location="Transfers!B1189" display="N"/>
    <hyperlink ref="AH36" location="Transfers!B1191" display="Y"/>
    <hyperlink ref="AI36" location="Transfers!B1192" display="N"/>
    <hyperlink ref="AJ36" location="Transfers!B1193" display="N"/>
    <hyperlink ref="AK36" location="Transfers!B1194" display="N"/>
    <hyperlink ref="B37" location="Transfers!B1195" display="N"/>
    <hyperlink ref="C37" location="Transfers!B1196" display="N"/>
    <hyperlink ref="D37" location="Transfers!B1197" display="N"/>
    <hyperlink ref="E37" location="Transfers!B1198" display="N"/>
    <hyperlink ref="F37" location="Transfers!B1199" display="N"/>
    <hyperlink ref="G37" location="Transfers!B1200" display="N"/>
    <hyperlink ref="H37" location="Transfers!B1201" display="N"/>
    <hyperlink ref="I37" location="Transfers!B1202" display="N"/>
    <hyperlink ref="J37" location="Transfers!B1203" display="N"/>
    <hyperlink ref="K37" location="Transfers!B1204" display="N"/>
    <hyperlink ref="L37" location="Transfers!B1205" display="N"/>
    <hyperlink ref="M37" location="Transfers!B1206" display="N"/>
    <hyperlink ref="N37" location="Transfers!B1207" display="N"/>
    <hyperlink ref="O37" location="Transfers!B1208" display="N"/>
    <hyperlink ref="P37" location="Transfers!B1209" display="N"/>
    <hyperlink ref="Q37" location="Transfers!B1210" display="N"/>
    <hyperlink ref="R37" location="Transfers!B1211" display="N"/>
    <hyperlink ref="S37" location="Transfers!B1212" display="N"/>
    <hyperlink ref="T37" location="Transfers!B1213" display="N"/>
    <hyperlink ref="U37" location="Transfers!B1214" display="N"/>
    <hyperlink ref="V37" location="Transfers!B1215" display="N"/>
    <hyperlink ref="W37" location="Transfers!B1216" display="N"/>
    <hyperlink ref="X37" location="Transfers!B1217" display="N"/>
    <hyperlink ref="Y37" location="Transfers!B1218" display="N"/>
    <hyperlink ref="Z37" location="Transfers!B1219" display="N"/>
    <hyperlink ref="AA37" location="Transfers!B1220" display="N"/>
    <hyperlink ref="AB37" location="Transfers!B1221" display="N"/>
    <hyperlink ref="AC37" location="Transfers!B1222" display="N"/>
    <hyperlink ref="AD37" location="Transfers!B1223" display="N"/>
    <hyperlink ref="AE37" location="Transfers!B1224" display="N"/>
    <hyperlink ref="AF37" location="Transfers!B1225" display="N"/>
    <hyperlink ref="AG37" location="Transfers!B1226" display="N"/>
    <hyperlink ref="AI37" location="Transfers!B1228" display="Y"/>
    <hyperlink ref="AJ37" location="Transfers!B1229" display="N"/>
    <hyperlink ref="AK37" location="Transfers!B1230" display="N"/>
    <hyperlink ref="B38" location="Transfers!B1231" display="N"/>
    <hyperlink ref="C38" location="Transfers!B1232" display="N"/>
    <hyperlink ref="D38" location="Transfers!B1233" display="N"/>
    <hyperlink ref="E38" location="Transfers!B1234" display="N"/>
    <hyperlink ref="F38" location="Transfers!B1235" display="N"/>
    <hyperlink ref="G38" location="Transfers!B1236" display="N"/>
    <hyperlink ref="H38" location="Transfers!B1237" display="N"/>
    <hyperlink ref="I38" location="Transfers!B1238" display="N"/>
    <hyperlink ref="J38" location="Transfers!B1239" display="N"/>
    <hyperlink ref="K38" location="Transfers!B1240" display="N"/>
    <hyperlink ref="L38" location="Transfers!B1241" display="N"/>
    <hyperlink ref="M38" location="Transfers!B1242" display="N"/>
    <hyperlink ref="N38" location="Transfers!B1243" display="N"/>
    <hyperlink ref="O38" location="Transfers!B1244" display="N"/>
    <hyperlink ref="P38" location="Transfers!B1245" display="N"/>
    <hyperlink ref="Q38" location="Transfers!B1246" display="N"/>
    <hyperlink ref="R38" location="Transfers!B1247" display="N"/>
    <hyperlink ref="S38" location="Transfers!B1248" display="N"/>
    <hyperlink ref="T38" location="Transfers!B1249" display="N"/>
    <hyperlink ref="U38" location="Transfers!B1250" display="N"/>
    <hyperlink ref="V38" location="Transfers!B1251" display="N"/>
    <hyperlink ref="W38" location="Transfers!B1252" display="N"/>
    <hyperlink ref="X38" location="Transfers!B1253" display="N"/>
    <hyperlink ref="Y38" location="Transfers!B1254" display="N"/>
    <hyperlink ref="Z38" location="Transfers!B1255" display="N"/>
    <hyperlink ref="AA38" location="Transfers!B1256" display="N"/>
    <hyperlink ref="AB38" location="Transfers!B1257" display="N"/>
    <hyperlink ref="AC38" location="Transfers!B1258" display="N"/>
    <hyperlink ref="AD38" location="Transfers!B1259" display="N"/>
    <hyperlink ref="AE38" location="Transfers!B1260" display="N"/>
    <hyperlink ref="AF38" location="Transfers!B1261" display="N"/>
    <hyperlink ref="AG38" location="Transfers!B1262" display="N"/>
    <hyperlink ref="AH38" location="Transfers!B1263" display="N"/>
    <hyperlink ref="AJ38" location="Transfers!B1265" display="Y"/>
    <hyperlink ref="AK38" location="Transfers!B1266" display="N"/>
    <hyperlink ref="B39" location="Transfers!B1267" display="N"/>
    <hyperlink ref="C39" location="Transfers!B1268" display="N"/>
    <hyperlink ref="D39" location="Transfers!B1269" display="N"/>
    <hyperlink ref="E39" location="Transfers!B1270" display="N"/>
    <hyperlink ref="F39" location="Transfers!B1271" display="N"/>
    <hyperlink ref="G39" location="Transfers!B1272" display="N"/>
    <hyperlink ref="H39" location="Transfers!B1273" display="N"/>
    <hyperlink ref="I39" location="Transfers!B1274" display="N"/>
    <hyperlink ref="J39" location="Transfers!B1275" display="N"/>
    <hyperlink ref="K39" location="Transfers!B1276" display="N"/>
    <hyperlink ref="L39" location="Transfers!B1277" display="N"/>
    <hyperlink ref="M39" location="Transfers!B1278" display="N"/>
    <hyperlink ref="N39" location="Transfers!B1279" display="N"/>
    <hyperlink ref="O39" location="Transfers!B1280" display="N"/>
    <hyperlink ref="P39" location="Transfers!B1281" display="N"/>
    <hyperlink ref="Q39" location="Transfers!B1282" display="N"/>
    <hyperlink ref="R39" location="Transfers!B1283" display="N"/>
    <hyperlink ref="S39" location="Transfers!B1284" display="N"/>
    <hyperlink ref="T39" location="Transfers!B1285" display="N"/>
    <hyperlink ref="U39" location="Transfers!B1286" display="N"/>
    <hyperlink ref="V39" location="Transfers!B1287" display="N"/>
    <hyperlink ref="W39" location="Transfers!B1288" display="N"/>
    <hyperlink ref="X39" location="Transfers!B1289" display="N"/>
    <hyperlink ref="Y39" location="Transfers!B1290" display="N"/>
    <hyperlink ref="Z39" location="Transfers!B1291" display="N"/>
    <hyperlink ref="AA39" location="Transfers!B1292" display="N"/>
    <hyperlink ref="AB39" location="Transfers!B1293" display="N"/>
    <hyperlink ref="AC39" location="Transfers!B1294" display="N"/>
    <hyperlink ref="AD39" location="Transfers!B1295" display="N"/>
    <hyperlink ref="AE39" location="Transfers!B1296" display="N"/>
    <hyperlink ref="AF39" location="Transfers!B1297" display="N"/>
    <hyperlink ref="AG39" location="Transfers!B1298" display="N"/>
    <hyperlink ref="AH39" location="Transfers!B1299" display="N"/>
    <hyperlink ref="AI39" location="Transfers!B1300" display="N"/>
    <hyperlink ref="AK39" location="Transfers!B1302" display="Y"/>
    <hyperlink ref="B40" location="Transfers!B1303" display="N"/>
    <hyperlink ref="C40" location="Transfers!B1304" display="N"/>
    <hyperlink ref="D40" location="Transfers!B1305" display="N"/>
    <hyperlink ref="E40" location="Transfers!B1306" display="N"/>
    <hyperlink ref="F40" location="Transfers!B1307" display="N"/>
    <hyperlink ref="G40" location="Transfers!B1308" display="N"/>
    <hyperlink ref="H40" location="Transfers!B1309" display="N"/>
    <hyperlink ref="I40" location="Transfers!B1310" display="N"/>
    <hyperlink ref="J40" location="Transfers!B1311" display="N"/>
    <hyperlink ref="K40" location="Transfers!B1312" display="N"/>
    <hyperlink ref="L40" location="Transfers!B1313" display="N"/>
    <hyperlink ref="M40" location="Transfers!B1314" display="N"/>
    <hyperlink ref="N40" location="Transfers!B1315" display="N"/>
    <hyperlink ref="O40" location="Transfers!B1316" display="N"/>
    <hyperlink ref="P40" location="Transfers!B1317" display="N"/>
    <hyperlink ref="Q40" location="Transfers!B1318" display="N"/>
    <hyperlink ref="R40" location="Transfers!B1319" display="N"/>
    <hyperlink ref="S40" location="Transfers!B1320" display="N"/>
    <hyperlink ref="T40" location="Transfers!B1321" display="N"/>
    <hyperlink ref="U40" location="Transfers!B1322" display="N"/>
    <hyperlink ref="V40" location="Transfers!B1323" display="N"/>
    <hyperlink ref="W40" location="Transfers!B1324" display="N"/>
    <hyperlink ref="X40" location="Transfers!B1325" display="N"/>
    <hyperlink ref="Y40" location="Transfers!B1326" display="N"/>
    <hyperlink ref="Z40" location="Transfers!B1327" display="N"/>
    <hyperlink ref="AA40" location="Transfers!B1328" display="N"/>
    <hyperlink ref="AB40" location="Transfers!B1329" display="N"/>
    <hyperlink ref="AC40" location="Transfers!B1330" display="N"/>
    <hyperlink ref="AD40" location="Transfers!B1331" display="N"/>
    <hyperlink ref="AE40" location="Transfers!B1332" display="N"/>
    <hyperlink ref="AF40" location="Transfers!B1333" display="N"/>
    <hyperlink ref="AG40" location="Transfers!B1334" display="N"/>
    <hyperlink ref="AH40" location="Transfers!B1335" display="N"/>
    <hyperlink ref="AI40" location="Transfers!B1336" display="N"/>
    <hyperlink ref="AJ40" location="Transfers!B1337" display="N"/>
    <hyperlink ref="B44" location="Transfers!$C$5" display="Transfers!$C$5"/>
    <hyperlink ref="B45" location="Transfers!$D$5" display="Transfers!$D$5"/>
    <hyperlink ref="B46" location="Transfers!$E$5" display="Transfers!$E$5"/>
    <hyperlink ref="B47" location="Transfers!$F$5" display="Transfers!$F$5"/>
    <hyperlink ref="B48" location="Transfers!$G$5" display="Transfers!$G$5"/>
    <hyperlink ref="B49" location="Transfers!$H$5" display="Transfers!$H$5"/>
    <hyperlink ref="B50" location="Transfers!$I$5" display="Transfers!$I$5"/>
    <hyperlink ref="B51" location="Transfers!$J$5" display="Transfers!$J$5"/>
    <hyperlink ref="B52" location="Transfers!$K$5" display="Transfers!$K$5"/>
    <hyperlink ref="B53" location="Transfers!$L$5" display="Transfers!$L$5"/>
    <hyperlink ref="B54" location="Transfers!$M$5" display="Transfers!$M$5"/>
    <hyperlink ref="B55" location="Transfers!$N$5" display="Transfers!$N$5"/>
    <hyperlink ref="B56" location="Transfers!$O$5" display="Transfers!$O$5"/>
    <hyperlink ref="B57" location="Transfers!$P$5" display="Transfers!$P$5"/>
    <hyperlink ref="B58" location="Transfers!$Q$5" display="Transfers!$Q$5"/>
    <hyperlink ref="B59" location="Transfers!$R$5" display="Transfers!$R$5"/>
    <hyperlink ref="B60" location="Transfers!$S$5" display="Transfers!$S$5"/>
    <hyperlink ref="B61" location="Transfers!$T$5" display="Transfers!$T$5"/>
    <hyperlink ref="B62" location="Transfers!$U$5" display="Transfers!$U$5"/>
    <hyperlink ref="B63" location="Transfers!$V$5" display="Transfers!$V$5"/>
    <hyperlink ref="B64" location="Transfers!$W$5" display="Transfers!$W$5"/>
    <hyperlink ref="B65" location="Transfers!$X$5" display="Transfers!$X$5"/>
    <hyperlink ref="B66" location="Transfers!$Y$5" display="Transfers!$Y$5"/>
    <hyperlink ref="B67" location="Transfers!$Z$5" display="Transfers!$Z$5"/>
    <hyperlink ref="B68" location="Transfers!$AA$5" display="Transfers!$AA$5"/>
    <hyperlink ref="B69" location="Transfers!$AB$5" display="Transfers!$AB$5"/>
    <hyperlink ref="B70" location="Transfers!$AC$5" display="Transfers!$AC$5"/>
    <hyperlink ref="B71" location="Transfers!$AD$5" display="Transfers!$AD$5"/>
    <hyperlink ref="B72" location="Transfers!$AE$5" display="Transfers!$AE$5"/>
    <hyperlink ref="B73" location="Transfers!$AF$5" display="Transfers!$AF$5"/>
    <hyperlink ref="B74" location="Transfers!$AG$5" display="Transfers!$AG$5"/>
    <hyperlink ref="B75" location="Transfers!$AH$5" display="Transfers!$AH$5"/>
    <hyperlink ref="B76" location="Transfers!$AI$5" display="Transfers!$AI$5"/>
    <hyperlink ref="B77" location="Transfers!$AJ$5" display="Transfers!$AJ$5"/>
    <hyperlink ref="B78" location="Transfers!$AK$5" display="Transfers!$AK$5"/>
    <hyperlink ref="B79" location="Transfers!$B$6" display="Transfers!$B$6"/>
    <hyperlink ref="B81" location="Transfers!$D$6" display="Transfers!$D$6"/>
    <hyperlink ref="B82" location="Transfers!$E$6" display="Transfers!$E$6"/>
    <hyperlink ref="B83" location="Transfers!$F$6" display="Transfers!$F$6"/>
    <hyperlink ref="B84" location="Transfers!$G$6" display="Transfers!$G$6"/>
    <hyperlink ref="B85" location="Transfers!$H$6" display="Transfers!$H$6"/>
    <hyperlink ref="B86" location="Transfers!$I$6" display="Transfers!$I$6"/>
    <hyperlink ref="B87" location="Transfers!$J$6" display="Transfers!$J$6"/>
    <hyperlink ref="B88" location="Transfers!$K$6" display="Transfers!$K$6"/>
    <hyperlink ref="B89" location="Transfers!$L$6" display="Transfers!$L$6"/>
    <hyperlink ref="B90" location="Transfers!$M$6" display="Transfers!$M$6"/>
    <hyperlink ref="B91" location="Transfers!$N$6" display="Transfers!$N$6"/>
    <hyperlink ref="B92" location="Transfers!$O$6" display="Transfers!$O$6"/>
    <hyperlink ref="B93" location="Transfers!$P$6" display="Transfers!$P$6"/>
    <hyperlink ref="B94" location="Transfers!$Q$6" display="Transfers!$Q$6"/>
    <hyperlink ref="B95" location="Transfers!$R$6" display="Transfers!$R$6"/>
    <hyperlink ref="B96" location="Transfers!$S$6" display="Transfers!$S$6"/>
    <hyperlink ref="B97" location="Transfers!$T$6" display="Transfers!$T$6"/>
    <hyperlink ref="B98" location="Transfers!$U$6" display="Transfers!$U$6"/>
    <hyperlink ref="B99" location="Transfers!$V$6" display="Transfers!$V$6"/>
    <hyperlink ref="B100" location="Transfers!$W$6" display="Transfers!$W$6"/>
    <hyperlink ref="B101" location="Transfers!$X$6" display="Transfers!$X$6"/>
    <hyperlink ref="B102" location="Transfers!$Y$6" display="Transfers!$Y$6"/>
    <hyperlink ref="B103" location="Transfers!$Z$6" display="Transfers!$Z$6"/>
    <hyperlink ref="B104" location="Transfers!$AA$6" display="Transfers!$AA$6"/>
    <hyperlink ref="B105" location="Transfers!$AB$6" display="Transfers!$AB$6"/>
    <hyperlink ref="B106" location="Transfers!$AC$6" display="Transfers!$AC$6"/>
    <hyperlink ref="B107" location="Transfers!$AD$6" display="Transfers!$AD$6"/>
    <hyperlink ref="B108" location="Transfers!$AE$6" display="Transfers!$AE$6"/>
    <hyperlink ref="B109" location="Transfers!$AF$6" display="Transfers!$AF$6"/>
    <hyperlink ref="B110" location="Transfers!$AG$6" display="Transfers!$AG$6"/>
    <hyperlink ref="B111" location="Transfers!$AH$6" display="Transfers!$AH$6"/>
    <hyperlink ref="B112" location="Transfers!$AI$6" display="Transfers!$AI$6"/>
    <hyperlink ref="B113" location="Transfers!$AJ$6" display="Transfers!$AJ$6"/>
    <hyperlink ref="B114" location="Transfers!$AK$6" display="Transfers!$AK$6"/>
    <hyperlink ref="B115" location="Transfers!$B$7" display="Transfers!$B$7"/>
    <hyperlink ref="B116" location="Transfers!$C$7" display="Transfers!$C$7"/>
    <hyperlink ref="B118" location="Transfers!$E$7" display="Transfers!$E$7"/>
    <hyperlink ref="B119" location="Transfers!$F$7" display="Transfers!$F$7"/>
    <hyperlink ref="B120" location="Transfers!$G$7" display="Transfers!$G$7"/>
    <hyperlink ref="B121" location="Transfers!$H$7" display="Transfers!$H$7"/>
    <hyperlink ref="B122" location="Transfers!$I$7" display="Transfers!$I$7"/>
    <hyperlink ref="B123" location="Transfers!$J$7" display="Transfers!$J$7"/>
    <hyperlink ref="B124" location="Transfers!$K$7" display="Transfers!$K$7"/>
    <hyperlink ref="B125" location="Transfers!$L$7" display="Transfers!$L$7"/>
    <hyperlink ref="B126" location="Transfers!$M$7" display="Transfers!$M$7"/>
    <hyperlink ref="B127" location="Transfers!$N$7" display="Transfers!$N$7"/>
    <hyperlink ref="B128" location="Transfers!$O$7" display="Transfers!$O$7"/>
    <hyperlink ref="B129" location="Transfers!$P$7" display="Transfers!$P$7"/>
    <hyperlink ref="B130" location="Transfers!$Q$7" display="Transfers!$Q$7"/>
    <hyperlink ref="B131" location="Transfers!$R$7" display="Transfers!$R$7"/>
    <hyperlink ref="B132" location="Transfers!$S$7" display="Transfers!$S$7"/>
    <hyperlink ref="B133" location="Transfers!$T$7" display="Transfers!$T$7"/>
    <hyperlink ref="B134" location="Transfers!$U$7" display="Transfers!$U$7"/>
    <hyperlink ref="B135" location="Transfers!$V$7" display="Transfers!$V$7"/>
    <hyperlink ref="B136" location="Transfers!$W$7" display="Transfers!$W$7"/>
    <hyperlink ref="B137" location="Transfers!$X$7" display="Transfers!$X$7"/>
    <hyperlink ref="B138" location="Transfers!$Y$7" display="Transfers!$Y$7"/>
    <hyperlink ref="B139" location="Transfers!$Z$7" display="Transfers!$Z$7"/>
    <hyperlink ref="B140" location="Transfers!$AA$7" display="Transfers!$AA$7"/>
    <hyperlink ref="B141" location="Transfers!$AB$7" display="Transfers!$AB$7"/>
    <hyperlink ref="B142" location="Transfers!$AC$7" display="Transfers!$AC$7"/>
    <hyperlink ref="B143" location="Transfers!$AD$7" display="Transfers!$AD$7"/>
    <hyperlink ref="B144" location="Transfers!$AE$7" display="Transfers!$AE$7"/>
    <hyperlink ref="B145" location="Transfers!$AF$7" display="Transfers!$AF$7"/>
    <hyperlink ref="B146" location="Transfers!$AG$7" display="Transfers!$AG$7"/>
    <hyperlink ref="B147" location="Transfers!$AH$7" display="Transfers!$AH$7"/>
    <hyperlink ref="B148" location="Transfers!$AI$7" display="Transfers!$AI$7"/>
    <hyperlink ref="B149" location="Transfers!$AJ$7" display="Transfers!$AJ$7"/>
    <hyperlink ref="B150" location="Transfers!$AK$7" display="Transfers!$AK$7"/>
    <hyperlink ref="B151" location="Transfers!$B$8" display="Transfers!$B$8"/>
    <hyperlink ref="B152" location="Transfers!$C$8" display="Transfers!$C$8"/>
    <hyperlink ref="B153" location="Transfers!$D$8" display="Transfers!$D$8"/>
    <hyperlink ref="B155" location="Transfers!$F$8" display="Transfers!$F$8"/>
    <hyperlink ref="B156" location="Transfers!$G$8" display="Transfers!$G$8"/>
    <hyperlink ref="B157" location="Transfers!$H$8" display="Transfers!$H$8"/>
    <hyperlink ref="B158" location="Transfers!$I$8" display="Transfers!$I$8"/>
    <hyperlink ref="B159" location="Transfers!$J$8" display="Transfers!$J$8"/>
    <hyperlink ref="B160" location="Transfers!$K$8" display="Transfers!$K$8"/>
    <hyperlink ref="B161" location="Transfers!$L$8" display="Transfers!$L$8"/>
    <hyperlink ref="B162" location="Transfers!$M$8" display="Transfers!$M$8"/>
    <hyperlink ref="B163" location="Transfers!$N$8" display="Transfers!$N$8"/>
    <hyperlink ref="B164" location="Transfers!$O$8" display="Transfers!$O$8"/>
    <hyperlink ref="B165" location="Transfers!$P$8" display="Transfers!$P$8"/>
    <hyperlink ref="B166" location="Transfers!$Q$8" display="Transfers!$Q$8"/>
    <hyperlink ref="B167" location="Transfers!$R$8" display="Transfers!$R$8"/>
    <hyperlink ref="B168" location="Transfers!$S$8" display="Transfers!$S$8"/>
    <hyperlink ref="B169" location="Transfers!$T$8" display="Transfers!$T$8"/>
    <hyperlink ref="B170" location="Transfers!$U$8" display="Transfers!$U$8"/>
    <hyperlink ref="B171" location="Transfers!$V$8" display="Transfers!$V$8"/>
    <hyperlink ref="B172" location="Transfers!$W$8" display="Transfers!$W$8"/>
    <hyperlink ref="B173" location="Transfers!$X$8" display="Transfers!$X$8"/>
    <hyperlink ref="B174" location="Transfers!$Y$8" display="Transfers!$Y$8"/>
    <hyperlink ref="B175" location="Transfers!$Z$8" display="Transfers!$Z$8"/>
    <hyperlink ref="B176" location="Transfers!$AA$8" display="Transfers!$AA$8"/>
    <hyperlink ref="B177" location="Transfers!$AB$8" display="Transfers!$AB$8"/>
    <hyperlink ref="B178" location="Transfers!$AC$8" display="Transfers!$AC$8"/>
    <hyperlink ref="B179" location="Transfers!$AD$8" display="Transfers!$AD$8"/>
    <hyperlink ref="B180" location="Transfers!$AE$8" display="Transfers!$AE$8"/>
    <hyperlink ref="B181" location="Transfers!$AF$8" display="Transfers!$AF$8"/>
    <hyperlink ref="B182" location="Transfers!$AG$8" display="Transfers!$AG$8"/>
    <hyperlink ref="B183" location="Transfers!$AH$8" display="Transfers!$AH$8"/>
    <hyperlink ref="B184" location="Transfers!$AI$8" display="Transfers!$AI$8"/>
    <hyperlink ref="B185" location="Transfers!$AJ$8" display="Transfers!$AJ$8"/>
    <hyperlink ref="B186" location="Transfers!$AK$8" display="Transfers!$AK$8"/>
    <hyperlink ref="B187" location="Transfers!$B$9" display="Transfers!$B$9"/>
    <hyperlink ref="B188" location="Transfers!$C$9" display="Transfers!$C$9"/>
    <hyperlink ref="B189" location="Transfers!$D$9" display="Transfers!$D$9"/>
    <hyperlink ref="B190" location="Transfers!$E$9" display="Transfers!$E$9"/>
    <hyperlink ref="B192" location="Transfers!$G$9" display="Transfers!$G$9"/>
    <hyperlink ref="B193" location="Transfers!$H$9" display="Transfers!$H$9"/>
    <hyperlink ref="B194" location="Transfers!$I$9" display="Transfers!$I$9"/>
    <hyperlink ref="B195" location="Transfers!$J$9" display="Transfers!$J$9"/>
    <hyperlink ref="B196" location="Transfers!$K$9" display="Transfers!$K$9"/>
    <hyperlink ref="B197" location="Transfers!$L$9" display="Transfers!$L$9"/>
    <hyperlink ref="B198" location="Transfers!$M$9" display="Transfers!$M$9"/>
    <hyperlink ref="B199" location="Transfers!$N$9" display="Transfers!$N$9"/>
    <hyperlink ref="B200" location="Transfers!$O$9" display="Transfers!$O$9"/>
    <hyperlink ref="B201" location="Transfers!$P$9" display="Transfers!$P$9"/>
    <hyperlink ref="B202" location="Transfers!$Q$9" display="Transfers!$Q$9"/>
    <hyperlink ref="B203" location="Transfers!$R$9" display="Transfers!$R$9"/>
    <hyperlink ref="B204" location="Transfers!$S$9" display="Transfers!$S$9"/>
    <hyperlink ref="B205" location="Transfers!$T$9" display="Transfers!$T$9"/>
    <hyperlink ref="B206" location="Transfers!$U$9" display="Transfers!$U$9"/>
    <hyperlink ref="B207" location="Transfers!$V$9" display="Transfers!$V$9"/>
    <hyperlink ref="B208" location="Transfers!$W$9" display="Transfers!$W$9"/>
    <hyperlink ref="B209" location="Transfers!$X$9" display="Transfers!$X$9"/>
    <hyperlink ref="B210" location="Transfers!$Y$9" display="Transfers!$Y$9"/>
    <hyperlink ref="B211" location="Transfers!$Z$9" display="Transfers!$Z$9"/>
    <hyperlink ref="B212" location="Transfers!$AA$9" display="Transfers!$AA$9"/>
    <hyperlink ref="B213" location="Transfers!$AB$9" display="Transfers!$AB$9"/>
    <hyperlink ref="B214" location="Transfers!$AC$9" display="Transfers!$AC$9"/>
    <hyperlink ref="B215" location="Transfers!$AD$9" display="Transfers!$AD$9"/>
    <hyperlink ref="B216" location="Transfers!$AE$9" display="Transfers!$AE$9"/>
    <hyperlink ref="B217" location="Transfers!$AF$9" display="Transfers!$AF$9"/>
    <hyperlink ref="B218" location="Transfers!$AG$9" display="Transfers!$AG$9"/>
    <hyperlink ref="B219" location="Transfers!$AH$9" display="Transfers!$AH$9"/>
    <hyperlink ref="B220" location="Transfers!$AI$9" display="Transfers!$AI$9"/>
    <hyperlink ref="B221" location="Transfers!$AJ$9" display="Transfers!$AJ$9"/>
    <hyperlink ref="B222" location="Transfers!$AK$9" display="Transfers!$AK$9"/>
    <hyperlink ref="B223" location="Transfers!$B$10" display="Transfers!$B$10"/>
    <hyperlink ref="B224" location="Transfers!$C$10" display="Transfers!$C$10"/>
    <hyperlink ref="B225" location="Transfers!$D$10" display="Transfers!$D$10"/>
    <hyperlink ref="B226" location="Transfers!$E$10" display="Transfers!$E$10"/>
    <hyperlink ref="B227" location="Transfers!$F$10" display="Transfers!$F$10"/>
    <hyperlink ref="B229" location="Transfers!$H$10" display="Transfers!$H$10"/>
    <hyperlink ref="B230" location="Transfers!$I$10" display="Transfers!$I$10"/>
    <hyperlink ref="B231" location="Transfers!$J$10" display="Transfers!$J$10"/>
    <hyperlink ref="B232" location="Transfers!$K$10" display="Transfers!$K$10"/>
    <hyperlink ref="B233" location="Transfers!$L$10" display="Transfers!$L$10"/>
    <hyperlink ref="B234" location="Transfers!$M$10" display="Transfers!$M$10"/>
    <hyperlink ref="B235" location="Transfers!$N$10" display="Transfers!$N$10"/>
    <hyperlink ref="B236" location="Transfers!$O$10" display="Transfers!$O$10"/>
    <hyperlink ref="B237" location="Transfers!$P$10" display="Transfers!$P$10"/>
    <hyperlink ref="B238" location="Transfers!$Q$10" display="Transfers!$Q$10"/>
    <hyperlink ref="B239" location="Transfers!$R$10" display="Transfers!$R$10"/>
    <hyperlink ref="B240" location="Transfers!$S$10" display="Transfers!$S$10"/>
    <hyperlink ref="B241" location="Transfers!$T$10" display="Transfers!$T$10"/>
    <hyperlink ref="B242" location="Transfers!$U$10" display="Transfers!$U$10"/>
    <hyperlink ref="B243" location="Transfers!$V$10" display="Transfers!$V$10"/>
    <hyperlink ref="B244" location="Transfers!$W$10" display="Transfers!$W$10"/>
    <hyperlink ref="B245" location="Transfers!$X$10" display="Transfers!$X$10"/>
    <hyperlink ref="B246" location="Transfers!$Y$10" display="Transfers!$Y$10"/>
    <hyperlink ref="B247" location="Transfers!$Z$10" display="Transfers!$Z$10"/>
    <hyperlink ref="B248" location="Transfers!$AA$10" display="Transfers!$AA$10"/>
    <hyperlink ref="B249" location="Transfers!$AB$10" display="Transfers!$AB$10"/>
    <hyperlink ref="B250" location="Transfers!$AC$10" display="Transfers!$AC$10"/>
    <hyperlink ref="B251" location="Transfers!$AD$10" display="Transfers!$AD$10"/>
    <hyperlink ref="B252" location="Transfers!$AE$10" display="Transfers!$AE$10"/>
    <hyperlink ref="B253" location="Transfers!$AF$10" display="Transfers!$AF$10"/>
    <hyperlink ref="B254" location="Transfers!$AG$10" display="Transfers!$AG$10"/>
    <hyperlink ref="B255" location="Transfers!$AH$10" display="Transfers!$AH$10"/>
    <hyperlink ref="B256" location="Transfers!$AI$10" display="Transfers!$AI$10"/>
    <hyperlink ref="B257" location="Transfers!$AJ$10" display="Transfers!$AJ$10"/>
    <hyperlink ref="B258" location="Transfers!$AK$10" display="Transfers!$AK$10"/>
    <hyperlink ref="B259" location="Transfers!$B$11" display="Transfers!$B$11"/>
    <hyperlink ref="B260" location="Transfers!$C$11" display="Transfers!$C$11"/>
    <hyperlink ref="B261" location="Transfers!$D$11" display="Transfers!$D$11"/>
    <hyperlink ref="B262" location="Transfers!$E$11" display="Transfers!$E$11"/>
    <hyperlink ref="B263" location="Transfers!$F$11" display="Transfers!$F$11"/>
    <hyperlink ref="B264" location="Transfers!$G$11" display="Transfers!$G$11"/>
    <hyperlink ref="B266" location="Transfers!$I$11" display="Transfers!$I$11"/>
    <hyperlink ref="B267" location="Transfers!$J$11" display="Transfers!$J$11"/>
    <hyperlink ref="B268" location="Transfers!$K$11" display="Transfers!$K$11"/>
    <hyperlink ref="B269" location="Transfers!$L$11" display="Transfers!$L$11"/>
    <hyperlink ref="B270" location="Transfers!$M$11" display="Transfers!$M$11"/>
    <hyperlink ref="B271" location="Transfers!$N$11" display="Transfers!$N$11"/>
    <hyperlink ref="B272" location="Transfers!$O$11" display="Transfers!$O$11"/>
    <hyperlink ref="B273" location="Transfers!$P$11" display="Transfers!$P$11"/>
    <hyperlink ref="B274" location="Transfers!$Q$11" display="Transfers!$Q$11"/>
    <hyperlink ref="B275" location="Transfers!$R$11" display="Transfers!$R$11"/>
    <hyperlink ref="B276" location="Transfers!$S$11" display="Transfers!$S$11"/>
    <hyperlink ref="B277" location="Transfers!$T$11" display="Transfers!$T$11"/>
    <hyperlink ref="B278" location="Transfers!$U$11" display="Transfers!$U$11"/>
    <hyperlink ref="B279" location="Transfers!$V$11" display="Transfers!$V$11"/>
    <hyperlink ref="B280" location="Transfers!$W$11" display="Transfers!$W$11"/>
    <hyperlink ref="B281" location="Transfers!$X$11" display="Transfers!$X$11"/>
    <hyperlink ref="B282" location="Transfers!$Y$11" display="Transfers!$Y$11"/>
    <hyperlink ref="B283" location="Transfers!$Z$11" display="Transfers!$Z$11"/>
    <hyperlink ref="B284" location="Transfers!$AA$11" display="Transfers!$AA$11"/>
    <hyperlink ref="B285" location="Transfers!$AB$11" display="Transfers!$AB$11"/>
    <hyperlink ref="B286" location="Transfers!$AC$11" display="Transfers!$AC$11"/>
    <hyperlink ref="B287" location="Transfers!$AD$11" display="Transfers!$AD$11"/>
    <hyperlink ref="B288" location="Transfers!$AE$11" display="Transfers!$AE$11"/>
    <hyperlink ref="B289" location="Transfers!$AF$11" display="Transfers!$AF$11"/>
    <hyperlink ref="B290" location="Transfers!$AG$11" display="Transfers!$AG$11"/>
    <hyperlink ref="B291" location="Transfers!$AH$11" display="Transfers!$AH$11"/>
    <hyperlink ref="B292" location="Transfers!$AI$11" display="Transfers!$AI$11"/>
    <hyperlink ref="B293" location="Transfers!$AJ$11" display="Transfers!$AJ$11"/>
    <hyperlink ref="B294" location="Transfers!$AK$11" display="Transfers!$AK$11"/>
    <hyperlink ref="B295" location="Transfers!$B$12" display="Transfers!$B$12"/>
    <hyperlink ref="B296" location="Transfers!$C$12" display="Transfers!$C$12"/>
    <hyperlink ref="B297" location="Transfers!$D$12" display="Transfers!$D$12"/>
    <hyperlink ref="B298" location="Transfers!$E$12" display="Transfers!$E$12"/>
    <hyperlink ref="B299" location="Transfers!$F$12" display="Transfers!$F$12"/>
    <hyperlink ref="B300" location="Transfers!$G$12" display="Transfers!$G$12"/>
    <hyperlink ref="B301" location="Transfers!$H$12" display="Transfers!$H$12"/>
    <hyperlink ref="B303" location="Transfers!$J$12" display="Transfers!$J$12"/>
    <hyperlink ref="B304" location="Transfers!$K$12" display="Transfers!$K$12"/>
    <hyperlink ref="B305" location="Transfers!$L$12" display="Transfers!$L$12"/>
    <hyperlink ref="B306" location="Transfers!$M$12" display="Transfers!$M$12"/>
    <hyperlink ref="B307" location="Transfers!$N$12" display="Transfers!$N$12"/>
    <hyperlink ref="B308" location="Transfers!$O$12" display="Transfers!$O$12"/>
    <hyperlink ref="B309" location="Transfers!$P$12" display="Transfers!$P$12"/>
    <hyperlink ref="B310" location="Transfers!$Q$12" display="Transfers!$Q$12"/>
    <hyperlink ref="B311" location="Transfers!$R$12" display="Transfers!$R$12"/>
    <hyperlink ref="B312" location="Transfers!$S$12" display="Transfers!$S$12"/>
    <hyperlink ref="B313" location="Transfers!$T$12" display="Transfers!$T$12"/>
    <hyperlink ref="B314" location="Transfers!$U$12" display="Transfers!$U$12"/>
    <hyperlink ref="B315" location="Transfers!$V$12" display="Transfers!$V$12"/>
    <hyperlink ref="B316" location="Transfers!$W$12" display="Transfers!$W$12"/>
    <hyperlink ref="B317" location="Transfers!$X$12" display="Transfers!$X$12"/>
    <hyperlink ref="B318" location="Transfers!$Y$12" display="Transfers!$Y$12"/>
    <hyperlink ref="B319" location="Transfers!$Z$12" display="Transfers!$Z$12"/>
    <hyperlink ref="B320" location="Transfers!$AA$12" display="Transfers!$AA$12"/>
    <hyperlink ref="B321" location="Transfers!$AB$12" display="Transfers!$AB$12"/>
    <hyperlink ref="B322" location="Transfers!$AC$12" display="Transfers!$AC$12"/>
    <hyperlink ref="B323" location="Transfers!$AD$12" display="Transfers!$AD$12"/>
    <hyperlink ref="B324" location="Transfers!$AE$12" display="Transfers!$AE$12"/>
    <hyperlink ref="B325" location="Transfers!$AF$12" display="Transfers!$AF$12"/>
    <hyperlink ref="B326" location="Transfers!$AG$12" display="Transfers!$AG$12"/>
    <hyperlink ref="B327" location="Transfers!$AH$12" display="Transfers!$AH$12"/>
    <hyperlink ref="B328" location="Transfers!$AI$12" display="Transfers!$AI$12"/>
    <hyperlink ref="B329" location="Transfers!$AJ$12" display="Transfers!$AJ$12"/>
    <hyperlink ref="B330" location="Transfers!$AK$12" display="Transfers!$AK$12"/>
    <hyperlink ref="B331" location="Transfers!$B$13" display="Transfers!$B$13"/>
    <hyperlink ref="B332" location="Transfers!$C$13" display="Transfers!$C$13"/>
    <hyperlink ref="B333" location="Transfers!$D$13" display="Transfers!$D$13"/>
    <hyperlink ref="B334" location="Transfers!$E$13" display="Transfers!$E$13"/>
    <hyperlink ref="B335" location="Transfers!$F$13" display="Transfers!$F$13"/>
    <hyperlink ref="B336" location="Transfers!$G$13" display="Transfers!$G$13"/>
    <hyperlink ref="B337" location="Transfers!$H$13" display="Transfers!$H$13"/>
    <hyperlink ref="B338" location="Transfers!$I$13" display="Transfers!$I$13"/>
    <hyperlink ref="B340" location="Transfers!$K$13" display="Transfers!$K$13"/>
    <hyperlink ref="B341" location="Transfers!$L$13" display="Transfers!$L$13"/>
    <hyperlink ref="B342" location="Transfers!$M$13" display="Transfers!$M$13"/>
    <hyperlink ref="B343" location="Transfers!$N$13" display="Transfers!$N$13"/>
    <hyperlink ref="B344" location="Transfers!$O$13" display="Transfers!$O$13"/>
    <hyperlink ref="B345" location="Transfers!$P$13" display="Transfers!$P$13"/>
    <hyperlink ref="B346" location="Transfers!$Q$13" display="Transfers!$Q$13"/>
    <hyperlink ref="B347" location="Transfers!$R$13" display="Transfers!$R$13"/>
    <hyperlink ref="B348" location="Transfers!$S$13" display="Transfers!$S$13"/>
    <hyperlink ref="B349" location="Transfers!$T$13" display="Transfers!$T$13"/>
    <hyperlink ref="B350" location="Transfers!$U$13" display="Transfers!$U$13"/>
    <hyperlink ref="B351" location="Transfers!$V$13" display="Transfers!$V$13"/>
    <hyperlink ref="B352" location="Transfers!$W$13" display="Transfers!$W$13"/>
    <hyperlink ref="B353" location="Transfers!$X$13" display="Transfers!$X$13"/>
    <hyperlink ref="B354" location="Transfers!$Y$13" display="Transfers!$Y$13"/>
    <hyperlink ref="B355" location="Transfers!$Z$13" display="Transfers!$Z$13"/>
    <hyperlink ref="B356" location="Transfers!$AA$13" display="Transfers!$AA$13"/>
    <hyperlink ref="B357" location="Transfers!$AB$13" display="Transfers!$AB$13"/>
    <hyperlink ref="B358" location="Transfers!$AC$13" display="Transfers!$AC$13"/>
    <hyperlink ref="B359" location="Transfers!$AD$13" display="Transfers!$AD$13"/>
    <hyperlink ref="B360" location="Transfers!$AE$13" display="Transfers!$AE$13"/>
    <hyperlink ref="B361" location="Transfers!$AF$13" display="Transfers!$AF$13"/>
    <hyperlink ref="B362" location="Transfers!$AG$13" display="Transfers!$AG$13"/>
    <hyperlink ref="B363" location="Transfers!$AH$13" display="Transfers!$AH$13"/>
    <hyperlink ref="B364" location="Transfers!$AI$13" display="Transfers!$AI$13"/>
    <hyperlink ref="B365" location="Transfers!$AJ$13" display="Transfers!$AJ$13"/>
    <hyperlink ref="B366" location="Transfers!$AK$13" display="Transfers!$AK$13"/>
    <hyperlink ref="B367" location="Transfers!$B$14" display="Transfers!$B$14"/>
    <hyperlink ref="B368" location="Transfers!$C$14" display="Transfers!$C$14"/>
    <hyperlink ref="B369" location="Transfers!$D$14" display="Transfers!$D$14"/>
    <hyperlink ref="B370" location="Transfers!$E$14" display="Transfers!$E$14"/>
    <hyperlink ref="B371" location="Transfers!$F$14" display="Transfers!$F$14"/>
    <hyperlink ref="B372" location="Transfers!$G$14" display="Transfers!$G$14"/>
    <hyperlink ref="B373" location="Transfers!$H$14" display="Transfers!$H$14"/>
    <hyperlink ref="B374" location="Transfers!$I$14" display="Transfers!$I$14"/>
    <hyperlink ref="B375" location="Transfers!$J$14" display="Transfers!$J$14"/>
    <hyperlink ref="B377" location="Transfers!$L$14" display="Transfers!$L$14"/>
    <hyperlink ref="B378" location="Transfers!$M$14" display="Transfers!$M$14"/>
    <hyperlink ref="B379" location="Transfers!$N$14" display="Transfers!$N$14"/>
    <hyperlink ref="B380" location="Transfers!$O$14" display="Transfers!$O$14"/>
    <hyperlink ref="B381" location="Transfers!$P$14" display="Transfers!$P$14"/>
    <hyperlink ref="B382" location="Transfers!$Q$14" display="Transfers!$Q$14"/>
    <hyperlink ref="B383" location="Transfers!$R$14" display="Transfers!$R$14"/>
    <hyperlink ref="B384" location="Transfers!$S$14" display="Transfers!$S$14"/>
    <hyperlink ref="B385" location="Transfers!$T$14" display="Transfers!$T$14"/>
    <hyperlink ref="B386" location="Transfers!$U$14" display="Transfers!$U$14"/>
    <hyperlink ref="B387" location="Transfers!$V$14" display="Transfers!$V$14"/>
    <hyperlink ref="B388" location="Transfers!$W$14" display="Transfers!$W$14"/>
    <hyperlink ref="B389" location="Transfers!$X$14" display="Transfers!$X$14"/>
    <hyperlink ref="B390" location="Transfers!$Y$14" display="Transfers!$Y$14"/>
    <hyperlink ref="B391" location="Transfers!$Z$14" display="Transfers!$Z$14"/>
    <hyperlink ref="B392" location="Transfers!$AA$14" display="Transfers!$AA$14"/>
    <hyperlink ref="B393" location="Transfers!$AB$14" display="Transfers!$AB$14"/>
    <hyperlink ref="B394" location="Transfers!$AC$14" display="Transfers!$AC$14"/>
    <hyperlink ref="B395" location="Transfers!$AD$14" display="Transfers!$AD$14"/>
    <hyperlink ref="B396" location="Transfers!$AE$14" display="Transfers!$AE$14"/>
    <hyperlink ref="B397" location="Transfers!$AF$14" display="Transfers!$AF$14"/>
    <hyperlink ref="B398" location="Transfers!$AG$14" display="Transfers!$AG$14"/>
    <hyperlink ref="B399" location="Transfers!$AH$14" display="Transfers!$AH$14"/>
    <hyperlink ref="B400" location="Transfers!$AI$14" display="Transfers!$AI$14"/>
    <hyperlink ref="B401" location="Transfers!$AJ$14" display="Transfers!$AJ$14"/>
    <hyperlink ref="B402" location="Transfers!$AK$14" display="Transfers!$AK$14"/>
    <hyperlink ref="B403" location="Transfers!$B$15" display="Transfers!$B$15"/>
    <hyperlink ref="B404" location="Transfers!$C$15" display="Transfers!$C$15"/>
    <hyperlink ref="B405" location="Transfers!$D$15" display="Transfers!$D$15"/>
    <hyperlink ref="B406" location="Transfers!$E$15" display="Transfers!$E$15"/>
    <hyperlink ref="B407" location="Transfers!$F$15" display="Transfers!$F$15"/>
    <hyperlink ref="B408" location="Transfers!$G$15" display="Transfers!$G$15"/>
    <hyperlink ref="B409" location="Transfers!$H$15" display="Transfers!$H$15"/>
    <hyperlink ref="B410" location="Transfers!$I$15" display="Transfers!$I$15"/>
    <hyperlink ref="B411" location="Transfers!$J$15" display="Transfers!$J$15"/>
    <hyperlink ref="B412" location="Transfers!$K$15" display="Transfers!$K$15"/>
    <hyperlink ref="B414" location="Transfers!$M$15" display="Transfers!$M$15"/>
    <hyperlink ref="B415" location="Transfers!$N$15" display="Transfers!$N$15"/>
    <hyperlink ref="B416" location="Transfers!$O$15" display="Transfers!$O$15"/>
    <hyperlink ref="B417" location="Transfers!$P$15" display="Transfers!$P$15"/>
    <hyperlink ref="B418" location="Transfers!$Q$15" display="Transfers!$Q$15"/>
    <hyperlink ref="B419" location="Transfers!$R$15" display="Transfers!$R$15"/>
    <hyperlink ref="B420" location="Transfers!$S$15" display="Transfers!$S$15"/>
    <hyperlink ref="B421" location="Transfers!$T$15" display="Transfers!$T$15"/>
    <hyperlink ref="B422" location="Transfers!$U$15" display="Transfers!$U$15"/>
    <hyperlink ref="B423" location="Transfers!$V$15" display="Transfers!$V$15"/>
    <hyperlink ref="B424" location="Transfers!$W$15" display="Transfers!$W$15"/>
    <hyperlink ref="B425" location="Transfers!$X$15" display="Transfers!$X$15"/>
    <hyperlink ref="B426" location="Transfers!$Y$15" display="Transfers!$Y$15"/>
    <hyperlink ref="B427" location="Transfers!$Z$15" display="Transfers!$Z$15"/>
    <hyperlink ref="B428" location="Transfers!$AA$15" display="Transfers!$AA$15"/>
    <hyperlink ref="B429" location="Transfers!$AB$15" display="Transfers!$AB$15"/>
    <hyperlink ref="B430" location="Transfers!$AC$15" display="Transfers!$AC$15"/>
    <hyperlink ref="B431" location="Transfers!$AD$15" display="Transfers!$AD$15"/>
    <hyperlink ref="B432" location="Transfers!$AE$15" display="Transfers!$AE$15"/>
    <hyperlink ref="B433" location="Transfers!$AF$15" display="Transfers!$AF$15"/>
    <hyperlink ref="B434" location="Transfers!$AG$15" display="Transfers!$AG$15"/>
    <hyperlink ref="B435" location="Transfers!$AH$15" display="Transfers!$AH$15"/>
    <hyperlink ref="B436" location="Transfers!$AI$15" display="Transfers!$AI$15"/>
    <hyperlink ref="B437" location="Transfers!$AJ$15" display="Transfers!$AJ$15"/>
    <hyperlink ref="B438" location="Transfers!$AK$15" display="Transfers!$AK$15"/>
    <hyperlink ref="B439" location="Transfers!$B$16" display="Transfers!$B$16"/>
    <hyperlink ref="B440" location="Transfers!$C$16" display="Transfers!$C$16"/>
    <hyperlink ref="B441" location="Transfers!$D$16" display="Transfers!$D$16"/>
    <hyperlink ref="B442" location="Transfers!$E$16" display="Transfers!$E$16"/>
    <hyperlink ref="B443" location="Transfers!$F$16" display="Transfers!$F$16"/>
    <hyperlink ref="B444" location="Transfers!$G$16" display="Transfers!$G$16"/>
    <hyperlink ref="B445" location="Transfers!$H$16" display="Transfers!$H$16"/>
    <hyperlink ref="B446" location="Transfers!$I$16" display="Transfers!$I$16"/>
    <hyperlink ref="B447" location="Transfers!$J$16" display="Transfers!$J$16"/>
    <hyperlink ref="B448" location="Transfers!$K$16" display="Transfers!$K$16"/>
    <hyperlink ref="B449" location="Transfers!$L$16" display="Transfers!$L$16"/>
    <hyperlink ref="B451" location="Transfers!$N$16" display="Transfers!$N$16"/>
    <hyperlink ref="B452" location="Transfers!$O$16" display="Transfers!$O$16"/>
    <hyperlink ref="B453" location="Transfers!$P$16" display="Transfers!$P$16"/>
    <hyperlink ref="B454" location="Transfers!$Q$16" display="Transfers!$Q$16"/>
    <hyperlink ref="B455" location="Transfers!$R$16" display="Transfers!$R$16"/>
    <hyperlink ref="B456" location="Transfers!$S$16" display="Transfers!$S$16"/>
    <hyperlink ref="B457" location="Transfers!$T$16" display="Transfers!$T$16"/>
    <hyperlink ref="B458" location="Transfers!$U$16" display="Transfers!$U$16"/>
    <hyperlink ref="B459" location="Transfers!$V$16" display="Transfers!$V$16"/>
    <hyperlink ref="B460" location="Transfers!$W$16" display="Transfers!$W$16"/>
    <hyperlink ref="B461" location="Transfers!$X$16" display="Transfers!$X$16"/>
    <hyperlink ref="B462" location="Transfers!$Y$16" display="Transfers!$Y$16"/>
    <hyperlink ref="B463" location="Transfers!$Z$16" display="Transfers!$Z$16"/>
    <hyperlink ref="B464" location="Transfers!$AA$16" display="Transfers!$AA$16"/>
    <hyperlink ref="B465" location="Transfers!$AB$16" display="Transfers!$AB$16"/>
    <hyperlink ref="B466" location="Transfers!$AC$16" display="Transfers!$AC$16"/>
    <hyperlink ref="B467" location="Transfers!$AD$16" display="Transfers!$AD$16"/>
    <hyperlink ref="B468" location="Transfers!$AE$16" display="Transfers!$AE$16"/>
    <hyperlink ref="B469" location="Transfers!$AF$16" display="Transfers!$AF$16"/>
    <hyperlink ref="B470" location="Transfers!$AG$16" display="Transfers!$AG$16"/>
    <hyperlink ref="B471" location="Transfers!$AH$16" display="Transfers!$AH$16"/>
    <hyperlink ref="B472" location="Transfers!$AI$16" display="Transfers!$AI$16"/>
    <hyperlink ref="B473" location="Transfers!$AJ$16" display="Transfers!$AJ$16"/>
    <hyperlink ref="B474" location="Transfers!$AK$16" display="Transfers!$AK$16"/>
    <hyperlink ref="B475" location="Transfers!$B$17" display="Transfers!$B$17"/>
    <hyperlink ref="B476" location="Transfers!$C$17" display="Transfers!$C$17"/>
    <hyperlink ref="B477" location="Transfers!$D$17" display="Transfers!$D$17"/>
    <hyperlink ref="B478" location="Transfers!$E$17" display="Transfers!$E$17"/>
    <hyperlink ref="B479" location="Transfers!$F$17" display="Transfers!$F$17"/>
    <hyperlink ref="B480" location="Transfers!$G$17" display="Transfers!$G$17"/>
    <hyperlink ref="B481" location="Transfers!$H$17" display="Transfers!$H$17"/>
    <hyperlink ref="B482" location="Transfers!$I$17" display="Transfers!$I$17"/>
    <hyperlink ref="B483" location="Transfers!$J$17" display="Transfers!$J$17"/>
    <hyperlink ref="B484" location="Transfers!$K$17" display="Transfers!$K$17"/>
    <hyperlink ref="B485" location="Transfers!$L$17" display="Transfers!$L$17"/>
    <hyperlink ref="B486" location="Transfers!$M$17" display="Transfers!$M$17"/>
    <hyperlink ref="B488" location="Transfers!$O$17" display="Transfers!$O$17"/>
    <hyperlink ref="B489" location="Transfers!$P$17" display="Transfers!$P$17"/>
    <hyperlink ref="B490" location="Transfers!$Q$17" display="Transfers!$Q$17"/>
    <hyperlink ref="B491" location="Transfers!$R$17" display="Transfers!$R$17"/>
    <hyperlink ref="B492" location="Transfers!$S$17" display="Transfers!$S$17"/>
    <hyperlink ref="B493" location="Transfers!$T$17" display="Transfers!$T$17"/>
    <hyperlink ref="B494" location="Transfers!$U$17" display="Transfers!$U$17"/>
    <hyperlink ref="B495" location="Transfers!$V$17" display="Transfers!$V$17"/>
    <hyperlink ref="B496" location="Transfers!$W$17" display="Transfers!$W$17"/>
    <hyperlink ref="B497" location="Transfers!$X$17" display="Transfers!$X$17"/>
    <hyperlink ref="B498" location="Transfers!$Y$17" display="Transfers!$Y$17"/>
    <hyperlink ref="B499" location="Transfers!$Z$17" display="Transfers!$Z$17"/>
    <hyperlink ref="B500" location="Transfers!$AA$17" display="Transfers!$AA$17"/>
    <hyperlink ref="B501" location="Transfers!$AB$17" display="Transfers!$AB$17"/>
    <hyperlink ref="B502" location="Transfers!$AC$17" display="Transfers!$AC$17"/>
    <hyperlink ref="B503" location="Transfers!$AD$17" display="Transfers!$AD$17"/>
    <hyperlink ref="B504" location="Transfers!$AE$17" display="Transfers!$AE$17"/>
    <hyperlink ref="B505" location="Transfers!$AF$17" display="Transfers!$AF$17"/>
    <hyperlink ref="B506" location="Transfers!$AG$17" display="Transfers!$AG$17"/>
    <hyperlink ref="B507" location="Transfers!$AH$17" display="Transfers!$AH$17"/>
    <hyperlink ref="B508" location="Transfers!$AI$17" display="Transfers!$AI$17"/>
    <hyperlink ref="B509" location="Transfers!$AJ$17" display="Transfers!$AJ$17"/>
    <hyperlink ref="B510" location="Transfers!$AK$17" display="Transfers!$AK$17"/>
    <hyperlink ref="B511" location="Transfers!$B$18" display="Transfers!$B$18"/>
    <hyperlink ref="B512" location="Transfers!$C$18" display="Transfers!$C$18"/>
    <hyperlink ref="B513" location="Transfers!$D$18" display="Transfers!$D$18"/>
    <hyperlink ref="B514" location="Transfers!$E$18" display="Transfers!$E$18"/>
    <hyperlink ref="B515" location="Transfers!$F$18" display="Transfers!$F$18"/>
    <hyperlink ref="B516" location="Transfers!$G$18" display="Transfers!$G$18"/>
    <hyperlink ref="B517" location="Transfers!$H$18" display="Transfers!$H$18"/>
    <hyperlink ref="B518" location="Transfers!$I$18" display="Transfers!$I$18"/>
    <hyperlink ref="B519" location="Transfers!$J$18" display="Transfers!$J$18"/>
    <hyperlink ref="B520" location="Transfers!$K$18" display="Transfers!$K$18"/>
    <hyperlink ref="B521" location="Transfers!$L$18" display="Transfers!$L$18"/>
    <hyperlink ref="B522" location="Transfers!$M$18" display="Transfers!$M$18"/>
    <hyperlink ref="B523" location="Transfers!$N$18" display="Transfers!$N$18"/>
    <hyperlink ref="B525" location="Transfers!$P$18" display="Transfers!$P$18"/>
    <hyperlink ref="B526" location="Transfers!$Q$18" display="Transfers!$Q$18"/>
    <hyperlink ref="B527" location="Transfers!$R$18" display="Transfers!$R$18"/>
    <hyperlink ref="B528" location="Transfers!$S$18" display="Transfers!$S$18"/>
    <hyperlink ref="B529" location="Transfers!$T$18" display="Transfers!$T$18"/>
    <hyperlink ref="B530" location="Transfers!$U$18" display="Transfers!$U$18"/>
    <hyperlink ref="B531" location="Transfers!$V$18" display="Transfers!$V$18"/>
    <hyperlink ref="B532" location="Transfers!$W$18" display="Transfers!$W$18"/>
    <hyperlink ref="B533" location="Transfers!$X$18" display="Transfers!$X$18"/>
    <hyperlink ref="B534" location="Transfers!$Y$18" display="Transfers!$Y$18"/>
    <hyperlink ref="B535" location="Transfers!$Z$18" display="Transfers!$Z$18"/>
    <hyperlink ref="B536" location="Transfers!$AA$18" display="Transfers!$AA$18"/>
    <hyperlink ref="B537" location="Transfers!$AB$18" display="Transfers!$AB$18"/>
    <hyperlink ref="B538" location="Transfers!$AC$18" display="Transfers!$AC$18"/>
    <hyperlink ref="B539" location="Transfers!$AD$18" display="Transfers!$AD$18"/>
    <hyperlink ref="B540" location="Transfers!$AE$18" display="Transfers!$AE$18"/>
    <hyperlink ref="B541" location="Transfers!$AF$18" display="Transfers!$AF$18"/>
    <hyperlink ref="B542" location="Transfers!$AG$18" display="Transfers!$AG$18"/>
    <hyperlink ref="B543" location="Transfers!$AH$18" display="Transfers!$AH$18"/>
    <hyperlink ref="B544" location="Transfers!$AI$18" display="Transfers!$AI$18"/>
    <hyperlink ref="B545" location="Transfers!$AJ$18" display="Transfers!$AJ$18"/>
    <hyperlink ref="B546" location="Transfers!$AK$18" display="Transfers!$AK$18"/>
    <hyperlink ref="B547" location="Transfers!$B$19" display="Transfers!$B$19"/>
    <hyperlink ref="B548" location="Transfers!$C$19" display="Transfers!$C$19"/>
    <hyperlink ref="B549" location="Transfers!$D$19" display="Transfers!$D$19"/>
    <hyperlink ref="B550" location="Transfers!$E$19" display="Transfers!$E$19"/>
    <hyperlink ref="B551" location="Transfers!$F$19" display="Transfers!$F$19"/>
    <hyperlink ref="B552" location="Transfers!$G$19" display="Transfers!$G$19"/>
    <hyperlink ref="B553" location="Transfers!$H$19" display="Transfers!$H$19"/>
    <hyperlink ref="B554" location="Transfers!$I$19" display="Transfers!$I$19"/>
    <hyperlink ref="B555" location="Transfers!$J$19" display="Transfers!$J$19"/>
    <hyperlink ref="B556" location="Transfers!$K$19" display="Transfers!$K$19"/>
    <hyperlink ref="B557" location="Transfers!$L$19" display="Transfers!$L$19"/>
    <hyperlink ref="B558" location="Transfers!$M$19" display="Transfers!$M$19"/>
    <hyperlink ref="B559" location="Transfers!$N$19" display="Transfers!$N$19"/>
    <hyperlink ref="B560" location="Transfers!$O$19" display="Transfers!$O$19"/>
    <hyperlink ref="B562" location="Transfers!$Q$19" display="Transfers!$Q$19"/>
    <hyperlink ref="B563" location="Transfers!$R$19" display="Transfers!$R$19"/>
    <hyperlink ref="B564" location="Transfers!$S$19" display="Transfers!$S$19"/>
    <hyperlink ref="B565" location="Transfers!$T$19" display="Transfers!$T$19"/>
    <hyperlink ref="B566" location="Transfers!$U$19" display="Transfers!$U$19"/>
    <hyperlink ref="B567" location="Transfers!$V$19" display="Transfers!$V$19"/>
    <hyperlink ref="B568" location="Transfers!$W$19" display="Transfers!$W$19"/>
    <hyperlink ref="B569" location="Transfers!$X$19" display="Transfers!$X$19"/>
    <hyperlink ref="B570" location="Transfers!$Y$19" display="Transfers!$Y$19"/>
    <hyperlink ref="B571" location="Transfers!$Z$19" display="Transfers!$Z$19"/>
    <hyperlink ref="B572" location="Transfers!$AA$19" display="Transfers!$AA$19"/>
    <hyperlink ref="B573" location="Transfers!$AB$19" display="Transfers!$AB$19"/>
    <hyperlink ref="B574" location="Transfers!$AC$19" display="Transfers!$AC$19"/>
    <hyperlink ref="B575" location="Transfers!$AD$19" display="Transfers!$AD$19"/>
    <hyperlink ref="B576" location="Transfers!$AE$19" display="Transfers!$AE$19"/>
    <hyperlink ref="B577" location="Transfers!$AF$19" display="Transfers!$AF$19"/>
    <hyperlink ref="B578" location="Transfers!$AG$19" display="Transfers!$AG$19"/>
    <hyperlink ref="B579" location="Transfers!$AH$19" display="Transfers!$AH$19"/>
    <hyperlink ref="B580" location="Transfers!$AI$19" display="Transfers!$AI$19"/>
    <hyperlink ref="B581" location="Transfers!$AJ$19" display="Transfers!$AJ$19"/>
    <hyperlink ref="B582" location="Transfers!$AK$19" display="Transfers!$AK$19"/>
    <hyperlink ref="B583" location="Transfers!$B$20" display="Transfers!$B$20"/>
    <hyperlink ref="B584" location="Transfers!$C$20" display="Transfers!$C$20"/>
    <hyperlink ref="B585" location="Transfers!$D$20" display="Transfers!$D$20"/>
    <hyperlink ref="B586" location="Transfers!$E$20" display="Transfers!$E$20"/>
    <hyperlink ref="B587" location="Transfers!$F$20" display="Transfers!$F$20"/>
    <hyperlink ref="B588" location="Transfers!$G$20" display="Transfers!$G$20"/>
    <hyperlink ref="B589" location="Transfers!$H$20" display="Transfers!$H$20"/>
    <hyperlink ref="B590" location="Transfers!$I$20" display="Transfers!$I$20"/>
    <hyperlink ref="B591" location="Transfers!$J$20" display="Transfers!$J$20"/>
    <hyperlink ref="B592" location="Transfers!$K$20" display="Transfers!$K$20"/>
    <hyperlink ref="B593" location="Transfers!$L$20" display="Transfers!$L$20"/>
    <hyperlink ref="B594" location="Transfers!$M$20" display="Transfers!$M$20"/>
    <hyperlink ref="B595" location="Transfers!$N$20" display="Transfers!$N$20"/>
    <hyperlink ref="B596" location="Transfers!$O$20" display="Transfers!$O$20"/>
    <hyperlink ref="B597" location="Transfers!$P$20" display="Transfers!$P$20"/>
    <hyperlink ref="B599" location="Transfers!$R$20" display="Transfers!$R$20"/>
    <hyperlink ref="B600" location="Transfers!$S$20" display="Transfers!$S$20"/>
    <hyperlink ref="B601" location="Transfers!$T$20" display="Transfers!$T$20"/>
    <hyperlink ref="B602" location="Transfers!$U$20" display="Transfers!$U$20"/>
    <hyperlink ref="B603" location="Transfers!$V$20" display="Transfers!$V$20"/>
    <hyperlink ref="B604" location="Transfers!$W$20" display="Transfers!$W$20"/>
    <hyperlink ref="B605" location="Transfers!$X$20" display="Transfers!$X$20"/>
    <hyperlink ref="B606" location="Transfers!$Y$20" display="Transfers!$Y$20"/>
    <hyperlink ref="B607" location="Transfers!$Z$20" display="Transfers!$Z$20"/>
    <hyperlink ref="B608" location="Transfers!$AA$20" display="Transfers!$AA$20"/>
    <hyperlink ref="B609" location="Transfers!$AB$20" display="Transfers!$AB$20"/>
    <hyperlink ref="B610" location="Transfers!$AC$20" display="Transfers!$AC$20"/>
    <hyperlink ref="B611" location="Transfers!$AD$20" display="Transfers!$AD$20"/>
    <hyperlink ref="B612" location="Transfers!$AE$20" display="Transfers!$AE$20"/>
    <hyperlink ref="B613" location="Transfers!$AF$20" display="Transfers!$AF$20"/>
    <hyperlink ref="B614" location="Transfers!$AG$20" display="Transfers!$AG$20"/>
    <hyperlink ref="B615" location="Transfers!$AH$20" display="Transfers!$AH$20"/>
    <hyperlink ref="B616" location="Transfers!$AI$20" display="Transfers!$AI$20"/>
    <hyperlink ref="B617" location="Transfers!$AJ$20" display="Transfers!$AJ$20"/>
    <hyperlink ref="B618" location="Transfers!$AK$20" display="Transfers!$AK$20"/>
    <hyperlink ref="B619" location="Transfers!$B$21" display="Transfers!$B$21"/>
    <hyperlink ref="B620" location="Transfers!$C$21" display="Transfers!$C$21"/>
    <hyperlink ref="B621" location="Transfers!$D$21" display="Transfers!$D$21"/>
    <hyperlink ref="B622" location="Transfers!$E$21" display="Transfers!$E$21"/>
    <hyperlink ref="B623" location="Transfers!$F$21" display="Transfers!$F$21"/>
    <hyperlink ref="B624" location="Transfers!$G$21" display="Transfers!$G$21"/>
    <hyperlink ref="B625" location="Transfers!$H$21" display="Transfers!$H$21"/>
    <hyperlink ref="B626" location="Transfers!$I$21" display="Transfers!$I$21"/>
    <hyperlink ref="B627" location="Transfers!$J$21" display="Transfers!$J$21"/>
    <hyperlink ref="B628" location="Transfers!$K$21" display="Transfers!$K$21"/>
    <hyperlink ref="B629" location="Transfers!$L$21" display="Transfers!$L$21"/>
    <hyperlink ref="B630" location="Transfers!$M$21" display="Transfers!$M$21"/>
    <hyperlink ref="B631" location="Transfers!$N$21" display="Transfers!$N$21"/>
    <hyperlink ref="B632" location="Transfers!$O$21" display="Transfers!$O$21"/>
    <hyperlink ref="B633" location="Transfers!$P$21" display="Transfers!$P$21"/>
    <hyperlink ref="B634" location="Transfers!$Q$21" display="Transfers!$Q$21"/>
    <hyperlink ref="B636" location="Transfers!$S$21" display="Transfers!$S$21"/>
    <hyperlink ref="B637" location="Transfers!$T$21" display="Transfers!$T$21"/>
    <hyperlink ref="B638" location="Transfers!$U$21" display="Transfers!$U$21"/>
    <hyperlink ref="B639" location="Transfers!$V$21" display="Transfers!$V$21"/>
    <hyperlink ref="B640" location="Transfers!$W$21" display="Transfers!$W$21"/>
    <hyperlink ref="B641" location="Transfers!$X$21" display="Transfers!$X$21"/>
    <hyperlink ref="B642" location="Transfers!$Y$21" display="Transfers!$Y$21"/>
    <hyperlink ref="B643" location="Transfers!$Z$21" display="Transfers!$Z$21"/>
    <hyperlink ref="B644" location="Transfers!$AA$21" display="Transfers!$AA$21"/>
    <hyperlink ref="B645" location="Transfers!$AB$21" display="Transfers!$AB$21"/>
    <hyperlink ref="B646" location="Transfers!$AC$21" display="Transfers!$AC$21"/>
    <hyperlink ref="B647" location="Transfers!$AD$21" display="Transfers!$AD$21"/>
    <hyperlink ref="B648" location="Transfers!$AE$21" display="Transfers!$AE$21"/>
    <hyperlink ref="B649" location="Transfers!$AF$21" display="Transfers!$AF$21"/>
    <hyperlink ref="B650" location="Transfers!$AG$21" display="Transfers!$AG$21"/>
    <hyperlink ref="B651" location="Transfers!$AH$21" display="Transfers!$AH$21"/>
    <hyperlink ref="B652" location="Transfers!$AI$21" display="Transfers!$AI$21"/>
    <hyperlink ref="B653" location="Transfers!$AJ$21" display="Transfers!$AJ$21"/>
    <hyperlink ref="B654" location="Transfers!$AK$21" display="Transfers!$AK$21"/>
    <hyperlink ref="B655" location="Transfers!$B$22" display="Transfers!$B$22"/>
    <hyperlink ref="B656" location="Transfers!$C$22" display="Transfers!$C$22"/>
    <hyperlink ref="B657" location="Transfers!$D$22" display="Transfers!$D$22"/>
    <hyperlink ref="B658" location="Transfers!$E$22" display="Transfers!$E$22"/>
    <hyperlink ref="B659" location="Transfers!$F$22" display="Transfers!$F$22"/>
    <hyperlink ref="B660" location="Transfers!$G$22" display="Transfers!$G$22"/>
    <hyperlink ref="B661" location="Transfers!$H$22" display="Transfers!$H$22"/>
    <hyperlink ref="B662" location="Transfers!$I$22" display="Transfers!$I$22"/>
    <hyperlink ref="B663" location="Transfers!$J$22" display="Transfers!$J$22"/>
    <hyperlink ref="B664" location="Transfers!$K$22" display="Transfers!$K$22"/>
    <hyperlink ref="B665" location="Transfers!$L$22" display="Transfers!$L$22"/>
    <hyperlink ref="B666" location="Transfers!$M$22" display="Transfers!$M$22"/>
    <hyperlink ref="B667" location="Transfers!$N$22" display="Transfers!$N$22"/>
    <hyperlink ref="B668" location="Transfers!$O$22" display="Transfers!$O$22"/>
    <hyperlink ref="B669" location="Transfers!$P$22" display="Transfers!$P$22"/>
    <hyperlink ref="B670" location="Transfers!$Q$22" display="Transfers!$Q$22"/>
    <hyperlink ref="B671" location="Transfers!$R$22" display="Transfers!$R$22"/>
    <hyperlink ref="B673" location="Transfers!$T$22" display="Transfers!$T$22"/>
    <hyperlink ref="B674" location="Transfers!$U$22" display="Transfers!$U$22"/>
    <hyperlink ref="B675" location="Transfers!$V$22" display="Transfers!$V$22"/>
    <hyperlink ref="B676" location="Transfers!$W$22" display="Transfers!$W$22"/>
    <hyperlink ref="B677" location="Transfers!$X$22" display="Transfers!$X$22"/>
    <hyperlink ref="B678" location="Transfers!$Y$22" display="Transfers!$Y$22"/>
    <hyperlink ref="B679" location="Transfers!$Z$22" display="Transfers!$Z$22"/>
    <hyperlink ref="B680" location="Transfers!$AA$22" display="Transfers!$AA$22"/>
    <hyperlink ref="B681" location="Transfers!$AB$22" display="Transfers!$AB$22"/>
    <hyperlink ref="B682" location="Transfers!$AC$22" display="Transfers!$AC$22"/>
    <hyperlink ref="B683" location="Transfers!$AD$22" display="Transfers!$AD$22"/>
    <hyperlink ref="B684" location="Transfers!$AE$22" display="Transfers!$AE$22"/>
    <hyperlink ref="B685" location="Transfers!$AF$22" display="Transfers!$AF$22"/>
    <hyperlink ref="B686" location="Transfers!$AG$22" display="Transfers!$AG$22"/>
    <hyperlink ref="B687" location="Transfers!$AH$22" display="Transfers!$AH$22"/>
    <hyperlink ref="B688" location="Transfers!$AI$22" display="Transfers!$AI$22"/>
    <hyperlink ref="B689" location="Transfers!$AJ$22" display="Transfers!$AJ$22"/>
    <hyperlink ref="B690" location="Transfers!$AK$22" display="Transfers!$AK$22"/>
    <hyperlink ref="B691" location="Transfers!$B$23" display="Transfers!$B$23"/>
    <hyperlink ref="B692" location="Transfers!$C$23" display="Transfers!$C$23"/>
    <hyperlink ref="B693" location="Transfers!$D$23" display="Transfers!$D$23"/>
    <hyperlink ref="B694" location="Transfers!$E$23" display="Transfers!$E$23"/>
    <hyperlink ref="B695" location="Transfers!$F$23" display="Transfers!$F$23"/>
    <hyperlink ref="B696" location="Transfers!$G$23" display="Transfers!$G$23"/>
    <hyperlink ref="B697" location="Transfers!$H$23" display="Transfers!$H$23"/>
    <hyperlink ref="B698" location="Transfers!$I$23" display="Transfers!$I$23"/>
    <hyperlink ref="B699" location="Transfers!$J$23" display="Transfers!$J$23"/>
    <hyperlink ref="B700" location="Transfers!$K$23" display="Transfers!$K$23"/>
    <hyperlink ref="B701" location="Transfers!$L$23" display="Transfers!$L$23"/>
    <hyperlink ref="B702" location="Transfers!$M$23" display="Transfers!$M$23"/>
    <hyperlink ref="B703" location="Transfers!$N$23" display="Transfers!$N$23"/>
    <hyperlink ref="B704" location="Transfers!$O$23" display="Transfers!$O$23"/>
    <hyperlink ref="B705" location="Transfers!$P$23" display="Transfers!$P$23"/>
    <hyperlink ref="B706" location="Transfers!$Q$23" display="Transfers!$Q$23"/>
    <hyperlink ref="B707" location="Transfers!$R$23" display="Transfers!$R$23"/>
    <hyperlink ref="B708" location="Transfers!$S$23" display="Transfers!$S$23"/>
    <hyperlink ref="B710" location="Transfers!$U$23" display="Transfers!$U$23"/>
    <hyperlink ref="B711" location="Transfers!$V$23" display="Transfers!$V$23"/>
    <hyperlink ref="B712" location="Transfers!$W$23" display="Transfers!$W$23"/>
    <hyperlink ref="B713" location="Transfers!$X$23" display="Transfers!$X$23"/>
    <hyperlink ref="B714" location="Transfers!$Y$23" display="Transfers!$Y$23"/>
    <hyperlink ref="B715" location="Transfers!$Z$23" display="Transfers!$Z$23"/>
    <hyperlink ref="B716" location="Transfers!$AA$23" display="Transfers!$AA$23"/>
    <hyperlink ref="B717" location="Transfers!$AB$23" display="Transfers!$AB$23"/>
    <hyperlink ref="B718" location="Transfers!$AC$23" display="Transfers!$AC$23"/>
    <hyperlink ref="B719" location="Transfers!$AD$23" display="Transfers!$AD$23"/>
    <hyperlink ref="B720" location="Transfers!$AE$23" display="Transfers!$AE$23"/>
    <hyperlink ref="B721" location="Transfers!$AF$23" display="Transfers!$AF$23"/>
    <hyperlink ref="B722" location="Transfers!$AG$23" display="Transfers!$AG$23"/>
    <hyperlink ref="B723" location="Transfers!$AH$23" display="Transfers!$AH$23"/>
    <hyperlink ref="B724" location="Transfers!$AI$23" display="Transfers!$AI$23"/>
    <hyperlink ref="B725" location="Transfers!$AJ$23" display="Transfers!$AJ$23"/>
    <hyperlink ref="B726" location="Transfers!$AK$23" display="Transfers!$AK$23"/>
    <hyperlink ref="B727" location="Transfers!$B$24" display="Transfers!$B$24"/>
    <hyperlink ref="B728" location="Transfers!$C$24" display="Transfers!$C$24"/>
    <hyperlink ref="B729" location="Transfers!$D$24" display="Transfers!$D$24"/>
    <hyperlink ref="B730" location="Transfers!$E$24" display="Transfers!$E$24"/>
    <hyperlink ref="B731" location="Transfers!$F$24" display="Transfers!$F$24"/>
    <hyperlink ref="B732" location="Transfers!$G$24" display="Transfers!$G$24"/>
    <hyperlink ref="B733" location="Transfers!$H$24" display="Transfers!$H$24"/>
    <hyperlink ref="B734" location="Transfers!$I$24" display="Transfers!$I$24"/>
    <hyperlink ref="B735" location="Transfers!$J$24" display="Transfers!$J$24"/>
    <hyperlink ref="B736" location="Transfers!$K$24" display="Transfers!$K$24"/>
    <hyperlink ref="B737" location="Transfers!$L$24" display="Transfers!$L$24"/>
    <hyperlink ref="B738" location="Transfers!$M$24" display="Transfers!$M$24"/>
    <hyperlink ref="B739" location="Transfers!$N$24" display="Transfers!$N$24"/>
    <hyperlink ref="B740" location="Transfers!$O$24" display="Transfers!$O$24"/>
    <hyperlink ref="B741" location="Transfers!$P$24" display="Transfers!$P$24"/>
    <hyperlink ref="B742" location="Transfers!$Q$24" display="Transfers!$Q$24"/>
    <hyperlink ref="B743" location="Transfers!$R$24" display="Transfers!$R$24"/>
    <hyperlink ref="B744" location="Transfers!$S$24" display="Transfers!$S$24"/>
    <hyperlink ref="B745" location="Transfers!$T$24" display="Transfers!$T$24"/>
    <hyperlink ref="B747" location="Transfers!$V$24" display="Transfers!$V$24"/>
    <hyperlink ref="B748" location="Transfers!$W$24" display="Transfers!$W$24"/>
    <hyperlink ref="B749" location="Transfers!$X$24" display="Transfers!$X$24"/>
    <hyperlink ref="B750" location="Transfers!$Y$24" display="Transfers!$Y$24"/>
    <hyperlink ref="B751" location="Transfers!$Z$24" display="Transfers!$Z$24"/>
    <hyperlink ref="B752" location="Transfers!$AA$24" display="Transfers!$AA$24"/>
    <hyperlink ref="B753" location="Transfers!$AB$24" display="Transfers!$AB$24"/>
    <hyperlink ref="B754" location="Transfers!$AC$24" display="Transfers!$AC$24"/>
    <hyperlink ref="B755" location="Transfers!$AD$24" display="Transfers!$AD$24"/>
    <hyperlink ref="B756" location="Transfers!$AE$24" display="Transfers!$AE$24"/>
    <hyperlink ref="B757" location="Transfers!$AF$24" display="Transfers!$AF$24"/>
    <hyperlink ref="B758" location="Transfers!$AG$24" display="Transfers!$AG$24"/>
    <hyperlink ref="B759" location="Transfers!$AH$24" display="Transfers!$AH$24"/>
    <hyperlink ref="B760" location="Transfers!$AI$24" display="Transfers!$AI$24"/>
    <hyperlink ref="B761" location="Transfers!$AJ$24" display="Transfers!$AJ$24"/>
    <hyperlink ref="B762" location="Transfers!$AK$24" display="Transfers!$AK$24"/>
    <hyperlink ref="B763" location="Transfers!$B$25" display="Transfers!$B$25"/>
    <hyperlink ref="B764" location="Transfers!$C$25" display="Transfers!$C$25"/>
    <hyperlink ref="B765" location="Transfers!$D$25" display="Transfers!$D$25"/>
    <hyperlink ref="B766" location="Transfers!$E$25" display="Transfers!$E$25"/>
    <hyperlink ref="B767" location="Transfers!$F$25" display="Transfers!$F$25"/>
    <hyperlink ref="B768" location="Transfers!$G$25" display="Transfers!$G$25"/>
    <hyperlink ref="B769" location="Transfers!$H$25" display="Transfers!$H$25"/>
    <hyperlink ref="B770" location="Transfers!$I$25" display="Transfers!$I$25"/>
    <hyperlink ref="B771" location="Transfers!$J$25" display="Transfers!$J$25"/>
    <hyperlink ref="B772" location="Transfers!$K$25" display="Transfers!$K$25"/>
    <hyperlink ref="B773" location="Transfers!$L$25" display="Transfers!$L$25"/>
    <hyperlink ref="B774" location="Transfers!$M$25" display="Transfers!$M$25"/>
    <hyperlink ref="B775" location="Transfers!$N$25" display="Transfers!$N$25"/>
    <hyperlink ref="B776" location="Transfers!$O$25" display="Transfers!$O$25"/>
    <hyperlink ref="B777" location="Transfers!$P$25" display="Transfers!$P$25"/>
    <hyperlink ref="B778" location="Transfers!$Q$25" display="Transfers!$Q$25"/>
    <hyperlink ref="B779" location="Transfers!$R$25" display="Transfers!$R$25"/>
    <hyperlink ref="B780" location="Transfers!$S$25" display="Transfers!$S$25"/>
    <hyperlink ref="B781" location="Transfers!$T$25" display="Transfers!$T$25"/>
    <hyperlink ref="B782" location="Transfers!$U$25" display="Transfers!$U$25"/>
    <hyperlink ref="B784" location="Transfers!$W$25" display="Transfers!$W$25"/>
    <hyperlink ref="B785" location="Transfers!$X$25" display="Transfers!$X$25"/>
    <hyperlink ref="B786" location="Transfers!$Y$25" display="Transfers!$Y$25"/>
    <hyperlink ref="B787" location="Transfers!$Z$25" display="Transfers!$Z$25"/>
    <hyperlink ref="B788" location="Transfers!$AA$25" display="Transfers!$AA$25"/>
    <hyperlink ref="B789" location="Transfers!$AB$25" display="Transfers!$AB$25"/>
    <hyperlink ref="B790" location="Transfers!$AC$25" display="Transfers!$AC$25"/>
    <hyperlink ref="B791" location="Transfers!$AD$25" display="Transfers!$AD$25"/>
    <hyperlink ref="B792" location="Transfers!$AE$25" display="Transfers!$AE$25"/>
    <hyperlink ref="B793" location="Transfers!$AF$25" display="Transfers!$AF$25"/>
    <hyperlink ref="B794" location="Transfers!$AG$25" display="Transfers!$AG$25"/>
    <hyperlink ref="B795" location="Transfers!$AH$25" display="Transfers!$AH$25"/>
    <hyperlink ref="B796" location="Transfers!$AI$25" display="Transfers!$AI$25"/>
    <hyperlink ref="B797" location="Transfers!$AJ$25" display="Transfers!$AJ$25"/>
    <hyperlink ref="B798" location="Transfers!$AK$25" display="Transfers!$AK$25"/>
    <hyperlink ref="B799" location="Transfers!$B$26" display="Transfers!$B$26"/>
    <hyperlink ref="B800" location="Transfers!$C$26" display="Transfers!$C$26"/>
    <hyperlink ref="B801" location="Transfers!$D$26" display="Transfers!$D$26"/>
    <hyperlink ref="B802" location="Transfers!$E$26" display="Transfers!$E$26"/>
    <hyperlink ref="B803" location="Transfers!$F$26" display="Transfers!$F$26"/>
    <hyperlink ref="B804" location="Transfers!$G$26" display="Transfers!$G$26"/>
    <hyperlink ref="B805" location="Transfers!$H$26" display="Transfers!$H$26"/>
    <hyperlink ref="B806" location="Transfers!$I$26" display="Transfers!$I$26"/>
    <hyperlink ref="B807" location="Transfers!$J$26" display="Transfers!$J$26"/>
    <hyperlink ref="B808" location="Transfers!$K$26" display="Transfers!$K$26"/>
    <hyperlink ref="B809" location="Transfers!$L$26" display="Transfers!$L$26"/>
    <hyperlink ref="B810" location="Transfers!$M$26" display="Transfers!$M$26"/>
    <hyperlink ref="B811" location="Transfers!$N$26" display="Transfers!$N$26"/>
    <hyperlink ref="B812" location="Transfers!$O$26" display="Transfers!$O$26"/>
    <hyperlink ref="B813" location="Transfers!$P$26" display="Transfers!$P$26"/>
    <hyperlink ref="B814" location="Transfers!$Q$26" display="Transfers!$Q$26"/>
    <hyperlink ref="B815" location="Transfers!$R$26" display="Transfers!$R$26"/>
    <hyperlink ref="B816" location="Transfers!$S$26" display="Transfers!$S$26"/>
    <hyperlink ref="B817" location="Transfers!$T$26" display="Transfers!$T$26"/>
    <hyperlink ref="B818" location="Transfers!$U$26" display="Transfers!$U$26"/>
    <hyperlink ref="B819" location="Transfers!$V$26" display="Transfers!$V$26"/>
    <hyperlink ref="B821" location="Transfers!$X$26" display="Transfers!$X$26"/>
    <hyperlink ref="B822" location="Transfers!$Y$26" display="Transfers!$Y$26"/>
    <hyperlink ref="B823" location="Transfers!$Z$26" display="Transfers!$Z$26"/>
    <hyperlink ref="B824" location="Transfers!$AA$26" display="Transfers!$AA$26"/>
    <hyperlink ref="B825" location="Transfers!$AB$26" display="Transfers!$AB$26"/>
    <hyperlink ref="B826" location="Transfers!$AC$26" display="Transfers!$AC$26"/>
    <hyperlink ref="B827" location="Transfers!$AD$26" display="Transfers!$AD$26"/>
    <hyperlink ref="B828" location="Transfers!$AE$26" display="Transfers!$AE$26"/>
    <hyperlink ref="B829" location="Transfers!$AF$26" display="Transfers!$AF$26"/>
    <hyperlink ref="B830" location="Transfers!$AG$26" display="Transfers!$AG$26"/>
    <hyperlink ref="B831" location="Transfers!$AH$26" display="Transfers!$AH$26"/>
    <hyperlink ref="B832" location="Transfers!$AI$26" display="Transfers!$AI$26"/>
    <hyperlink ref="B833" location="Transfers!$AJ$26" display="Transfers!$AJ$26"/>
    <hyperlink ref="B834" location="Transfers!$AK$26" display="Transfers!$AK$26"/>
    <hyperlink ref="B835" location="Transfers!$B$27" display="Transfers!$B$27"/>
    <hyperlink ref="B836" location="Transfers!$C$27" display="Transfers!$C$27"/>
    <hyperlink ref="B837" location="Transfers!$D$27" display="Transfers!$D$27"/>
    <hyperlink ref="B838" location="Transfers!$E$27" display="Transfers!$E$27"/>
    <hyperlink ref="B839" location="Transfers!$F$27" display="Transfers!$F$27"/>
    <hyperlink ref="B840" location="Transfers!$G$27" display="Transfers!$G$27"/>
    <hyperlink ref="B841" location="Transfers!$H$27" display="Transfers!$H$27"/>
    <hyperlink ref="B842" location="Transfers!$I$27" display="Transfers!$I$27"/>
    <hyperlink ref="B843" location="Transfers!$J$27" display="Transfers!$J$27"/>
    <hyperlink ref="B844" location="Transfers!$K$27" display="Transfers!$K$27"/>
    <hyperlink ref="B845" location="Transfers!$L$27" display="Transfers!$L$27"/>
    <hyperlink ref="B846" location="Transfers!$M$27" display="Transfers!$M$27"/>
    <hyperlink ref="B847" location="Transfers!$N$27" display="Transfers!$N$27"/>
    <hyperlink ref="B848" location="Transfers!$O$27" display="Transfers!$O$27"/>
    <hyperlink ref="B849" location="Transfers!$P$27" display="Transfers!$P$27"/>
    <hyperlink ref="B850" location="Transfers!$Q$27" display="Transfers!$Q$27"/>
    <hyperlink ref="B851" location="Transfers!$R$27" display="Transfers!$R$27"/>
    <hyperlink ref="B852" location="Transfers!$S$27" display="Transfers!$S$27"/>
    <hyperlink ref="B853" location="Transfers!$T$27" display="Transfers!$T$27"/>
    <hyperlink ref="B854" location="Transfers!$U$27" display="Transfers!$U$27"/>
    <hyperlink ref="B855" location="Transfers!$V$27" display="Transfers!$V$27"/>
    <hyperlink ref="B856" location="Transfers!$W$27" display="Transfers!$W$27"/>
    <hyperlink ref="B858" location="Transfers!$Y$27" display="Transfers!$Y$27"/>
    <hyperlink ref="B859" location="Transfers!$Z$27" display="Transfers!$Z$27"/>
    <hyperlink ref="B860" location="Transfers!$AA$27" display="Transfers!$AA$27"/>
    <hyperlink ref="B861" location="Transfers!$AB$27" display="Transfers!$AB$27"/>
    <hyperlink ref="B862" location="Transfers!$AC$27" display="Transfers!$AC$27"/>
    <hyperlink ref="B863" location="Transfers!$AD$27" display="Transfers!$AD$27"/>
    <hyperlink ref="B864" location="Transfers!$AE$27" display="Transfers!$AE$27"/>
    <hyperlink ref="B865" location="Transfers!$AF$27" display="Transfers!$AF$27"/>
    <hyperlink ref="B866" location="Transfers!$AG$27" display="Transfers!$AG$27"/>
    <hyperlink ref="B867" location="Transfers!$AH$27" display="Transfers!$AH$27"/>
    <hyperlink ref="B868" location="Transfers!$AI$27" display="Transfers!$AI$27"/>
    <hyperlink ref="B869" location="Transfers!$AJ$27" display="Transfers!$AJ$27"/>
    <hyperlink ref="B870" location="Transfers!$AK$27" display="Transfers!$AK$27"/>
    <hyperlink ref="B871" location="Transfers!$B$28" display="Transfers!$B$28"/>
    <hyperlink ref="B872" location="Transfers!$C$28" display="Transfers!$C$28"/>
    <hyperlink ref="B873" location="Transfers!$D$28" display="Transfers!$D$28"/>
    <hyperlink ref="B874" location="Transfers!$E$28" display="Transfers!$E$28"/>
    <hyperlink ref="B875" location="Transfers!$F$28" display="Transfers!$F$28"/>
    <hyperlink ref="B876" location="Transfers!$G$28" display="Transfers!$G$28"/>
    <hyperlink ref="B877" location="Transfers!$H$28" display="Transfers!$H$28"/>
    <hyperlink ref="B878" location="Transfers!$I$28" display="Transfers!$I$28"/>
    <hyperlink ref="B879" location="Transfers!$J$28" display="Transfers!$J$28"/>
    <hyperlink ref="B880" location="Transfers!$K$28" display="Transfers!$K$28"/>
    <hyperlink ref="B881" location="Transfers!$L$28" display="Transfers!$L$28"/>
    <hyperlink ref="B882" location="Transfers!$M$28" display="Transfers!$M$28"/>
    <hyperlink ref="B883" location="Transfers!$N$28" display="Transfers!$N$28"/>
    <hyperlink ref="B884" location="Transfers!$O$28" display="Transfers!$O$28"/>
    <hyperlink ref="B885" location="Transfers!$P$28" display="Transfers!$P$28"/>
    <hyperlink ref="B886" location="Transfers!$Q$28" display="Transfers!$Q$28"/>
    <hyperlink ref="B887" location="Transfers!$R$28" display="Transfers!$R$28"/>
    <hyperlink ref="B888" location="Transfers!$S$28" display="Transfers!$S$28"/>
    <hyperlink ref="B889" location="Transfers!$T$28" display="Transfers!$T$28"/>
    <hyperlink ref="B890" location="Transfers!$U$28" display="Transfers!$U$28"/>
    <hyperlink ref="B891" location="Transfers!$V$28" display="Transfers!$V$28"/>
    <hyperlink ref="B892" location="Transfers!$W$28" display="Transfers!$W$28"/>
    <hyperlink ref="B893" location="Transfers!$X$28" display="Transfers!$X$28"/>
    <hyperlink ref="B895" location="Transfers!$Z$28" display="Transfers!$Z$28"/>
    <hyperlink ref="B896" location="Transfers!$AA$28" display="Transfers!$AA$28"/>
    <hyperlink ref="B897" location="Transfers!$AB$28" display="Transfers!$AB$28"/>
    <hyperlink ref="B898" location="Transfers!$AC$28" display="Transfers!$AC$28"/>
    <hyperlink ref="B899" location="Transfers!$AD$28" display="Transfers!$AD$28"/>
    <hyperlink ref="B900" location="Transfers!$AE$28" display="Transfers!$AE$28"/>
    <hyperlink ref="B901" location="Transfers!$AF$28" display="Transfers!$AF$28"/>
    <hyperlink ref="B902" location="Transfers!$AG$28" display="Transfers!$AG$28"/>
    <hyperlink ref="B903" location="Transfers!$AH$28" display="Transfers!$AH$28"/>
    <hyperlink ref="B904" location="Transfers!$AI$28" display="Transfers!$AI$28"/>
    <hyperlink ref="B905" location="Transfers!$AJ$28" display="Transfers!$AJ$28"/>
    <hyperlink ref="B906" location="Transfers!$AK$28" display="Transfers!$AK$28"/>
    <hyperlink ref="B907" location="Transfers!$B$29" display="Transfers!$B$29"/>
    <hyperlink ref="B908" location="Transfers!$C$29" display="Transfers!$C$29"/>
    <hyperlink ref="B909" location="Transfers!$D$29" display="Transfers!$D$29"/>
    <hyperlink ref="B910" location="Transfers!$E$29" display="Transfers!$E$29"/>
    <hyperlink ref="B911" location="Transfers!$F$29" display="Transfers!$F$29"/>
    <hyperlink ref="B912" location="Transfers!$G$29" display="Transfers!$G$29"/>
    <hyperlink ref="B913" location="Transfers!$H$29" display="Transfers!$H$29"/>
    <hyperlink ref="B914" location="Transfers!$I$29" display="Transfers!$I$29"/>
    <hyperlink ref="B915" location="Transfers!$J$29" display="Transfers!$J$29"/>
    <hyperlink ref="B916" location="Transfers!$K$29" display="Transfers!$K$29"/>
    <hyperlink ref="B917" location="Transfers!$L$29" display="Transfers!$L$29"/>
    <hyperlink ref="B918" location="Transfers!$M$29" display="Transfers!$M$29"/>
    <hyperlink ref="B919" location="Transfers!$N$29" display="Transfers!$N$29"/>
    <hyperlink ref="B920" location="Transfers!$O$29" display="Transfers!$O$29"/>
    <hyperlink ref="B921" location="Transfers!$P$29" display="Transfers!$P$29"/>
    <hyperlink ref="B922" location="Transfers!$Q$29" display="Transfers!$Q$29"/>
    <hyperlink ref="B923" location="Transfers!$R$29" display="Transfers!$R$29"/>
    <hyperlink ref="B924" location="Transfers!$S$29" display="Transfers!$S$29"/>
    <hyperlink ref="B925" location="Transfers!$T$29" display="Transfers!$T$29"/>
    <hyperlink ref="B926" location="Transfers!$U$29" display="Transfers!$U$29"/>
    <hyperlink ref="B927" location="Transfers!$V$29" display="Transfers!$V$29"/>
    <hyperlink ref="B928" location="Transfers!$W$29" display="Transfers!$W$29"/>
    <hyperlink ref="B929" location="Transfers!$X$29" display="Transfers!$X$29"/>
    <hyperlink ref="B930" location="Transfers!$Y$29" display="Transfers!$Y$29"/>
    <hyperlink ref="B932" location="Transfers!$AA$29" display="Transfers!$AA$29"/>
    <hyperlink ref="B933" location="Transfers!$AB$29" display="Transfers!$AB$29"/>
    <hyperlink ref="B934" location="Transfers!$AC$29" display="Transfers!$AC$29"/>
    <hyperlink ref="B935" location="Transfers!$AD$29" display="Transfers!$AD$29"/>
    <hyperlink ref="B936" location="Transfers!$AE$29" display="Transfers!$AE$29"/>
    <hyperlink ref="B937" location="Transfers!$AF$29" display="Transfers!$AF$29"/>
    <hyperlink ref="B938" location="Transfers!$AG$29" display="Transfers!$AG$29"/>
    <hyperlink ref="B939" location="Transfers!$AH$29" display="Transfers!$AH$29"/>
    <hyperlink ref="B940" location="Transfers!$AI$29" display="Transfers!$AI$29"/>
    <hyperlink ref="B941" location="Transfers!$AJ$29" display="Transfers!$AJ$29"/>
    <hyperlink ref="B942" location="Transfers!$AK$29" display="Transfers!$AK$29"/>
    <hyperlink ref="B943" location="Transfers!$B$30" display="Transfers!$B$30"/>
    <hyperlink ref="B944" location="Transfers!$C$30" display="Transfers!$C$30"/>
    <hyperlink ref="B945" location="Transfers!$D$30" display="Transfers!$D$30"/>
    <hyperlink ref="B946" location="Transfers!$E$30" display="Transfers!$E$30"/>
    <hyperlink ref="B947" location="Transfers!$F$30" display="Transfers!$F$30"/>
    <hyperlink ref="B948" location="Transfers!$G$30" display="Transfers!$G$30"/>
    <hyperlink ref="B949" location="Transfers!$H$30" display="Transfers!$H$30"/>
    <hyperlink ref="B950" location="Transfers!$I$30" display="Transfers!$I$30"/>
    <hyperlink ref="B951" location="Transfers!$J$30" display="Transfers!$J$30"/>
    <hyperlink ref="B952" location="Transfers!$K$30" display="Transfers!$K$30"/>
    <hyperlink ref="B953" location="Transfers!$L$30" display="Transfers!$L$30"/>
    <hyperlink ref="B954" location="Transfers!$M$30" display="Transfers!$M$30"/>
    <hyperlink ref="B955" location="Transfers!$N$30" display="Transfers!$N$30"/>
    <hyperlink ref="B956" location="Transfers!$O$30" display="Transfers!$O$30"/>
    <hyperlink ref="B957" location="Transfers!$P$30" display="Transfers!$P$30"/>
    <hyperlink ref="B958" location="Transfers!$Q$30" display="Transfers!$Q$30"/>
    <hyperlink ref="B959" location="Transfers!$R$30" display="Transfers!$R$30"/>
    <hyperlink ref="B960" location="Transfers!$S$30" display="Transfers!$S$30"/>
    <hyperlink ref="B961" location="Transfers!$T$30" display="Transfers!$T$30"/>
    <hyperlink ref="B962" location="Transfers!$U$30" display="Transfers!$U$30"/>
    <hyperlink ref="B963" location="Transfers!$V$30" display="Transfers!$V$30"/>
    <hyperlink ref="B964" location="Transfers!$W$30" display="Transfers!$W$30"/>
    <hyperlink ref="B965" location="Transfers!$X$30" display="Transfers!$X$30"/>
    <hyperlink ref="B966" location="Transfers!$Y$30" display="Transfers!$Y$30"/>
    <hyperlink ref="B967" location="Transfers!$Z$30" display="Transfers!$Z$30"/>
    <hyperlink ref="B969" location="Transfers!$AB$30" display="Transfers!$AB$30"/>
    <hyperlink ref="B970" location="Transfers!$AC$30" display="Transfers!$AC$30"/>
    <hyperlink ref="B971" location="Transfers!$AD$30" display="Transfers!$AD$30"/>
    <hyperlink ref="B972" location="Transfers!$AE$30" display="Transfers!$AE$30"/>
    <hyperlink ref="B973" location="Transfers!$AF$30" display="Transfers!$AF$30"/>
    <hyperlink ref="B974" location="Transfers!$AG$30" display="Transfers!$AG$30"/>
    <hyperlink ref="B975" location="Transfers!$AH$30" display="Transfers!$AH$30"/>
    <hyperlink ref="B976" location="Transfers!$AI$30" display="Transfers!$AI$30"/>
    <hyperlink ref="B977" location="Transfers!$AJ$30" display="Transfers!$AJ$30"/>
    <hyperlink ref="B978" location="Transfers!$AK$30" display="Transfers!$AK$30"/>
    <hyperlink ref="B979" location="Transfers!$B$31" display="Transfers!$B$31"/>
    <hyperlink ref="B980" location="Transfers!$C$31" display="Transfers!$C$31"/>
    <hyperlink ref="B981" location="Transfers!$D$31" display="Transfers!$D$31"/>
    <hyperlink ref="B982" location="Transfers!$E$31" display="Transfers!$E$31"/>
    <hyperlink ref="B983" location="Transfers!$F$31" display="Transfers!$F$31"/>
    <hyperlink ref="B984" location="Transfers!$G$31" display="Transfers!$G$31"/>
    <hyperlink ref="B985" location="Transfers!$H$31" display="Transfers!$H$31"/>
    <hyperlink ref="B986" location="Transfers!$I$31" display="Transfers!$I$31"/>
    <hyperlink ref="B987" location="Transfers!$J$31" display="Transfers!$J$31"/>
    <hyperlink ref="B988" location="Transfers!$K$31" display="Transfers!$K$31"/>
    <hyperlink ref="B989" location="Transfers!$L$31" display="Transfers!$L$31"/>
    <hyperlink ref="B990" location="Transfers!$M$31" display="Transfers!$M$31"/>
    <hyperlink ref="B991" location="Transfers!$N$31" display="Transfers!$N$31"/>
    <hyperlink ref="B992" location="Transfers!$O$31" display="Transfers!$O$31"/>
    <hyperlink ref="B993" location="Transfers!$P$31" display="Transfers!$P$31"/>
    <hyperlink ref="B994" location="Transfers!$Q$31" display="Transfers!$Q$31"/>
    <hyperlink ref="B995" location="Transfers!$R$31" display="Transfers!$R$31"/>
    <hyperlink ref="B996" location="Transfers!$S$31" display="Transfers!$S$31"/>
    <hyperlink ref="B997" location="Transfers!$T$31" display="Transfers!$T$31"/>
    <hyperlink ref="B998" location="Transfers!$U$31" display="Transfers!$U$31"/>
    <hyperlink ref="B999" location="Transfers!$V$31" display="Transfers!$V$31"/>
    <hyperlink ref="B1000" location="Transfers!$W$31" display="Transfers!$W$31"/>
    <hyperlink ref="B1001" location="Transfers!$X$31" display="Transfers!$X$31"/>
    <hyperlink ref="B1002" location="Transfers!$Y$31" display="Transfers!$Y$31"/>
    <hyperlink ref="B1003" location="Transfers!$Z$31" display="Transfers!$Z$31"/>
    <hyperlink ref="B1004" location="Transfers!$AA$31" display="Transfers!$AA$31"/>
    <hyperlink ref="B1006" location="Transfers!$AC$31" display="Transfers!$AC$31"/>
    <hyperlink ref="B1007" location="Transfers!$AD$31" display="Transfers!$AD$31"/>
    <hyperlink ref="B1008" location="Transfers!$AE$31" display="Transfers!$AE$31"/>
    <hyperlink ref="B1009" location="Transfers!$AF$31" display="Transfers!$AF$31"/>
    <hyperlink ref="B1010" location="Transfers!$AG$31" display="Transfers!$AG$31"/>
    <hyperlink ref="B1011" location="Transfers!$AH$31" display="Transfers!$AH$31"/>
    <hyperlink ref="B1012" location="Transfers!$AI$31" display="Transfers!$AI$31"/>
    <hyperlink ref="B1013" location="Transfers!$AJ$31" display="Transfers!$AJ$31"/>
    <hyperlink ref="B1014" location="Transfers!$AK$31" display="Transfers!$AK$31"/>
    <hyperlink ref="B1015" location="Transfers!$B$32" display="Transfers!$B$32"/>
    <hyperlink ref="B1016" location="Transfers!$C$32" display="Transfers!$C$32"/>
    <hyperlink ref="B1017" location="Transfers!$D$32" display="Transfers!$D$32"/>
    <hyperlink ref="B1018" location="Transfers!$E$32" display="Transfers!$E$32"/>
    <hyperlink ref="B1019" location="Transfers!$F$32" display="Transfers!$F$32"/>
    <hyperlink ref="B1020" location="Transfers!$G$32" display="Transfers!$G$32"/>
    <hyperlink ref="B1021" location="Transfers!$H$32" display="Transfers!$H$32"/>
    <hyperlink ref="B1022" location="Transfers!$I$32" display="Transfers!$I$32"/>
    <hyperlink ref="B1023" location="Transfers!$J$32" display="Transfers!$J$32"/>
    <hyperlink ref="B1024" location="Transfers!$K$32" display="Transfers!$K$32"/>
    <hyperlink ref="B1025" location="Transfers!$L$32" display="Transfers!$L$32"/>
    <hyperlink ref="B1026" location="Transfers!$M$32" display="Transfers!$M$32"/>
    <hyperlink ref="B1027" location="Transfers!$N$32" display="Transfers!$N$32"/>
    <hyperlink ref="B1028" location="Transfers!$O$32" display="Transfers!$O$32"/>
    <hyperlink ref="B1029" location="Transfers!$P$32" display="Transfers!$P$32"/>
    <hyperlink ref="B1030" location="Transfers!$Q$32" display="Transfers!$Q$32"/>
    <hyperlink ref="B1031" location="Transfers!$R$32" display="Transfers!$R$32"/>
    <hyperlink ref="B1032" location="Transfers!$S$32" display="Transfers!$S$32"/>
    <hyperlink ref="B1033" location="Transfers!$T$32" display="Transfers!$T$32"/>
    <hyperlink ref="B1034" location="Transfers!$U$32" display="Transfers!$U$32"/>
    <hyperlink ref="B1035" location="Transfers!$V$32" display="Transfers!$V$32"/>
    <hyperlink ref="B1036" location="Transfers!$W$32" display="Transfers!$W$32"/>
    <hyperlink ref="B1037" location="Transfers!$X$32" display="Transfers!$X$32"/>
    <hyperlink ref="B1038" location="Transfers!$Y$32" display="Transfers!$Y$32"/>
    <hyperlink ref="B1039" location="Transfers!$Z$32" display="Transfers!$Z$32"/>
    <hyperlink ref="B1040" location="Transfers!$AA$32" display="Transfers!$AA$32"/>
    <hyperlink ref="B1041" location="Transfers!$AB$32" display="Transfers!$AB$32"/>
    <hyperlink ref="B1043" location="Transfers!$AD$32" display="Transfers!$AD$32"/>
    <hyperlink ref="B1044" location="Transfers!$AE$32" display="Transfers!$AE$32"/>
    <hyperlink ref="B1045" location="Transfers!$AF$32" display="Transfers!$AF$32"/>
    <hyperlink ref="B1046" location="Transfers!$AG$32" display="Transfers!$AG$32"/>
    <hyperlink ref="B1047" location="Transfers!$AH$32" display="Transfers!$AH$32"/>
    <hyperlink ref="B1048" location="Transfers!$AI$32" display="Transfers!$AI$32"/>
    <hyperlink ref="B1049" location="Transfers!$AJ$32" display="Transfers!$AJ$32"/>
    <hyperlink ref="B1050" location="Transfers!$AK$32" display="Transfers!$AK$32"/>
    <hyperlink ref="B1051" location="Transfers!$B$33" display="Transfers!$B$33"/>
    <hyperlink ref="B1052" location="Transfers!$C$33" display="Transfers!$C$33"/>
    <hyperlink ref="B1053" location="Transfers!$D$33" display="Transfers!$D$33"/>
    <hyperlink ref="B1054" location="Transfers!$E$33" display="Transfers!$E$33"/>
    <hyperlink ref="B1055" location="Transfers!$F$33" display="Transfers!$F$33"/>
    <hyperlink ref="B1056" location="Transfers!$G$33" display="Transfers!$G$33"/>
    <hyperlink ref="B1057" location="Transfers!$H$33" display="Transfers!$H$33"/>
    <hyperlink ref="B1058" location="Transfers!$I$33" display="Transfers!$I$33"/>
    <hyperlink ref="B1059" location="Transfers!$J$33" display="Transfers!$J$33"/>
    <hyperlink ref="B1060" location="Transfers!$K$33" display="Transfers!$K$33"/>
    <hyperlink ref="B1061" location="Transfers!$L$33" display="Transfers!$L$33"/>
    <hyperlink ref="B1062" location="Transfers!$M$33" display="Transfers!$M$33"/>
    <hyperlink ref="B1063" location="Transfers!$N$33" display="Transfers!$N$33"/>
    <hyperlink ref="B1064" location="Transfers!$O$33" display="Transfers!$O$33"/>
    <hyperlink ref="B1065" location="Transfers!$P$33" display="Transfers!$P$33"/>
    <hyperlink ref="B1066" location="Transfers!$Q$33" display="Transfers!$Q$33"/>
    <hyperlink ref="B1067" location="Transfers!$R$33" display="Transfers!$R$33"/>
    <hyperlink ref="B1068" location="Transfers!$S$33" display="Transfers!$S$33"/>
    <hyperlink ref="B1069" location="Transfers!$T$33" display="Transfers!$T$33"/>
    <hyperlink ref="B1070" location="Transfers!$U$33" display="Transfers!$U$33"/>
    <hyperlink ref="B1071" location="Transfers!$V$33" display="Transfers!$V$33"/>
    <hyperlink ref="B1072" location="Transfers!$W$33" display="Transfers!$W$33"/>
    <hyperlink ref="B1073" location="Transfers!$X$33" display="Transfers!$X$33"/>
    <hyperlink ref="B1074" location="Transfers!$Y$33" display="Transfers!$Y$33"/>
    <hyperlink ref="B1075" location="Transfers!$Z$33" display="Transfers!$Z$33"/>
    <hyperlink ref="B1076" location="Transfers!$AA$33" display="Transfers!$AA$33"/>
    <hyperlink ref="B1077" location="Transfers!$AB$33" display="Transfers!$AB$33"/>
    <hyperlink ref="B1078" location="Transfers!$AC$33" display="Transfers!$AC$33"/>
    <hyperlink ref="B1080" location="Transfers!$AE$33" display="Transfers!$AE$33"/>
    <hyperlink ref="B1081" location="Transfers!$AF$33" display="Transfers!$AF$33"/>
    <hyperlink ref="B1082" location="Transfers!$AG$33" display="Transfers!$AG$33"/>
    <hyperlink ref="B1083" location="Transfers!$AH$33" display="Transfers!$AH$33"/>
    <hyperlink ref="B1084" location="Transfers!$AI$33" display="Transfers!$AI$33"/>
    <hyperlink ref="B1085" location="Transfers!$AJ$33" display="Transfers!$AJ$33"/>
    <hyperlink ref="B1086" location="Transfers!$AK$33" display="Transfers!$AK$33"/>
    <hyperlink ref="B1087" location="Transfers!$B$34" display="Transfers!$B$34"/>
    <hyperlink ref="B1088" location="Transfers!$C$34" display="Transfers!$C$34"/>
    <hyperlink ref="B1089" location="Transfers!$D$34" display="Transfers!$D$34"/>
    <hyperlink ref="B1090" location="Transfers!$E$34" display="Transfers!$E$34"/>
    <hyperlink ref="B1091" location="Transfers!$F$34" display="Transfers!$F$34"/>
    <hyperlink ref="B1092" location="Transfers!$G$34" display="Transfers!$G$34"/>
    <hyperlink ref="B1093" location="Transfers!$H$34" display="Transfers!$H$34"/>
    <hyperlink ref="B1094" location="Transfers!$I$34" display="Transfers!$I$34"/>
    <hyperlink ref="B1095" location="Transfers!$J$34" display="Transfers!$J$34"/>
    <hyperlink ref="B1096" location="Transfers!$K$34" display="Transfers!$K$34"/>
    <hyperlink ref="B1097" location="Transfers!$L$34" display="Transfers!$L$34"/>
    <hyperlink ref="B1098" location="Transfers!$M$34" display="Transfers!$M$34"/>
    <hyperlink ref="B1099" location="Transfers!$N$34" display="Transfers!$N$34"/>
    <hyperlink ref="B1100" location="Transfers!$O$34" display="Transfers!$O$34"/>
    <hyperlink ref="B1101" location="Transfers!$P$34" display="Transfers!$P$34"/>
    <hyperlink ref="B1102" location="Transfers!$Q$34" display="Transfers!$Q$34"/>
    <hyperlink ref="B1103" location="Transfers!$R$34" display="Transfers!$R$34"/>
    <hyperlink ref="B1104" location="Transfers!$S$34" display="Transfers!$S$34"/>
    <hyperlink ref="B1105" location="Transfers!$T$34" display="Transfers!$T$34"/>
    <hyperlink ref="B1106" location="Transfers!$U$34" display="Transfers!$U$34"/>
    <hyperlink ref="B1107" location="Transfers!$V$34" display="Transfers!$V$34"/>
    <hyperlink ref="B1108" location="Transfers!$W$34" display="Transfers!$W$34"/>
    <hyperlink ref="B1109" location="Transfers!$X$34" display="Transfers!$X$34"/>
    <hyperlink ref="B1110" location="Transfers!$Y$34" display="Transfers!$Y$34"/>
    <hyperlink ref="B1111" location="Transfers!$Z$34" display="Transfers!$Z$34"/>
    <hyperlink ref="B1112" location="Transfers!$AA$34" display="Transfers!$AA$34"/>
    <hyperlink ref="B1113" location="Transfers!$AB$34" display="Transfers!$AB$34"/>
    <hyperlink ref="B1114" location="Transfers!$AC$34" display="Transfers!$AC$34"/>
    <hyperlink ref="B1115" location="Transfers!$AD$34" display="Transfers!$AD$34"/>
    <hyperlink ref="B1117" location="Transfers!$AF$34" display="Transfers!$AF$34"/>
    <hyperlink ref="B1118" location="Transfers!$AG$34" display="Transfers!$AG$34"/>
    <hyperlink ref="B1119" location="Transfers!$AH$34" display="Transfers!$AH$34"/>
    <hyperlink ref="B1120" location="Transfers!$AI$34" display="Transfers!$AI$34"/>
    <hyperlink ref="B1121" location="Transfers!$AJ$34" display="Transfers!$AJ$34"/>
    <hyperlink ref="B1122" location="Transfers!$AK$34" display="Transfers!$AK$34"/>
    <hyperlink ref="B1123" location="Transfers!$B$35" display="Transfers!$B$35"/>
    <hyperlink ref="B1124" location="Transfers!$C$35" display="Transfers!$C$35"/>
    <hyperlink ref="B1125" location="Transfers!$D$35" display="Transfers!$D$35"/>
    <hyperlink ref="B1126" location="Transfers!$E$35" display="Transfers!$E$35"/>
    <hyperlink ref="B1127" location="Transfers!$F$35" display="Transfers!$F$35"/>
    <hyperlink ref="B1128" location="Transfers!$G$35" display="Transfers!$G$35"/>
    <hyperlink ref="B1129" location="Transfers!$H$35" display="Transfers!$H$35"/>
    <hyperlink ref="B1130" location="Transfers!$I$35" display="Transfers!$I$35"/>
    <hyperlink ref="B1131" location="Transfers!$J$35" display="Transfers!$J$35"/>
    <hyperlink ref="B1132" location="Transfers!$K$35" display="Transfers!$K$35"/>
    <hyperlink ref="B1133" location="Transfers!$L$35" display="Transfers!$L$35"/>
    <hyperlink ref="B1134" location="Transfers!$M$35" display="Transfers!$M$35"/>
    <hyperlink ref="B1135" location="Transfers!$N$35" display="Transfers!$N$35"/>
    <hyperlink ref="B1136" location="Transfers!$O$35" display="Transfers!$O$35"/>
    <hyperlink ref="B1137" location="Transfers!$P$35" display="Transfers!$P$35"/>
    <hyperlink ref="B1138" location="Transfers!$Q$35" display="Transfers!$Q$35"/>
    <hyperlink ref="B1139" location="Transfers!$R$35" display="Transfers!$R$35"/>
    <hyperlink ref="B1140" location="Transfers!$S$35" display="Transfers!$S$35"/>
    <hyperlink ref="B1141" location="Transfers!$T$35" display="Transfers!$T$35"/>
    <hyperlink ref="B1142" location="Transfers!$U$35" display="Transfers!$U$35"/>
    <hyperlink ref="B1143" location="Transfers!$V$35" display="Transfers!$V$35"/>
    <hyperlink ref="B1144" location="Transfers!$W$35" display="Transfers!$W$35"/>
    <hyperlink ref="B1145" location="Transfers!$X$35" display="Transfers!$X$35"/>
    <hyperlink ref="B1146" location="Transfers!$Y$35" display="Transfers!$Y$35"/>
    <hyperlink ref="B1147" location="Transfers!$Z$35" display="Transfers!$Z$35"/>
    <hyperlink ref="B1148" location="Transfers!$AA$35" display="Transfers!$AA$35"/>
    <hyperlink ref="B1149" location="Transfers!$AB$35" display="Transfers!$AB$35"/>
    <hyperlink ref="B1150" location="Transfers!$AC$35" display="Transfers!$AC$35"/>
    <hyperlink ref="B1151" location="Transfers!$AD$35" display="Transfers!$AD$35"/>
    <hyperlink ref="B1152" location="Transfers!$AE$35" display="Transfers!$AE$35"/>
    <hyperlink ref="B1154" location="Transfers!$AG$35" display="Transfers!$AG$35"/>
    <hyperlink ref="B1155" location="Transfers!$AH$35" display="Transfers!$AH$35"/>
    <hyperlink ref="B1156" location="Transfers!$AI$35" display="Transfers!$AI$35"/>
    <hyperlink ref="B1157" location="Transfers!$AJ$35" display="Transfers!$AJ$35"/>
    <hyperlink ref="B1158" location="Transfers!$AK$35" display="Transfers!$AK$35"/>
    <hyperlink ref="B1159" location="Transfers!$B$36" display="Transfers!$B$36"/>
    <hyperlink ref="B1160" location="Transfers!$C$36" display="Transfers!$C$36"/>
    <hyperlink ref="B1161" location="Transfers!$D$36" display="Transfers!$D$36"/>
    <hyperlink ref="B1162" location="Transfers!$E$36" display="Transfers!$E$36"/>
    <hyperlink ref="B1163" location="Transfers!$F$36" display="Transfers!$F$36"/>
    <hyperlink ref="B1164" location="Transfers!$G$36" display="Transfers!$G$36"/>
    <hyperlink ref="B1165" location="Transfers!$H$36" display="Transfers!$H$36"/>
    <hyperlink ref="B1166" location="Transfers!$I$36" display="Transfers!$I$36"/>
    <hyperlink ref="B1167" location="Transfers!$J$36" display="Transfers!$J$36"/>
    <hyperlink ref="B1168" location="Transfers!$K$36" display="Transfers!$K$36"/>
    <hyperlink ref="B1169" location="Transfers!$L$36" display="Transfers!$L$36"/>
    <hyperlink ref="B1170" location="Transfers!$M$36" display="Transfers!$M$36"/>
    <hyperlink ref="B1171" location="Transfers!$N$36" display="Transfers!$N$36"/>
    <hyperlink ref="B1172" location="Transfers!$O$36" display="Transfers!$O$36"/>
    <hyperlink ref="B1173" location="Transfers!$P$36" display="Transfers!$P$36"/>
    <hyperlink ref="B1174" location="Transfers!$Q$36" display="Transfers!$Q$36"/>
    <hyperlink ref="B1175" location="Transfers!$R$36" display="Transfers!$R$36"/>
    <hyperlink ref="B1176" location="Transfers!$S$36" display="Transfers!$S$36"/>
    <hyperlink ref="B1177" location="Transfers!$T$36" display="Transfers!$T$36"/>
    <hyperlink ref="B1178" location="Transfers!$U$36" display="Transfers!$U$36"/>
    <hyperlink ref="B1179" location="Transfers!$V$36" display="Transfers!$V$36"/>
    <hyperlink ref="B1180" location="Transfers!$W$36" display="Transfers!$W$36"/>
    <hyperlink ref="B1181" location="Transfers!$X$36" display="Transfers!$X$36"/>
    <hyperlink ref="B1182" location="Transfers!$Y$36" display="Transfers!$Y$36"/>
    <hyperlink ref="B1183" location="Transfers!$Z$36" display="Transfers!$Z$36"/>
    <hyperlink ref="B1184" location="Transfers!$AA$36" display="Transfers!$AA$36"/>
    <hyperlink ref="B1185" location="Transfers!$AB$36" display="Transfers!$AB$36"/>
    <hyperlink ref="B1186" location="Transfers!$AC$36" display="Transfers!$AC$36"/>
    <hyperlink ref="B1187" location="Transfers!$AD$36" display="Transfers!$AD$36"/>
    <hyperlink ref="B1188" location="Transfers!$AE$36" display="Transfers!$AE$36"/>
    <hyperlink ref="B1189" location="Transfers!$AF$36" display="Transfers!$AF$36"/>
    <hyperlink ref="B1191" location="Transfers!$AH$36" display="Transfers!$AH$36"/>
    <hyperlink ref="B1192" location="Transfers!$AI$36" display="Transfers!$AI$36"/>
    <hyperlink ref="B1193" location="Transfers!$AJ$36" display="Transfers!$AJ$36"/>
    <hyperlink ref="B1194" location="Transfers!$AK$36" display="Transfers!$AK$36"/>
    <hyperlink ref="B1195" location="Transfers!$B$37" display="Transfers!$B$37"/>
    <hyperlink ref="B1196" location="Transfers!$C$37" display="Transfers!$C$37"/>
    <hyperlink ref="B1197" location="Transfers!$D$37" display="Transfers!$D$37"/>
    <hyperlink ref="B1198" location="Transfers!$E$37" display="Transfers!$E$37"/>
    <hyperlink ref="B1199" location="Transfers!$F$37" display="Transfers!$F$37"/>
    <hyperlink ref="B1200" location="Transfers!$G$37" display="Transfers!$G$37"/>
    <hyperlink ref="B1201" location="Transfers!$H$37" display="Transfers!$H$37"/>
    <hyperlink ref="B1202" location="Transfers!$I$37" display="Transfers!$I$37"/>
    <hyperlink ref="B1203" location="Transfers!$J$37" display="Transfers!$J$37"/>
    <hyperlink ref="B1204" location="Transfers!$K$37" display="Transfers!$K$37"/>
    <hyperlink ref="B1205" location="Transfers!$L$37" display="Transfers!$L$37"/>
    <hyperlink ref="B1206" location="Transfers!$M$37" display="Transfers!$M$37"/>
    <hyperlink ref="B1207" location="Transfers!$N$37" display="Transfers!$N$37"/>
    <hyperlink ref="B1208" location="Transfers!$O$37" display="Transfers!$O$37"/>
    <hyperlink ref="B1209" location="Transfers!$P$37" display="Transfers!$P$37"/>
    <hyperlink ref="B1210" location="Transfers!$Q$37" display="Transfers!$Q$37"/>
    <hyperlink ref="B1211" location="Transfers!$R$37" display="Transfers!$R$37"/>
    <hyperlink ref="B1212" location="Transfers!$S$37" display="Transfers!$S$37"/>
    <hyperlink ref="B1213" location="Transfers!$T$37" display="Transfers!$T$37"/>
    <hyperlink ref="B1214" location="Transfers!$U$37" display="Transfers!$U$37"/>
    <hyperlink ref="B1215" location="Transfers!$V$37" display="Transfers!$V$37"/>
    <hyperlink ref="B1216" location="Transfers!$W$37" display="Transfers!$W$37"/>
    <hyperlink ref="B1217" location="Transfers!$X$37" display="Transfers!$X$37"/>
    <hyperlink ref="B1218" location="Transfers!$Y$37" display="Transfers!$Y$37"/>
    <hyperlink ref="B1219" location="Transfers!$Z$37" display="Transfers!$Z$37"/>
    <hyperlink ref="B1220" location="Transfers!$AA$37" display="Transfers!$AA$37"/>
    <hyperlink ref="B1221" location="Transfers!$AB$37" display="Transfers!$AB$37"/>
    <hyperlink ref="B1222" location="Transfers!$AC$37" display="Transfers!$AC$37"/>
    <hyperlink ref="B1223" location="Transfers!$AD$37" display="Transfers!$AD$37"/>
    <hyperlink ref="B1224" location="Transfers!$AE$37" display="Transfers!$AE$37"/>
    <hyperlink ref="B1225" location="Transfers!$AF$37" display="Transfers!$AF$37"/>
    <hyperlink ref="B1226" location="Transfers!$AG$37" display="Transfers!$AG$37"/>
    <hyperlink ref="B1228" location="Transfers!$AI$37" display="Transfers!$AI$37"/>
    <hyperlink ref="B1229" location="Transfers!$AJ$37" display="Transfers!$AJ$37"/>
    <hyperlink ref="B1230" location="Transfers!$AK$37" display="Transfers!$AK$37"/>
    <hyperlink ref="B1231" location="Transfers!$B$38" display="Transfers!$B$38"/>
    <hyperlink ref="B1232" location="Transfers!$C$38" display="Transfers!$C$38"/>
    <hyperlink ref="B1233" location="Transfers!$D$38" display="Transfers!$D$38"/>
    <hyperlink ref="B1234" location="Transfers!$E$38" display="Transfers!$E$38"/>
    <hyperlink ref="B1235" location="Transfers!$F$38" display="Transfers!$F$38"/>
    <hyperlink ref="B1236" location="Transfers!$G$38" display="Transfers!$G$38"/>
    <hyperlink ref="B1237" location="Transfers!$H$38" display="Transfers!$H$38"/>
    <hyperlink ref="B1238" location="Transfers!$I$38" display="Transfers!$I$38"/>
    <hyperlink ref="B1239" location="Transfers!$J$38" display="Transfers!$J$38"/>
    <hyperlink ref="B1240" location="Transfers!$K$38" display="Transfers!$K$38"/>
    <hyperlink ref="B1241" location="Transfers!$L$38" display="Transfers!$L$38"/>
    <hyperlink ref="B1242" location="Transfers!$M$38" display="Transfers!$M$38"/>
    <hyperlink ref="B1243" location="Transfers!$N$38" display="Transfers!$N$38"/>
    <hyperlink ref="B1244" location="Transfers!$O$38" display="Transfers!$O$38"/>
    <hyperlink ref="B1245" location="Transfers!$P$38" display="Transfers!$P$38"/>
    <hyperlink ref="B1246" location="Transfers!$Q$38" display="Transfers!$Q$38"/>
    <hyperlink ref="B1247" location="Transfers!$R$38" display="Transfers!$R$38"/>
    <hyperlink ref="B1248" location="Transfers!$S$38" display="Transfers!$S$38"/>
    <hyperlink ref="B1249" location="Transfers!$T$38" display="Transfers!$T$38"/>
    <hyperlink ref="B1250" location="Transfers!$U$38" display="Transfers!$U$38"/>
    <hyperlink ref="B1251" location="Transfers!$V$38" display="Transfers!$V$38"/>
    <hyperlink ref="B1252" location="Transfers!$W$38" display="Transfers!$W$38"/>
    <hyperlink ref="B1253" location="Transfers!$X$38" display="Transfers!$X$38"/>
    <hyperlink ref="B1254" location="Transfers!$Y$38" display="Transfers!$Y$38"/>
    <hyperlink ref="B1255" location="Transfers!$Z$38" display="Transfers!$Z$38"/>
    <hyperlink ref="B1256" location="Transfers!$AA$38" display="Transfers!$AA$38"/>
    <hyperlink ref="B1257" location="Transfers!$AB$38" display="Transfers!$AB$38"/>
    <hyperlink ref="B1258" location="Transfers!$AC$38" display="Transfers!$AC$38"/>
    <hyperlink ref="B1259" location="Transfers!$AD$38" display="Transfers!$AD$38"/>
    <hyperlink ref="B1260" location="Transfers!$AE$38" display="Transfers!$AE$38"/>
    <hyperlink ref="B1261" location="Transfers!$AF$38" display="Transfers!$AF$38"/>
    <hyperlink ref="B1262" location="Transfers!$AG$38" display="Transfers!$AG$38"/>
    <hyperlink ref="B1263" location="Transfers!$AH$38" display="Transfers!$AH$38"/>
    <hyperlink ref="B1265" location="Transfers!$AJ$38" display="Transfers!$AJ$38"/>
    <hyperlink ref="B1266" location="Transfers!$AK$38" display="Transfers!$AK$38"/>
    <hyperlink ref="B1267" location="Transfers!$B$39" display="Transfers!$B$39"/>
    <hyperlink ref="B1268" location="Transfers!$C$39" display="Transfers!$C$39"/>
    <hyperlink ref="B1269" location="Transfers!$D$39" display="Transfers!$D$39"/>
    <hyperlink ref="B1270" location="Transfers!$E$39" display="Transfers!$E$39"/>
    <hyperlink ref="B1271" location="Transfers!$F$39" display="Transfers!$F$39"/>
    <hyperlink ref="B1272" location="Transfers!$G$39" display="Transfers!$G$39"/>
    <hyperlink ref="B1273" location="Transfers!$H$39" display="Transfers!$H$39"/>
    <hyperlink ref="B1274" location="Transfers!$I$39" display="Transfers!$I$39"/>
    <hyperlink ref="B1275" location="Transfers!$J$39" display="Transfers!$J$39"/>
    <hyperlink ref="B1276" location="Transfers!$K$39" display="Transfers!$K$39"/>
    <hyperlink ref="B1277" location="Transfers!$L$39" display="Transfers!$L$39"/>
    <hyperlink ref="B1278" location="Transfers!$M$39" display="Transfers!$M$39"/>
    <hyperlink ref="B1279" location="Transfers!$N$39" display="Transfers!$N$39"/>
    <hyperlink ref="B1280" location="Transfers!$O$39" display="Transfers!$O$39"/>
    <hyperlink ref="B1281" location="Transfers!$P$39" display="Transfers!$P$39"/>
    <hyperlink ref="B1282" location="Transfers!$Q$39" display="Transfers!$Q$39"/>
    <hyperlink ref="B1283" location="Transfers!$R$39" display="Transfers!$R$39"/>
    <hyperlink ref="B1284" location="Transfers!$S$39" display="Transfers!$S$39"/>
    <hyperlink ref="B1285" location="Transfers!$T$39" display="Transfers!$T$39"/>
    <hyperlink ref="B1286" location="Transfers!$U$39" display="Transfers!$U$39"/>
    <hyperlink ref="B1287" location="Transfers!$V$39" display="Transfers!$V$39"/>
    <hyperlink ref="B1288" location="Transfers!$W$39" display="Transfers!$W$39"/>
    <hyperlink ref="B1289" location="Transfers!$X$39" display="Transfers!$X$39"/>
    <hyperlink ref="B1290" location="Transfers!$Y$39" display="Transfers!$Y$39"/>
    <hyperlink ref="B1291" location="Transfers!$Z$39" display="Transfers!$Z$39"/>
    <hyperlink ref="B1292" location="Transfers!$AA$39" display="Transfers!$AA$39"/>
    <hyperlink ref="B1293" location="Transfers!$AB$39" display="Transfers!$AB$39"/>
    <hyperlink ref="B1294" location="Transfers!$AC$39" display="Transfers!$AC$39"/>
    <hyperlink ref="B1295" location="Transfers!$AD$39" display="Transfers!$AD$39"/>
    <hyperlink ref="B1296" location="Transfers!$AE$39" display="Transfers!$AE$39"/>
    <hyperlink ref="B1297" location="Transfers!$AF$39" display="Transfers!$AF$39"/>
    <hyperlink ref="B1298" location="Transfers!$AG$39" display="Transfers!$AG$39"/>
    <hyperlink ref="B1299" location="Transfers!$AH$39" display="Transfers!$AH$39"/>
    <hyperlink ref="B1300" location="Transfers!$AI$39" display="Transfers!$AI$39"/>
    <hyperlink ref="B1302" location="Transfers!$AK$39" display="Transfers!$AK$39"/>
    <hyperlink ref="B1303" location="Transfers!$B$40" display="Transfers!$B$40"/>
    <hyperlink ref="B1304" location="Transfers!$C$40" display="Transfers!$C$40"/>
    <hyperlink ref="B1305" location="Transfers!$D$40" display="Transfers!$D$40"/>
    <hyperlink ref="B1306" location="Transfers!$E$40" display="Transfers!$E$40"/>
    <hyperlink ref="B1307" location="Transfers!$F$40" display="Transfers!$F$40"/>
    <hyperlink ref="B1308" location="Transfers!$G$40" display="Transfers!$G$40"/>
    <hyperlink ref="B1309" location="Transfers!$H$40" display="Transfers!$H$40"/>
    <hyperlink ref="B1310" location="Transfers!$I$40" display="Transfers!$I$40"/>
    <hyperlink ref="B1311" location="Transfers!$J$40" display="Transfers!$J$40"/>
    <hyperlink ref="B1312" location="Transfers!$K$40" display="Transfers!$K$40"/>
    <hyperlink ref="B1313" location="Transfers!$L$40" display="Transfers!$L$40"/>
    <hyperlink ref="B1314" location="Transfers!$M$40" display="Transfers!$M$40"/>
    <hyperlink ref="B1315" location="Transfers!$N$40" display="Transfers!$N$40"/>
    <hyperlink ref="B1316" location="Transfers!$O$40" display="Transfers!$O$40"/>
    <hyperlink ref="B1317" location="Transfers!$P$40" display="Transfers!$P$40"/>
    <hyperlink ref="B1318" location="Transfers!$Q$40" display="Transfers!$Q$40"/>
    <hyperlink ref="B1319" location="Transfers!$R$40" display="Transfers!$R$40"/>
    <hyperlink ref="B1320" location="Transfers!$S$40" display="Transfers!$S$40"/>
    <hyperlink ref="B1321" location="Transfers!$T$40" display="Transfers!$T$40"/>
    <hyperlink ref="B1322" location="Transfers!$U$40" display="Transfers!$U$40"/>
    <hyperlink ref="B1323" location="Transfers!$V$40" display="Transfers!$V$40"/>
    <hyperlink ref="B1324" location="Transfers!$W$40" display="Transfers!$W$40"/>
    <hyperlink ref="B1325" location="Transfers!$X$40" display="Transfers!$X$40"/>
    <hyperlink ref="B1326" location="Transfers!$Y$40" display="Transfers!$Y$40"/>
    <hyperlink ref="B1327" location="Transfers!$Z$40" display="Transfers!$Z$40"/>
    <hyperlink ref="B1328" location="Transfers!$AA$40" display="Transfers!$AA$40"/>
    <hyperlink ref="B1329" location="Transfers!$AB$40" display="Transfers!$AB$40"/>
    <hyperlink ref="B1330" location="Transfers!$AC$40" display="Transfers!$AC$40"/>
    <hyperlink ref="B1331" location="Transfers!$AD$40" display="Transfers!$AD$40"/>
    <hyperlink ref="B1332" location="Transfers!$AE$40" display="Transfers!$AE$40"/>
    <hyperlink ref="B1333" location="Transfers!$AF$40" display="Transfers!$AF$40"/>
    <hyperlink ref="B1334" location="Transfers!$AG$40" display="Transfers!$AG$40"/>
    <hyperlink ref="B1335" location="Transfers!$AH$40" display="Transfers!$AH$40"/>
    <hyperlink ref="B1336" location="Transfers!$AI$40" display="Transfers!$AI$40"/>
    <hyperlink ref="B1337" location="Transfers!$AJ$40" display="Transfers!$AJ$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Definitions</vt:lpstr>
      <vt:lpstr>Demographics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2026-02-25T22:40:07Z</dcterms:created>
  <dcterms:modified xsi:type="dcterms:W3CDTF">2026-02-25T22:40:07Z</dcterms:modified>
  <cp:category>atomica:databook</cp:category>
</cp:coreProperties>
</file>