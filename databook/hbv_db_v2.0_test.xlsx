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Population Size" sheetId="2" r:id="rId2"/>
    <sheet name="Population Flows" sheetId="3" r:id="rId3"/>
    <sheet name="Transfers" sheetId="4" r:id="rId4"/>
  </sheets>
  <calcPr calcId="124519" fullCalcOnLoad="1"/>
</workbook>
</file>

<file path=xl/sharedStrings.xml><?xml version="1.0" encoding="utf-8"?>
<sst xmlns="http://schemas.openxmlformats.org/spreadsheetml/2006/main" count="603" uniqueCount="170">
  <si>
    <t>Abbreviation</t>
  </si>
  <si>
    <t>Full Name</t>
  </si>
  <si>
    <t>Population type</t>
  </si>
  <si>
    <t>atsi_0-4_M</t>
  </si>
  <si>
    <t>default</t>
  </si>
  <si>
    <t>atsi_5-14_M</t>
  </si>
  <si>
    <t>atsi_15-29_M</t>
  </si>
  <si>
    <t>atsi_30-49_M</t>
  </si>
  <si>
    <t>atsi_50-64_M</t>
  </si>
  <si>
    <t>atsi_65+_M</t>
  </si>
  <si>
    <t>atsi_0-4_F</t>
  </si>
  <si>
    <t>atsi_5-14_F</t>
  </si>
  <si>
    <t>atsi_15-29_F</t>
  </si>
  <si>
    <t>atsi_30-49_F</t>
  </si>
  <si>
    <t>atsi_50-64_F</t>
  </si>
  <si>
    <t>atsi_65+_F</t>
  </si>
  <si>
    <t>Population living in Australia</t>
  </si>
  <si>
    <t>Provenance</t>
  </si>
  <si>
    <t>Units</t>
  </si>
  <si>
    <t>Uncertainty</t>
  </si>
  <si>
    <t>Number</t>
  </si>
  <si>
    <t>Annual number of live births in Australia (by age of mother)</t>
  </si>
  <si>
    <t>Constant</t>
  </si>
  <si>
    <t>Number (per year)</t>
  </si>
  <si>
    <t>OR</t>
  </si>
  <si>
    <t>Annual rate of all-cause mortality in Australia (by age and sex)</t>
  </si>
  <si>
    <t>Rate (per year)</t>
  </si>
  <si>
    <t>Annual rate of immigration to Australia from Overseas (by age and sex)</t>
  </si>
  <si>
    <t>Annual rate of emigration from Australia to Overseas (by age and sex)</t>
  </si>
  <si>
    <t>age</t>
  </si>
  <si>
    <t>aging</t>
  </si>
  <si>
    <t>From population type</t>
  </si>
  <si>
    <t>To population type</t>
  </si>
  <si>
    <t>N.A.</t>
  </si>
  <si>
    <t>Y</t>
  </si>
  <si>
    <t>N</t>
  </si>
  <si>
    <t>From population</t>
  </si>
  <si>
    <t>To population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</si>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</sst>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3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CR13"/>
  <sheetViews>
    <sheetView workbookViewId="0"/>
  </sheetViews>
  <sheetFormatPr defaultRowHeight="15"/>
  <cols>
    <col min="1" max="1" width="34.7109375" customWidth="1"/>
    <col min="2" max="2" width="12.7109375" customWidth="1"/>
    <col min="3" max="3" width="8.28515625" customWidth="1"/>
    <col min="4" max="4" width="13.85546875" customWidth="1"/>
    <col min="5" max="96" width="9.42578125" customWidth="1"/>
  </cols>
  <sheetData>
    <row r="1" spans="1:96">
      <c r="A1" s="1" t="s">
        <v>16</v>
      </c>
      <c r="B1" s="1" t="s">
        <v>17</v>
      </c>
      <c r="C1" s="1" t="s">
        <v>18</v>
      </c>
      <c r="D1" s="1" t="s">
        <v>19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>
      <c r="A2" s="1" t="str">
        <f>'Population Definitions'!$B$2</f>
        <v>atsi_0-4_M</v>
      </c>
      <c r="C2" t="s">
        <v>20</v>
      </c>
      <c r="D2" s="3"/>
      <c r="E2" s="3">
        <v>27483.29511268177</v>
      </c>
      <c r="F2" s="3">
        <v>28134.12643475001</v>
      </c>
      <c r="G2" s="3">
        <v>28800.37007939631</v>
      </c>
      <c r="H2" s="3">
        <v>29482.39102550109</v>
      </c>
      <c r="I2" s="3">
        <v>30180.56289500175</v>
      </c>
      <c r="J2" s="3">
        <v>30895.26815756881</v>
      </c>
      <c r="K2" s="3">
        <v>31626.89834012886</v>
      </c>
      <c r="L2" s="3">
        <v>32375.85424134923</v>
      </c>
      <c r="M2" s="3">
        <v>33142.54615120187</v>
      </c>
      <c r="N2" s="3">
        <v>33927.39407572678</v>
      </c>
      <c r="O2" s="3">
        <v>34730.827967118</v>
      </c>
      <c r="P2" s="3">
        <v>35553.28795925822</v>
      </c>
      <c r="Q2" s="3">
        <v>36395.2246088312</v>
      </c>
      <c r="R2" s="3">
        <v>37257.09914214383</v>
      </c>
      <c r="S2" s="3">
        <v>38139.38370779331</v>
      </c>
      <c r="T2" s="3">
        <v>39042.56163531761</v>
      </c>
      <c r="U2" s="3">
        <v>39967.12769997116</v>
      </c>
      <c r="V2" s="3">
        <v>40913.58839377054</v>
      </c>
      <c r="W2" s="3">
        <v>41882.46220295894</v>
      </c>
      <c r="X2" s="3">
        <v>42874.27989204116</v>
      </c>
      <c r="Y2" s="3">
        <v>43889.58479454482</v>
      </c>
      <c r="Z2" s="3">
        <v>44928.93311066716</v>
      </c>
      <c r="AA2" s="3">
        <v>45992.89421197039</v>
      </c>
      <c r="AB2" s="3">
        <v>47082.05095329246</v>
      </c>
      <c r="AC2" s="3">
        <v>48196.99999204421</v>
      </c>
      <c r="AD2" s="3">
        <v>49338.35211506786</v>
      </c>
      <c r="AE2" s="3">
        <v>50506.73257323571</v>
      </c>
      <c r="AF2" s="3">
        <v>51702.78142397259</v>
      </c>
      <c r="AG2" s="3">
        <v>52927.15388188947</v>
      </c>
      <c r="AH2" s="3">
        <v>54180.52067772044</v>
      </c>
      <c r="AI2" s="3">
        <v>55463.56842575975</v>
      </c>
      <c r="AJ2" s="3">
        <v>56777</v>
      </c>
      <c r="AK2" s="3">
        <v>56794</v>
      </c>
      <c r="AL2" s="3">
        <v>56670</v>
      </c>
      <c r="AM2" s="3">
        <v>56576</v>
      </c>
      <c r="AN2" s="3">
        <v>56399</v>
      </c>
      <c r="AO2" s="3">
        <v>56462</v>
      </c>
      <c r="AP2" s="3">
        <v>56209</v>
      </c>
      <c r="AQ2" s="3">
        <v>55735</v>
      </c>
      <c r="AR2" s="3">
        <v>55483</v>
      </c>
      <c r="AS2" s="3">
        <v>55049</v>
      </c>
      <c r="AT2" s="3">
        <v>54602</v>
      </c>
      <c r="AU2" s="3">
        <v>55603</v>
      </c>
      <c r="AV2" s="3">
        <v>56883</v>
      </c>
      <c r="AW2" s="3">
        <v>58194</v>
      </c>
      <c r="AX2" s="3">
        <v>60002</v>
      </c>
      <c r="AY2" s="3">
        <v>62014</v>
      </c>
      <c r="AZ2" s="3">
        <v>62989</v>
      </c>
      <c r="BA2" s="3">
        <v>63955</v>
      </c>
      <c r="BB2" s="3">
        <v>64927</v>
      </c>
      <c r="BC2" s="3">
        <v>65887</v>
      </c>
      <c r="BD2" s="3">
        <v>66808</v>
      </c>
      <c r="BE2" s="3">
        <v>67533.16050506922</v>
      </c>
      <c r="BF2" s="3">
        <v>68310.79497563033</v>
      </c>
      <c r="BG2" s="3">
        <v>69195.24641624311</v>
      </c>
      <c r="BH2" s="3">
        <v>70156.82227013106</v>
      </c>
      <c r="BI2" s="3">
        <v>71187.07183773437</v>
      </c>
      <c r="BJ2" s="3">
        <v>72260.78761371972</v>
      </c>
      <c r="BK2" s="3">
        <v>73361.77376571347</v>
      </c>
      <c r="BL2" s="3">
        <v>74506.23534769265</v>
      </c>
      <c r="BM2" s="3">
        <v>75670.6247024895</v>
      </c>
      <c r="BN2" s="3">
        <v>76853.42523109405</v>
      </c>
      <c r="BO2" s="3">
        <v>78043.61231139576</v>
      </c>
      <c r="BP2" s="3">
        <v>79231.40638352047</v>
      </c>
      <c r="BQ2" s="3">
        <v>80422.53370235275</v>
      </c>
      <c r="BR2" s="3">
        <v>81620.93477865902</v>
      </c>
      <c r="BS2" s="3">
        <v>82829.48546717786</v>
      </c>
      <c r="BT2" s="3">
        <v>84041.0906168143</v>
      </c>
      <c r="BU2" s="3">
        <v>85263.52796957052</v>
      </c>
      <c r="BV2" s="3">
        <v>86500.09396338454</v>
      </c>
      <c r="BW2" s="3">
        <v>87764.26810850002</v>
      </c>
      <c r="BX2" s="3">
        <v>89064.97658277472</v>
      </c>
      <c r="BY2" s="3">
        <v>90389.82266602192</v>
      </c>
      <c r="BZ2" s="3">
        <v>91733.8706905584</v>
      </c>
      <c r="CA2" s="3">
        <v>93115.09518819502</v>
      </c>
      <c r="CB2" s="3">
        <v>94536.22838987136</v>
      </c>
      <c r="CC2" s="3">
        <v>95992.3666846022</v>
      </c>
      <c r="CD2" s="3">
        <v>97485.98574068362</v>
      </c>
      <c r="CE2" s="3">
        <v>99013.77701947396</v>
      </c>
      <c r="CF2" s="3">
        <v>100564.6051349645</v>
      </c>
      <c r="CG2" s="3">
        <v>102135.229228905</v>
      </c>
      <c r="CH2" s="3">
        <v>103732.3201679983</v>
      </c>
      <c r="CI2" s="3">
        <v>105346.6822199184</v>
      </c>
      <c r="CJ2" s="3">
        <v>106988.552084278</v>
      </c>
      <c r="CK2" s="3">
        <v>108654.4783303365</v>
      </c>
      <c r="CL2" s="3">
        <v>110342.7121876205</v>
      </c>
      <c r="CM2" s="3">
        <v>112052.5068978406</v>
      </c>
      <c r="CN2" s="3">
        <v>113796.034688134</v>
      </c>
      <c r="CO2" s="3">
        <v>115553.3065499344</v>
      </c>
      <c r="CP2" s="3">
        <v>117330.2193402632</v>
      </c>
      <c r="CQ2" s="3">
        <v>119131.9573476041</v>
      </c>
      <c r="CR2" s="3">
        <v>120953.0677503089</v>
      </c>
    </row>
    <row r="3" spans="1:96">
      <c r="A3" s="1" t="str">
        <f>'Population Definitions'!$B$3</f>
        <v>atsi_5-14_M</v>
      </c>
      <c r="C3" t="s">
        <v>20</v>
      </c>
      <c r="D3" s="3"/>
      <c r="E3" s="3">
        <v>45488.75732988984</v>
      </c>
      <c r="F3" s="3">
        <v>46565.9756165207</v>
      </c>
      <c r="G3" s="3">
        <v>47668.70348629177</v>
      </c>
      <c r="H3" s="3">
        <v>48797.54503109423</v>
      </c>
      <c r="I3" s="3">
        <v>49953.1186483064</v>
      </c>
      <c r="J3" s="3">
        <v>51136.05737956162</v>
      </c>
      <c r="K3" s="3">
        <v>52347.00925753859</v>
      </c>
      <c r="L3" s="3">
        <v>53586.63766096395</v>
      </c>
      <c r="M3" s="3">
        <v>54855.62167802177</v>
      </c>
      <c r="N3" s="3">
        <v>56154.65647836883</v>
      </c>
      <c r="O3" s="3">
        <v>57484.45369395961</v>
      </c>
      <c r="P3" s="3">
        <v>58845.7418088897</v>
      </c>
      <c r="Q3" s="3">
        <v>60239.26655847088</v>
      </c>
      <c r="R3" s="3">
        <v>61665.79133775688</v>
      </c>
      <c r="S3" s="3">
        <v>63126.09761974332</v>
      </c>
      <c r="T3" s="3">
        <v>64620.98538347103</v>
      </c>
      <c r="U3" s="3">
        <v>66151.27355226742</v>
      </c>
      <c r="V3" s="3">
        <v>67717.80044236558</v>
      </c>
      <c r="W3" s="3">
        <v>69321.42422214738</v>
      </c>
      <c r="X3" s="3">
        <v>70963.02338226173</v>
      </c>
      <c r="Y3" s="3">
        <v>72643.49721687572</v>
      </c>
      <c r="Z3" s="3">
        <v>74363.76631632236</v>
      </c>
      <c r="AA3" s="3">
        <v>76124.77307141456</v>
      </c>
      <c r="AB3" s="3">
        <v>77927.48218970188</v>
      </c>
      <c r="AC3" s="3">
        <v>79772.88122395267</v>
      </c>
      <c r="AD3" s="3">
        <v>81661.9811131512</v>
      </c>
      <c r="AE3" s="3">
        <v>83595.81673630611</v>
      </c>
      <c r="AF3" s="3">
        <v>85575.44747937369</v>
      </c>
      <c r="AG3" s="3">
        <v>87601.95781560634</v>
      </c>
      <c r="AH3" s="3">
        <v>89676.45789964423</v>
      </c>
      <c r="AI3" s="3">
        <v>91800.08417567583</v>
      </c>
      <c r="AJ3" s="3">
        <v>93974</v>
      </c>
      <c r="AK3" s="3">
        <v>96734</v>
      </c>
      <c r="AL3" s="3">
        <v>99395</v>
      </c>
      <c r="AM3" s="3">
        <v>101836</v>
      </c>
      <c r="AN3" s="3">
        <v>104106</v>
      </c>
      <c r="AO3" s="3">
        <v>105957</v>
      </c>
      <c r="AP3" s="3">
        <v>107839</v>
      </c>
      <c r="AQ3" s="3">
        <v>109854</v>
      </c>
      <c r="AR3" s="3">
        <v>111546</v>
      </c>
      <c r="AS3" s="3">
        <v>112481</v>
      </c>
      <c r="AT3" s="3">
        <v>113060</v>
      </c>
      <c r="AU3" s="3">
        <v>112825</v>
      </c>
      <c r="AV3" s="3">
        <v>112228</v>
      </c>
      <c r="AW3" s="3">
        <v>111883</v>
      </c>
      <c r="AX3" s="3">
        <v>111275</v>
      </c>
      <c r="AY3" s="3">
        <v>110892</v>
      </c>
      <c r="AZ3" s="3">
        <v>111640</v>
      </c>
      <c r="BA3" s="3">
        <v>112447</v>
      </c>
      <c r="BB3" s="3">
        <v>113506</v>
      </c>
      <c r="BC3" s="3">
        <v>114881</v>
      </c>
      <c r="BD3" s="3">
        <v>116445</v>
      </c>
      <c r="BE3" s="3">
        <v>118416</v>
      </c>
      <c r="BF3" s="3">
        <v>120341.57110801</v>
      </c>
      <c r="BG3" s="3">
        <v>122236.1986497336</v>
      </c>
      <c r="BH3" s="3">
        <v>124123.5539156521</v>
      </c>
      <c r="BI3" s="3">
        <v>126019.3039337566</v>
      </c>
      <c r="BJ3" s="3">
        <v>127935.9937059423</v>
      </c>
      <c r="BK3" s="3">
        <v>129880.0866200498</v>
      </c>
      <c r="BL3" s="3">
        <v>131854.2895332222</v>
      </c>
      <c r="BM3" s="3">
        <v>133864.2009616277</v>
      </c>
      <c r="BN3" s="3">
        <v>135910.316696185</v>
      </c>
      <c r="BO3" s="3">
        <v>137992.7911051863</v>
      </c>
      <c r="BP3" s="3">
        <v>140109.6226749574</v>
      </c>
      <c r="BQ3" s="3">
        <v>142257.0995844881</v>
      </c>
      <c r="BR3" s="3">
        <v>144432.9730104417</v>
      </c>
      <c r="BS3" s="3">
        <v>146635.9720200415</v>
      </c>
      <c r="BT3" s="3">
        <v>148865.5043661924</v>
      </c>
      <c r="BU3" s="3">
        <v>151119.6556952869</v>
      </c>
      <c r="BV3" s="3">
        <v>153398.2032328203</v>
      </c>
      <c r="BW3" s="3">
        <v>155701.5855196177</v>
      </c>
      <c r="BX3" s="3">
        <v>158032.8177523262</v>
      </c>
      <c r="BY3" s="3">
        <v>160396.3638827567</v>
      </c>
      <c r="BZ3" s="3">
        <v>162793.858189855</v>
      </c>
      <c r="CA3" s="3">
        <v>165225.8218538807</v>
      </c>
      <c r="CB3" s="3">
        <v>167696.2179609268</v>
      </c>
      <c r="CC3" s="3">
        <v>170209.1657295997</v>
      </c>
      <c r="CD3" s="3">
        <v>172767.4426591173</v>
      </c>
      <c r="CE3" s="3">
        <v>175374.0445971079</v>
      </c>
      <c r="CF3" s="3">
        <v>178031.0416475973</v>
      </c>
      <c r="CG3" s="3">
        <v>180738.1454665533</v>
      </c>
      <c r="CH3" s="3">
        <v>183494.4654946197</v>
      </c>
      <c r="CI3" s="3">
        <v>186300.4910082189</v>
      </c>
      <c r="CJ3" s="3">
        <v>189154.8789723006</v>
      </c>
      <c r="CK3" s="3">
        <v>192058.4015356645</v>
      </c>
      <c r="CL3" s="3">
        <v>195011.0875074609</v>
      </c>
      <c r="CM3" s="3">
        <v>198012.6233135367</v>
      </c>
      <c r="CN3" s="3">
        <v>201062.5799735021</v>
      </c>
      <c r="CO3" s="3">
        <v>204162.9332393117</v>
      </c>
      <c r="CP3" s="3">
        <v>207311.5897084078</v>
      </c>
      <c r="CQ3" s="3">
        <v>210507.7991579464</v>
      </c>
      <c r="CR3" s="3">
        <v>213751.8892024542</v>
      </c>
    </row>
    <row r="4" spans="1:96">
      <c r="A4" s="1" t="str">
        <f>'Population Definitions'!$B$4</f>
        <v>atsi_15-29_M</v>
      </c>
      <c r="C4" t="s">
        <v>20</v>
      </c>
      <c r="D4" s="3"/>
      <c r="E4" s="3">
        <v>50294.95767816147</v>
      </c>
      <c r="F4" s="3">
        <v>51485.99149215051</v>
      </c>
      <c r="G4" s="3">
        <v>52705.23015234188</v>
      </c>
      <c r="H4" s="3">
        <v>53953.34157709352</v>
      </c>
      <c r="I4" s="3">
        <v>55231.0095017237</v>
      </c>
      <c r="J4" s="3">
        <v>56538.93385307206</v>
      </c>
      <c r="K4" s="3">
        <v>57877.83113293075</v>
      </c>
      <c r="L4" s="3">
        <v>59248.43481055547</v>
      </c>
      <c r="M4" s="3">
        <v>60651.49572447166</v>
      </c>
      <c r="N4" s="3">
        <v>62087.78249379572</v>
      </c>
      <c r="O4" s="3">
        <v>63558.08193929692</v>
      </c>
      <c r="P4" s="3">
        <v>65063.19951443026</v>
      </c>
      <c r="Q4" s="3">
        <v>66603.95974657674</v>
      </c>
      <c r="R4" s="3">
        <v>68181.20668873259</v>
      </c>
      <c r="S4" s="3">
        <v>69795.80438189491</v>
      </c>
      <c r="T4" s="3">
        <v>71448.63732839715</v>
      </c>
      <c r="U4" s="3">
        <v>73140.61097645354</v>
      </c>
      <c r="V4" s="3">
        <v>74872.65221617803</v>
      </c>
      <c r="W4" s="3">
        <v>76645.70988734951</v>
      </c>
      <c r="X4" s="3">
        <v>78460.75529920129</v>
      </c>
      <c r="Y4" s="3">
        <v>80318.78276251986</v>
      </c>
      <c r="Z4" s="3">
        <v>82220.81013434401</v>
      </c>
      <c r="AA4" s="3">
        <v>84167.87937556334</v>
      </c>
      <c r="AB4" s="3">
        <v>86161.05712172088</v>
      </c>
      <c r="AC4" s="3">
        <v>88201.43526733306</v>
      </c>
      <c r="AD4" s="3">
        <v>90290.13156404697</v>
      </c>
      <c r="AE4" s="3">
        <v>92428.29023296246</v>
      </c>
      <c r="AF4" s="3">
        <v>94617.08259145472</v>
      </c>
      <c r="AG4" s="3">
        <v>96857.70769484054</v>
      </c>
      <c r="AH4" s="3">
        <v>99151.39299323999</v>
      </c>
      <c r="AI4" s="3">
        <v>101499.3950039931</v>
      </c>
      <c r="AJ4" s="3">
        <v>103903</v>
      </c>
      <c r="AK4" s="3">
        <v>106816</v>
      </c>
      <c r="AL4" s="3">
        <v>109773</v>
      </c>
      <c r="AM4" s="3">
        <v>112680</v>
      </c>
      <c r="AN4" s="3">
        <v>115772</v>
      </c>
      <c r="AO4" s="3">
        <v>118837</v>
      </c>
      <c r="AP4" s="3">
        <v>121883</v>
      </c>
      <c r="AQ4" s="3">
        <v>124763</v>
      </c>
      <c r="AR4" s="3">
        <v>127468</v>
      </c>
      <c r="AS4" s="3">
        <v>130440</v>
      </c>
      <c r="AT4" s="3">
        <v>133338</v>
      </c>
      <c r="AU4" s="3">
        <v>136924</v>
      </c>
      <c r="AV4" s="3">
        <v>140434</v>
      </c>
      <c r="AW4" s="3">
        <v>143810</v>
      </c>
      <c r="AX4" s="3">
        <v>146744</v>
      </c>
      <c r="AY4" s="3">
        <v>149403</v>
      </c>
      <c r="AZ4" s="3">
        <v>152157</v>
      </c>
      <c r="BA4" s="3">
        <v>154674</v>
      </c>
      <c r="BB4" s="3">
        <v>157005</v>
      </c>
      <c r="BC4" s="3">
        <v>159081</v>
      </c>
      <c r="BD4" s="3">
        <v>160984</v>
      </c>
      <c r="BE4" s="3">
        <v>162591</v>
      </c>
      <c r="BF4" s="3">
        <v>164290.3293950073</v>
      </c>
      <c r="BG4" s="3">
        <v>166072.3230456431</v>
      </c>
      <c r="BH4" s="3">
        <v>167929.2455254963</v>
      </c>
      <c r="BI4" s="3">
        <v>169856.0453447496</v>
      </c>
      <c r="BJ4" s="3">
        <v>171849.4434209284</v>
      </c>
      <c r="BK4" s="3">
        <v>173907.5352701969</v>
      </c>
      <c r="BL4" s="3">
        <v>176029.1371529314</v>
      </c>
      <c r="BM4" s="3">
        <v>178213.3896730645</v>
      </c>
      <c r="BN4" s="3">
        <v>180460.0116951674</v>
      </c>
      <c r="BO4" s="3">
        <v>182768.7852382665</v>
      </c>
      <c r="BP4" s="3">
        <v>185139.5195849293</v>
      </c>
      <c r="BQ4" s="3">
        <v>187571.8462962595</v>
      </c>
      <c r="BR4" s="3">
        <v>190065.0682071351</v>
      </c>
      <c r="BS4" s="3">
        <v>192618.3166044171</v>
      </c>
      <c r="BT4" s="3">
        <v>195230.6534804688</v>
      </c>
      <c r="BU4" s="3">
        <v>197901.139600865</v>
      </c>
      <c r="BV4" s="3">
        <v>200628.7098417655</v>
      </c>
      <c r="BW4" s="3">
        <v>203412.3401162689</v>
      </c>
      <c r="BX4" s="3">
        <v>206251.1073753565</v>
      </c>
      <c r="BY4" s="3">
        <v>209144.4268158955</v>
      </c>
      <c r="BZ4" s="3">
        <v>212092.1688570442</v>
      </c>
      <c r="CA4" s="3">
        <v>215094.3656533968</v>
      </c>
      <c r="CB4" s="3">
        <v>218151.0966569418</v>
      </c>
      <c r="CC4" s="3">
        <v>221262.8105879971</v>
      </c>
      <c r="CD4" s="3">
        <v>224430.318651788</v>
      </c>
      <c r="CE4" s="3">
        <v>227654.64683544</v>
      </c>
      <c r="CF4" s="3">
        <v>230937.043994762</v>
      </c>
      <c r="CG4" s="3">
        <v>234278.8815305657</v>
      </c>
      <c r="CH4" s="3">
        <v>237681.4237414277</v>
      </c>
      <c r="CI4" s="3">
        <v>241145.7772475273</v>
      </c>
      <c r="CJ4" s="3">
        <v>244673.0303576253</v>
      </c>
      <c r="CK4" s="3">
        <v>248264.0812665253</v>
      </c>
      <c r="CL4" s="3">
        <v>251919.8486881538</v>
      </c>
      <c r="CM4" s="3">
        <v>255641.2005297511</v>
      </c>
      <c r="CN4" s="3">
        <v>259428.9245497482</v>
      </c>
      <c r="CO4" s="3">
        <v>263283.7221392751</v>
      </c>
      <c r="CP4" s="3">
        <v>267206.4402283584</v>
      </c>
      <c r="CQ4" s="3">
        <v>271197.678902501</v>
      </c>
      <c r="CR4" s="3">
        <v>275257.9325062037</v>
      </c>
    </row>
    <row r="5" spans="1:96">
      <c r="A5" s="1" t="str">
        <f>'Population Definitions'!$B$5</f>
        <v>atsi_30-49_M</v>
      </c>
      <c r="C5" t="s">
        <v>20</v>
      </c>
      <c r="D5" s="3"/>
      <c r="E5" s="3">
        <v>46262.28015762056</v>
      </c>
      <c r="F5" s="3">
        <v>47357.81622174345</v>
      </c>
      <c r="G5" s="3">
        <v>48479.29565190244</v>
      </c>
      <c r="H5" s="3">
        <v>49627.33281239216</v>
      </c>
      <c r="I5" s="3">
        <v>50802.55661625494</v>
      </c>
      <c r="J5" s="3">
        <v>52005.61086980937</v>
      </c>
      <c r="K5" s="3">
        <v>53237.15462533765</v>
      </c>
      <c r="L5" s="3">
        <v>54497.86254212495</v>
      </c>
      <c r="M5" s="3">
        <v>55788.42525604848</v>
      </c>
      <c r="N5" s="3">
        <v>57109.54975791887</v>
      </c>
      <c r="O5" s="3">
        <v>58461.95978078098</v>
      </c>
      <c r="P5" s="3">
        <v>59846.39619638634</v>
      </c>
      <c r="Q5" s="3">
        <v>61263.61742105457</v>
      </c>
      <c r="R5" s="3">
        <v>62714.39983114589</v>
      </c>
      <c r="S5" s="3">
        <v>64199.53818837244</v>
      </c>
      <c r="T5" s="3">
        <v>65719.8460751814</v>
      </c>
      <c r="U5" s="3">
        <v>67276.15634044848</v>
      </c>
      <c r="V5" s="3">
        <v>68869.32155572571</v>
      </c>
      <c r="W5" s="3">
        <v>70500.21448229376</v>
      </c>
      <c r="X5" s="3">
        <v>72169.72854927448</v>
      </c>
      <c r="Y5" s="3">
        <v>73878.77834306563</v>
      </c>
      <c r="Z5" s="3">
        <v>75628.30010836574</v>
      </c>
      <c r="AA5" s="3">
        <v>77419.25226106406</v>
      </c>
      <c r="AB5" s="3">
        <v>79252.61591327592</v>
      </c>
      <c r="AC5" s="3">
        <v>81129.39541081159</v>
      </c>
      <c r="AD5" s="3">
        <v>83050.61888337294</v>
      </c>
      <c r="AE5" s="3">
        <v>85017.33880777928</v>
      </c>
      <c r="AF5" s="3">
        <v>87030.63258453087</v>
      </c>
      <c r="AG5" s="3">
        <v>89091.60312802615</v>
      </c>
      <c r="AH5" s="3">
        <v>91201.37947075572</v>
      </c>
      <c r="AI5" s="3">
        <v>93361.11738180445</v>
      </c>
      <c r="AJ5" s="3">
        <v>95572</v>
      </c>
      <c r="AK5" s="3">
        <v>96524</v>
      </c>
      <c r="AL5" s="3">
        <v>97789</v>
      </c>
      <c r="AM5" s="3">
        <v>99133</v>
      </c>
      <c r="AN5" s="3">
        <v>100402</v>
      </c>
      <c r="AO5" s="3">
        <v>101863</v>
      </c>
      <c r="AP5" s="3">
        <v>103312</v>
      </c>
      <c r="AQ5" s="3">
        <v>104810</v>
      </c>
      <c r="AR5" s="3">
        <v>106662</v>
      </c>
      <c r="AS5" s="3">
        <v>108455</v>
      </c>
      <c r="AT5" s="3">
        <v>110255</v>
      </c>
      <c r="AU5" s="3">
        <v>112094</v>
      </c>
      <c r="AV5" s="3">
        <v>114493</v>
      </c>
      <c r="AW5" s="3">
        <v>117182</v>
      </c>
      <c r="AX5" s="3">
        <v>120399</v>
      </c>
      <c r="AY5" s="3">
        <v>123582</v>
      </c>
      <c r="AZ5" s="3">
        <v>126928</v>
      </c>
      <c r="BA5" s="3">
        <v>130778</v>
      </c>
      <c r="BB5" s="3">
        <v>134598</v>
      </c>
      <c r="BC5" s="3">
        <v>138498</v>
      </c>
      <c r="BD5" s="3">
        <v>142180</v>
      </c>
      <c r="BE5" s="3">
        <v>145839</v>
      </c>
      <c r="BF5" s="3">
        <v>149447.5237000472</v>
      </c>
      <c r="BG5" s="3">
        <v>153012.7980246018</v>
      </c>
      <c r="BH5" s="3">
        <v>156541.2178994447</v>
      </c>
      <c r="BI5" s="3">
        <v>160038.4886352775</v>
      </c>
      <c r="BJ5" s="3">
        <v>163509.8057988582</v>
      </c>
      <c r="BK5" s="3">
        <v>166959.9761063772</v>
      </c>
      <c r="BL5" s="3">
        <v>170393.5109310103</v>
      </c>
      <c r="BM5" s="3">
        <v>173814.6788844439</v>
      </c>
      <c r="BN5" s="3">
        <v>177227.5337464695</v>
      </c>
      <c r="BO5" s="3">
        <v>180635.9557922485</v>
      </c>
      <c r="BP5" s="3">
        <v>184043.6621342445</v>
      </c>
      <c r="BQ5" s="3">
        <v>187454.2146153217</v>
      </c>
      <c r="BR5" s="3">
        <v>190871.0157035622</v>
      </c>
      <c r="BS5" s="3">
        <v>194297.2959337326</v>
      </c>
      <c r="BT5" s="3">
        <v>197736.1108015177</v>
      </c>
      <c r="BU5" s="3">
        <v>201190.3436106052</v>
      </c>
      <c r="BV5" s="3">
        <v>204662.7120915331</v>
      </c>
      <c r="BW5" s="3">
        <v>208155.7676530798</v>
      </c>
      <c r="BX5" s="3">
        <v>211671.9041836666</v>
      </c>
      <c r="BY5" s="3">
        <v>215213.3699331253</v>
      </c>
      <c r="BZ5" s="3">
        <v>218782.292462485</v>
      </c>
      <c r="CA5" s="3">
        <v>222380.709296532</v>
      </c>
      <c r="CB5" s="3">
        <v>226010.5806461385</v>
      </c>
      <c r="CC5" s="3">
        <v>229673.7951092197</v>
      </c>
      <c r="CD5" s="3">
        <v>233372.1935144042</v>
      </c>
      <c r="CE5" s="3">
        <v>237107.5914515893</v>
      </c>
      <c r="CF5" s="3">
        <v>240881.7925027987</v>
      </c>
      <c r="CG5" s="3">
        <v>244696.6014203297</v>
      </c>
      <c r="CH5" s="3">
        <v>248553.8310708591</v>
      </c>
      <c r="CI5" s="3">
        <v>252455.2960114789</v>
      </c>
      <c r="CJ5" s="3">
        <v>256402.8034305719</v>
      </c>
      <c r="CK5" s="3">
        <v>260398.1523896274</v>
      </c>
      <c r="CL5" s="3">
        <v>264443.1232954538</v>
      </c>
      <c r="CM5" s="3">
        <v>268539.4797951659</v>
      </c>
      <c r="CN5" s="3">
        <v>272688.9665293701</v>
      </c>
      <c r="CO5" s="3">
        <v>276893.3052990488</v>
      </c>
      <c r="CP5" s="3">
        <v>281154.1910266611</v>
      </c>
      <c r="CQ5" s="3">
        <v>285473.3011013043</v>
      </c>
      <c r="CR5" s="3">
        <v>289852.2819805959</v>
      </c>
    </row>
    <row r="6" spans="1:96">
      <c r="A6" s="1" t="str">
        <f>'Population Definitions'!$B$6</f>
        <v>atsi_50-64_M</v>
      </c>
      <c r="C6" t="s">
        <v>20</v>
      </c>
      <c r="D6" s="3"/>
      <c r="E6" s="3">
        <v>19531.20937178078</v>
      </c>
      <c r="F6" s="3">
        <v>19993.72752198475</v>
      </c>
      <c r="G6" s="3">
        <v>20467.19855458305</v>
      </c>
      <c r="H6" s="3">
        <v>20951.88184454873</v>
      </c>
      <c r="I6" s="3">
        <v>21448.04290910801</v>
      </c>
      <c r="J6" s="3">
        <v>21955.95355319485</v>
      </c>
      <c r="K6" s="3">
        <v>22475.89201835003</v>
      </c>
      <c r="L6" s="3">
        <v>23008.14313514627</v>
      </c>
      <c r="M6" s="3">
        <v>23552.998479223</v>
      </c>
      <c r="N6" s="3">
        <v>24110.75653101608</v>
      </c>
      <c r="O6" s="3">
        <v>24681.7228392702</v>
      </c>
      <c r="P6" s="3">
        <v>25266.21018842331</v>
      </c>
      <c r="Q6" s="3">
        <v>25864.53876995491</v>
      </c>
      <c r="R6" s="3">
        <v>26477.03635779209</v>
      </c>
      <c r="S6" s="3">
        <v>27104.03848786924</v>
      </c>
      <c r="T6" s="3">
        <v>27745.88864194005</v>
      </c>
      <c r="U6" s="3">
        <v>28402.93843574222</v>
      </c>
      <c r="V6" s="3">
        <v>29075.54781161822</v>
      </c>
      <c r="W6" s="3">
        <v>29764.08523569738</v>
      </c>
      <c r="X6" s="3">
        <v>30468.92789974758</v>
      </c>
      <c r="Y6" s="3">
        <v>31190.46192780683</v>
      </c>
      <c r="Z6" s="3">
        <v>31929.08258770821</v>
      </c>
      <c r="AA6" s="3">
        <v>32685.19450761388</v>
      </c>
      <c r="AB6" s="3">
        <v>33459.21189767683</v>
      </c>
      <c r="AC6" s="3">
        <v>34251.55877695179</v>
      </c>
      <c r="AD6" s="3">
        <v>35062.66920567964</v>
      </c>
      <c r="AE6" s="3">
        <v>35892.98752307251</v>
      </c>
      <c r="AF6" s="3">
        <v>36742.96859072988</v>
      </c>
      <c r="AG6" s="3">
        <v>37613.07804181901</v>
      </c>
      <c r="AH6" s="3">
        <v>38503.79253615622</v>
      </c>
      <c r="AI6" s="3">
        <v>39415.60002132871</v>
      </c>
      <c r="AJ6" s="3">
        <v>40349</v>
      </c>
      <c r="AK6" s="3">
        <v>42260</v>
      </c>
      <c r="AL6" s="3">
        <v>44044</v>
      </c>
      <c r="AM6" s="3">
        <v>45944</v>
      </c>
      <c r="AN6" s="3">
        <v>47611</v>
      </c>
      <c r="AO6" s="3">
        <v>49129</v>
      </c>
      <c r="AP6" s="3">
        <v>50705</v>
      </c>
      <c r="AQ6" s="3">
        <v>52290</v>
      </c>
      <c r="AR6" s="3">
        <v>53845</v>
      </c>
      <c r="AS6" s="3">
        <v>55526</v>
      </c>
      <c r="AT6" s="3">
        <v>57503</v>
      </c>
      <c r="AU6" s="3">
        <v>59193</v>
      </c>
      <c r="AV6" s="3">
        <v>60665</v>
      </c>
      <c r="AW6" s="3">
        <v>61721</v>
      </c>
      <c r="AX6" s="3">
        <v>62499</v>
      </c>
      <c r="AY6" s="3">
        <v>63086</v>
      </c>
      <c r="AZ6" s="3">
        <v>63495</v>
      </c>
      <c r="BA6" s="3">
        <v>63752</v>
      </c>
      <c r="BB6" s="3">
        <v>64072</v>
      </c>
      <c r="BC6" s="3">
        <v>64418</v>
      </c>
      <c r="BD6" s="3">
        <v>65134</v>
      </c>
      <c r="BE6" s="3">
        <v>65828.91681824088</v>
      </c>
      <c r="BF6" s="3">
        <v>66606.65280930855</v>
      </c>
      <c r="BG6" s="3">
        <v>67459.95075747116</v>
      </c>
      <c r="BH6" s="3">
        <v>68382.28807666221</v>
      </c>
      <c r="BI6" s="3">
        <v>69367.79891026046</v>
      </c>
      <c r="BJ6" s="3">
        <v>70411.20639789347</v>
      </c>
      <c r="BK6" s="3">
        <v>71507.76575611782</v>
      </c>
      <c r="BL6" s="3">
        <v>72653.21538126728</v>
      </c>
      <c r="BM6" s="3">
        <v>73843.73447959014</v>
      </c>
      <c r="BN6" s="3">
        <v>75075.90535207576</v>
      </c>
      <c r="BO6" s="3">
        <v>76346.67915816419</v>
      </c>
      <c r="BP6" s="3">
        <v>77653.34539975494</v>
      </c>
      <c r="BQ6" s="3">
        <v>78993.50378859216</v>
      </c>
      <c r="BR6" s="3">
        <v>80365.03825310853</v>
      </c>
      <c r="BS6" s="3">
        <v>81766.09252079256</v>
      </c>
      <c r="BT6" s="3">
        <v>83195.04687424947</v>
      </c>
      <c r="BU6" s="3">
        <v>84650.49633604397</v>
      </c>
      <c r="BV6" s="3">
        <v>86131.23039733063</v>
      </c>
      <c r="BW6" s="3">
        <v>87636.21432088807</v>
      </c>
      <c r="BX6" s="3">
        <v>89164.57165502683</v>
      </c>
      <c r="BY6" s="3">
        <v>90715.56821442225</v>
      </c>
      <c r="BZ6" s="3">
        <v>92288.59753923694</v>
      </c>
      <c r="CA6" s="3">
        <v>93883.16819472896</v>
      </c>
      <c r="CB6" s="3">
        <v>95498.89299030452</v>
      </c>
      <c r="CC6" s="3">
        <v>97135.479359823</v>
      </c>
      <c r="CD6" s="3">
        <v>98792.72057914612</v>
      </c>
      <c r="CE6" s="3">
        <v>100470.4884041857</v>
      </c>
      <c r="CF6" s="3">
        <v>102168.7269892282</v>
      </c>
      <c r="CG6" s="3">
        <v>103887.4476734497</v>
      </c>
      <c r="CH6" s="3">
        <v>105626.7245763158</v>
      </c>
      <c r="CI6" s="3">
        <v>107386.690728891</v>
      </c>
      <c r="CJ6" s="3">
        <v>109167.5342350134</v>
      </c>
      <c r="CK6" s="3">
        <v>110969.494367596</v>
      </c>
      <c r="CL6" s="3">
        <v>112792.8578965571</v>
      </c>
      <c r="CM6" s="3">
        <v>114637.955289142</v>
      </c>
      <c r="CN6" s="3">
        <v>116505.1572283877</v>
      </c>
      <c r="CO6" s="3">
        <v>118394.8712828762</v>
      </c>
      <c r="CP6" s="3">
        <v>120307.5386619268</v>
      </c>
      <c r="CQ6" s="3">
        <v>122243.6310433287</v>
      </c>
      <c r="CR6" s="3">
        <v>124203.6479399576</v>
      </c>
    </row>
    <row r="7" spans="1:96">
      <c r="A7" s="1" t="str">
        <f>'Population Definitions'!$B$7</f>
        <v>atsi_65+_M</v>
      </c>
      <c r="C7" t="s">
        <v>20</v>
      </c>
      <c r="D7" s="3"/>
      <c r="E7" s="3">
        <v>5988.751204433111</v>
      </c>
      <c r="F7" s="3">
        <v>6130.570693251262</v>
      </c>
      <c r="G7" s="3">
        <v>6275.748606342198</v>
      </c>
      <c r="H7" s="3">
        <v>6424.364474479089</v>
      </c>
      <c r="I7" s="3">
        <v>6576.499711801635</v>
      </c>
      <c r="J7" s="3">
        <v>6732.237660416035</v>
      </c>
      <c r="K7" s="3">
        <v>6891.663636051116</v>
      </c>
      <c r="L7" s="3">
        <v>7054.864974795648</v>
      </c>
      <c r="M7" s="3">
        <v>7221.931080942448</v>
      </c>
      <c r="N7" s="3">
        <v>7392.953475965473</v>
      </c>
      <c r="O7" s="3">
        <v>7568.025848656741</v>
      </c>
      <c r="P7" s="3">
        <v>7747.244106450546</v>
      </c>
      <c r="Q7" s="3">
        <v>7930.706427963074</v>
      </c>
      <c r="R7" s="3">
        <v>8118.513316776218</v>
      </c>
      <c r="S7" s="3">
        <v>8310.767656495036</v>
      </c>
      <c r="T7" s="3">
        <v>8507.574767109028</v>
      </c>
      <c r="U7" s="3">
        <v>8709.042462688112</v>
      </c>
      <c r="V7" s="3">
        <v>8915.281110444879</v>
      </c>
      <c r="W7" s="3">
        <v>9126.403691195517</v>
      </c>
      <c r="X7" s="3">
        <v>9342.525861252498</v>
      </c>
      <c r="Y7" s="3">
        <v>9563.766015782947</v>
      </c>
      <c r="Z7" s="3">
        <v>9790.245353667402</v>
      </c>
      <c r="AA7" s="3">
        <v>10022.08794389449</v>
      </c>
      <c r="AB7" s="3">
        <v>10259.42079352791</v>
      </c>
      <c r="AC7" s="3">
        <v>10502.37391728289</v>
      </c>
      <c r="AD7" s="3">
        <v>10751.08040875036</v>
      </c>
      <c r="AE7" s="3">
        <v>11005.67651330772</v>
      </c>
      <c r="AF7" s="3">
        <v>11266.3017027562</v>
      </c>
      <c r="AG7" s="3">
        <v>11533.09875172581</v>
      </c>
      <c r="AH7" s="3">
        <v>11806.21381588948</v>
      </c>
      <c r="AI7" s="3">
        <v>12085.79651202951</v>
      </c>
      <c r="AJ7" s="3">
        <v>12372</v>
      </c>
      <c r="AK7" s="3">
        <v>13381</v>
      </c>
      <c r="AL7" s="3">
        <v>14470</v>
      </c>
      <c r="AM7" s="3">
        <v>15454</v>
      </c>
      <c r="AN7" s="3">
        <v>16596</v>
      </c>
      <c r="AO7" s="3">
        <v>17808</v>
      </c>
      <c r="AP7" s="3">
        <v>19048</v>
      </c>
      <c r="AQ7" s="3">
        <v>20331</v>
      </c>
      <c r="AR7" s="3">
        <v>21620</v>
      </c>
      <c r="AS7" s="3">
        <v>23099</v>
      </c>
      <c r="AT7" s="3">
        <v>24600</v>
      </c>
      <c r="AU7" s="3">
        <v>26097</v>
      </c>
      <c r="AV7" s="3">
        <v>27565</v>
      </c>
      <c r="AW7" s="3">
        <v>29127</v>
      </c>
      <c r="AX7" s="3">
        <v>30761</v>
      </c>
      <c r="AY7" s="3">
        <v>32582</v>
      </c>
      <c r="AZ7" s="3">
        <v>34355</v>
      </c>
      <c r="BA7" s="3">
        <v>36088</v>
      </c>
      <c r="BB7" s="3">
        <v>37822</v>
      </c>
      <c r="BC7" s="3">
        <v>39487</v>
      </c>
      <c r="BD7" s="3">
        <v>41087</v>
      </c>
      <c r="BE7" s="3">
        <v>42708.59290399372</v>
      </c>
      <c r="BF7" s="3">
        <v>44291.72147127634</v>
      </c>
      <c r="BG7" s="3">
        <v>45842.72257187199</v>
      </c>
      <c r="BH7" s="3">
        <v>47367.23799113558</v>
      </c>
      <c r="BI7" s="3">
        <v>48870.28731846914</v>
      </c>
      <c r="BJ7" s="3">
        <v>50356.33314546859</v>
      </c>
      <c r="BK7" s="3">
        <v>51829.33949133533</v>
      </c>
      <c r="BL7" s="3">
        <v>53292.82436546507</v>
      </c>
      <c r="BM7" s="3">
        <v>54749.9071817432</v>
      </c>
      <c r="BN7" s="3">
        <v>56203.35162374147</v>
      </c>
      <c r="BO7" s="3">
        <v>57655.60442947884</v>
      </c>
      <c r="BP7" s="3">
        <v>59108.83047809204</v>
      </c>
      <c r="BQ7" s="3">
        <v>60564.94455592935</v>
      </c>
      <c r="BR7" s="3">
        <v>62025.64008875826</v>
      </c>
      <c r="BS7" s="3">
        <v>63492.41509994227</v>
      </c>
      <c r="BT7" s="3">
        <v>64966.59561138964</v>
      </c>
      <c r="BU7" s="3">
        <v>66449.35667190867</v>
      </c>
      <c r="BV7" s="3">
        <v>67941.74120283703</v>
      </c>
      <c r="BW7" s="3">
        <v>69444.67684814651</v>
      </c>
      <c r="BX7" s="3">
        <v>70958.99100907421</v>
      </c>
      <c r="BY7" s="3">
        <v>72485.42421498735</v>
      </c>
      <c r="BZ7" s="3">
        <v>74024.64198902638</v>
      </c>
      <c r="CA7" s="3">
        <v>75577.24536021912</v>
      </c>
      <c r="CB7" s="3">
        <v>77143.78018639525</v>
      </c>
      <c r="CC7" s="3">
        <v>78724.74544879868</v>
      </c>
      <c r="CD7" s="3">
        <v>80320.60063029568</v>
      </c>
      <c r="CE7" s="3">
        <v>81931.77226610317</v>
      </c>
      <c r="CF7" s="3">
        <v>83558.65978363222</v>
      </c>
      <c r="CG7" s="3">
        <v>85201.64073488623</v>
      </c>
      <c r="CH7" s="3">
        <v>86861.07549746807</v>
      </c>
      <c r="CI7" s="3">
        <v>88537.31151342651</v>
      </c>
      <c r="CJ7" s="3">
        <v>90230.68711699758</v>
      </c>
      <c r="CK7" s="3">
        <v>91941.53497224767</v>
      </c>
      <c r="CL7" s="3">
        <v>93670.18513545948</v>
      </c>
      <c r="CM7" s="3">
        <v>95416.96777259966</v>
      </c>
      <c r="CN7" s="3">
        <v>97182.21554115297</v>
      </c>
      <c r="CO7" s="3">
        <v>98966.26566952019</v>
      </c>
      <c r="CP7" s="3">
        <v>100769.4617564976</v>
      </c>
      <c r="CQ7" s="3">
        <v>102592.1553086977</v>
      </c>
      <c r="CR7" s="3">
        <v>104434.7070322243</v>
      </c>
    </row>
    <row r="8" spans="1:96">
      <c r="A8" s="1" t="str">
        <f>'Population Definitions'!$B$8</f>
        <v>atsi_0-4_F</v>
      </c>
      <c r="C8" t="s">
        <v>20</v>
      </c>
      <c r="D8" s="3"/>
      <c r="E8" s="3">
        <v>26354.95862241879</v>
      </c>
      <c r="F8" s="3">
        <v>26979.06983226304</v>
      </c>
      <c r="G8" s="3">
        <v>27617.96060628091</v>
      </c>
      <c r="H8" s="3">
        <v>28271.9809390146</v>
      </c>
      <c r="I8" s="3">
        <v>28941.48911321953</v>
      </c>
      <c r="J8" s="3">
        <v>29626.85189613737</v>
      </c>
      <c r="K8" s="3">
        <v>30328.444740417</v>
      </c>
      <c r="L8" s="3">
        <v>31046.6519897934</v>
      </c>
      <c r="M8" s="3">
        <v>31781.86708963729</v>
      </c>
      <c r="N8" s="3">
        <v>32534.4928024908</v>
      </c>
      <c r="O8" s="3">
        <v>33304.94142870716</v>
      </c>
      <c r="P8" s="3">
        <v>34093.63503231543</v>
      </c>
      <c r="Q8" s="3">
        <v>34901.00567223388</v>
      </c>
      <c r="R8" s="3">
        <v>35727.49563895878</v>
      </c>
      <c r="S8" s="3">
        <v>36573.55769685813</v>
      </c>
      <c r="T8" s="3">
        <v>37439.65533220322</v>
      </c>
      <c r="U8" s="3">
        <v>38326.2630070738</v>
      </c>
      <c r="V8" s="3">
        <v>39233.86641927595</v>
      </c>
      <c r="W8" s="3">
        <v>40162.96276841507</v>
      </c>
      <c r="X8" s="3">
        <v>41114.06102826977</v>
      </c>
      <c r="Y8" s="3">
        <v>42087.68222561578</v>
      </c>
      <c r="Z8" s="3">
        <v>43084.35972565271</v>
      </c>
      <c r="AA8" s="3">
        <v>44104.63952419008</v>
      </c>
      <c r="AB8" s="3">
        <v>45149.0805467524</v>
      </c>
      <c r="AC8" s="3">
        <v>46218.25495476758</v>
      </c>
      <c r="AD8" s="3">
        <v>47312.748459006</v>
      </c>
      <c r="AE8" s="3">
        <v>48433.16064044228</v>
      </c>
      <c r="AF8" s="3">
        <v>49580.10527871518</v>
      </c>
      <c r="AG8" s="3">
        <v>50754.21068836596</v>
      </c>
      <c r="AH8" s="3">
        <v>51956.12006303903</v>
      </c>
      <c r="AI8" s="3">
        <v>53186.49182783372</v>
      </c>
      <c r="AJ8" s="3">
        <v>54446</v>
      </c>
      <c r="AK8" s="3">
        <v>54406</v>
      </c>
      <c r="AL8" s="3">
        <v>54051</v>
      </c>
      <c r="AM8" s="3">
        <v>53443</v>
      </c>
      <c r="AN8" s="3">
        <v>52981</v>
      </c>
      <c r="AO8" s="3">
        <v>52647</v>
      </c>
      <c r="AP8" s="3">
        <v>52118</v>
      </c>
      <c r="AQ8" s="3">
        <v>51664</v>
      </c>
      <c r="AR8" s="3">
        <v>51545</v>
      </c>
      <c r="AS8" s="3">
        <v>51291</v>
      </c>
      <c r="AT8" s="3">
        <v>51196</v>
      </c>
      <c r="AU8" s="3">
        <v>52284</v>
      </c>
      <c r="AV8" s="3">
        <v>53769</v>
      </c>
      <c r="AW8" s="3">
        <v>55318</v>
      </c>
      <c r="AX8" s="3">
        <v>57042</v>
      </c>
      <c r="AY8" s="3">
        <v>58854</v>
      </c>
      <c r="AZ8" s="3">
        <v>59777</v>
      </c>
      <c r="BA8" s="3">
        <v>60692</v>
      </c>
      <c r="BB8" s="3">
        <v>61612</v>
      </c>
      <c r="BC8" s="3">
        <v>62520</v>
      </c>
      <c r="BD8" s="3">
        <v>63392</v>
      </c>
      <c r="BE8" s="3">
        <v>64127.19645719028</v>
      </c>
      <c r="BF8" s="3">
        <v>64903.66819424857</v>
      </c>
      <c r="BG8" s="3">
        <v>65774.86534019734</v>
      </c>
      <c r="BH8" s="3">
        <v>66713.87282978505</v>
      </c>
      <c r="BI8" s="3">
        <v>67713.74067167805</v>
      </c>
      <c r="BJ8" s="3">
        <v>68751.34607852431</v>
      </c>
      <c r="BK8" s="3">
        <v>69811.97687019507</v>
      </c>
      <c r="BL8" s="3">
        <v>70911.64027133165</v>
      </c>
      <c r="BM8" s="3">
        <v>72028.37164266277</v>
      </c>
      <c r="BN8" s="3">
        <v>73161.09872321428</v>
      </c>
      <c r="BO8" s="3">
        <v>74299.62148429768</v>
      </c>
      <c r="BP8" s="3">
        <v>75434.86746364375</v>
      </c>
      <c r="BQ8" s="3">
        <v>76572.48475845205</v>
      </c>
      <c r="BR8" s="3">
        <v>77716.38274008932</v>
      </c>
      <c r="BS8" s="3">
        <v>78869.42624642946</v>
      </c>
      <c r="BT8" s="3">
        <v>80024.95932247765</v>
      </c>
      <c r="BU8" s="3">
        <v>81190.4710462355</v>
      </c>
      <c r="BV8" s="3">
        <v>82369.16652429837</v>
      </c>
      <c r="BW8" s="3">
        <v>83573.93617435264</v>
      </c>
      <c r="BX8" s="3">
        <v>84813.32338038067</v>
      </c>
      <c r="BY8" s="3">
        <v>86075.55560966837</v>
      </c>
      <c r="BZ8" s="3">
        <v>87355.95971017772</v>
      </c>
      <c r="CA8" s="3">
        <v>88671.67649702921</v>
      </c>
      <c r="CB8" s="3">
        <v>90025.32566248253</v>
      </c>
      <c r="CC8" s="3">
        <v>91412.25119605839</v>
      </c>
      <c r="CD8" s="3">
        <v>92834.82231103077</v>
      </c>
      <c r="CE8" s="3">
        <v>94289.8971799142</v>
      </c>
      <c r="CF8" s="3">
        <v>95766.87810721248</v>
      </c>
      <c r="CG8" s="3">
        <v>97262.68474197297</v>
      </c>
      <c r="CH8" s="3">
        <v>98783.67532350271</v>
      </c>
      <c r="CI8" s="3">
        <v>100321.0959461254</v>
      </c>
      <c r="CJ8" s="3">
        <v>101884.6991768964</v>
      </c>
      <c r="CK8" s="3">
        <v>103471.2004393482</v>
      </c>
      <c r="CL8" s="3">
        <v>105078.9363115</v>
      </c>
      <c r="CM8" s="3">
        <v>106707.1972952173</v>
      </c>
      <c r="CN8" s="3">
        <v>108367.5773697224</v>
      </c>
      <c r="CO8" s="3">
        <v>110041.0402826132</v>
      </c>
      <c r="CP8" s="3">
        <v>111733.2031630155</v>
      </c>
      <c r="CQ8" s="3">
        <v>113449.0041901914</v>
      </c>
      <c r="CR8" s="3">
        <v>115183.2507227316</v>
      </c>
    </row>
    <row r="9" spans="1:96">
      <c r="A9" s="1" t="str">
        <f>'Population Definitions'!$B$9</f>
        <v>atsi_5-14_F</v>
      </c>
      <c r="C9" t="s">
        <v>20</v>
      </c>
      <c r="D9" s="3"/>
      <c r="E9" s="3">
        <v>43249.0263387072</v>
      </c>
      <c r="F9" s="3">
        <v>44273.20560377633</v>
      </c>
      <c r="G9" s="3">
        <v>45321.63843605373</v>
      </c>
      <c r="H9" s="3">
        <v>46394.89918374422</v>
      </c>
      <c r="I9" s="3">
        <v>47493.57579618016</v>
      </c>
      <c r="J9" s="3">
        <v>48618.27014590945</v>
      </c>
      <c r="K9" s="3">
        <v>49769.59835841086</v>
      </c>
      <c r="L9" s="3">
        <v>50948.19114961743</v>
      </c>
      <c r="M9" s="3">
        <v>52154.69417143267</v>
      </c>
      <c r="N9" s="3">
        <v>53389.76836542896</v>
      </c>
      <c r="O9" s="3">
        <v>54654.09032492191</v>
      </c>
      <c r="P9" s="3">
        <v>55948.3526656189</v>
      </c>
      <c r="Q9" s="3">
        <v>57273.26440504502</v>
      </c>
      <c r="R9" s="3">
        <v>58629.55135095416</v>
      </c>
      <c r="S9" s="3">
        <v>60017.9564989381</v>
      </c>
      <c r="T9" s="3">
        <v>61439.24043945122</v>
      </c>
      <c r="U9" s="3">
        <v>62894.18177447421</v>
      </c>
      <c r="V9" s="3">
        <v>64383.57754404453</v>
      </c>
      <c r="W9" s="3">
        <v>65908.24366288766</v>
      </c>
      <c r="X9" s="3">
        <v>67469.01536738823</v>
      </c>
      <c r="Y9" s="3">
        <v>69066.74767314574</v>
      </c>
      <c r="Z9" s="3">
        <v>70702.31584336578</v>
      </c>
      <c r="AA9" s="3">
        <v>72376.61586834314</v>
      </c>
      <c r="AB9" s="3">
        <v>74090.56495629958</v>
      </c>
      <c r="AC9" s="3">
        <v>75845.10203584505</v>
      </c>
      <c r="AD9" s="3">
        <v>77641.18827033778</v>
      </c>
      <c r="AE9" s="3">
        <v>79479.80758442488</v>
      </c>
      <c r="AF9" s="3">
        <v>81361.96720305193</v>
      </c>
      <c r="AG9" s="3">
        <v>83288.69820323684</v>
      </c>
      <c r="AH9" s="3">
        <v>85261.05607891026</v>
      </c>
      <c r="AI9" s="3">
        <v>87280.12131913197</v>
      </c>
      <c r="AJ9" s="3">
        <v>89347</v>
      </c>
      <c r="AK9" s="3">
        <v>92004</v>
      </c>
      <c r="AL9" s="3">
        <v>94604</v>
      </c>
      <c r="AM9" s="3">
        <v>97062</v>
      </c>
      <c r="AN9" s="3">
        <v>99409</v>
      </c>
      <c r="AO9" s="3">
        <v>101247</v>
      </c>
      <c r="AP9" s="3">
        <v>103303</v>
      </c>
      <c r="AQ9" s="3">
        <v>104911</v>
      </c>
      <c r="AR9" s="3">
        <v>106134</v>
      </c>
      <c r="AS9" s="3">
        <v>106913</v>
      </c>
      <c r="AT9" s="3">
        <v>106984</v>
      </c>
      <c r="AU9" s="3">
        <v>106417</v>
      </c>
      <c r="AV9" s="3">
        <v>105610</v>
      </c>
      <c r="AW9" s="3">
        <v>104885</v>
      </c>
      <c r="AX9" s="3">
        <v>104171</v>
      </c>
      <c r="AY9" s="3">
        <v>103746</v>
      </c>
      <c r="AZ9" s="3">
        <v>104304</v>
      </c>
      <c r="BA9" s="3">
        <v>105334</v>
      </c>
      <c r="BB9" s="3">
        <v>106764</v>
      </c>
      <c r="BC9" s="3">
        <v>108234</v>
      </c>
      <c r="BD9" s="3">
        <v>109951</v>
      </c>
      <c r="BE9" s="3">
        <v>111958</v>
      </c>
      <c r="BF9" s="3">
        <v>113919.653442383</v>
      </c>
      <c r="BG9" s="3">
        <v>115848.2321746063</v>
      </c>
      <c r="BH9" s="3">
        <v>117765.2426294974</v>
      </c>
      <c r="BI9" s="3">
        <v>119684.9450329429</v>
      </c>
      <c r="BJ9" s="3">
        <v>121618.912066977</v>
      </c>
      <c r="BK9" s="3">
        <v>123573.138520665</v>
      </c>
      <c r="BL9" s="3">
        <v>125550.198496067</v>
      </c>
      <c r="BM9" s="3">
        <v>127555.5349113404</v>
      </c>
      <c r="BN9" s="3">
        <v>129589.8126007372</v>
      </c>
      <c r="BO9" s="3">
        <v>131653.4257184409</v>
      </c>
      <c r="BP9" s="3">
        <v>133744.7496041553</v>
      </c>
      <c r="BQ9" s="3">
        <v>135860.5491703945</v>
      </c>
      <c r="BR9" s="3">
        <v>137998.9901001698</v>
      </c>
      <c r="BS9" s="3">
        <v>140159.1696654512</v>
      </c>
      <c r="BT9" s="3">
        <v>142340.8264211861</v>
      </c>
      <c r="BU9" s="3">
        <v>144542.4301926066</v>
      </c>
      <c r="BV9" s="3">
        <v>146764.0494080733</v>
      </c>
      <c r="BW9" s="3">
        <v>149006.36882838</v>
      </c>
      <c r="BX9" s="3">
        <v>151272.5135997731</v>
      </c>
      <c r="BY9" s="3">
        <v>153566.9757971949</v>
      </c>
      <c r="BZ9" s="3">
        <v>155891.538887097</v>
      </c>
      <c r="CA9" s="3">
        <v>158246.9111133845</v>
      </c>
      <c r="CB9" s="3">
        <v>160637.0647512497</v>
      </c>
      <c r="CC9" s="3">
        <v>163066.1086029382</v>
      </c>
      <c r="CD9" s="3">
        <v>165536.8615342253</v>
      </c>
      <c r="CE9" s="3">
        <v>168052.3384242284</v>
      </c>
      <c r="CF9" s="3">
        <v>170614.6609959078</v>
      </c>
      <c r="CG9" s="3">
        <v>173223.6928990249</v>
      </c>
      <c r="CH9" s="3">
        <v>175878.71205977</v>
      </c>
      <c r="CI9" s="3">
        <v>178580.2995118209</v>
      </c>
      <c r="CJ9" s="3">
        <v>181327.2809310696</v>
      </c>
      <c r="CK9" s="3">
        <v>184120.487022342</v>
      </c>
      <c r="CL9" s="3">
        <v>186960.0324062592</v>
      </c>
      <c r="CM9" s="3">
        <v>189845.6977544067</v>
      </c>
      <c r="CN9" s="3">
        <v>192777.1464498325</v>
      </c>
      <c r="CO9" s="3">
        <v>195756.3261379985</v>
      </c>
      <c r="CP9" s="3">
        <v>198781.3031113743</v>
      </c>
      <c r="CQ9" s="3">
        <v>201851.4163867095</v>
      </c>
      <c r="CR9" s="3">
        <v>204967.0264436407</v>
      </c>
    </row>
    <row r="10" spans="1:96">
      <c r="A10" s="1" t="str">
        <f>'Population Definitions'!$B$10</f>
        <v>atsi_15-29_F</v>
      </c>
      <c r="C10" t="s">
        <v>20</v>
      </c>
      <c r="D10" s="3"/>
      <c r="E10" s="3">
        <v>49178.72260885798</v>
      </c>
      <c r="F10" s="3">
        <v>50343.32288411321</v>
      </c>
      <c r="G10" s="3">
        <v>51535.502033507</v>
      </c>
      <c r="H10" s="3">
        <v>52755.91315176627</v>
      </c>
      <c r="I10" s="3">
        <v>54005.22479954017</v>
      </c>
      <c r="J10" s="3">
        <v>55284.12136964825</v>
      </c>
      <c r="K10" s="3">
        <v>56593.30346200173</v>
      </c>
      <c r="L10" s="3">
        <v>57933.48826740329</v>
      </c>
      <c r="M10" s="3">
        <v>59305.40996043566</v>
      </c>
      <c r="N10" s="3">
        <v>60709.82010165408</v>
      </c>
      <c r="O10" s="3">
        <v>62147.48804930318</v>
      </c>
      <c r="P10" s="3">
        <v>63619.20138078372</v>
      </c>
      <c r="Q10" s="3">
        <v>65125.76632409995</v>
      </c>
      <c r="R10" s="3">
        <v>66668.00819952421</v>
      </c>
      <c r="S10" s="3">
        <v>68246.77187172053</v>
      </c>
      <c r="T10" s="3">
        <v>69862.92221257485</v>
      </c>
      <c r="U10" s="3">
        <v>71517.34457498579</v>
      </c>
      <c r="V10" s="3">
        <v>73210.94527787493</v>
      </c>
      <c r="W10" s="3">
        <v>74944.65210268277</v>
      </c>
      <c r="X10" s="3">
        <v>76719.41480162222</v>
      </c>
      <c r="Y10" s="3">
        <v>78536.20561796799</v>
      </c>
      <c r="Z10" s="3">
        <v>80396.01981866691</v>
      </c>
      <c r="AA10" s="3">
        <v>82299.87623956101</v>
      </c>
      <c r="AB10" s="3">
        <v>84248.81784352209</v>
      </c>
      <c r="AC10" s="3">
        <v>86243.91229180328</v>
      </c>
      <c r="AD10" s="3">
        <v>88286.252528921</v>
      </c>
      <c r="AE10" s="3">
        <v>90376.95738138731</v>
      </c>
      <c r="AF10" s="3">
        <v>92517.17217062091</v>
      </c>
      <c r="AG10" s="3">
        <v>94708.0693403724</v>
      </c>
      <c r="AH10" s="3">
        <v>96950.84909900776</v>
      </c>
      <c r="AI10" s="3">
        <v>99246.74007700148</v>
      </c>
      <c r="AJ10" s="3">
        <v>101597</v>
      </c>
      <c r="AK10" s="3">
        <v>104349</v>
      </c>
      <c r="AL10" s="3">
        <v>106854</v>
      </c>
      <c r="AM10" s="3">
        <v>109514</v>
      </c>
      <c r="AN10" s="3">
        <v>112025</v>
      </c>
      <c r="AO10" s="3">
        <v>114673</v>
      </c>
      <c r="AP10" s="3">
        <v>117221</v>
      </c>
      <c r="AQ10" s="3">
        <v>119817</v>
      </c>
      <c r="AR10" s="3">
        <v>122257</v>
      </c>
      <c r="AS10" s="3">
        <v>124939</v>
      </c>
      <c r="AT10" s="3">
        <v>127779</v>
      </c>
      <c r="AU10" s="3">
        <v>131085</v>
      </c>
      <c r="AV10" s="3">
        <v>134285</v>
      </c>
      <c r="AW10" s="3">
        <v>137428</v>
      </c>
      <c r="AX10" s="3">
        <v>140375</v>
      </c>
      <c r="AY10" s="3">
        <v>143108</v>
      </c>
      <c r="AZ10" s="3">
        <v>145718</v>
      </c>
      <c r="BA10" s="3">
        <v>147957</v>
      </c>
      <c r="BB10" s="3">
        <v>149801</v>
      </c>
      <c r="BC10" s="3">
        <v>151679</v>
      </c>
      <c r="BD10" s="3">
        <v>153181</v>
      </c>
      <c r="BE10" s="3">
        <v>154697</v>
      </c>
      <c r="BF10" s="3">
        <v>156314.0534696748</v>
      </c>
      <c r="BG10" s="3">
        <v>158022.1208436247</v>
      </c>
      <c r="BH10" s="3">
        <v>159812.8873363597</v>
      </c>
      <c r="BI10" s="3">
        <v>161680.5288968081</v>
      </c>
      <c r="BJ10" s="3">
        <v>163620.8908154706</v>
      </c>
      <c r="BK10" s="3">
        <v>165631.1403398594</v>
      </c>
      <c r="BL10" s="3">
        <v>167709.1685199988</v>
      </c>
      <c r="BM10" s="3">
        <v>169853.2283668203</v>
      </c>
      <c r="BN10" s="3">
        <v>172062.1827699379</v>
      </c>
      <c r="BO10" s="3">
        <v>174335.0220653346</v>
      </c>
      <c r="BP10" s="3">
        <v>176670.8313801767</v>
      </c>
      <c r="BQ10" s="3">
        <v>179068.5961353638</v>
      </c>
      <c r="BR10" s="3">
        <v>181527.0569433173</v>
      </c>
      <c r="BS10" s="3">
        <v>184044.8548247543</v>
      </c>
      <c r="BT10" s="3">
        <v>186620.6241617755</v>
      </c>
      <c r="BU10" s="3">
        <v>189253.0531350881</v>
      </c>
      <c r="BV10" s="3">
        <v>191940.7618224735</v>
      </c>
      <c r="BW10" s="3">
        <v>194682.4558132173</v>
      </c>
      <c r="BX10" s="3">
        <v>197476.9790262487</v>
      </c>
      <c r="BY10" s="3">
        <v>200323.534324555</v>
      </c>
      <c r="BZ10" s="3">
        <v>203221.7909529262</v>
      </c>
      <c r="CA10" s="3">
        <v>206171.6041395517</v>
      </c>
      <c r="CB10" s="3">
        <v>209172.9037391834</v>
      </c>
      <c r="CC10" s="3">
        <v>212225.995634385</v>
      </c>
      <c r="CD10" s="3">
        <v>215331.5529658546</v>
      </c>
      <c r="CE10" s="3">
        <v>218490.474276</v>
      </c>
      <c r="CF10" s="3">
        <v>221703.8889447431</v>
      </c>
      <c r="CG10" s="3">
        <v>224973.0603121145</v>
      </c>
      <c r="CH10" s="3">
        <v>228299.1665286993</v>
      </c>
      <c r="CI10" s="3">
        <v>231683.2505855798</v>
      </c>
      <c r="CJ10" s="3">
        <v>235126.3500993346</v>
      </c>
      <c r="CK10" s="3">
        <v>238629.3332294533</v>
      </c>
      <c r="CL10" s="3">
        <v>242193.0961649322</v>
      </c>
      <c r="CM10" s="3">
        <v>245818.4944556372</v>
      </c>
      <c r="CN10" s="3">
        <v>249506.3140673181</v>
      </c>
      <c r="CO10" s="3">
        <v>253257.2643863056</v>
      </c>
      <c r="CP10" s="3">
        <v>257072.1965323974</v>
      </c>
      <c r="CQ10" s="3">
        <v>260951.7317422364</v>
      </c>
      <c r="CR10" s="3">
        <v>264896.3937388679</v>
      </c>
    </row>
    <row r="11" spans="1:96">
      <c r="A11" s="1" t="str">
        <f>'Population Definitions'!$B$11</f>
        <v>atsi_30-49_F</v>
      </c>
      <c r="C11" t="s">
        <v>20</v>
      </c>
      <c r="D11" s="3"/>
      <c r="E11" s="3">
        <v>48714.99615769028</v>
      </c>
      <c r="F11" s="3">
        <v>49868.61493680198</v>
      </c>
      <c r="G11" s="3">
        <v>51049.5525374776</v>
      </c>
      <c r="H11" s="3">
        <v>52258.45589614463</v>
      </c>
      <c r="I11" s="3">
        <v>53495.98726931823</v>
      </c>
      <c r="J11" s="3">
        <v>54762.82459639587</v>
      </c>
      <c r="K11" s="3">
        <v>56059.66187104337</v>
      </c>
      <c r="L11" s="3">
        <v>57387.20952137565</v>
      </c>
      <c r="M11" s="3">
        <v>58746.19479914059</v>
      </c>
      <c r="N11" s="3">
        <v>60137.3621781191</v>
      </c>
      <c r="O11" s="3">
        <v>61561.47376195976</v>
      </c>
      <c r="P11" s="3">
        <v>63019.30970167126</v>
      </c>
      <c r="Q11" s="3">
        <v>64511.66862300163</v>
      </c>
      <c r="R11" s="3">
        <v>66039.36806393811</v>
      </c>
      <c r="S11" s="3">
        <v>67603.24492256744</v>
      </c>
      <c r="T11" s="3">
        <v>69204.15591554201</v>
      </c>
      <c r="U11" s="3">
        <v>70842.97804740294</v>
      </c>
      <c r="V11" s="3">
        <v>72520.60909101702</v>
      </c>
      <c r="W11" s="3">
        <v>74237.96807939104</v>
      </c>
      <c r="X11" s="3">
        <v>75995.99580913274</v>
      </c>
      <c r="Y11" s="3">
        <v>77795.65535583414</v>
      </c>
      <c r="Z11" s="3">
        <v>79637.93260165969</v>
      </c>
      <c r="AA11" s="3">
        <v>81523.83677542822</v>
      </c>
      <c r="AB11" s="3">
        <v>83454.40100548461</v>
      </c>
      <c r="AC11" s="3">
        <v>85430.68288566386</v>
      </c>
      <c r="AD11" s="3">
        <v>87453.76505465794</v>
      </c>
      <c r="AE11" s="3">
        <v>89524.75578910243</v>
      </c>
      <c r="AF11" s="3">
        <v>91644.78961070818</v>
      </c>
      <c r="AG11" s="3">
        <v>93815.0279077703</v>
      </c>
      <c r="AH11" s="3">
        <v>96036.65957139524</v>
      </c>
      <c r="AI11" s="3">
        <v>98310.90164679423</v>
      </c>
      <c r="AJ11" s="3">
        <v>100639</v>
      </c>
      <c r="AK11" s="3">
        <v>101455</v>
      </c>
      <c r="AL11" s="3">
        <v>102493</v>
      </c>
      <c r="AM11" s="3">
        <v>103586</v>
      </c>
      <c r="AN11" s="3">
        <v>104863</v>
      </c>
      <c r="AO11" s="3">
        <v>106285</v>
      </c>
      <c r="AP11" s="3">
        <v>107508</v>
      </c>
      <c r="AQ11" s="3">
        <v>108582</v>
      </c>
      <c r="AR11" s="3">
        <v>109806</v>
      </c>
      <c r="AS11" s="3">
        <v>111373</v>
      </c>
      <c r="AT11" s="3">
        <v>112917</v>
      </c>
      <c r="AU11" s="3">
        <v>114624</v>
      </c>
      <c r="AV11" s="3">
        <v>116697</v>
      </c>
      <c r="AW11" s="3">
        <v>119061</v>
      </c>
      <c r="AX11" s="3">
        <v>121813</v>
      </c>
      <c r="AY11" s="3">
        <v>124612</v>
      </c>
      <c r="AZ11" s="3">
        <v>127722</v>
      </c>
      <c r="BA11" s="3">
        <v>130815</v>
      </c>
      <c r="BB11" s="3">
        <v>133936</v>
      </c>
      <c r="BC11" s="3">
        <v>137222</v>
      </c>
      <c r="BD11" s="3">
        <v>140522</v>
      </c>
      <c r="BE11" s="3">
        <v>143752</v>
      </c>
      <c r="BF11" s="3">
        <v>146942.4748598893</v>
      </c>
      <c r="BG11" s="3">
        <v>150100.6950068658</v>
      </c>
      <c r="BH11" s="3">
        <v>153233.0785929156</v>
      </c>
      <c r="BI11" s="3">
        <v>156345.3224919588</v>
      </c>
      <c r="BJ11" s="3">
        <v>159442.5716680302</v>
      </c>
      <c r="BK11" s="3">
        <v>162529.5353516614</v>
      </c>
      <c r="BL11" s="3">
        <v>165610.5789888053</v>
      </c>
      <c r="BM11" s="3">
        <v>168689.7786744873</v>
      </c>
      <c r="BN11" s="3">
        <v>171770.9529385567</v>
      </c>
      <c r="BO11" s="3">
        <v>174857.7073636275</v>
      </c>
      <c r="BP11" s="3">
        <v>177953.4500939319</v>
      </c>
      <c r="BQ11" s="3">
        <v>181061.4048883913</v>
      </c>
      <c r="BR11" s="3">
        <v>184184.6126298891</v>
      </c>
      <c r="BS11" s="3">
        <v>187325.9245422971</v>
      </c>
      <c r="BT11" s="3">
        <v>190488.0039112344</v>
      </c>
      <c r="BU11" s="3">
        <v>193673.3330124097</v>
      </c>
      <c r="BV11" s="3">
        <v>196884.2232000724</v>
      </c>
      <c r="BW11" s="3">
        <v>200122.8176862335</v>
      </c>
      <c r="BX11" s="3">
        <v>203391.1029284538</v>
      </c>
      <c r="BY11" s="3">
        <v>206690.9225720735</v>
      </c>
      <c r="BZ11" s="3">
        <v>210024.0033689126</v>
      </c>
      <c r="CA11" s="3">
        <v>213391.9861849036</v>
      </c>
      <c r="CB11" s="3">
        <v>216796.4398917383</v>
      </c>
      <c r="CC11" s="3">
        <v>220238.868399797</v>
      </c>
      <c r="CD11" s="3">
        <v>223720.7345202236</v>
      </c>
      <c r="CE11" s="3">
        <v>227243.4824018758</v>
      </c>
      <c r="CF11" s="3">
        <v>230808.5510467597</v>
      </c>
      <c r="CG11" s="3">
        <v>234417.3876085739</v>
      </c>
      <c r="CH11" s="3">
        <v>238071.4546772008</v>
      </c>
      <c r="CI11" s="3">
        <v>241772.2248447799</v>
      </c>
      <c r="CJ11" s="3">
        <v>245521.1726475254</v>
      </c>
      <c r="CK11" s="3">
        <v>249319.7741851945</v>
      </c>
      <c r="CL11" s="3">
        <v>253169.4974447542</v>
      </c>
      <c r="CM11" s="3">
        <v>257071.8042062073</v>
      </c>
      <c r="CN11" s="3">
        <v>261028.1479778536</v>
      </c>
      <c r="CO11" s="3">
        <v>265039.9703693719</v>
      </c>
      <c r="CP11" s="3">
        <v>269108.6972089395</v>
      </c>
      <c r="CQ11" s="3">
        <v>273235.7471990787</v>
      </c>
      <c r="CR11" s="3">
        <v>277422.5191492905</v>
      </c>
    </row>
    <row r="12" spans="1:96">
      <c r="A12" s="1" t="str">
        <f>'Population Definitions'!$B$12</f>
        <v>atsi_50-64_F</v>
      </c>
      <c r="C12" t="s">
        <v>20</v>
      </c>
      <c r="D12" s="3"/>
      <c r="E12" s="3">
        <v>20457.21010360105</v>
      </c>
      <c r="F12" s="3">
        <v>20941.65685727328</v>
      </c>
      <c r="G12" s="3">
        <v>21437.5757841282</v>
      </c>
      <c r="H12" s="3">
        <v>21945.23855645291</v>
      </c>
      <c r="I12" s="3">
        <v>22464.92328000007</v>
      </c>
      <c r="J12" s="3">
        <v>22996.91464633872</v>
      </c>
      <c r="K12" s="3">
        <v>23541.50408881283</v>
      </c>
      <c r="L12" s="3">
        <v>24098.98994219316</v>
      </c>
      <c r="M12" s="3">
        <v>24669.67760610975</v>
      </c>
      <c r="N12" s="3">
        <v>25253.87971235474</v>
      </c>
      <c r="O12" s="3">
        <v>25851.91629614705</v>
      </c>
      <c r="P12" s="3">
        <v>26464.11497145272</v>
      </c>
      <c r="Q12" s="3">
        <v>27090.81111045713</v>
      </c>
      <c r="R12" s="3">
        <v>27732.34802728715</v>
      </c>
      <c r="S12" s="3">
        <v>28389.07716608417</v>
      </c>
      <c r="T12" s="3">
        <v>29061.3582935307</v>
      </c>
      <c r="U12" s="3">
        <v>29749.5596959364</v>
      </c>
      <c r="V12" s="3">
        <v>30454.05838099108</v>
      </c>
      <c r="W12" s="3">
        <v>31175.2402842956</v>
      </c>
      <c r="X12" s="3">
        <v>31913.50048078348</v>
      </c>
      <c r="Y12" s="3">
        <v>32669.24340114929</v>
      </c>
      <c r="Z12" s="3">
        <v>33442.88305340218</v>
      </c>
      <c r="AA12" s="3">
        <v>34234.84324966611</v>
      </c>
      <c r="AB12" s="3">
        <v>35045.55783835085</v>
      </c>
      <c r="AC12" s="3">
        <v>35875.47094182103</v>
      </c>
      <c r="AD12" s="3">
        <v>36725.03719969349</v>
      </c>
      <c r="AE12" s="3">
        <v>37594.72201789611</v>
      </c>
      <c r="AF12" s="3">
        <v>38485.00182362452</v>
      </c>
      <c r="AG12" s="3">
        <v>39396.36432633659</v>
      </c>
      <c r="AH12" s="3">
        <v>40329.30878492737</v>
      </c>
      <c r="AI12" s="3">
        <v>41284.3462812311</v>
      </c>
      <c r="AJ12" s="3">
        <v>42262</v>
      </c>
      <c r="AK12" s="3">
        <v>44506</v>
      </c>
      <c r="AL12" s="3">
        <v>46895</v>
      </c>
      <c r="AM12" s="3">
        <v>48996</v>
      </c>
      <c r="AN12" s="3">
        <v>50953</v>
      </c>
      <c r="AO12" s="3">
        <v>52801</v>
      </c>
      <c r="AP12" s="3">
        <v>54677</v>
      </c>
      <c r="AQ12" s="3">
        <v>56624</v>
      </c>
      <c r="AR12" s="3">
        <v>58601</v>
      </c>
      <c r="AS12" s="3">
        <v>60504</v>
      </c>
      <c r="AT12" s="3">
        <v>62727</v>
      </c>
      <c r="AU12" s="3">
        <v>64667</v>
      </c>
      <c r="AV12" s="3">
        <v>66276</v>
      </c>
      <c r="AW12" s="3">
        <v>67522</v>
      </c>
      <c r="AX12" s="3">
        <v>68386</v>
      </c>
      <c r="AY12" s="3">
        <v>68840</v>
      </c>
      <c r="AZ12" s="3">
        <v>69189</v>
      </c>
      <c r="BA12" s="3">
        <v>69543</v>
      </c>
      <c r="BB12" s="3">
        <v>70069</v>
      </c>
      <c r="BC12" s="3">
        <v>70473</v>
      </c>
      <c r="BD12" s="3">
        <v>71143</v>
      </c>
      <c r="BE12" s="3">
        <v>71591.63597341043</v>
      </c>
      <c r="BF12" s="3">
        <v>72128.48401645763</v>
      </c>
      <c r="BG12" s="3">
        <v>72746.3133824524</v>
      </c>
      <c r="BH12" s="3">
        <v>73438.63285601212</v>
      </c>
      <c r="BI12" s="3">
        <v>74199.61115756532</v>
      </c>
      <c r="BJ12" s="3">
        <v>75024.00734513007</v>
      </c>
      <c r="BK12" s="3">
        <v>75907.11195486753</v>
      </c>
      <c r="BL12" s="3">
        <v>76844.69623774082</v>
      </c>
      <c r="BM12" s="3">
        <v>77832.96807822082</v>
      </c>
      <c r="BN12" s="3">
        <v>78868.53278975525</v>
      </c>
      <c r="BO12" s="3">
        <v>79948.35764182538</v>
      </c>
      <c r="BP12" s="3">
        <v>81069.74034107747</v>
      </c>
      <c r="BQ12" s="3">
        <v>82230.28014655467</v>
      </c>
      <c r="BR12" s="3">
        <v>83427.85135664642</v>
      </c>
      <c r="BS12" s="3">
        <v>84660.57859153552</v>
      </c>
      <c r="BT12" s="3">
        <v>85926.81345119861</v>
      </c>
      <c r="BU12" s="3">
        <v>87225.11276843661</v>
      </c>
      <c r="BV12" s="3">
        <v>88554.21854192932</v>
      </c>
      <c r="BW12" s="3">
        <v>89913.03955414267</v>
      </c>
      <c r="BX12" s="3">
        <v>91300.63429721816</v>
      </c>
      <c r="BY12" s="3">
        <v>92716.19543457548</v>
      </c>
      <c r="BZ12" s="3">
        <v>94159.03579046692</v>
      </c>
      <c r="CA12" s="3">
        <v>95628.57620346161</v>
      </c>
      <c r="CB12" s="3">
        <v>97124.33530687903</v>
      </c>
      <c r="CC12" s="3">
        <v>98645.92048616352</v>
      </c>
      <c r="CD12" s="3">
        <v>100193.0196860837</v>
      </c>
      <c r="CE12" s="3">
        <v>101765.3946250279</v>
      </c>
      <c r="CF12" s="3">
        <v>103362.8752721079</v>
      </c>
      <c r="CG12" s="3">
        <v>104985.3551791745</v>
      </c>
      <c r="CH12" s="3">
        <v>106632.7876037187</v>
      </c>
      <c r="CI12" s="3">
        <v>108305.1821516599</v>
      </c>
      <c r="CJ12" s="3">
        <v>110002.6014425753</v>
      </c>
      <c r="CK12" s="3">
        <v>111725.1577003031</v>
      </c>
      <c r="CL12" s="3">
        <v>113473.0095535011</v>
      </c>
      <c r="CM12" s="3">
        <v>115246.3586937475</v>
      </c>
      <c r="CN12" s="3">
        <v>117045.4468224552</v>
      </c>
      <c r="CO12" s="3">
        <v>118870.5527229985</v>
      </c>
      <c r="CP12" s="3">
        <v>120721.989392925</v>
      </c>
      <c r="CQ12" s="3">
        <v>122600.1012229823</v>
      </c>
      <c r="CR12" s="3">
        <v>124505.261676655</v>
      </c>
    </row>
    <row r="13" spans="1:96">
      <c r="A13" s="1" t="str">
        <f>'Population Definitions'!$B$13</f>
        <v>atsi_65+_F</v>
      </c>
      <c r="C13" t="s">
        <v>20</v>
      </c>
      <c r="D13" s="3"/>
      <c r="E13" s="3">
        <v>7189.212163614663</v>
      </c>
      <c r="F13" s="3">
        <v>7359.459742658244</v>
      </c>
      <c r="G13" s="3">
        <v>7533.738950969479</v>
      </c>
      <c r="H13" s="3">
        <v>7712.145261474578</v>
      </c>
      <c r="I13" s="3">
        <v>7894.776407992073</v>
      </c>
      <c r="J13" s="3">
        <v>8081.732438772955</v>
      </c>
      <c r="K13" s="3">
        <v>8273.115771308698</v>
      </c>
      <c r="L13" s="3">
        <v>8469.031248437197</v>
      </c>
      <c r="M13" s="3">
        <v>8669.586195777341</v>
      </c>
      <c r="N13" s="3">
        <v>8874.890480523702</v>
      </c>
      <c r="O13" s="3">
        <v>9085.056571633522</v>
      </c>
      <c r="P13" s="3">
        <v>9300.199601439019</v>
      </c>
      <c r="Q13" s="3">
        <v>9520.437428718689</v>
      </c>
      <c r="R13" s="3">
        <v>9745.890703262239</v>
      </c>
      <c r="S13" s="3">
        <v>9976.68293196446</v>
      </c>
      <c r="T13" s="3">
        <v>10212.94054648426</v>
      </c>
      <c r="U13" s="3">
        <v>10454.79297250597</v>
      </c>
      <c r="V13" s="3">
        <v>10702.37270064075</v>
      </c>
      <c r="W13" s="3">
        <v>10955.8153590071</v>
      </c>
      <c r="X13" s="3">
        <v>11215.25978753008</v>
      </c>
      <c r="Y13" s="3">
        <v>11480.84811400003</v>
      </c>
      <c r="Z13" s="3">
        <v>11752.72583193245</v>
      </c>
      <c r="AA13" s="3">
        <v>12031.04188027166</v>
      </c>
      <c r="AB13" s="3">
        <v>12315.94872498194</v>
      </c>
      <c r="AC13" s="3">
        <v>12607.60244257077</v>
      </c>
      <c r="AD13" s="3">
        <v>12906.16280559008</v>
      </c>
      <c r="AE13" s="3">
        <v>13211.79337016216</v>
      </c>
      <c r="AF13" s="3">
        <v>13524.66156557833</v>
      </c>
      <c r="AG13" s="3">
        <v>13844.93878601938</v>
      </c>
      <c r="AH13" s="3">
        <v>14172.800484448</v>
      </c>
      <c r="AI13" s="3">
        <v>14508.42626872473</v>
      </c>
      <c r="AJ13" s="3">
        <v>14852</v>
      </c>
      <c r="AK13" s="3">
        <v>15950</v>
      </c>
      <c r="AL13" s="3">
        <v>16958</v>
      </c>
      <c r="AM13" s="3">
        <v>18137</v>
      </c>
      <c r="AN13" s="3">
        <v>19444</v>
      </c>
      <c r="AO13" s="3">
        <v>20806</v>
      </c>
      <c r="AP13" s="3">
        <v>22255</v>
      </c>
      <c r="AQ13" s="3">
        <v>23826</v>
      </c>
      <c r="AR13" s="3">
        <v>25447</v>
      </c>
      <c r="AS13" s="3">
        <v>27053</v>
      </c>
      <c r="AT13" s="3">
        <v>28748</v>
      </c>
      <c r="AU13" s="3">
        <v>30369</v>
      </c>
      <c r="AV13" s="3">
        <v>32051</v>
      </c>
      <c r="AW13" s="3">
        <v>33828</v>
      </c>
      <c r="AX13" s="3">
        <v>35718</v>
      </c>
      <c r="AY13" s="3">
        <v>37917</v>
      </c>
      <c r="AZ13" s="3">
        <v>40054</v>
      </c>
      <c r="BA13" s="3">
        <v>42224</v>
      </c>
      <c r="BB13" s="3">
        <v>44277</v>
      </c>
      <c r="BC13" s="3">
        <v>46300</v>
      </c>
      <c r="BD13" s="3">
        <v>48261</v>
      </c>
      <c r="BE13" s="3">
        <v>50284.70576673866</v>
      </c>
      <c r="BF13" s="3">
        <v>52249.019286519</v>
      </c>
      <c r="BG13" s="3">
        <v>54161.45344246463</v>
      </c>
      <c r="BH13" s="3">
        <v>56028.79430883914</v>
      </c>
      <c r="BI13" s="3">
        <v>57857.17374124649</v>
      </c>
      <c r="BJ13" s="3">
        <v>59652.13439049014</v>
      </c>
      <c r="BK13" s="3">
        <v>61418.68802701567</v>
      </c>
      <c r="BL13" s="3">
        <v>63161.36806784269</v>
      </c>
      <c r="BM13" s="3">
        <v>64884.27701005947</v>
      </c>
      <c r="BN13" s="3">
        <v>66591.12936492744</v>
      </c>
      <c r="BO13" s="3">
        <v>68285.29055896828</v>
      </c>
      <c r="BP13" s="3">
        <v>69969.81218365884</v>
      </c>
      <c r="BQ13" s="3">
        <v>71647.46397200676</v>
      </c>
      <c r="BR13" s="3">
        <v>73320.76278928043</v>
      </c>
      <c r="BS13" s="3">
        <v>74991.99889817846</v>
      </c>
      <c r="BT13" s="3">
        <v>76663.25971500642</v>
      </c>
      <c r="BU13" s="3">
        <v>78336.4512404392</v>
      </c>
      <c r="BV13" s="3">
        <v>80013.3173532348</v>
      </c>
      <c r="BW13" s="3">
        <v>81695.45715219819</v>
      </c>
      <c r="BX13" s="3">
        <v>83384.34052419179</v>
      </c>
      <c r="BY13" s="3">
        <v>85081.32208707958</v>
      </c>
      <c r="BZ13" s="3">
        <v>86787.65366320405</v>
      </c>
      <c r="CA13" s="3">
        <v>88504.4954320242</v>
      </c>
      <c r="CB13" s="3">
        <v>90232.92592342688</v>
      </c>
      <c r="CC13" s="3">
        <v>91973.95101003272</v>
      </c>
      <c r="CD13" s="3">
        <v>93728.51200748811</v>
      </c>
      <c r="CE13" s="3">
        <v>95497.49296854361</v>
      </c>
      <c r="CF13" s="3">
        <v>97281.72728483446</v>
      </c>
      <c r="CG13" s="3">
        <v>99082.00369728719</v>
      </c>
      <c r="CH13" s="3">
        <v>100899.0717886251</v>
      </c>
      <c r="CI13" s="3">
        <v>102733.6470247188</v>
      </c>
      <c r="CJ13" s="3">
        <v>104586.415393304</v>
      </c>
      <c r="CK13" s="3">
        <v>106458.037658239</v>
      </c>
      <c r="CL13" s="3">
        <v>108349.1532411901</v>
      </c>
      <c r="CM13" s="3">
        <v>110260.383758329</v>
      </c>
      <c r="CN13" s="3">
        <v>112192.3362184111</v>
      </c>
      <c r="CO13" s="3">
        <v>114145.6059128839</v>
      </c>
      <c r="CP13" s="3">
        <v>116120.7790180743</v>
      </c>
      <c r="CQ13" s="3">
        <v>118118.4349249589</v>
      </c>
      <c r="CR13" s="3">
        <v>120139.1483106121</v>
      </c>
    </row>
  </sheetData>
  <dataValidations count="1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CT55"/>
  <sheetViews>
    <sheetView workbookViewId="0"/>
  </sheetViews>
  <sheetFormatPr defaultRowHeight="15"/>
  <cols>
    <col min="1" max="1" width="78.71093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98" width="9.42578125" customWidth="1"/>
  </cols>
  <sheetData>
    <row r="1" spans="1:98">
      <c r="A1" s="1" t="s">
        <v>21</v>
      </c>
      <c r="B1" s="1" t="s">
        <v>17</v>
      </c>
      <c r="C1" s="1" t="s">
        <v>18</v>
      </c>
      <c r="D1" s="1" t="s">
        <v>19</v>
      </c>
      <c r="E1" s="1" t="s">
        <v>22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>
      <c r="A2" s="1" t="str">
        <f>'Population Definitions'!$B$2</f>
        <v>atsi_0-4_M</v>
      </c>
      <c r="C2" t="s">
        <v>23</v>
      </c>
      <c r="D2" s="3"/>
      <c r="E2" s="3"/>
      <c r="F2" s="4" t="s">
        <v>24</v>
      </c>
      <c r="G2" s="3">
        <v>6835.212637517459</v>
      </c>
      <c r="H2" s="3">
        <v>6926.910565298247</v>
      </c>
      <c r="I2" s="3">
        <v>7119.961176593199</v>
      </c>
      <c r="J2" s="3">
        <v>7131.436459956185</v>
      </c>
      <c r="K2" s="3">
        <v>7217.00189896228</v>
      </c>
      <c r="L2" s="3">
        <v>7487.076684631927</v>
      </c>
      <c r="M2" s="3">
        <v>7533.392659153527</v>
      </c>
      <c r="N2" s="3">
        <v>7678.891347236364</v>
      </c>
      <c r="O2" s="3">
        <v>7865.683903084129</v>
      </c>
      <c r="P2" s="3">
        <v>7993.261470009333</v>
      </c>
      <c r="Q2" s="3">
        <v>8097.075811944167</v>
      </c>
      <c r="R2" s="3">
        <v>8167.557206050733</v>
      </c>
      <c r="S2" s="3">
        <v>8345.012493279144</v>
      </c>
      <c r="T2" s="3">
        <v>8444.121807352065</v>
      </c>
      <c r="U2" s="3">
        <v>8625.757738305416</v>
      </c>
      <c r="V2" s="3">
        <v>8759.572377132987</v>
      </c>
      <c r="W2" s="3">
        <v>8965.562992333827</v>
      </c>
      <c r="X2" s="3">
        <v>9104.818335690019</v>
      </c>
      <c r="Y2" s="3">
        <v>9253.827720806825</v>
      </c>
      <c r="Z2" s="3">
        <v>9436.68878964812</v>
      </c>
      <c r="AA2" s="3">
        <v>9563.963632532417</v>
      </c>
      <c r="AB2" s="3">
        <v>9724.975061731289</v>
      </c>
      <c r="AC2" s="3">
        <v>9925.716862106601</v>
      </c>
      <c r="AD2" s="3">
        <v>10108.23330373869</v>
      </c>
      <c r="AE2" s="3">
        <v>10280.02030604368</v>
      </c>
      <c r="AF2" s="3">
        <v>10476.83117078809</v>
      </c>
      <c r="AG2" s="3">
        <v>10683.68431393172</v>
      </c>
      <c r="AH2" s="3">
        <v>10922.76565088925</v>
      </c>
      <c r="AI2" s="3">
        <v>11192.54806810812</v>
      </c>
      <c r="AJ2" s="3">
        <v>11392.03354345914</v>
      </c>
      <c r="AK2" s="3">
        <v>11616.58187745867</v>
      </c>
      <c r="AL2" s="3">
        <v>11844.87197634982</v>
      </c>
      <c r="AM2" s="3">
        <v>11909.13669775145</v>
      </c>
      <c r="AN2" s="3">
        <v>11829.87594564137</v>
      </c>
      <c r="AO2" s="3">
        <v>11679.64204759493</v>
      </c>
      <c r="AP2" s="3">
        <v>11732.47335399187</v>
      </c>
      <c r="AQ2" s="3">
        <v>11521.58308027005</v>
      </c>
      <c r="AR2" s="3">
        <v>11435.09230459863</v>
      </c>
      <c r="AS2" s="3">
        <v>11525.27721229773</v>
      </c>
      <c r="AT2" s="3">
        <v>11404.63198461959</v>
      </c>
      <c r="AU2" s="3">
        <v>11161.65175780324</v>
      </c>
      <c r="AV2" s="3">
        <v>12402.96997460481</v>
      </c>
      <c r="AW2" s="3">
        <v>12656.021596191</v>
      </c>
      <c r="AX2" s="3">
        <v>12865.09764815424</v>
      </c>
      <c r="AY2" s="3">
        <v>13075.78630728131</v>
      </c>
      <c r="AZ2" s="3">
        <v>13288.1235298851</v>
      </c>
      <c r="BA2" s="3">
        <v>13498.72006664436</v>
      </c>
      <c r="BB2" s="3">
        <v>13738.70849661384</v>
      </c>
      <c r="BC2" s="3">
        <v>13960.03614138516</v>
      </c>
      <c r="BD2" s="3">
        <v>14163.83189472658</v>
      </c>
      <c r="BE2" s="3">
        <v>14349.52737683956</v>
      </c>
      <c r="BF2" s="3">
        <v>14366.39036291761</v>
      </c>
      <c r="BG2" s="3">
        <v>14599.62652383589</v>
      </c>
      <c r="BH2" s="3">
        <v>14897.02617328615</v>
      </c>
      <c r="BI2" s="3">
        <v>15184.8567242959</v>
      </c>
      <c r="BJ2" s="3">
        <v>15478.79135770601</v>
      </c>
      <c r="BK2" s="3">
        <v>15749.41833021626</v>
      </c>
      <c r="BL2" s="3">
        <v>16022.11401490062</v>
      </c>
      <c r="BM2" s="3">
        <v>16324.00748502296</v>
      </c>
      <c r="BN2" s="3">
        <v>16611.81254984082</v>
      </c>
      <c r="BO2" s="3">
        <v>16905.25277414305</v>
      </c>
      <c r="BP2" s="3">
        <v>17193.20778730947</v>
      </c>
      <c r="BQ2" s="3">
        <v>17475.59646413516</v>
      </c>
      <c r="BR2" s="3">
        <v>17761.97867152239</v>
      </c>
      <c r="BS2" s="3">
        <v>18052.49930634146</v>
      </c>
      <c r="BT2" s="3">
        <v>18341.63221681735</v>
      </c>
      <c r="BU2" s="3">
        <v>18616.3812503143</v>
      </c>
      <c r="BV2" s="3">
        <v>18897.57180293273</v>
      </c>
      <c r="BW2" s="3">
        <v>19178.46349354269</v>
      </c>
      <c r="BX2" s="3">
        <v>19472.55439567812</v>
      </c>
      <c r="BY2" s="3">
        <v>19777.9987877729</v>
      </c>
      <c r="BZ2" s="3">
        <v>20074.76113644674</v>
      </c>
      <c r="CA2" s="3">
        <v>20369.80286829312</v>
      </c>
      <c r="CB2" s="3">
        <v>20687.56932515869</v>
      </c>
      <c r="CC2" s="3">
        <v>21008.97255458507</v>
      </c>
      <c r="CD2" s="3">
        <v>21324.51705573604</v>
      </c>
      <c r="CE2" s="3">
        <v>21646.8571145059</v>
      </c>
      <c r="CF2" s="3">
        <v>21977.79071648647</v>
      </c>
      <c r="CG2" s="3">
        <v>22301.39453641973</v>
      </c>
      <c r="CH2" s="3">
        <v>22624.07223913234</v>
      </c>
      <c r="CI2" s="3">
        <v>22957.62403450914</v>
      </c>
      <c r="CJ2" s="3">
        <v>23295.5426200151</v>
      </c>
      <c r="CK2" s="3">
        <v>23651.6409243869</v>
      </c>
      <c r="CL2" s="3">
        <v>24014.91910486203</v>
      </c>
      <c r="CM2" s="3">
        <v>24382.00623995632</v>
      </c>
      <c r="CN2" s="3">
        <v>24746.32188102706</v>
      </c>
      <c r="CO2" s="3">
        <v>25129.79867915067</v>
      </c>
      <c r="CP2" s="3">
        <v>25511.57743579151</v>
      </c>
      <c r="CQ2" s="3">
        <v>25902.75228164638</v>
      </c>
      <c r="CR2" s="3">
        <v>26302.74834053341</v>
      </c>
      <c r="CS2" s="3">
        <v>26699.91706430803</v>
      </c>
      <c r="CT2" s="3"/>
    </row>
    <row r="3" spans="1:98">
      <c r="A3" s="1" t="str">
        <f>'Population Definitions'!$B$3</f>
        <v>atsi_5-14_M</v>
      </c>
      <c r="C3" t="s">
        <v>23</v>
      </c>
      <c r="D3" s="3"/>
      <c r="E3" s="3">
        <v>0</v>
      </c>
      <c r="F3" s="4" t="s">
        <v>24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>
      <c r="A4" s="1" t="str">
        <f>'Population Definitions'!$B$4</f>
        <v>atsi_15-29_M</v>
      </c>
      <c r="C4" t="s">
        <v>23</v>
      </c>
      <c r="D4" s="3"/>
      <c r="E4" s="3">
        <v>0</v>
      </c>
      <c r="F4" s="4" t="s">
        <v>24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>
      <c r="A5" s="1" t="str">
        <f>'Population Definitions'!$B$5</f>
        <v>atsi_30-49_M</v>
      </c>
      <c r="C5" t="s">
        <v>23</v>
      </c>
      <c r="D5" s="3"/>
      <c r="E5" s="3">
        <v>0</v>
      </c>
      <c r="F5" s="4" t="s">
        <v>24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>
      <c r="A6" s="1" t="str">
        <f>'Population Definitions'!$B$6</f>
        <v>atsi_50-64_M</v>
      </c>
      <c r="C6" t="s">
        <v>23</v>
      </c>
      <c r="D6" s="3"/>
      <c r="E6" s="3">
        <v>0</v>
      </c>
      <c r="F6" s="4" t="s">
        <v>24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>
      <c r="A7" s="1" t="str">
        <f>'Population Definitions'!$B$7</f>
        <v>atsi_65+_M</v>
      </c>
      <c r="C7" t="s">
        <v>23</v>
      </c>
      <c r="D7" s="3"/>
      <c r="E7" s="3">
        <v>0</v>
      </c>
      <c r="F7" s="4" t="s">
        <v>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>
      <c r="A8" s="1" t="str">
        <f>'Population Definitions'!$B$8</f>
        <v>atsi_0-4_F</v>
      </c>
      <c r="C8" t="s">
        <v>23</v>
      </c>
      <c r="D8" s="3"/>
      <c r="E8" s="3"/>
      <c r="F8" s="4" t="s">
        <v>24</v>
      </c>
      <c r="G8" s="3">
        <v>6173.469695754364</v>
      </c>
      <c r="H8" s="3">
        <v>6273.141846852785</v>
      </c>
      <c r="I8" s="3">
        <v>6468.981549883745</v>
      </c>
      <c r="J8" s="3">
        <v>6542.424434994788</v>
      </c>
      <c r="K8" s="3">
        <v>6643.545582626728</v>
      </c>
      <c r="L8" s="3">
        <v>6897.65822440368</v>
      </c>
      <c r="M8" s="3">
        <v>6956.683297411808</v>
      </c>
      <c r="N8" s="3">
        <v>7083.944948247125</v>
      </c>
      <c r="O8" s="3">
        <v>7260.664121073409</v>
      </c>
      <c r="P8" s="3">
        <v>7423.584223660702</v>
      </c>
      <c r="Q8" s="3">
        <v>7514.726754292453</v>
      </c>
      <c r="R8" s="3">
        <v>7635.9766392772</v>
      </c>
      <c r="S8" s="3">
        <v>7823.703493287314</v>
      </c>
      <c r="T8" s="3">
        <v>7932.596275944474</v>
      </c>
      <c r="U8" s="3">
        <v>8128.193378895485</v>
      </c>
      <c r="V8" s="3">
        <v>8288.771603070971</v>
      </c>
      <c r="W8" s="3">
        <v>8472.155702417753</v>
      </c>
      <c r="X8" s="3">
        <v>8670.664435486789</v>
      </c>
      <c r="Y8" s="3">
        <v>8801.436911767785</v>
      </c>
      <c r="Z8" s="3">
        <v>8990.928272319099</v>
      </c>
      <c r="AA8" s="3">
        <v>9173.865956428257</v>
      </c>
      <c r="AB8" s="3">
        <v>9336.504766993508</v>
      </c>
      <c r="AC8" s="3">
        <v>9598.546589721351</v>
      </c>
      <c r="AD8" s="3">
        <v>9771.671043966693</v>
      </c>
      <c r="AE8" s="3">
        <v>9957.582026704651</v>
      </c>
      <c r="AF8" s="3">
        <v>10152.06629087903</v>
      </c>
      <c r="AG8" s="3">
        <v>10391.23008004956</v>
      </c>
      <c r="AH8" s="3">
        <v>10654.72237448885</v>
      </c>
      <c r="AI8" s="3">
        <v>10909.67036979644</v>
      </c>
      <c r="AJ8" s="3">
        <v>11106.93964935079</v>
      </c>
      <c r="AK8" s="3">
        <v>11328.26289610436</v>
      </c>
      <c r="AL8" s="3">
        <v>11574.93407746552</v>
      </c>
      <c r="AM8" s="3">
        <v>11270.19760690211</v>
      </c>
      <c r="AN8" s="3">
        <v>11021.95710705601</v>
      </c>
      <c r="AO8" s="3">
        <v>11249.56942952215</v>
      </c>
      <c r="AP8" s="3">
        <v>11216.67342729015</v>
      </c>
      <c r="AQ8" s="3">
        <v>11043.31408489196</v>
      </c>
      <c r="AR8" s="3">
        <v>10848.21639968691</v>
      </c>
      <c r="AS8" s="3">
        <v>10892.86243627353</v>
      </c>
      <c r="AT8" s="3">
        <v>11034.90859150147</v>
      </c>
      <c r="AU8" s="3">
        <v>10929.80231351619</v>
      </c>
      <c r="AV8" s="3">
        <v>11971.38090656228</v>
      </c>
      <c r="AW8" s="3">
        <v>12192.6321387945</v>
      </c>
      <c r="AX8" s="3">
        <v>12391.87413660457</v>
      </c>
      <c r="AY8" s="3">
        <v>12597.65522476437</v>
      </c>
      <c r="AZ8" s="3">
        <v>12809.37882715968</v>
      </c>
      <c r="BA8" s="3">
        <v>13023.29078039783</v>
      </c>
      <c r="BB8" s="3">
        <v>13267.81792152267</v>
      </c>
      <c r="BC8" s="3">
        <v>13496.99674888886</v>
      </c>
      <c r="BD8" s="3">
        <v>13711.25933328763</v>
      </c>
      <c r="BE8" s="3">
        <v>13911.73668301936</v>
      </c>
      <c r="BF8" s="3">
        <v>14001.97347280121</v>
      </c>
      <c r="BG8" s="3">
        <v>14257.02233966817</v>
      </c>
      <c r="BH8" s="3">
        <v>14574.95911468677</v>
      </c>
      <c r="BI8" s="3">
        <v>14884.91038851874</v>
      </c>
      <c r="BJ8" s="3">
        <v>15203.20279449187</v>
      </c>
      <c r="BK8" s="3">
        <v>15502.64946754224</v>
      </c>
      <c r="BL8" s="3">
        <v>15804.3027082793</v>
      </c>
      <c r="BM8" s="3">
        <v>16137.16878174472</v>
      </c>
      <c r="BN8" s="3">
        <v>16461.13379417938</v>
      </c>
      <c r="BO8" s="3">
        <v>16793.03240157929</v>
      </c>
      <c r="BP8" s="3">
        <v>17122.56014696999</v>
      </c>
      <c r="BQ8" s="3">
        <v>17444.77706533493</v>
      </c>
      <c r="BR8" s="3">
        <v>17770.60939203801</v>
      </c>
      <c r="BS8" s="3">
        <v>18094.46586255245</v>
      </c>
      <c r="BT8" s="3">
        <v>18418.84297031088</v>
      </c>
      <c r="BU8" s="3">
        <v>18728.44075957016</v>
      </c>
      <c r="BV8" s="3">
        <v>19041.94358534658</v>
      </c>
      <c r="BW8" s="3">
        <v>19352.97636455009</v>
      </c>
      <c r="BX8" s="3">
        <v>19677.05341618197</v>
      </c>
      <c r="BY8" s="3">
        <v>20009.27322480708</v>
      </c>
      <c r="BZ8" s="3">
        <v>20334.07582610159</v>
      </c>
      <c r="CA8" s="3">
        <v>20656.56542598824</v>
      </c>
      <c r="CB8" s="3">
        <v>20995.53836955134</v>
      </c>
      <c r="CC8" s="3">
        <v>21336.94126741649</v>
      </c>
      <c r="CD8" s="3">
        <v>21673.6103836332</v>
      </c>
      <c r="CE8" s="3">
        <v>22013.91554196451</v>
      </c>
      <c r="CF8" s="3">
        <v>22358.734631632</v>
      </c>
      <c r="CG8" s="3">
        <v>22697.68217390527</v>
      </c>
      <c r="CH8" s="3">
        <v>23041.00597213277</v>
      </c>
      <c r="CI8" s="3">
        <v>23391.5725831928</v>
      </c>
      <c r="CJ8" s="3">
        <v>23749.06588641452</v>
      </c>
      <c r="CK8" s="3">
        <v>24126.21047729861</v>
      </c>
      <c r="CL8" s="3">
        <v>24512.73821604312</v>
      </c>
      <c r="CM8" s="3">
        <v>24908.06411870309</v>
      </c>
      <c r="CN8" s="3">
        <v>25304.49267269998</v>
      </c>
      <c r="CO8" s="3">
        <v>25716.63668451727</v>
      </c>
      <c r="CP8" s="3">
        <v>26127.09366296206</v>
      </c>
      <c r="CQ8" s="3">
        <v>26551.63211011588</v>
      </c>
      <c r="CR8" s="3">
        <v>26982.57491452921</v>
      </c>
      <c r="CS8" s="3">
        <v>27413.81704964802</v>
      </c>
      <c r="CT8" s="3"/>
    </row>
    <row r="9" spans="1:98">
      <c r="A9" s="1" t="str">
        <f>'Population Definitions'!$B$9</f>
        <v>atsi_5-14_F</v>
      </c>
      <c r="C9" t="s">
        <v>23</v>
      </c>
      <c r="D9" s="3"/>
      <c r="E9" s="3">
        <v>0</v>
      </c>
      <c r="F9" s="4" t="s">
        <v>24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>
      <c r="A10" s="1" t="str">
        <f>'Population Definitions'!$B$10</f>
        <v>atsi_15-29_F</v>
      </c>
      <c r="C10" t="s">
        <v>23</v>
      </c>
      <c r="D10" s="3"/>
      <c r="E10" s="3">
        <v>0</v>
      </c>
      <c r="F10" s="4" t="s">
        <v>24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>
      <c r="A11" s="1" t="str">
        <f>'Population Definitions'!$B$11</f>
        <v>atsi_30-49_F</v>
      </c>
      <c r="C11" t="s">
        <v>23</v>
      </c>
      <c r="D11" s="3"/>
      <c r="E11" s="3">
        <v>0</v>
      </c>
      <c r="F11" s="4" t="s">
        <v>24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>
      <c r="A12" s="1" t="str">
        <f>'Population Definitions'!$B$12</f>
        <v>atsi_50-64_F</v>
      </c>
      <c r="C12" t="s">
        <v>23</v>
      </c>
      <c r="D12" s="3"/>
      <c r="E12" s="3">
        <v>0</v>
      </c>
      <c r="F12" s="4" t="s">
        <v>24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>
      <c r="A13" s="1" t="str">
        <f>'Population Definitions'!$B$13</f>
        <v>atsi_65+_F</v>
      </c>
      <c r="C13" t="s">
        <v>23</v>
      </c>
      <c r="D13" s="3"/>
      <c r="E13" s="3">
        <v>0</v>
      </c>
      <c r="F13" s="4" t="s">
        <v>24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5" spans="1:98">
      <c r="A15" s="1" t="s">
        <v>25</v>
      </c>
      <c r="B15" s="1" t="s">
        <v>17</v>
      </c>
      <c r="C15" s="1" t="s">
        <v>18</v>
      </c>
      <c r="D15" s="1" t="s">
        <v>19</v>
      </c>
      <c r="E15" s="1" t="s">
        <v>22</v>
      </c>
      <c r="F15" s="1"/>
      <c r="G15" s="1">
        <v>1980</v>
      </c>
      <c r="H15" s="1">
        <v>1981</v>
      </c>
      <c r="I15" s="1">
        <v>1982</v>
      </c>
      <c r="J15" s="1">
        <v>1983</v>
      </c>
      <c r="K15" s="1">
        <v>1984</v>
      </c>
      <c r="L15" s="1">
        <v>1985</v>
      </c>
      <c r="M15" s="1">
        <v>1986</v>
      </c>
      <c r="N15" s="1">
        <v>1987</v>
      </c>
      <c r="O15" s="1">
        <v>1988</v>
      </c>
      <c r="P15" s="1">
        <v>1989</v>
      </c>
      <c r="Q15" s="1">
        <v>1990</v>
      </c>
      <c r="R15" s="1">
        <v>1991</v>
      </c>
      <c r="S15" s="1">
        <v>1992</v>
      </c>
      <c r="T15" s="1">
        <v>1993</v>
      </c>
      <c r="U15" s="1">
        <v>1994</v>
      </c>
      <c r="V15" s="1">
        <v>1995</v>
      </c>
      <c r="W15" s="1">
        <v>1996</v>
      </c>
      <c r="X15" s="1">
        <v>1997</v>
      </c>
      <c r="Y15" s="1">
        <v>1998</v>
      </c>
      <c r="Z15" s="1">
        <v>1999</v>
      </c>
      <c r="AA15" s="1">
        <v>2000</v>
      </c>
      <c r="AB15" s="1">
        <v>2001</v>
      </c>
      <c r="AC15" s="1">
        <v>2002</v>
      </c>
      <c r="AD15" s="1">
        <v>2003</v>
      </c>
      <c r="AE15" s="1">
        <v>2004</v>
      </c>
      <c r="AF15" s="1">
        <v>2005</v>
      </c>
      <c r="AG15" s="1">
        <v>2006</v>
      </c>
      <c r="AH15" s="1">
        <v>2007</v>
      </c>
      <c r="AI15" s="1">
        <v>2008</v>
      </c>
      <c r="AJ15" s="1">
        <v>2009</v>
      </c>
      <c r="AK15" s="1">
        <v>2010</v>
      </c>
      <c r="AL15" s="1">
        <v>2011</v>
      </c>
      <c r="AM15" s="1">
        <v>2012</v>
      </c>
      <c r="AN15" s="1">
        <v>2013</v>
      </c>
      <c r="AO15" s="1">
        <v>2014</v>
      </c>
      <c r="AP15" s="1">
        <v>2015</v>
      </c>
      <c r="AQ15" s="1">
        <v>2016</v>
      </c>
      <c r="AR15" s="1">
        <v>2017</v>
      </c>
      <c r="AS15" s="1">
        <v>2018</v>
      </c>
      <c r="AT15" s="1">
        <v>2019</v>
      </c>
      <c r="AU15" s="1">
        <v>2020</v>
      </c>
      <c r="AV15" s="1">
        <v>2021</v>
      </c>
      <c r="AW15" s="1">
        <v>2022</v>
      </c>
      <c r="AX15" s="1">
        <v>2023</v>
      </c>
      <c r="AY15" s="1">
        <v>2024</v>
      </c>
      <c r="AZ15" s="1">
        <v>2025</v>
      </c>
      <c r="BA15" s="1">
        <v>2026</v>
      </c>
      <c r="BB15" s="1">
        <v>2027</v>
      </c>
      <c r="BC15" s="1">
        <v>2028</v>
      </c>
      <c r="BD15" s="1">
        <v>2029</v>
      </c>
      <c r="BE15" s="1">
        <v>2030</v>
      </c>
      <c r="BF15" s="1">
        <v>2031</v>
      </c>
      <c r="BG15" s="1">
        <v>2032</v>
      </c>
      <c r="BH15" s="1">
        <v>2033</v>
      </c>
      <c r="BI15" s="1">
        <v>2034</v>
      </c>
      <c r="BJ15" s="1">
        <v>2035</v>
      </c>
      <c r="BK15" s="1">
        <v>2036</v>
      </c>
      <c r="BL15" s="1">
        <v>2037</v>
      </c>
      <c r="BM15" s="1">
        <v>2038</v>
      </c>
      <c r="BN15" s="1">
        <v>2039</v>
      </c>
      <c r="BO15" s="1">
        <v>2040</v>
      </c>
      <c r="BP15" s="1">
        <v>2041</v>
      </c>
      <c r="BQ15" s="1">
        <v>2042</v>
      </c>
      <c r="BR15" s="1">
        <v>2043</v>
      </c>
      <c r="BS15" s="1">
        <v>2044</v>
      </c>
      <c r="BT15" s="1">
        <v>2045</v>
      </c>
      <c r="BU15" s="1">
        <v>2046</v>
      </c>
      <c r="BV15" s="1">
        <v>2047</v>
      </c>
      <c r="BW15" s="1">
        <v>2048</v>
      </c>
      <c r="BX15" s="1">
        <v>2049</v>
      </c>
      <c r="BY15" s="1">
        <v>2050</v>
      </c>
      <c r="BZ15" s="1">
        <v>2051</v>
      </c>
      <c r="CA15" s="1">
        <v>2052</v>
      </c>
      <c r="CB15" s="1">
        <v>2053</v>
      </c>
      <c r="CC15" s="1">
        <v>2054</v>
      </c>
      <c r="CD15" s="1">
        <v>2055</v>
      </c>
      <c r="CE15" s="1">
        <v>2056</v>
      </c>
      <c r="CF15" s="1">
        <v>2057</v>
      </c>
      <c r="CG15" s="1">
        <v>2058</v>
      </c>
      <c r="CH15" s="1">
        <v>2059</v>
      </c>
      <c r="CI15" s="1">
        <v>2060</v>
      </c>
      <c r="CJ15" s="1">
        <v>2061</v>
      </c>
      <c r="CK15" s="1">
        <v>2062</v>
      </c>
      <c r="CL15" s="1">
        <v>2063</v>
      </c>
      <c r="CM15" s="1">
        <v>2064</v>
      </c>
      <c r="CN15" s="1">
        <v>2065</v>
      </c>
      <c r="CO15" s="1">
        <v>2066</v>
      </c>
      <c r="CP15" s="1">
        <v>2067</v>
      </c>
      <c r="CQ15" s="1">
        <v>2068</v>
      </c>
      <c r="CR15" s="1">
        <v>2069</v>
      </c>
      <c r="CS15" s="1">
        <v>2070</v>
      </c>
      <c r="CT15" s="1">
        <v>2071</v>
      </c>
    </row>
    <row r="16" spans="1:98">
      <c r="A16" s="1" t="str">
        <f>'Population Definitions'!$B$2</f>
        <v>atsi_0-4_M</v>
      </c>
      <c r="C16" t="s">
        <v>26</v>
      </c>
      <c r="D16" s="3"/>
      <c r="E16" s="3"/>
      <c r="F16" s="4" t="s">
        <v>24</v>
      </c>
      <c r="G16" s="3">
        <v>0.008928359567922513</v>
      </c>
      <c r="H16" s="3">
        <v>0.008594179192000251</v>
      </c>
      <c r="I16" s="3">
        <v>0.008987983978638188</v>
      </c>
      <c r="J16" s="3">
        <v>0.008096532970768174</v>
      </c>
      <c r="K16" s="3">
        <v>0.007729258937045249</v>
      </c>
      <c r="L16" s="3">
        <v>0.008350350796925293</v>
      </c>
      <c r="M16" s="3">
        <v>0.007469322477464394</v>
      </c>
      <c r="N16" s="3">
        <v>0.007304904543094998</v>
      </c>
      <c r="O16" s="3">
        <v>0.007078651685393257</v>
      </c>
      <c r="P16" s="3">
        <v>0.006542402893418238</v>
      </c>
      <c r="Q16" s="3">
        <v>0.007018881609842047</v>
      </c>
      <c r="R16" s="3">
        <v>0.005835701868153092</v>
      </c>
      <c r="S16" s="3">
        <v>0.006009249485506859</v>
      </c>
      <c r="T16" s="3">
        <v>0.005364586715148371</v>
      </c>
      <c r="U16" s="3">
        <v>0.004911444121195341</v>
      </c>
      <c r="V16" s="3">
        <v>0.004661547623344277</v>
      </c>
      <c r="W16" s="3">
        <v>0.004838638129653812</v>
      </c>
      <c r="X16" s="3">
        <v>0.004385329736970731</v>
      </c>
      <c r="Y16" s="3">
        <v>0.004196888364860903</v>
      </c>
      <c r="Z16" s="3">
        <v>0.004548709739815689</v>
      </c>
      <c r="AA16" s="3">
        <v>0.004127025922314181</v>
      </c>
      <c r="AB16" s="3">
        <v>0.004207744241279037</v>
      </c>
      <c r="AC16" s="3">
        <v>0.004059222550314128</v>
      </c>
      <c r="AD16" s="3">
        <v>0.00388957541775793</v>
      </c>
      <c r="AE16" s="3">
        <v>0.003870195333245331</v>
      </c>
      <c r="AF16" s="3">
        <v>0.003978672129723201</v>
      </c>
      <c r="AG16" s="3">
        <v>0.003877638248431811</v>
      </c>
      <c r="AH16" s="3">
        <v>0.003553830886949518</v>
      </c>
      <c r="AI16" s="3">
        <v>0.003610380540991081</v>
      </c>
      <c r="AJ16" s="3">
        <v>0.003591053719488119</v>
      </c>
      <c r="AK16" s="3">
        <v>0.003550692596493211</v>
      </c>
      <c r="AL16" s="3">
        <v>0.003053757579886898</v>
      </c>
      <c r="AM16" s="3">
        <v>0.002716110851878594</v>
      </c>
      <c r="AN16" s="3">
        <v>0.002771370905932247</v>
      </c>
      <c r="AO16" s="3">
        <v>0.001414748081414749</v>
      </c>
      <c r="AP16" s="3">
        <v>0.001461812360263878</v>
      </c>
      <c r="AQ16" s="3">
        <v>0.001586645756306837</v>
      </c>
      <c r="AR16" s="3">
        <v>0.001611104930717792</v>
      </c>
      <c r="AS16" s="3">
        <v>0.001609403614937496</v>
      </c>
      <c r="AT16" s="3">
        <v>0.001671627157813649</v>
      </c>
      <c r="AU16" s="3">
        <v>0.001481969322581504</v>
      </c>
      <c r="AV16" s="3">
        <v>0.001644492388828958</v>
      </c>
      <c r="AW16" s="3">
        <v>0.001509834621179274</v>
      </c>
      <c r="AX16" s="3">
        <v>0.001456796233898487</v>
      </c>
      <c r="AY16" s="3">
        <v>0.001446334748084702</v>
      </c>
      <c r="AZ16" s="3">
        <v>0.001419895012525964</v>
      </c>
      <c r="BA16" s="3">
        <v>0.001387836576970704</v>
      </c>
      <c r="BB16" s="3">
        <v>0.001371952750335131</v>
      </c>
      <c r="BC16" s="3">
        <v>0.001363221575905536</v>
      </c>
      <c r="BD16" s="3">
        <v>0.001348802889330024</v>
      </c>
      <c r="BE16" s="3">
        <v>0.001338398968557315</v>
      </c>
      <c r="BF16" s="3">
        <v>0.001324078981572592</v>
      </c>
      <c r="BG16" s="3">
        <v>0.001317534459590397</v>
      </c>
      <c r="BH16" s="3">
        <v>0.001314920708941104</v>
      </c>
      <c r="BI16" s="3">
        <v>0.001308856942023144</v>
      </c>
      <c r="BJ16" s="3">
        <v>0.001303072975464267</v>
      </c>
      <c r="BK16" s="3">
        <v>0.001293315256966434</v>
      </c>
      <c r="BL16" s="3">
        <v>0.001291080623726622</v>
      </c>
      <c r="BM16" s="3">
        <v>0.001284433822456616</v>
      </c>
      <c r="BN16" s="3">
        <v>0.001281116984807486</v>
      </c>
      <c r="BO16" s="3">
        <v>0.001277114680162262</v>
      </c>
      <c r="BP16" s="3">
        <v>0.001272432131224971</v>
      </c>
      <c r="BQ16" s="3">
        <v>0.001267115760095093</v>
      </c>
      <c r="BR16" s="3">
        <v>0.001257404422942307</v>
      </c>
      <c r="BS16" s="3">
        <v>0.001251383441047214</v>
      </c>
      <c r="BT16" s="3">
        <v>0.001245338838500731</v>
      </c>
      <c r="BU16" s="3">
        <v>0.001239367837135374</v>
      </c>
      <c r="BV16" s="3">
        <v>0.001233602260258047</v>
      </c>
      <c r="BW16" s="3">
        <v>0.00122812063948156</v>
      </c>
      <c r="BX16" s="3">
        <v>0.001222954519943942</v>
      </c>
      <c r="BY16" s="3">
        <v>0.001218125245144955</v>
      </c>
      <c r="BZ16" s="3">
        <v>0.001213571732032391</v>
      </c>
      <c r="CA16" s="3">
        <v>0.001205484788482777</v>
      </c>
      <c r="CB16" s="3">
        <v>0.001201579916036943</v>
      </c>
      <c r="CC16" s="3">
        <v>0.001197919086496293</v>
      </c>
      <c r="CD16" s="3">
        <v>0.001194391472453014</v>
      </c>
      <c r="CE16" s="3">
        <v>0.001190949918816251</v>
      </c>
      <c r="CF16" s="3">
        <v>0.001187541139553299</v>
      </c>
      <c r="CG16" s="3">
        <v>0.001184127630323118</v>
      </c>
      <c r="CH16" s="3">
        <v>0.001180746113352346</v>
      </c>
      <c r="CI16" s="3">
        <v>0.001181290162682012</v>
      </c>
      <c r="CJ16" s="3">
        <v>0.001174022883203415</v>
      </c>
      <c r="CK16" s="3">
        <v>0.001170743271518108</v>
      </c>
      <c r="CL16" s="3">
        <v>0.00116746153014653</v>
      </c>
      <c r="CM16" s="3">
        <v>0.001164169691773684</v>
      </c>
      <c r="CN16" s="3">
        <v>0.001160832010653316</v>
      </c>
      <c r="CO16" s="3">
        <v>0.001157477607970461</v>
      </c>
      <c r="CP16" s="3">
        <v>0.001157973640806514</v>
      </c>
      <c r="CQ16" s="3">
        <v>0.00115058482329708</v>
      </c>
      <c r="CR16" s="3">
        <v>0.001143080220716543</v>
      </c>
      <c r="CS16" s="3">
        <v>0.001139382192654013</v>
      </c>
      <c r="CT16" s="3"/>
    </row>
    <row r="17" spans="1:98">
      <c r="A17" s="1" t="str">
        <f>'Population Definitions'!$B$3</f>
        <v>atsi_5-14_M</v>
      </c>
      <c r="C17" t="s">
        <v>26</v>
      </c>
      <c r="D17" s="3"/>
      <c r="E17" s="3"/>
      <c r="F17" s="4" t="s">
        <v>24</v>
      </c>
      <c r="G17" s="3">
        <v>0.0007592746479674893</v>
      </c>
      <c r="H17" s="3">
        <v>0.0007241134000332988</v>
      </c>
      <c r="I17" s="3">
        <v>0.0008443089212892288</v>
      </c>
      <c r="J17" s="3">
        <v>0.0006743038784025786</v>
      </c>
      <c r="K17" s="3">
        <v>0.0006269491664286636</v>
      </c>
      <c r="L17" s="3">
        <v>0.0006684568448033035</v>
      </c>
      <c r="M17" s="3">
        <v>0.000624941272277382</v>
      </c>
      <c r="N17" s="3">
        <v>0.0005921010030497393</v>
      </c>
      <c r="O17" s="3">
        <v>0.0006096685479506525</v>
      </c>
      <c r="P17" s="3">
        <v>0.0005599504290728144</v>
      </c>
      <c r="Q17" s="3">
        <v>0.0005115846011083936</v>
      </c>
      <c r="R17" s="3">
        <v>0.0004757776419372305</v>
      </c>
      <c r="S17" s="3">
        <v>0.0004518632714900853</v>
      </c>
      <c r="T17" s="3">
        <v>0.0004466149670891052</v>
      </c>
      <c r="U17" s="3">
        <v>0.0004494773146783969</v>
      </c>
      <c r="V17" s="3">
        <v>0.0004210414838573018</v>
      </c>
      <c r="W17" s="3">
        <v>0.0004518094872494664</v>
      </c>
      <c r="X17" s="3">
        <v>0.0003980758671727656</v>
      </c>
      <c r="Y17" s="3">
        <v>0.0003891151636932708</v>
      </c>
      <c r="Z17" s="3">
        <v>0.0003506440995531695</v>
      </c>
      <c r="AA17" s="3">
        <v>0.0003714758032807974</v>
      </c>
      <c r="AB17" s="3">
        <v>0.0003539761334713617</v>
      </c>
      <c r="AC17" s="3">
        <v>0.000351005606108495</v>
      </c>
      <c r="AD17" s="3">
        <v>0.0002871135169926619</v>
      </c>
      <c r="AE17" s="3">
        <v>0.0003214998522916421</v>
      </c>
      <c r="AF17" s="3">
        <v>0.0002766455947376117</v>
      </c>
      <c r="AG17" s="3">
        <v>0.0002748174242020731</v>
      </c>
      <c r="AH17" s="3">
        <v>0.0002514775022586946</v>
      </c>
      <c r="AI17" s="3">
        <v>0.000259043011470059</v>
      </c>
      <c r="AJ17" s="3">
        <v>0.0002658407481212411</v>
      </c>
      <c r="AK17" s="3">
        <v>0.0002777128676232961</v>
      </c>
      <c r="AL17" s="3">
        <v>0.0002520108895675355</v>
      </c>
      <c r="AM17" s="3">
        <v>0.0002345206650093216</v>
      </c>
      <c r="AN17" s="3">
        <v>0.0002481481076828957</v>
      </c>
      <c r="AO17" s="3">
        <v>0.000263115978700711</v>
      </c>
      <c r="AP17" s="3">
        <v>0.0002970386665706285</v>
      </c>
      <c r="AQ17" s="3">
        <v>0.0001741935106747109</v>
      </c>
      <c r="AR17" s="3">
        <v>0.0001751111930642233</v>
      </c>
      <c r="AS17" s="3">
        <v>0.0001468844975808907</v>
      </c>
      <c r="AT17" s="3">
        <v>0.0001641977817993922</v>
      </c>
      <c r="AU17" s="3">
        <v>0.0001444839887720127</v>
      </c>
      <c r="AV17" s="3">
        <v>0.0001706364848884113</v>
      </c>
      <c r="AW17" s="3">
        <v>0.0002178954815644386</v>
      </c>
      <c r="AX17" s="3">
        <v>0.0002180082983563494</v>
      </c>
      <c r="AY17" s="3">
        <v>0.0002110602345614064</v>
      </c>
      <c r="AZ17" s="3">
        <v>0.0002002899865660722</v>
      </c>
      <c r="BA17" s="3">
        <v>0.000200551337361315</v>
      </c>
      <c r="BB17" s="3">
        <v>0.0002007139930285752</v>
      </c>
      <c r="BC17" s="3">
        <v>0.0002006641788422886</v>
      </c>
      <c r="BD17" s="3">
        <v>0.0001989066627651798</v>
      </c>
      <c r="BE17" s="3">
        <v>0.00019886071191687</v>
      </c>
      <c r="BF17" s="3">
        <v>0.0001967264698219974</v>
      </c>
      <c r="BG17" s="3">
        <v>0.0001966494454969806</v>
      </c>
      <c r="BH17" s="3">
        <v>0.0001930523274557082</v>
      </c>
      <c r="BI17" s="3">
        <v>0.0001929969502863444</v>
      </c>
      <c r="BJ17" s="3">
        <v>0.000193115565647289</v>
      </c>
      <c r="BK17" s="3">
        <v>0.000191353661185851</v>
      </c>
      <c r="BL17" s="3">
        <v>0.0001911678106689702</v>
      </c>
      <c r="BM17" s="3">
        <v>0.0001911669409706328</v>
      </c>
      <c r="BN17" s="3">
        <v>0.0001893231340415154</v>
      </c>
      <c r="BO17" s="3">
        <v>0.0001874852998305912</v>
      </c>
      <c r="BP17" s="3">
        <v>0.0001874208653717508</v>
      </c>
      <c r="BQ17" s="3">
        <v>0.000185562753641568</v>
      </c>
      <c r="BR17" s="3">
        <v>0.0001837112513614956</v>
      </c>
      <c r="BS17" s="3">
        <v>0.0001836480598636176</v>
      </c>
      <c r="BT17" s="3">
        <v>0.0001835856023563404</v>
      </c>
      <c r="BU17" s="3">
        <v>0.0001817290228681296</v>
      </c>
      <c r="BV17" s="3">
        <v>0.0001798798343129854</v>
      </c>
      <c r="BW17" s="3">
        <v>0.0001798593331631749</v>
      </c>
      <c r="BX17" s="3">
        <v>0.0001798636284436529</v>
      </c>
      <c r="BY17" s="3">
        <v>0.0001798919848163711</v>
      </c>
      <c r="BZ17" s="3">
        <v>0.0001781487919036704</v>
      </c>
      <c r="CA17" s="3">
        <v>0.0001782109719186943</v>
      </c>
      <c r="CB17" s="3">
        <v>0.000178283314379014</v>
      </c>
      <c r="CC17" s="3">
        <v>0.0001783596424975481</v>
      </c>
      <c r="CD17" s="3">
        <v>0.0001784343215149866</v>
      </c>
      <c r="CE17" s="3">
        <v>0.000176679019475894</v>
      </c>
      <c r="CF17" s="3">
        <v>0.0001767340848648598</v>
      </c>
      <c r="CG17" s="3">
        <v>0.0001767791968852939</v>
      </c>
      <c r="CH17" s="3">
        <v>0.0001768133655660134</v>
      </c>
      <c r="CI17" s="3">
        <v>0.0001768361460693941</v>
      </c>
      <c r="CJ17" s="3">
        <v>0.0001750857600093799</v>
      </c>
      <c r="CK17" s="3">
        <v>0.000175087924078178</v>
      </c>
      <c r="CL17" s="3">
        <v>0.0001732557579837935</v>
      </c>
      <c r="CM17" s="3">
        <v>0.0001732443272184343</v>
      </c>
      <c r="CN17" s="3">
        <v>0.0001732285427787985</v>
      </c>
      <c r="CO17" s="3">
        <v>0.0001732100957238573</v>
      </c>
      <c r="CP17" s="3">
        <v>0.0001731900965580994</v>
      </c>
      <c r="CQ17" s="3">
        <v>0.0001713567984001369</v>
      </c>
      <c r="CR17" s="3">
        <v>0.0001713355070270008</v>
      </c>
      <c r="CS17" s="3">
        <v>0.0001713135993044704</v>
      </c>
      <c r="CT17" s="3"/>
    </row>
    <row r="18" spans="1:98">
      <c r="A18" s="1" t="str">
        <f>'Population Definitions'!$B$4</f>
        <v>atsi_15-29_M</v>
      </c>
      <c r="C18" t="s">
        <v>26</v>
      </c>
      <c r="D18" s="3"/>
      <c r="E18" s="3"/>
      <c r="F18" s="4" t="s">
        <v>24</v>
      </c>
      <c r="G18" s="3">
        <v>0.004293133561186288</v>
      </c>
      <c r="H18" s="3">
        <v>0.004147941597684976</v>
      </c>
      <c r="I18" s="3">
        <v>0.004323524562761707</v>
      </c>
      <c r="J18" s="3">
        <v>0.004039799517581616</v>
      </c>
      <c r="K18" s="3">
        <v>0.003597980810924834</v>
      </c>
      <c r="L18" s="3">
        <v>0.00409381441513226</v>
      </c>
      <c r="M18" s="3">
        <v>0.003941929621809483</v>
      </c>
      <c r="N18" s="3">
        <v>0.003856244531538823</v>
      </c>
      <c r="O18" s="3">
        <v>0.004227856676647543</v>
      </c>
      <c r="P18" s="3">
        <v>0.003928679730461213</v>
      </c>
      <c r="Q18" s="3">
        <v>0.003751317487196673</v>
      </c>
      <c r="R18" s="3">
        <v>0.003474064852688369</v>
      </c>
      <c r="S18" s="3">
        <v>0.003333573730309944</v>
      </c>
      <c r="T18" s="3">
        <v>0.003243058943148206</v>
      </c>
      <c r="U18" s="3">
        <v>0.003247510003986066</v>
      </c>
      <c r="V18" s="3">
        <v>0.003326726431672189</v>
      </c>
      <c r="W18" s="3">
        <v>0.003357365420071845</v>
      </c>
      <c r="X18" s="3">
        <v>0.003491681851803752</v>
      </c>
      <c r="Y18" s="3">
        <v>0.003507512598856721</v>
      </c>
      <c r="Z18" s="3">
        <v>0.003589307386902874</v>
      </c>
      <c r="AA18" s="3">
        <v>0.003157135931001052</v>
      </c>
      <c r="AB18" s="3">
        <v>0.002806547578057211</v>
      </c>
      <c r="AC18" s="3">
        <v>0.002644122642054894</v>
      </c>
      <c r="AD18" s="3">
        <v>0.002600186254326946</v>
      </c>
      <c r="AE18" s="3">
        <v>0.002313961546667155</v>
      </c>
      <c r="AF18" s="3">
        <v>0.002308329294196192</v>
      </c>
      <c r="AG18" s="3">
        <v>0.002144422271329074</v>
      </c>
      <c r="AH18" s="3">
        <v>0.002140052787435763</v>
      </c>
      <c r="AI18" s="3">
        <v>0.002076316116741409</v>
      </c>
      <c r="AJ18" s="3">
        <v>0.001988143906003182</v>
      </c>
      <c r="AK18" s="3">
        <v>0.001885912385054382</v>
      </c>
      <c r="AL18" s="3">
        <v>0.001830452070026249</v>
      </c>
      <c r="AM18" s="3">
        <v>0.001805730873541753</v>
      </c>
      <c r="AN18" s="3">
        <v>0.001676176437121322</v>
      </c>
      <c r="AO18" s="3">
        <v>0.001493969077640681</v>
      </c>
      <c r="AP18" s="3">
        <v>0.001597580710526536</v>
      </c>
      <c r="AQ18" s="3">
        <v>0.001542943751572212</v>
      </c>
      <c r="AR18" s="3">
        <v>0.001511578555734721</v>
      </c>
      <c r="AS18" s="3">
        <v>0.001490991704971735</v>
      </c>
      <c r="AT18" s="3">
        <v>0.00174429696099765</v>
      </c>
      <c r="AU18" s="3">
        <v>0.001642035617871632</v>
      </c>
      <c r="AV18" s="3">
        <v>0.001590227793931498</v>
      </c>
      <c r="AW18" s="3">
        <v>0.001440947711785399</v>
      </c>
      <c r="AX18" s="3">
        <v>0.001419345877011092</v>
      </c>
      <c r="AY18" s="3">
        <v>0.001409838788464852</v>
      </c>
      <c r="AZ18" s="3">
        <v>0.001387326028446644</v>
      </c>
      <c r="BA18" s="3">
        <v>0.001368356993715847</v>
      </c>
      <c r="BB18" s="3">
        <v>0.001361147060489919</v>
      </c>
      <c r="BC18" s="3">
        <v>0.001352804898432086</v>
      </c>
      <c r="BD18" s="3">
        <v>0.001343132213351673</v>
      </c>
      <c r="BE18" s="3">
        <v>0.001338736744891864</v>
      </c>
      <c r="BF18" s="3">
        <v>0.001328536768861846</v>
      </c>
      <c r="BG18" s="3">
        <v>0.001325731667205758</v>
      </c>
      <c r="BH18" s="3">
        <v>0.001325798481420965</v>
      </c>
      <c r="BI18" s="3">
        <v>0.001322520026187596</v>
      </c>
      <c r="BJ18" s="3">
        <v>0.001320841404725463</v>
      </c>
      <c r="BK18" s="3">
        <v>0.001314477935424315</v>
      </c>
      <c r="BL18" s="3">
        <v>0.001309850582598772</v>
      </c>
      <c r="BM18" s="3">
        <v>0.00130847129862064</v>
      </c>
      <c r="BN18" s="3">
        <v>0.00130491854600295</v>
      </c>
      <c r="BO18" s="3">
        <v>0.001301015294899128</v>
      </c>
      <c r="BP18" s="3">
        <v>0.001295042240277339</v>
      </c>
      <c r="BQ18" s="3">
        <v>0.00129135040206426</v>
      </c>
      <c r="BR18" s="3">
        <v>0.001283566835380389</v>
      </c>
      <c r="BS18" s="3">
        <v>0.001281390703381937</v>
      </c>
      <c r="BT18" s="3">
        <v>0.001278942489225837</v>
      </c>
      <c r="BU18" s="3">
        <v>0.001270371288195958</v>
      </c>
      <c r="BV18" s="3">
        <v>0.00126420314842449</v>
      </c>
      <c r="BW18" s="3">
        <v>0.001263877326335035</v>
      </c>
      <c r="BX18" s="3">
        <v>0.00125764395472492</v>
      </c>
      <c r="BY18" s="3">
        <v>0.001255495851584997</v>
      </c>
      <c r="BZ18" s="3">
        <v>0.00125140636181202</v>
      </c>
      <c r="CA18" s="3">
        <v>0.00123935497494971</v>
      </c>
      <c r="CB18" s="3">
        <v>0.001233367980520308</v>
      </c>
      <c r="CC18" s="3">
        <v>0.001232683346133042</v>
      </c>
      <c r="CD18" s="3">
        <v>0.001226231778480548</v>
      </c>
      <c r="CE18" s="3">
        <v>0.001221864773319436</v>
      </c>
      <c r="CF18" s="3">
        <v>0.001217536829359007</v>
      </c>
      <c r="CG18" s="3">
        <v>0.001213477977210789</v>
      </c>
      <c r="CH18" s="3">
        <v>0.001207997930703142</v>
      </c>
      <c r="CI18" s="3">
        <v>0.001204241426797434</v>
      </c>
      <c r="CJ18" s="3">
        <v>0.001200521226128185</v>
      </c>
      <c r="CK18" s="3">
        <v>0.001197064457580925</v>
      </c>
      <c r="CL18" s="3">
        <v>0.001193599560487378</v>
      </c>
      <c r="CM18" s="3">
        <v>0.001190465530604349</v>
      </c>
      <c r="CN18" s="3">
        <v>0.001189166071514548</v>
      </c>
      <c r="CO18" s="3">
        <v>0.001183968474278621</v>
      </c>
      <c r="CP18" s="3">
        <v>0.001177419656872374</v>
      </c>
      <c r="CQ18" s="3">
        <v>0.00117238983634558</v>
      </c>
      <c r="CR18" s="3">
        <v>0.001169065788547381</v>
      </c>
      <c r="CS18" s="3">
        <v>0.001167474970685134</v>
      </c>
      <c r="CT18" s="3"/>
    </row>
    <row r="19" spans="1:98">
      <c r="A19" s="1" t="str">
        <f>'Population Definitions'!$B$5</f>
        <v>atsi_30-49_M</v>
      </c>
      <c r="C19" t="s">
        <v>26</v>
      </c>
      <c r="D19" s="3"/>
      <c r="E19" s="3"/>
      <c r="F19" s="4" t="s">
        <v>24</v>
      </c>
      <c r="G19" s="3">
        <v>0.008484491443830363</v>
      </c>
      <c r="H19" s="3">
        <v>0.007972400013879222</v>
      </c>
      <c r="I19" s="3">
        <v>0.007811409293805765</v>
      </c>
      <c r="J19" s="3">
        <v>0.007021843407215698</v>
      </c>
      <c r="K19" s="3">
        <v>0.006985200934807465</v>
      </c>
      <c r="L19" s="3">
        <v>0.007035681458343021</v>
      </c>
      <c r="M19" s="3">
        <v>0.006947697601557145</v>
      </c>
      <c r="N19" s="3">
        <v>0.00683012501684436</v>
      </c>
      <c r="O19" s="3">
        <v>0.007053549162062516</v>
      </c>
      <c r="P19" s="3">
        <v>0.006883408947479864</v>
      </c>
      <c r="Q19" s="3">
        <v>0.006776529736927181</v>
      </c>
      <c r="R19" s="3">
        <v>0.006725592737751426</v>
      </c>
      <c r="S19" s="3">
        <v>0.006584660950836729</v>
      </c>
      <c r="T19" s="3">
        <v>0.006509219425367384</v>
      </c>
      <c r="U19" s="3">
        <v>0.006585360296275232</v>
      </c>
      <c r="V19" s="3">
        <v>0.006614742040270692</v>
      </c>
      <c r="W19" s="3">
        <v>0.006562658695663959</v>
      </c>
      <c r="X19" s="3">
        <v>0.006351060065509498</v>
      </c>
      <c r="Y19" s="3">
        <v>0.006418358262396042</v>
      </c>
      <c r="Z19" s="3">
        <v>0.00620347474148327</v>
      </c>
      <c r="AA19" s="3">
        <v>0.006157838889380152</v>
      </c>
      <c r="AB19" s="3">
        <v>0.00589745597881515</v>
      </c>
      <c r="AC19" s="3">
        <v>0.005818799044046109</v>
      </c>
      <c r="AD19" s="3">
        <v>0.00583810541950357</v>
      </c>
      <c r="AE19" s="3">
        <v>0.005590499054592486</v>
      </c>
      <c r="AF19" s="3">
        <v>0.005626788008224443</v>
      </c>
      <c r="AG19" s="3">
        <v>0.005443539625532326</v>
      </c>
      <c r="AH19" s="3">
        <v>0.005400707457030075</v>
      </c>
      <c r="AI19" s="3">
        <v>0.005466408105066062</v>
      </c>
      <c r="AJ19" s="3">
        <v>0.005440873974992345</v>
      </c>
      <c r="AK19" s="3">
        <v>0.005362737968039548</v>
      </c>
      <c r="AL19" s="3">
        <v>0.005010355186941353</v>
      </c>
      <c r="AM19" s="3">
        <v>0.004824152412911645</v>
      </c>
      <c r="AN19" s="3">
        <v>0.004825003125673424</v>
      </c>
      <c r="AO19" s="3">
        <v>0.004997781769727474</v>
      </c>
      <c r="AP19" s="3">
        <v>0.005125189629929851</v>
      </c>
      <c r="AQ19" s="3">
        <v>0.004764259467753626</v>
      </c>
      <c r="AR19" s="3">
        <v>0.004775745919310485</v>
      </c>
      <c r="AS19" s="3">
        <v>0.004514060688439655</v>
      </c>
      <c r="AT19" s="3">
        <v>0.005035763348597665</v>
      </c>
      <c r="AU19" s="3">
        <v>0.004470392313227719</v>
      </c>
      <c r="AV19" s="3">
        <v>0.004314327846082837</v>
      </c>
      <c r="AW19" s="3">
        <v>0.004428541889958913</v>
      </c>
      <c r="AX19" s="3">
        <v>0.004376631231584585</v>
      </c>
      <c r="AY19" s="3">
        <v>0.004328764526996824</v>
      </c>
      <c r="AZ19" s="3">
        <v>0.004287249270836973</v>
      </c>
      <c r="BA19" s="3">
        <v>0.004235365773286656</v>
      </c>
      <c r="BB19" s="3">
        <v>0.004224854512427745</v>
      </c>
      <c r="BC19" s="3">
        <v>0.004220993168310294</v>
      </c>
      <c r="BD19" s="3">
        <v>0.004208716382740387</v>
      </c>
      <c r="BE19" s="3">
        <v>0.004198041317525867</v>
      </c>
      <c r="BF19" s="3">
        <v>0.004185324487174139</v>
      </c>
      <c r="BG19" s="3">
        <v>0.004173220746454083</v>
      </c>
      <c r="BH19" s="3">
        <v>0.004160019363485819</v>
      </c>
      <c r="BI19" s="3">
        <v>0.004147582581705901</v>
      </c>
      <c r="BJ19" s="3">
        <v>0.004133035367271635</v>
      </c>
      <c r="BK19" s="3">
        <v>0.004113428336719654</v>
      </c>
      <c r="BL19" s="3">
        <v>0.004090958674197907</v>
      </c>
      <c r="BM19" s="3">
        <v>0.00407965213269347</v>
      </c>
      <c r="BN19" s="3">
        <v>0.00405853345680556</v>
      </c>
      <c r="BO19" s="3">
        <v>0.004037374014882923</v>
      </c>
      <c r="BP19" s="3">
        <v>0.004015358173938301</v>
      </c>
      <c r="BQ19" s="3">
        <v>0.003996183706544232</v>
      </c>
      <c r="BR19" s="3">
        <v>0.003975212935878097</v>
      </c>
      <c r="BS19" s="3">
        <v>0.003962745784610333</v>
      </c>
      <c r="BT19" s="3">
        <v>0.003941352940532711</v>
      </c>
      <c r="BU19" s="3">
        <v>0.003923097909501874</v>
      </c>
      <c r="BV19" s="3">
        <v>0.003921252025328088</v>
      </c>
      <c r="BW19" s="3">
        <v>0.003916640115638864</v>
      </c>
      <c r="BX19" s="3">
        <v>0.003910799455578445</v>
      </c>
      <c r="BY19" s="3">
        <v>0.003904599702267711</v>
      </c>
      <c r="BZ19" s="3">
        <v>0.003903987689577724</v>
      </c>
      <c r="CA19" s="3">
        <v>0.003900638042004793</v>
      </c>
      <c r="CB19" s="3">
        <v>0.003904825334822368</v>
      </c>
      <c r="CC19" s="3">
        <v>0.003901787448251933</v>
      </c>
      <c r="CD19" s="3">
        <v>0.003893201103100719</v>
      </c>
      <c r="CE19" s="3">
        <v>0.003883114723830224</v>
      </c>
      <c r="CF19" s="3">
        <v>0.003879189602898589</v>
      </c>
      <c r="CG19" s="3">
        <v>0.003862904435302313</v>
      </c>
      <c r="CH19" s="3">
        <v>0.003842595233361806</v>
      </c>
      <c r="CI19" s="3">
        <v>0.003831642825644908</v>
      </c>
      <c r="CJ19" s="3">
        <v>0.003822647187903149</v>
      </c>
      <c r="CK19" s="3">
        <v>0.003803840369806763</v>
      </c>
      <c r="CL19" s="3">
        <v>0.003785486838054182</v>
      </c>
      <c r="CM19" s="3">
        <v>0.003772792392225306</v>
      </c>
      <c r="CN19" s="3">
        <v>0.003754686854220667</v>
      </c>
      <c r="CO19" s="3">
        <v>0.003736767854241339</v>
      </c>
      <c r="CP19" s="3">
        <v>0.003722040558652531</v>
      </c>
      <c r="CQ19" s="3">
        <v>0.003704321398896</v>
      </c>
      <c r="CR19" s="3">
        <v>0.003693190217652539</v>
      </c>
      <c r="CS19" s="3">
        <v>0.003680451547829893</v>
      </c>
      <c r="CT19" s="3"/>
    </row>
    <row r="20" spans="1:98">
      <c r="A20" s="1" t="str">
        <f>'Population Definitions'!$B$6</f>
        <v>atsi_50-64_M</v>
      </c>
      <c r="C20" t="s">
        <v>26</v>
      </c>
      <c r="D20" s="3"/>
      <c r="E20" s="3"/>
      <c r="F20" s="4" t="s">
        <v>24</v>
      </c>
      <c r="G20" s="3">
        <v>0.03735009419368668</v>
      </c>
      <c r="H20" s="3">
        <v>0.03628898578105835</v>
      </c>
      <c r="I20" s="3">
        <v>0.03599180094410544</v>
      </c>
      <c r="J20" s="3">
        <v>0.0348200764737238</v>
      </c>
      <c r="K20" s="3">
        <v>0.03330427820783616</v>
      </c>
      <c r="L20" s="3">
        <v>0.03408588543901295</v>
      </c>
      <c r="M20" s="3">
        <v>0.03214349865999887</v>
      </c>
      <c r="N20" s="3">
        <v>0.03146603737210024</v>
      </c>
      <c r="O20" s="3">
        <v>0.03059049388450216</v>
      </c>
      <c r="P20" s="3">
        <v>0.0296352736651734</v>
      </c>
      <c r="Q20" s="3">
        <v>0.02825439867844832</v>
      </c>
      <c r="R20" s="3">
        <v>0.02674503336493005</v>
      </c>
      <c r="S20" s="3">
        <v>0.02609562359757811</v>
      </c>
      <c r="T20" s="3">
        <v>0.02461974569669851</v>
      </c>
      <c r="U20" s="3">
        <v>0.02365782247537386</v>
      </c>
      <c r="V20" s="3">
        <v>0.0223875969983253</v>
      </c>
      <c r="W20" s="3">
        <v>0.0217223701404579</v>
      </c>
      <c r="X20" s="3">
        <v>0.02087022362438527</v>
      </c>
      <c r="Y20" s="3">
        <v>0.01944378031286289</v>
      </c>
      <c r="Z20" s="3">
        <v>0.01851928989931653</v>
      </c>
      <c r="AA20" s="3">
        <v>0.01764814541155607</v>
      </c>
      <c r="AB20" s="3">
        <v>0.01762033437175096</v>
      </c>
      <c r="AC20" s="3">
        <v>0.01704267548214283</v>
      </c>
      <c r="AD20" s="3">
        <v>0.01668303984166036</v>
      </c>
      <c r="AE20" s="3">
        <v>0.01630245647089816</v>
      </c>
      <c r="AF20" s="3">
        <v>0.01590058920802094</v>
      </c>
      <c r="AG20" s="3">
        <v>0.01564903855554555</v>
      </c>
      <c r="AH20" s="3">
        <v>0.01590068714337216</v>
      </c>
      <c r="AI20" s="3">
        <v>0.01564786986568862</v>
      </c>
      <c r="AJ20" s="3">
        <v>0.01547953924064027</v>
      </c>
      <c r="AK20" s="3">
        <v>0.01507355162474633</v>
      </c>
      <c r="AL20" s="3">
        <v>0.01522345438955057</v>
      </c>
      <c r="AM20" s="3">
        <v>0.01443699291660304</v>
      </c>
      <c r="AN20" s="3">
        <v>0.01436647042272756</v>
      </c>
      <c r="AO20" s="3">
        <v>0.01554171816230405</v>
      </c>
      <c r="AP20" s="3">
        <v>0.01558106720483019</v>
      </c>
      <c r="AQ20" s="3">
        <v>0.01514501118585083</v>
      </c>
      <c r="AR20" s="3">
        <v>0.01464448504395001</v>
      </c>
      <c r="AS20" s="3">
        <v>0.01476340673631901</v>
      </c>
      <c r="AT20" s="3">
        <v>0.01574813253538354</v>
      </c>
      <c r="AU20" s="3">
        <v>0.01445743391341969</v>
      </c>
      <c r="AV20" s="3">
        <v>0.01461069248824222</v>
      </c>
      <c r="AW20" s="3">
        <v>0.01475397490219568</v>
      </c>
      <c r="AX20" s="3">
        <v>0.01463201986659923</v>
      </c>
      <c r="AY20" s="3">
        <v>0.01451787031477526</v>
      </c>
      <c r="AZ20" s="3">
        <v>0.01440243562067837</v>
      </c>
      <c r="BA20" s="3">
        <v>0.0141896083353268</v>
      </c>
      <c r="BB20" s="3">
        <v>0.01410499636752738</v>
      </c>
      <c r="BC20" s="3">
        <v>0.01400878730500338</v>
      </c>
      <c r="BD20" s="3">
        <v>0.01390864711961617</v>
      </c>
      <c r="BE20" s="3">
        <v>0.01381164147953693</v>
      </c>
      <c r="BF20" s="3">
        <v>0.01370852957835903</v>
      </c>
      <c r="BG20" s="3">
        <v>0.01363968140481364</v>
      </c>
      <c r="BH20" s="3">
        <v>0.01355353923216761</v>
      </c>
      <c r="BI20" s="3">
        <v>0.01346299402940353</v>
      </c>
      <c r="BJ20" s="3">
        <v>0.01337038768945073</v>
      </c>
      <c r="BK20" s="3">
        <v>0.01324152538158407</v>
      </c>
      <c r="BL20" s="3">
        <v>0.01313558000327872</v>
      </c>
      <c r="BM20" s="3">
        <v>0.01305617766407547</v>
      </c>
      <c r="BN20" s="3">
        <v>0.01299386407005965</v>
      </c>
      <c r="BO20" s="3">
        <v>0.01294986209182689</v>
      </c>
      <c r="BP20" s="3">
        <v>0.01292687858473064</v>
      </c>
      <c r="BQ20" s="3">
        <v>0.01291946088396088</v>
      </c>
      <c r="BR20" s="3">
        <v>0.01292494606002527</v>
      </c>
      <c r="BS20" s="3">
        <v>0.01293589481188764</v>
      </c>
      <c r="BT20" s="3">
        <v>0.0129373432251049</v>
      </c>
      <c r="BU20" s="3">
        <v>0.01293057066221047</v>
      </c>
      <c r="BV20" s="3">
        <v>0.01292282140530361</v>
      </c>
      <c r="BW20" s="3">
        <v>0.01290605155001034</v>
      </c>
      <c r="BX20" s="3">
        <v>0.01288342502676083</v>
      </c>
      <c r="BY20" s="3">
        <v>0.01284698062441308</v>
      </c>
      <c r="BZ20" s="3">
        <v>0.01279816952898839</v>
      </c>
      <c r="CA20" s="3">
        <v>0.01276975707841664</v>
      </c>
      <c r="CB20" s="3">
        <v>0.01273778722068847</v>
      </c>
      <c r="CC20" s="3">
        <v>0.01268545601414054</v>
      </c>
      <c r="CD20" s="3">
        <v>0.01261552381141035</v>
      </c>
      <c r="CE20" s="3">
        <v>0.01253533319177788</v>
      </c>
      <c r="CF20" s="3">
        <v>0.01245970411768721</v>
      </c>
      <c r="CG20" s="3">
        <v>0.01238954866681688</v>
      </c>
      <c r="CH20" s="3">
        <v>0.01231947498374229</v>
      </c>
      <c r="CI20" s="3">
        <v>0.01224323068526216</v>
      </c>
      <c r="CJ20" s="3">
        <v>0.01219209765850415</v>
      </c>
      <c r="CK20" s="3">
        <v>0.01215195147563436</v>
      </c>
      <c r="CL20" s="3">
        <v>0.01212766830166826</v>
      </c>
      <c r="CM20" s="3">
        <v>0.01210704027534649</v>
      </c>
      <c r="CN20" s="3">
        <v>0.01207291977139423</v>
      </c>
      <c r="CO20" s="3">
        <v>0.01204992185837102</v>
      </c>
      <c r="CP20" s="3">
        <v>0.01204372500520198</v>
      </c>
      <c r="CQ20" s="3">
        <v>0.01204774934331052</v>
      </c>
      <c r="CR20" s="3">
        <v>0.01204344122822199</v>
      </c>
      <c r="CS20" s="3">
        <v>0.01203018187755546</v>
      </c>
      <c r="CT20" s="3"/>
    </row>
    <row r="21" spans="1:98">
      <c r="A21" s="1" t="str">
        <f>'Population Definitions'!$B$7</f>
        <v>atsi_65+_M</v>
      </c>
      <c r="C21" t="s">
        <v>26</v>
      </c>
      <c r="D21" s="3"/>
      <c r="E21" s="3"/>
      <c r="F21" s="4" t="s">
        <v>24</v>
      </c>
      <c r="G21" s="3">
        <v>0.09992215229566656</v>
      </c>
      <c r="H21" s="3">
        <v>0.0989132725149256</v>
      </c>
      <c r="I21" s="3">
        <v>0.1015546179149999</v>
      </c>
      <c r="J21" s="3">
        <v>0.09478155377460064</v>
      </c>
      <c r="K21" s="3">
        <v>0.0930953419611264</v>
      </c>
      <c r="L21" s="3">
        <v>0.09755710869479056</v>
      </c>
      <c r="M21" s="3">
        <v>0.09121443457710672</v>
      </c>
      <c r="N21" s="3">
        <v>0.09139230291659936</v>
      </c>
      <c r="O21" s="3">
        <v>0.09099104908983952</v>
      </c>
      <c r="P21" s="3">
        <v>0.09283318829737969</v>
      </c>
      <c r="Q21" s="3">
        <v>0.08653847105209778</v>
      </c>
      <c r="R21" s="3">
        <v>0.08423197514654496</v>
      </c>
      <c r="S21" s="3">
        <v>0.08599118288034417</v>
      </c>
      <c r="T21" s="3">
        <v>0.08301190687193713</v>
      </c>
      <c r="U21" s="3">
        <v>0.08537581411723297</v>
      </c>
      <c r="V21" s="3">
        <v>0.0817079146214616</v>
      </c>
      <c r="W21" s="3">
        <v>0.08281017569883553</v>
      </c>
      <c r="X21" s="3">
        <v>0.0803896000212896</v>
      </c>
      <c r="Y21" s="3">
        <v>0.07802402626294208</v>
      </c>
      <c r="Z21" s="3">
        <v>0.07680657651801057</v>
      </c>
      <c r="AA21" s="3">
        <v>0.07534830821723057</v>
      </c>
      <c r="AB21" s="3">
        <v>0.07346971599776704</v>
      </c>
      <c r="AC21" s="3">
        <v>0.07508049455268417</v>
      </c>
      <c r="AD21" s="3">
        <v>0.07261648489182913</v>
      </c>
      <c r="AE21" s="3">
        <v>0.07156665267869632</v>
      </c>
      <c r="AF21" s="3">
        <v>0.06814987990665568</v>
      </c>
      <c r="AG21" s="3">
        <v>0.06849198406395744</v>
      </c>
      <c r="AH21" s="3">
        <v>0.06846669854851424</v>
      </c>
      <c r="AI21" s="3">
        <v>0.06996621924042769</v>
      </c>
      <c r="AJ21" s="3">
        <v>0.0659365647767456</v>
      </c>
      <c r="AK21" s="3">
        <v>0.0650757270388288</v>
      </c>
      <c r="AL21" s="3">
        <v>0.06486550455691104</v>
      </c>
      <c r="AM21" s="3">
        <v>0.06214460943674513</v>
      </c>
      <c r="AN21" s="3">
        <v>0.0606475262786344</v>
      </c>
      <c r="AO21" s="3">
        <v>0.06030622144674608</v>
      </c>
      <c r="AP21" s="3">
        <v>0.06072189065623521</v>
      </c>
      <c r="AQ21" s="3">
        <v>0.05956991478256209</v>
      </c>
      <c r="AR21" s="3">
        <v>0.0587186941369784</v>
      </c>
      <c r="AS21" s="3">
        <v>0.05643221755629632</v>
      </c>
      <c r="AT21" s="3">
        <v>0.05828606186742512</v>
      </c>
      <c r="AU21" s="3">
        <v>0.05428945518076785</v>
      </c>
      <c r="AV21" s="3">
        <v>0.0564232756016264</v>
      </c>
      <c r="AW21" s="3">
        <v>0.05550219828159617</v>
      </c>
      <c r="AX21" s="3">
        <v>0.05516758675770688</v>
      </c>
      <c r="AY21" s="3">
        <v>0.05489561492971872</v>
      </c>
      <c r="AZ21" s="3">
        <v>0.05467116158621937</v>
      </c>
      <c r="BA21" s="3">
        <v>0.05409115419214769</v>
      </c>
      <c r="BB21" s="3">
        <v>0.05416753670349984</v>
      </c>
      <c r="BC21" s="3">
        <v>0.05431008154749169</v>
      </c>
      <c r="BD21" s="3">
        <v>0.05454928218438496</v>
      </c>
      <c r="BE21" s="3">
        <v>0.05491409170650736</v>
      </c>
      <c r="BF21" s="3">
        <v>0.05535861194277376</v>
      </c>
      <c r="BG21" s="3">
        <v>0.05603986438518832</v>
      </c>
      <c r="BH21" s="3">
        <v>0.05669340094771937</v>
      </c>
      <c r="BI21" s="3">
        <v>0.05730664255115025</v>
      </c>
      <c r="BJ21" s="3">
        <v>0.05788125990751072</v>
      </c>
      <c r="BK21" s="3">
        <v>0.05828793843463568</v>
      </c>
      <c r="BL21" s="3">
        <v>0.05883181259636944</v>
      </c>
      <c r="BM21" s="3">
        <v>0.059423966346368</v>
      </c>
      <c r="BN21" s="3">
        <v>0.0600226707833048</v>
      </c>
      <c r="BO21" s="3">
        <v>0.06063256462373248</v>
      </c>
      <c r="BP21" s="3">
        <v>0.06122817098678129</v>
      </c>
      <c r="BQ21" s="3">
        <v>0.06181377027521408</v>
      </c>
      <c r="BR21" s="3">
        <v>0.06235853636284432</v>
      </c>
      <c r="BS21" s="3">
        <v>0.06281140507176017</v>
      </c>
      <c r="BT21" s="3">
        <v>0.06319129731949968</v>
      </c>
      <c r="BU21" s="3">
        <v>0.06343161770853888</v>
      </c>
      <c r="BV21" s="3">
        <v>0.06357580206402767</v>
      </c>
      <c r="BW21" s="3">
        <v>0.06362412034659584</v>
      </c>
      <c r="BX21" s="3">
        <v>0.06365213030426672</v>
      </c>
      <c r="BY21" s="3">
        <v>0.06364139936732864</v>
      </c>
      <c r="BZ21" s="3">
        <v>0.06359028010056737</v>
      </c>
      <c r="CA21" s="3">
        <v>0.06352603376351008</v>
      </c>
      <c r="CB21" s="3">
        <v>0.06343695191543888</v>
      </c>
      <c r="CC21" s="3">
        <v>0.063296710228292</v>
      </c>
      <c r="CD21" s="3">
        <v>0.06310214408750991</v>
      </c>
      <c r="CE21" s="3">
        <v>0.0628993490315784</v>
      </c>
      <c r="CF21" s="3">
        <v>0.06273551406914481</v>
      </c>
      <c r="CG21" s="3">
        <v>0.0625720109667256</v>
      </c>
      <c r="CH21" s="3">
        <v>0.06240560752670704</v>
      </c>
      <c r="CI21" s="3">
        <v>0.06222275553752256</v>
      </c>
      <c r="CJ21" s="3">
        <v>0.0621214564033416</v>
      </c>
      <c r="CK21" s="3">
        <v>0.062081465283384</v>
      </c>
      <c r="CL21" s="3">
        <v>0.0620851588782928</v>
      </c>
      <c r="CM21" s="3">
        <v>0.06207291380004624</v>
      </c>
      <c r="CN21" s="3">
        <v>0.06201885228082385</v>
      </c>
      <c r="CO21" s="3">
        <v>0.0619925221980856</v>
      </c>
      <c r="CP21" s="3">
        <v>0.06205749367112769</v>
      </c>
      <c r="CQ21" s="3">
        <v>0.06213240867297057</v>
      </c>
      <c r="CR21" s="3">
        <v>0.06218524755211809</v>
      </c>
      <c r="CS21" s="3">
        <v>0.06221931438375921</v>
      </c>
      <c r="CT21" s="3"/>
    </row>
    <row r="22" spans="1:98">
      <c r="A22" s="1" t="str">
        <f>'Population Definitions'!$B$8</f>
        <v>atsi_0-4_F</v>
      </c>
      <c r="C22" t="s">
        <v>26</v>
      </c>
      <c r="D22" s="3"/>
      <c r="E22" s="3"/>
      <c r="F22" s="4" t="s">
        <v>24</v>
      </c>
      <c r="G22" s="3">
        <v>0.005789390776272742</v>
      </c>
      <c r="H22" s="3">
        <v>0.005535010783608909</v>
      </c>
      <c r="I22" s="3">
        <v>0.005828051472414848</v>
      </c>
      <c r="J22" s="3">
        <v>0.005528051965821568</v>
      </c>
      <c r="K22" s="3">
        <v>0.004814523998953063</v>
      </c>
      <c r="L22" s="3">
        <v>0.005527731416867251</v>
      </c>
      <c r="M22" s="3">
        <v>0.004829328289211392</v>
      </c>
      <c r="N22" s="3">
        <v>0.004465256472361267</v>
      </c>
      <c r="O22" s="3">
        <v>0.004709277622166707</v>
      </c>
      <c r="P22" s="3">
        <v>0.004467632799290727</v>
      </c>
      <c r="Q22" s="3">
        <v>0.004548449147606297</v>
      </c>
      <c r="R22" s="3">
        <v>0.003864378649695437</v>
      </c>
      <c r="S22" s="3">
        <v>0.003879699392358195</v>
      </c>
      <c r="T22" s="3">
        <v>0.003394879949117517</v>
      </c>
      <c r="U22" s="3">
        <v>0.003269429748045901</v>
      </c>
      <c r="V22" s="3">
        <v>0.003216054927419827</v>
      </c>
      <c r="W22" s="3">
        <v>0.003106672583289984</v>
      </c>
      <c r="X22" s="3">
        <v>0.002924755273241088</v>
      </c>
      <c r="Y22" s="3">
        <v>0.002841532851385063</v>
      </c>
      <c r="Z22" s="3">
        <v>0.002978607308500915</v>
      </c>
      <c r="AA22" s="3">
        <v>0.002793070827565209</v>
      </c>
      <c r="AB22" s="3">
        <v>0.002763634488714726</v>
      </c>
      <c r="AC22" s="3">
        <v>0.002740141540779879</v>
      </c>
      <c r="AD22" s="3">
        <v>0.00265718165944512</v>
      </c>
      <c r="AE22" s="3">
        <v>0.002557211067541225</v>
      </c>
      <c r="AF22" s="3">
        <v>0.002850412552936781</v>
      </c>
      <c r="AG22" s="3">
        <v>0.002600296469348429</v>
      </c>
      <c r="AH22" s="3">
        <v>0.002484297815535472</v>
      </c>
      <c r="AI22" s="3">
        <v>0.002362757323052549</v>
      </c>
      <c r="AJ22" s="3">
        <v>0.002332254600232085</v>
      </c>
      <c r="AK22" s="3">
        <v>0.002130650426033997</v>
      </c>
      <c r="AL22" s="3">
        <v>0.002146600769179819</v>
      </c>
      <c r="AM22" s="3">
        <v>0.001946037488934221</v>
      </c>
      <c r="AN22" s="3">
        <v>0.002074831262179128</v>
      </c>
      <c r="AO22" s="3">
        <v>0.001642311685992031</v>
      </c>
      <c r="AP22" s="3">
        <v>0.00158376448819304</v>
      </c>
      <c r="AQ22" s="3">
        <v>0.001456643503675563</v>
      </c>
      <c r="AR22" s="3">
        <v>0.001563581919516294</v>
      </c>
      <c r="AS22" s="3">
        <v>0.001407510672832752</v>
      </c>
      <c r="AT22" s="3">
        <v>0.001478571059297937</v>
      </c>
      <c r="AU22" s="3">
        <v>0.001496307525136329</v>
      </c>
      <c r="AV22" s="3">
        <v>0.001530482797755292</v>
      </c>
      <c r="AW22" s="3">
        <v>0.001537461356766982</v>
      </c>
      <c r="AX22" s="3">
        <v>0.001469726337190905</v>
      </c>
      <c r="AY22" s="3">
        <v>0.001459570756243197</v>
      </c>
      <c r="AZ22" s="3">
        <v>0.001443050118547321</v>
      </c>
      <c r="BA22" s="3">
        <v>0.001407086872446915</v>
      </c>
      <c r="BB22" s="3">
        <v>0.001403053152290596</v>
      </c>
      <c r="BC22" s="3">
        <v>0.001388953368174863</v>
      </c>
      <c r="BD22" s="3">
        <v>0.001385888746237983</v>
      </c>
      <c r="BE22" s="3">
        <v>0.001378547608223007</v>
      </c>
      <c r="BF22" s="3">
        <v>0.001371212325566908</v>
      </c>
      <c r="BG22" s="3">
        <v>0.001363852890839899</v>
      </c>
      <c r="BH22" s="3">
        <v>0.001360869834596448</v>
      </c>
      <c r="BI22" s="3">
        <v>0.001362772818644668</v>
      </c>
      <c r="BJ22" s="3">
        <v>0.001351779304065403</v>
      </c>
      <c r="BK22" s="3">
        <v>0.001349550044512914</v>
      </c>
      <c r="BL22" s="3">
        <v>0.001346964426263399</v>
      </c>
      <c r="BM22" s="3">
        <v>0.001343847924464083</v>
      </c>
      <c r="BN22" s="3">
        <v>0.001344532759864395</v>
      </c>
      <c r="BO22" s="3">
        <v>0.001340039709689969</v>
      </c>
      <c r="BP22" s="3">
        <v>0.001339249561342027</v>
      </c>
      <c r="BQ22" s="3">
        <v>0.001333352376777012</v>
      </c>
      <c r="BR22" s="3">
        <v>0.001326928066025126</v>
      </c>
      <c r="BS22" s="3">
        <v>0.001320260353801072</v>
      </c>
      <c r="BT22" s="3">
        <v>0.001313585433221334</v>
      </c>
      <c r="BU22" s="3">
        <v>0.001306988422896678</v>
      </c>
      <c r="BV22" s="3">
        <v>0.00130061781312469</v>
      </c>
      <c r="BW22" s="3">
        <v>0.001294544895634091</v>
      </c>
      <c r="BX22" s="3">
        <v>0.001288819747188675</v>
      </c>
      <c r="BY22" s="3">
        <v>0.001283452568201549</v>
      </c>
      <c r="BZ22" s="3">
        <v>0.001278429849914444</v>
      </c>
      <c r="CA22" s="3">
        <v>0.001269277616789048</v>
      </c>
      <c r="CB22" s="3">
        <v>0.001264883713552365</v>
      </c>
      <c r="CC22" s="3">
        <v>0.001260774418516507</v>
      </c>
      <c r="CD22" s="3">
        <v>0.001252439824101574</v>
      </c>
      <c r="CE22" s="3">
        <v>0.001248554911412866</v>
      </c>
      <c r="CF22" s="3">
        <v>0.001244714162384473</v>
      </c>
      <c r="CG22" s="3">
        <v>0.001240865476430021</v>
      </c>
      <c r="CH22" s="3">
        <v>0.001237038511800751</v>
      </c>
      <c r="CI22" s="3">
        <v>0.00123327255164841</v>
      </c>
      <c r="CJ22" s="3">
        <v>0.001229519428653259</v>
      </c>
      <c r="CK22" s="3">
        <v>0.001225803716492729</v>
      </c>
      <c r="CL22" s="3">
        <v>0.001222085999893742</v>
      </c>
      <c r="CM22" s="3">
        <v>0.001222734918837298</v>
      </c>
      <c r="CN22" s="3">
        <v>0.001218978204768269</v>
      </c>
      <c r="CO22" s="3">
        <v>0.001215183737585184</v>
      </c>
      <c r="CP22" s="3">
        <v>0.001211339714987453</v>
      </c>
      <c r="CQ22" s="3">
        <v>0.001207404152190003</v>
      </c>
      <c r="CR22" s="3">
        <v>0.001203370918792913</v>
      </c>
      <c r="CS22" s="3">
        <v>0.00119920890662168</v>
      </c>
      <c r="CT22" s="3"/>
    </row>
    <row r="23" spans="1:98">
      <c r="A23" s="1" t="str">
        <f>'Population Definitions'!$B$9</f>
        <v>atsi_5-14_F</v>
      </c>
      <c r="C23" t="s">
        <v>26</v>
      </c>
      <c r="D23" s="3"/>
      <c r="E23" s="3"/>
      <c r="F23" s="4" t="s">
        <v>24</v>
      </c>
      <c r="G23" s="3">
        <v>0.0005328681309967487</v>
      </c>
      <c r="H23" s="3">
        <v>0.0004573843372750848</v>
      </c>
      <c r="I23" s="3">
        <v>0.0004341955886802624</v>
      </c>
      <c r="J23" s="3">
        <v>0.0004321213366255344</v>
      </c>
      <c r="K23" s="3">
        <v>0.0004276203585172944</v>
      </c>
      <c r="L23" s="3">
        <v>0.0004265337076053</v>
      </c>
      <c r="M23" s="3">
        <v>0.000407264531658144</v>
      </c>
      <c r="N23" s="3">
        <v>0.0003812622575316768</v>
      </c>
      <c r="O23" s="3">
        <v>0.0003953720174456232</v>
      </c>
      <c r="P23" s="3">
        <v>0.0003855131191207392</v>
      </c>
      <c r="Q23" s="3">
        <v>0.000359349715226868</v>
      </c>
      <c r="R23" s="3">
        <v>0.00035123923021704</v>
      </c>
      <c r="S23" s="3">
        <v>0.000346986448684668</v>
      </c>
      <c r="T23" s="3">
        <v>0.0003569350145489808</v>
      </c>
      <c r="U23" s="3">
        <v>0.0003624329274170232</v>
      </c>
      <c r="V23" s="3">
        <v>0.0003931885491787896</v>
      </c>
      <c r="W23" s="3">
        <v>0.0003384446671330511</v>
      </c>
      <c r="X23" s="3">
        <v>0.0003139601831434392</v>
      </c>
      <c r="Y23" s="3">
        <v>0.000276686800201284</v>
      </c>
      <c r="Z23" s="3">
        <v>0.0002989365471590976</v>
      </c>
      <c r="AA23" s="3">
        <v>0.0002803376347126848</v>
      </c>
      <c r="AB23" s="3">
        <v>0.0002401734382233288</v>
      </c>
      <c r="AC23" s="3">
        <v>0.0002687048017273872</v>
      </c>
      <c r="AD23" s="3">
        <v>0.0002427985730259312</v>
      </c>
      <c r="AE23" s="3">
        <v>0.0002133450034873702</v>
      </c>
      <c r="AF23" s="3">
        <v>0.0002167852179200004</v>
      </c>
      <c r="AG23" s="3">
        <v>0.0002038582911851767</v>
      </c>
      <c r="AH23" s="3">
        <v>0.000234510278003754</v>
      </c>
      <c r="AI23" s="3">
        <v>0.0002012349054936223</v>
      </c>
      <c r="AJ23" s="3">
        <v>0.0002218272948266599</v>
      </c>
      <c r="AK23" s="3">
        <v>0.0001992882775253842</v>
      </c>
      <c r="AL23" s="3">
        <v>0.0002183834152887624</v>
      </c>
      <c r="AM23" s="3">
        <v>0.0002140914275686584</v>
      </c>
      <c r="AN23" s="3">
        <v>0.0001969616363941334</v>
      </c>
      <c r="AO23" s="3">
        <v>0.0002161159538669016</v>
      </c>
      <c r="AP23" s="3">
        <v>0.000207577846923893</v>
      </c>
      <c r="AQ23" s="3">
        <v>0.0001417113911837424</v>
      </c>
      <c r="AR23" s="3">
        <v>0.000162560775562682</v>
      </c>
      <c r="AS23" s="3">
        <v>0.0001537208082075838</v>
      </c>
      <c r="AT23" s="3">
        <v>0.000163880376393712</v>
      </c>
      <c r="AU23" s="3">
        <v>0.0001278926774734488</v>
      </c>
      <c r="AV23" s="3">
        <v>0.0001608207579552244</v>
      </c>
      <c r="AW23" s="3">
        <v>0.0002090061152668925</v>
      </c>
      <c r="AX23" s="3">
        <v>0.0002091039603059396</v>
      </c>
      <c r="AY23" s="3">
        <v>0.0002004419106517538</v>
      </c>
      <c r="AZ23" s="3">
        <v>0.0001917916996749554</v>
      </c>
      <c r="BA23" s="3">
        <v>0.0001875819298241256</v>
      </c>
      <c r="BB23" s="3">
        <v>0.0001877191061896165</v>
      </c>
      <c r="BC23" s="3">
        <v>0.0001876752724796481</v>
      </c>
      <c r="BD23" s="3">
        <v>0.0001876429555039957</v>
      </c>
      <c r="BE23" s="3">
        <v>0.0001876320338236155</v>
      </c>
      <c r="BF23" s="3">
        <v>0.0001873707013124752</v>
      </c>
      <c r="BG23" s="3">
        <v>0.0001849884681650271</v>
      </c>
      <c r="BH23" s="3">
        <v>0.0001806416952104785</v>
      </c>
      <c r="BI23" s="3">
        <v>0.0001806790024687545</v>
      </c>
      <c r="BJ23" s="3">
        <v>0.0001808062719268243</v>
      </c>
      <c r="BK23" s="3">
        <v>0.0001808514669941545</v>
      </c>
      <c r="BL23" s="3">
        <v>0.0001806933736960704</v>
      </c>
      <c r="BM23" s="3">
        <v>0.0001806966622073783</v>
      </c>
      <c r="BN23" s="3">
        <v>0.0001806686405662972</v>
      </c>
      <c r="BO23" s="3">
        <v>0.0001784123939727776</v>
      </c>
      <c r="BP23" s="3">
        <v>0.0001783699767785721</v>
      </c>
      <c r="BQ23" s="3">
        <v>0.0001761425507475705</v>
      </c>
      <c r="BR23" s="3">
        <v>0.0001761002397769186</v>
      </c>
      <c r="BS23" s="3">
        <v>0.000176054216761201</v>
      </c>
      <c r="BT23" s="3">
        <v>0.0001760081037314992</v>
      </c>
      <c r="BU23" s="3">
        <v>0.0001759661232772989</v>
      </c>
      <c r="BV23" s="3">
        <v>0.0001759339372758209</v>
      </c>
      <c r="BW23" s="3">
        <v>0.0001759163335888451</v>
      </c>
      <c r="BX23" s="3">
        <v>0.0001737149658897504</v>
      </c>
      <c r="BY23" s="3">
        <v>0.0001737265984275329</v>
      </c>
      <c r="BZ23" s="3">
        <v>0.0001737526007624513</v>
      </c>
      <c r="CA23" s="3">
        <v>0.0001737910324544658</v>
      </c>
      <c r="CB23" s="3">
        <v>0.0001738386313816647</v>
      </c>
      <c r="CC23" s="3">
        <v>0.0001738909460905721</v>
      </c>
      <c r="CD23" s="3">
        <v>0.0001739438140439164</v>
      </c>
      <c r="CE23" s="3">
        <v>0.0001739933914875156</v>
      </c>
      <c r="CF23" s="3">
        <v>0.0001740372404827338</v>
      </c>
      <c r="CG23" s="3">
        <v>0.0001740740473881114</v>
      </c>
      <c r="CH23" s="3">
        <v>0.0001741029273969742</v>
      </c>
      <c r="CI23" s="3">
        <v>0.0001741230395742906</v>
      </c>
      <c r="CJ23" s="3">
        <v>0.0001741350294792044</v>
      </c>
      <c r="CK23" s="3">
        <v>0.0001719721087876244</v>
      </c>
      <c r="CL23" s="3">
        <v>0.0001697627956344545</v>
      </c>
      <c r="CM23" s="3">
        <v>0.0001697553540743298</v>
      </c>
      <c r="CN23" s="3">
        <v>0.000169743966956665</v>
      </c>
      <c r="CO23" s="3">
        <v>0.0001653532035443172</v>
      </c>
      <c r="CP23" s="3">
        <v>0.0001653371625329855</v>
      </c>
      <c r="CQ23" s="3">
        <v>0.000165320430015327</v>
      </c>
      <c r="CR23" s="3">
        <v>0.0001653028268645703</v>
      </c>
      <c r="CS23" s="3">
        <v>0.0001630418204391957</v>
      </c>
      <c r="CT23" s="3"/>
    </row>
    <row r="24" spans="1:98">
      <c r="A24" s="1" t="str">
        <f>'Population Definitions'!$B$10</f>
        <v>atsi_15-29_F</v>
      </c>
      <c r="C24" t="s">
        <v>26</v>
      </c>
      <c r="D24" s="3"/>
      <c r="E24" s="3"/>
      <c r="F24" s="4" t="s">
        <v>24</v>
      </c>
      <c r="G24" s="3">
        <v>0.001690135006386162</v>
      </c>
      <c r="H24" s="3">
        <v>0.001700245422303999</v>
      </c>
      <c r="I24" s="3">
        <v>0.001679836530581273</v>
      </c>
      <c r="J24" s="3">
        <v>0.001601532459274517</v>
      </c>
      <c r="K24" s="3">
        <v>0.001608330553781528</v>
      </c>
      <c r="L24" s="3">
        <v>0.001765912524105101</v>
      </c>
      <c r="M24" s="3">
        <v>0.001715238543153209</v>
      </c>
      <c r="N24" s="3">
        <v>0.001663183801897831</v>
      </c>
      <c r="O24" s="3">
        <v>0.001692260161468726</v>
      </c>
      <c r="P24" s="3">
        <v>0.001550811372097945</v>
      </c>
      <c r="Q24" s="3">
        <v>0.001536289205763897</v>
      </c>
      <c r="R24" s="3">
        <v>0.001611354682251753</v>
      </c>
      <c r="S24" s="3">
        <v>0.001421231680687761</v>
      </c>
      <c r="T24" s="3">
        <v>0.001328953257722525</v>
      </c>
      <c r="U24" s="3">
        <v>0.001277879491170229</v>
      </c>
      <c r="V24" s="3">
        <v>0.001418916104827734</v>
      </c>
      <c r="W24" s="3">
        <v>0.001257838452537917</v>
      </c>
      <c r="X24" s="3">
        <v>0.001466711993093368</v>
      </c>
      <c r="Y24" s="3">
        <v>0.001431968695715359</v>
      </c>
      <c r="Z24" s="3">
        <v>0.001428456617562164</v>
      </c>
      <c r="AA24" s="3">
        <v>0.001406837938397441</v>
      </c>
      <c r="AB24" s="3">
        <v>0.001151908968368336</v>
      </c>
      <c r="AC24" s="3">
        <v>0.00114855392092834</v>
      </c>
      <c r="AD24" s="3">
        <v>0.001155647550712164</v>
      </c>
      <c r="AE24" s="3">
        <v>0.001157104490613099</v>
      </c>
      <c r="AF24" s="3">
        <v>0.0009964416299883361</v>
      </c>
      <c r="AG24" s="3">
        <v>0.001087807040366956</v>
      </c>
      <c r="AH24" s="3">
        <v>0.00103384707276127</v>
      </c>
      <c r="AI24" s="3">
        <v>0.0009765922897465044</v>
      </c>
      <c r="AJ24" s="3">
        <v>0.0009886557755607256</v>
      </c>
      <c r="AK24" s="3">
        <v>0.0009489953182703754</v>
      </c>
      <c r="AL24" s="3">
        <v>0.0009779977184186004</v>
      </c>
      <c r="AM24" s="3">
        <v>0.0009133036818890579</v>
      </c>
      <c r="AN24" s="3">
        <v>0.0008656149569022213</v>
      </c>
      <c r="AO24" s="3">
        <v>0.0008923988263531033</v>
      </c>
      <c r="AP24" s="3">
        <v>0.000841261524299756</v>
      </c>
      <c r="AQ24" s="3">
        <v>0.0007741809354686305</v>
      </c>
      <c r="AR24" s="3">
        <v>0.0007298864146505985</v>
      </c>
      <c r="AS24" s="3">
        <v>0.0006870335216705025</v>
      </c>
      <c r="AT24" s="3">
        <v>0.0008314287715098785</v>
      </c>
      <c r="AU24" s="3">
        <v>0.0007560837085777088</v>
      </c>
      <c r="AV24" s="3">
        <v>0.0007633813037246016</v>
      </c>
      <c r="AW24" s="3">
        <v>0.0007523269665775073</v>
      </c>
      <c r="AX24" s="3">
        <v>0.0007251567163252481</v>
      </c>
      <c r="AY24" s="3">
        <v>0.0007147466725207008</v>
      </c>
      <c r="AZ24" s="3">
        <v>0.000712806490904944</v>
      </c>
      <c r="BA24" s="3">
        <v>0.0006969428986821185</v>
      </c>
      <c r="BB24" s="3">
        <v>0.0006924626624834272</v>
      </c>
      <c r="BC24" s="3">
        <v>0.000690837380374576</v>
      </c>
      <c r="BD24" s="3">
        <v>0.0006896848672947233</v>
      </c>
      <c r="BE24" s="3">
        <v>0.0006907900475966976</v>
      </c>
      <c r="BF24" s="3">
        <v>0.0006877804975406144</v>
      </c>
      <c r="BG24" s="3">
        <v>0.0006854890188584128</v>
      </c>
      <c r="BH24" s="3">
        <v>0.0006804122400968929</v>
      </c>
      <c r="BI24" s="3">
        <v>0.0006817568058478913</v>
      </c>
      <c r="BJ24" s="3">
        <v>0.0006762712019533568</v>
      </c>
      <c r="BK24" s="3">
        <v>0.0006721747466345792</v>
      </c>
      <c r="BL24" s="3">
        <v>0.0006696584393904769</v>
      </c>
      <c r="BM24" s="3">
        <v>0.0006697478239162112</v>
      </c>
      <c r="BN24" s="3">
        <v>0.0006696736869733152</v>
      </c>
      <c r="BO24" s="3">
        <v>0.0006694585177135169</v>
      </c>
      <c r="BP24" s="3">
        <v>0.0006693283604930337</v>
      </c>
      <c r="BQ24" s="3">
        <v>0.000667029773740384</v>
      </c>
      <c r="BR24" s="3">
        <v>0.0006669081824646721</v>
      </c>
      <c r="BS24" s="3">
        <v>0.0006667479026088096</v>
      </c>
      <c r="BT24" s="3">
        <v>0.0006666055638070656</v>
      </c>
      <c r="BU24" s="3">
        <v>0.0006663254414667969</v>
      </c>
      <c r="BV24" s="3">
        <v>0.0006661186789713889</v>
      </c>
      <c r="BW24" s="3">
        <v>0.0006659613155160064</v>
      </c>
      <c r="BX24" s="3">
        <v>0.0006637391921969856</v>
      </c>
      <c r="BY24" s="3">
        <v>0.0006635670285441024</v>
      </c>
      <c r="BZ24" s="3">
        <v>0.0006588402311378656</v>
      </c>
      <c r="CA24" s="3">
        <v>0.0006561653244571776</v>
      </c>
      <c r="CB24" s="3">
        <v>0.0006558064949152448</v>
      </c>
      <c r="CC24" s="3">
        <v>0.0006508463819442657</v>
      </c>
      <c r="CD24" s="3">
        <v>0.0006504683811775521</v>
      </c>
      <c r="CE24" s="3">
        <v>0.0006456028323650817</v>
      </c>
      <c r="CF24" s="3">
        <v>0.0006389674517677312</v>
      </c>
      <c r="CG24" s="3">
        <v>0.0006387825168064992</v>
      </c>
      <c r="CH24" s="3">
        <v>0.0006386826479583392</v>
      </c>
      <c r="CI24" s="3">
        <v>0.0006386751218738336</v>
      </c>
      <c r="CJ24" s="3">
        <v>0.0006367795904128705</v>
      </c>
      <c r="CK24" s="3">
        <v>0.0006369529626019136</v>
      </c>
      <c r="CL24" s="3">
        <v>0.0006371986158748033</v>
      </c>
      <c r="CM24" s="3">
        <v>0.0006355496463964257</v>
      </c>
      <c r="CN24" s="3">
        <v>0.000635883553968384</v>
      </c>
      <c r="CO24" s="3">
        <v>0.0006362247702445344</v>
      </c>
      <c r="CP24" s="3">
        <v>0.0006346394471190497</v>
      </c>
      <c r="CQ24" s="3">
        <v>0.0006349412365529408</v>
      </c>
      <c r="CR24" s="3">
        <v>0.0006331082036913216</v>
      </c>
      <c r="CS24" s="3">
        <v>0.0006333126703816768</v>
      </c>
      <c r="CT24" s="3"/>
    </row>
    <row r="25" spans="1:98">
      <c r="A25" s="1" t="str">
        <f>'Population Definitions'!$B$11</f>
        <v>atsi_30-49_F</v>
      </c>
      <c r="C25" t="s">
        <v>26</v>
      </c>
      <c r="D25" s="3"/>
      <c r="E25" s="3"/>
      <c r="F25" s="4" t="s">
        <v>24</v>
      </c>
      <c r="G25" s="3">
        <v>0.005263349884878915</v>
      </c>
      <c r="H25" s="3">
        <v>0.004980952149859275</v>
      </c>
      <c r="I25" s="3">
        <v>0.004834725236013731</v>
      </c>
      <c r="J25" s="3">
        <v>0.004648045383854084</v>
      </c>
      <c r="K25" s="3">
        <v>0.004552392163366735</v>
      </c>
      <c r="L25" s="3">
        <v>0.004603677025071953</v>
      </c>
      <c r="M25" s="3">
        <v>0.004449953833998524</v>
      </c>
      <c r="N25" s="3">
        <v>0.004347744625776705</v>
      </c>
      <c r="O25" s="3">
        <v>0.004456205697882098</v>
      </c>
      <c r="P25" s="3">
        <v>0.004357296846643897</v>
      </c>
      <c r="Q25" s="3">
        <v>0.004062280589611736</v>
      </c>
      <c r="R25" s="3">
        <v>0.004063541298468167</v>
      </c>
      <c r="S25" s="3">
        <v>0.004066226892684104</v>
      </c>
      <c r="T25" s="3">
        <v>0.004040891627489283</v>
      </c>
      <c r="U25" s="3">
        <v>0.004029832192517199</v>
      </c>
      <c r="V25" s="3">
        <v>0.003948261314768527</v>
      </c>
      <c r="W25" s="3">
        <v>0.003924792410128909</v>
      </c>
      <c r="X25" s="3">
        <v>0.004056242622512136</v>
      </c>
      <c r="Y25" s="3">
        <v>0.00397210794462604</v>
      </c>
      <c r="Z25" s="3">
        <v>0.003990380712720189</v>
      </c>
      <c r="AA25" s="3">
        <v>0.003857515996743855</v>
      </c>
      <c r="AB25" s="3">
        <v>0.003726844143478924</v>
      </c>
      <c r="AC25" s="3">
        <v>0.003689504697049826</v>
      </c>
      <c r="AD25" s="3">
        <v>0.003737072750607946</v>
      </c>
      <c r="AE25" s="3">
        <v>0.003558543091304001</v>
      </c>
      <c r="AF25" s="3">
        <v>0.00348878479677943</v>
      </c>
      <c r="AG25" s="3">
        <v>0.003462168808606713</v>
      </c>
      <c r="AH25" s="3">
        <v>0.003533291358932223</v>
      </c>
      <c r="AI25" s="3">
        <v>0.003448231656811692</v>
      </c>
      <c r="AJ25" s="3">
        <v>0.003520281011810713</v>
      </c>
      <c r="AK25" s="3">
        <v>0.003380728766005694</v>
      </c>
      <c r="AL25" s="3">
        <v>0.003429826876839828</v>
      </c>
      <c r="AM25" s="3">
        <v>0.003242488356649452</v>
      </c>
      <c r="AN25" s="3">
        <v>0.003264687381629932</v>
      </c>
      <c r="AO25" s="3">
        <v>0.003246485798470203</v>
      </c>
      <c r="AP25" s="3">
        <v>0.003285698028177563</v>
      </c>
      <c r="AQ25" s="3">
        <v>0.003113852414333942</v>
      </c>
      <c r="AR25" s="3">
        <v>0.002941544906025466</v>
      </c>
      <c r="AS25" s="3">
        <v>0.002848514617908309</v>
      </c>
      <c r="AT25" s="3">
        <v>0.00301076998389503</v>
      </c>
      <c r="AU25" s="3">
        <v>0.002785774380626124</v>
      </c>
      <c r="AV25" s="3">
        <v>0.002806325744308232</v>
      </c>
      <c r="AW25" s="3">
        <v>0.002809330900910572</v>
      </c>
      <c r="AX25" s="3">
        <v>0.00276909805317343</v>
      </c>
      <c r="AY25" s="3">
        <v>0.002745112903681826</v>
      </c>
      <c r="AZ25" s="3">
        <v>0.002726408651446269</v>
      </c>
      <c r="BA25" s="3">
        <v>0.00269604200956184</v>
      </c>
      <c r="BB25" s="3">
        <v>0.002700917778308817</v>
      </c>
      <c r="BC25" s="3">
        <v>0.002701920518024547</v>
      </c>
      <c r="BD25" s="3">
        <v>0.002708944695964342</v>
      </c>
      <c r="BE25" s="3">
        <v>0.002712727765072923</v>
      </c>
      <c r="BF25" s="3">
        <v>0.002710626568880268</v>
      </c>
      <c r="BG25" s="3">
        <v>0.002713476711039028</v>
      </c>
      <c r="BH25" s="3">
        <v>0.002713430026712478</v>
      </c>
      <c r="BI25" s="3">
        <v>0.002710815703016619</v>
      </c>
      <c r="BJ25" s="3">
        <v>0.002701150590492953</v>
      </c>
      <c r="BK25" s="3">
        <v>0.002696059828828504</v>
      </c>
      <c r="BL25" s="3">
        <v>0.002687139813460263</v>
      </c>
      <c r="BM25" s="3">
        <v>0.002677958469863222</v>
      </c>
      <c r="BN25" s="3">
        <v>0.002664145424883648</v>
      </c>
      <c r="BO25" s="3">
        <v>0.002645648891634244</v>
      </c>
      <c r="BP25" s="3">
        <v>0.002633234338242412</v>
      </c>
      <c r="BQ25" s="3">
        <v>0.002621958331874956</v>
      </c>
      <c r="BR25" s="3">
        <v>0.002612949374186338</v>
      </c>
      <c r="BS25" s="3">
        <v>0.00260298810378972</v>
      </c>
      <c r="BT25" s="3">
        <v>0.002587636917016945</v>
      </c>
      <c r="BU25" s="3">
        <v>0.00257881599855956</v>
      </c>
      <c r="BV25" s="3">
        <v>0.00257249165365347</v>
      </c>
      <c r="BW25" s="3">
        <v>0.002574303152492016</v>
      </c>
      <c r="BX25" s="3">
        <v>0.002575607414288277</v>
      </c>
      <c r="BY25" s="3">
        <v>0.002574296281275363</v>
      </c>
      <c r="BZ25" s="3">
        <v>0.002579475272931325</v>
      </c>
      <c r="CA25" s="3">
        <v>0.002584869502857716</v>
      </c>
      <c r="CB25" s="3">
        <v>0.00258815903394143</v>
      </c>
      <c r="CC25" s="3">
        <v>0.002589415626875371</v>
      </c>
      <c r="CD25" s="3">
        <v>0.002590997621516441</v>
      </c>
      <c r="CE25" s="3">
        <v>0.002592091338416472</v>
      </c>
      <c r="CF25" s="3">
        <v>0.002591956842621482</v>
      </c>
      <c r="CG25" s="3">
        <v>0.002584866123958459</v>
      </c>
      <c r="CH25" s="3">
        <v>0.002583386866436616</v>
      </c>
      <c r="CI25" s="3">
        <v>0.00257063475754747</v>
      </c>
      <c r="CJ25" s="3">
        <v>0.002570170858826582</v>
      </c>
      <c r="CK25" s="3">
        <v>0.002562821671167637</v>
      </c>
      <c r="CL25" s="3">
        <v>0.002553150038987424</v>
      </c>
      <c r="CM25" s="3">
        <v>0.002549082331318689</v>
      </c>
      <c r="CN25" s="3">
        <v>0.002545226895882247</v>
      </c>
      <c r="CO25" s="3">
        <v>0.002527829492640443</v>
      </c>
      <c r="CP25" s="3">
        <v>0.002517544191665983</v>
      </c>
      <c r="CQ25" s="3">
        <v>0.002515833514080668</v>
      </c>
      <c r="CR25" s="3">
        <v>0.002512345408282015</v>
      </c>
      <c r="CS25" s="3">
        <v>0.002503732001731508</v>
      </c>
      <c r="CT25" s="3"/>
    </row>
    <row r="26" spans="1:98">
      <c r="A26" s="1" t="str">
        <f>'Population Definitions'!$B$12</f>
        <v>atsi_50-64_F</v>
      </c>
      <c r="C26" t="s">
        <v>26</v>
      </c>
      <c r="D26" s="3"/>
      <c r="E26" s="3"/>
      <c r="F26" s="4" t="s">
        <v>24</v>
      </c>
      <c r="G26" s="3">
        <v>0.02093518750561501</v>
      </c>
      <c r="H26" s="3">
        <v>0.02043757447619191</v>
      </c>
      <c r="I26" s="3">
        <v>0.02150722023335616</v>
      </c>
      <c r="J26" s="3">
        <v>0.02083397465615114</v>
      </c>
      <c r="K26" s="3">
        <v>0.0197392967948712</v>
      </c>
      <c r="L26" s="3">
        <v>0.02039425535526237</v>
      </c>
      <c r="M26" s="3">
        <v>0.01935053915374167</v>
      </c>
      <c r="N26" s="3">
        <v>0.01874900891545674</v>
      </c>
      <c r="O26" s="3">
        <v>0.01869635347658275</v>
      </c>
      <c r="P26" s="3">
        <v>0.01831597919287632</v>
      </c>
      <c r="Q26" s="3">
        <v>0.01731787347325037</v>
      </c>
      <c r="R26" s="3">
        <v>0.01668784465312035</v>
      </c>
      <c r="S26" s="3">
        <v>0.01653518350776861</v>
      </c>
      <c r="T26" s="3">
        <v>0.01565666389327559</v>
      </c>
      <c r="U26" s="3">
        <v>0.01520386404701549</v>
      </c>
      <c r="V26" s="3">
        <v>0.01465228770350173</v>
      </c>
      <c r="W26" s="3">
        <v>0.0145825766120553</v>
      </c>
      <c r="X26" s="3">
        <v>0.01400012773839178</v>
      </c>
      <c r="Y26" s="3">
        <v>0.013169444705824</v>
      </c>
      <c r="Z26" s="3">
        <v>0.01232580427821958</v>
      </c>
      <c r="AA26" s="3">
        <v>0.01218733827841987</v>
      </c>
      <c r="AB26" s="3">
        <v>0.01192865792868778</v>
      </c>
      <c r="AC26" s="3">
        <v>0.01225559970803251</v>
      </c>
      <c r="AD26" s="3">
        <v>0.01148045629264355</v>
      </c>
      <c r="AE26" s="3">
        <v>0.01106930670829635</v>
      </c>
      <c r="AF26" s="3">
        <v>0.01086216856715226</v>
      </c>
      <c r="AG26" s="3">
        <v>0.01068034249754416</v>
      </c>
      <c r="AH26" s="3">
        <v>0.01101725671434499</v>
      </c>
      <c r="AI26" s="3">
        <v>0.01083598454078</v>
      </c>
      <c r="AJ26" s="3">
        <v>0.01073124479624925</v>
      </c>
      <c r="AK26" s="3">
        <v>0.01045640964168442</v>
      </c>
      <c r="AL26" s="3">
        <v>0.01029776395606419</v>
      </c>
      <c r="AM26" s="3">
        <v>0.01012961662268394</v>
      </c>
      <c r="AN26" s="3">
        <v>0.01014203598307958</v>
      </c>
      <c r="AO26" s="3">
        <v>0.01023754168111427</v>
      </c>
      <c r="AP26" s="3">
        <v>0.0102108961560928</v>
      </c>
      <c r="AQ26" s="3">
        <v>0.009654947237627944</v>
      </c>
      <c r="AR26" s="3">
        <v>0.009502766885165865</v>
      </c>
      <c r="AS26" s="3">
        <v>0.009667498131750671</v>
      </c>
      <c r="AT26" s="3">
        <v>0.009804011440305068</v>
      </c>
      <c r="AU26" s="3">
        <v>0.009157127591036542</v>
      </c>
      <c r="AV26" s="3">
        <v>0.009323420874644672</v>
      </c>
      <c r="AW26" s="3">
        <v>0.009369413221076808</v>
      </c>
      <c r="AX26" s="3">
        <v>0.009301792619455768</v>
      </c>
      <c r="AY26" s="3">
        <v>0.00923696826142302</v>
      </c>
      <c r="AZ26" s="3">
        <v>0.009165972492209188</v>
      </c>
      <c r="BA26" s="3">
        <v>0.009050569250216611</v>
      </c>
      <c r="BB26" s="3">
        <v>0.009003962754692917</v>
      </c>
      <c r="BC26" s="3">
        <v>0.008964348985366953</v>
      </c>
      <c r="BD26" s="3">
        <v>0.008912718168511241</v>
      </c>
      <c r="BE26" s="3">
        <v>0.008870508481271196</v>
      </c>
      <c r="BF26" s="3">
        <v>0.008827053796551097</v>
      </c>
      <c r="BG26" s="3">
        <v>0.008802627442498887</v>
      </c>
      <c r="BH26" s="3">
        <v>0.008768920226664432</v>
      </c>
      <c r="BI26" s="3">
        <v>0.008717117646992935</v>
      </c>
      <c r="BJ26" s="3">
        <v>0.008662659032038941</v>
      </c>
      <c r="BK26" s="3">
        <v>0.008588302850361931</v>
      </c>
      <c r="BL26" s="3">
        <v>0.008525387521784692</v>
      </c>
      <c r="BM26" s="3">
        <v>0.008484789697637704</v>
      </c>
      <c r="BN26" s="3">
        <v>0.008448549781592415</v>
      </c>
      <c r="BO26" s="3">
        <v>0.008428899655462931</v>
      </c>
      <c r="BP26" s="3">
        <v>0.008422269988164508</v>
      </c>
      <c r="BQ26" s="3">
        <v>0.008425522766202464</v>
      </c>
      <c r="BR26" s="3">
        <v>0.008438798571852174</v>
      </c>
      <c r="BS26" s="3">
        <v>0.008448651941004224</v>
      </c>
      <c r="BT26" s="3">
        <v>0.008469824190547698</v>
      </c>
      <c r="BU26" s="3">
        <v>0.00847437140758419</v>
      </c>
      <c r="BV26" s="3">
        <v>0.00849707006705348</v>
      </c>
      <c r="BW26" s="3">
        <v>0.008497692101420512</v>
      </c>
      <c r="BX26" s="3">
        <v>0.008507424099706555</v>
      </c>
      <c r="BY26" s="3">
        <v>0.008505485462797707</v>
      </c>
      <c r="BZ26" s="3">
        <v>0.008498548971104006</v>
      </c>
      <c r="CA26" s="3">
        <v>0.008499160514500949</v>
      </c>
      <c r="CB26" s="3">
        <v>0.008498097393943487</v>
      </c>
      <c r="CC26" s="3">
        <v>0.008476180751731165</v>
      </c>
      <c r="CD26" s="3">
        <v>0.008445610559853165</v>
      </c>
      <c r="CE26" s="3">
        <v>0.008399489852728188</v>
      </c>
      <c r="CF26" s="3">
        <v>0.008357984902466011</v>
      </c>
      <c r="CG26" s="3">
        <v>0.008313313233611157</v>
      </c>
      <c r="CH26" s="3">
        <v>0.008271566393171594</v>
      </c>
      <c r="CI26" s="3">
        <v>0.00823044808242664</v>
      </c>
      <c r="CJ26" s="3">
        <v>0.008196986910208408</v>
      </c>
      <c r="CK26" s="3">
        <v>0.008169867853605444</v>
      </c>
      <c r="CL26" s="3">
        <v>0.008158862929609663</v>
      </c>
      <c r="CM26" s="3">
        <v>0.008150398728567425</v>
      </c>
      <c r="CN26" s="3">
        <v>0.008143443888138117</v>
      </c>
      <c r="CO26" s="3">
        <v>0.008135303569330685</v>
      </c>
      <c r="CP26" s="3">
        <v>0.008138105789411024</v>
      </c>
      <c r="CQ26" s="3">
        <v>0.008157174209883848</v>
      </c>
      <c r="CR26" s="3">
        <v>0.008158377638888882</v>
      </c>
      <c r="CS26" s="3">
        <v>0.008165512046397892</v>
      </c>
      <c r="CT26" s="3"/>
    </row>
    <row r="27" spans="1:98">
      <c r="A27" s="1" t="str">
        <f>'Population Definitions'!$B$13</f>
        <v>atsi_65+_F</v>
      </c>
      <c r="C27" t="s">
        <v>26</v>
      </c>
      <c r="D27" s="3"/>
      <c r="E27" s="3"/>
      <c r="F27" s="4" t="s">
        <v>24</v>
      </c>
      <c r="G27" s="3">
        <v>0.08468832999806961</v>
      </c>
      <c r="H27" s="3">
        <v>0.08301399867583296</v>
      </c>
      <c r="I27" s="3">
        <v>0.08644248492656403</v>
      </c>
      <c r="J27" s="3">
        <v>0.08093040322634942</v>
      </c>
      <c r="K27" s="3">
        <v>0.08047393043299328</v>
      </c>
      <c r="L27" s="3">
        <v>0.08655275220572269</v>
      </c>
      <c r="M27" s="3">
        <v>0.08097787599249688</v>
      </c>
      <c r="N27" s="3">
        <v>0.0808038357639132</v>
      </c>
      <c r="O27" s="3">
        <v>0.0800743913173293</v>
      </c>
      <c r="P27" s="3">
        <v>0.0827234382823676</v>
      </c>
      <c r="Q27" s="3">
        <v>0.07820505611504161</v>
      </c>
      <c r="R27" s="3">
        <v>0.07593501026961208</v>
      </c>
      <c r="S27" s="3">
        <v>0.07834589577658173</v>
      </c>
      <c r="T27" s="3">
        <v>0.0755289637033502</v>
      </c>
      <c r="U27" s="3">
        <v>0.07844491189177621</v>
      </c>
      <c r="V27" s="3">
        <v>0.07648903596842285</v>
      </c>
      <c r="W27" s="3">
        <v>0.0774445300007837</v>
      </c>
      <c r="X27" s="3">
        <v>0.07739844366932146</v>
      </c>
      <c r="Y27" s="3">
        <v>0.07429400060596776</v>
      </c>
      <c r="Z27" s="3">
        <v>0.07427011995344741</v>
      </c>
      <c r="AA27" s="3">
        <v>0.07389338798755772</v>
      </c>
      <c r="AB27" s="3">
        <v>0.07296197534669412</v>
      </c>
      <c r="AC27" s="3">
        <v>0.07562531678803365</v>
      </c>
      <c r="AD27" s="3">
        <v>0.07352108489316291</v>
      </c>
      <c r="AE27" s="3">
        <v>0.07282619219415737</v>
      </c>
      <c r="AF27" s="3">
        <v>0.07069014372090897</v>
      </c>
      <c r="AG27" s="3">
        <v>0.07166317057793736</v>
      </c>
      <c r="AH27" s="3">
        <v>0.0721203491545374</v>
      </c>
      <c r="AI27" s="3">
        <v>0.07444016659038775</v>
      </c>
      <c r="AJ27" s="3">
        <v>0.06984557857336758</v>
      </c>
      <c r="AK27" s="3">
        <v>0.06984502317058573</v>
      </c>
      <c r="AL27" s="3">
        <v>0.0694726816195322</v>
      </c>
      <c r="AM27" s="3">
        <v>0.06799539335690621</v>
      </c>
      <c r="AN27" s="3">
        <v>0.06518836195410964</v>
      </c>
      <c r="AO27" s="3">
        <v>0.0699235531882888</v>
      </c>
      <c r="AP27" s="3">
        <v>0.0704105445549512</v>
      </c>
      <c r="AQ27" s="3">
        <v>0.0672764586064746</v>
      </c>
      <c r="AR27" s="3">
        <v>0.066796324927371</v>
      </c>
      <c r="AS27" s="3">
        <v>0.0629140299354678</v>
      </c>
      <c r="AT27" s="3">
        <v>0.0649007307658432</v>
      </c>
      <c r="AU27" s="3">
        <v>0.0592398097841332</v>
      </c>
      <c r="AV27" s="3">
        <v>0.0619717843466258</v>
      </c>
      <c r="AW27" s="3">
        <v>0.0599782124891102</v>
      </c>
      <c r="AX27" s="3">
        <v>0.0592729162622784</v>
      </c>
      <c r="AY27" s="3">
        <v>0.0586535022995026</v>
      </c>
      <c r="AZ27" s="3">
        <v>0.0581244416282842</v>
      </c>
      <c r="BA27" s="3">
        <v>0.0573694843022994</v>
      </c>
      <c r="BB27" s="3">
        <v>0.0572857064417744</v>
      </c>
      <c r="BC27" s="3">
        <v>0.0573099688227874</v>
      </c>
      <c r="BD27" s="3">
        <v>0.0575059849221774</v>
      </c>
      <c r="BE27" s="3">
        <v>0.0579068272957996</v>
      </c>
      <c r="BF27" s="3">
        <v>0.0584254186275776</v>
      </c>
      <c r="BG27" s="3">
        <v>0.0591776549725102</v>
      </c>
      <c r="BH27" s="3">
        <v>0.059946829849216</v>
      </c>
      <c r="BI27" s="3">
        <v>0.0606842712888406</v>
      </c>
      <c r="BJ27" s="3">
        <v>0.061481921229711</v>
      </c>
      <c r="BK27" s="3">
        <v>0.0621122315380368</v>
      </c>
      <c r="BL27" s="3">
        <v>0.0628706645498342</v>
      </c>
      <c r="BM27" s="3">
        <v>0.0637384016654054</v>
      </c>
      <c r="BN27" s="3">
        <v>0.06465743990439141</v>
      </c>
      <c r="BO27" s="3">
        <v>0.0656268950414314</v>
      </c>
      <c r="BP27" s="3">
        <v>0.06658570436696459</v>
      </c>
      <c r="BQ27" s="3">
        <v>0.06751279032215859</v>
      </c>
      <c r="BR27" s="3">
        <v>0.0683536846087052</v>
      </c>
      <c r="BS27" s="3">
        <v>0.06907634062274021</v>
      </c>
      <c r="BT27" s="3">
        <v>0.069720246146113</v>
      </c>
      <c r="BU27" s="3">
        <v>0.0702075405787322</v>
      </c>
      <c r="BV27" s="3">
        <v>0.0705942883874234</v>
      </c>
      <c r="BW27" s="3">
        <v>0.0708704249651642</v>
      </c>
      <c r="BX27" s="3">
        <v>0.0711031333474666</v>
      </c>
      <c r="BY27" s="3">
        <v>0.0712670078909614</v>
      </c>
      <c r="BZ27" s="3">
        <v>0.0713932715896478</v>
      </c>
      <c r="CA27" s="3">
        <v>0.0714777596697508</v>
      </c>
      <c r="CB27" s="3">
        <v>0.0715038770933214</v>
      </c>
      <c r="CC27" s="3">
        <v>0.071483049106637</v>
      </c>
      <c r="CD27" s="3">
        <v>0.071379304222564</v>
      </c>
      <c r="CE27" s="3">
        <v>0.07124336574461761</v>
      </c>
      <c r="CF27" s="3">
        <v>0.0711194401071302</v>
      </c>
      <c r="CG27" s="3">
        <v>0.0709856990150126</v>
      </c>
      <c r="CH27" s="3">
        <v>0.07087037265860401</v>
      </c>
      <c r="CI27" s="3">
        <v>0.0707536429080086</v>
      </c>
      <c r="CJ27" s="3">
        <v>0.0707124699459044</v>
      </c>
      <c r="CK27" s="3">
        <v>0.070742904614073</v>
      </c>
      <c r="CL27" s="3">
        <v>0.07082948994839219</v>
      </c>
      <c r="CM27" s="3">
        <v>0.07094583092455339</v>
      </c>
      <c r="CN27" s="3">
        <v>0.0710297738689912</v>
      </c>
      <c r="CO27" s="3">
        <v>0.07114749299018661</v>
      </c>
      <c r="CP27" s="3">
        <v>0.07132514727832739</v>
      </c>
      <c r="CQ27" s="3">
        <v>0.0715029647763952</v>
      </c>
      <c r="CR27" s="3">
        <v>0.0716775072617092</v>
      </c>
      <c r="CS27" s="3">
        <v>0.0718535398387688</v>
      </c>
      <c r="CT27" s="3"/>
    </row>
    <row r="29" spans="1:98">
      <c r="A29" s="1" t="s">
        <v>27</v>
      </c>
      <c r="B29" s="1" t="s">
        <v>17</v>
      </c>
      <c r="C29" s="1" t="s">
        <v>18</v>
      </c>
      <c r="D29" s="1" t="s">
        <v>19</v>
      </c>
      <c r="E29" s="1" t="s">
        <v>22</v>
      </c>
      <c r="F29" s="1"/>
      <c r="G29" s="1">
        <v>1980</v>
      </c>
      <c r="H29" s="1">
        <v>1981</v>
      </c>
      <c r="I29" s="1">
        <v>1982</v>
      </c>
      <c r="J29" s="1">
        <v>1983</v>
      </c>
      <c r="K29" s="1">
        <v>1984</v>
      </c>
      <c r="L29" s="1">
        <v>1985</v>
      </c>
      <c r="M29" s="1">
        <v>1986</v>
      </c>
      <c r="N29" s="1">
        <v>1987</v>
      </c>
      <c r="O29" s="1">
        <v>1988</v>
      </c>
      <c r="P29" s="1">
        <v>1989</v>
      </c>
      <c r="Q29" s="1">
        <v>1990</v>
      </c>
      <c r="R29" s="1">
        <v>1991</v>
      </c>
      <c r="S29" s="1">
        <v>1992</v>
      </c>
      <c r="T29" s="1">
        <v>1993</v>
      </c>
      <c r="U29" s="1">
        <v>1994</v>
      </c>
      <c r="V29" s="1">
        <v>1995</v>
      </c>
      <c r="W29" s="1">
        <v>1996</v>
      </c>
      <c r="X29" s="1">
        <v>1997</v>
      </c>
      <c r="Y29" s="1">
        <v>1998</v>
      </c>
      <c r="Z29" s="1">
        <v>1999</v>
      </c>
      <c r="AA29" s="1">
        <v>2000</v>
      </c>
      <c r="AB29" s="1">
        <v>2001</v>
      </c>
      <c r="AC29" s="1">
        <v>2002</v>
      </c>
      <c r="AD29" s="1">
        <v>2003</v>
      </c>
      <c r="AE29" s="1">
        <v>2004</v>
      </c>
      <c r="AF29" s="1">
        <v>2005</v>
      </c>
      <c r="AG29" s="1">
        <v>2006</v>
      </c>
      <c r="AH29" s="1">
        <v>2007</v>
      </c>
      <c r="AI29" s="1">
        <v>2008</v>
      </c>
      <c r="AJ29" s="1">
        <v>2009</v>
      </c>
      <c r="AK29" s="1">
        <v>2010</v>
      </c>
      <c r="AL29" s="1">
        <v>2011</v>
      </c>
      <c r="AM29" s="1">
        <v>2012</v>
      </c>
      <c r="AN29" s="1">
        <v>2013</v>
      </c>
      <c r="AO29" s="1">
        <v>2014</v>
      </c>
      <c r="AP29" s="1">
        <v>2015</v>
      </c>
      <c r="AQ29" s="1">
        <v>2016</v>
      </c>
      <c r="AR29" s="1">
        <v>2017</v>
      </c>
      <c r="AS29" s="1">
        <v>2018</v>
      </c>
      <c r="AT29" s="1">
        <v>2019</v>
      </c>
      <c r="AU29" s="1">
        <v>2020</v>
      </c>
      <c r="AV29" s="1">
        <v>2021</v>
      </c>
      <c r="AW29" s="1">
        <v>2022</v>
      </c>
      <c r="AX29" s="1">
        <v>2023</v>
      </c>
      <c r="AY29" s="1">
        <v>2024</v>
      </c>
      <c r="AZ29" s="1">
        <v>2025</v>
      </c>
      <c r="BA29" s="1">
        <v>2026</v>
      </c>
      <c r="BB29" s="1">
        <v>2027</v>
      </c>
      <c r="BC29" s="1">
        <v>2028</v>
      </c>
      <c r="BD29" s="1">
        <v>2029</v>
      </c>
      <c r="BE29" s="1">
        <v>2030</v>
      </c>
      <c r="BF29" s="1">
        <v>2031</v>
      </c>
      <c r="BG29" s="1">
        <v>2032</v>
      </c>
      <c r="BH29" s="1">
        <v>2033</v>
      </c>
      <c r="BI29" s="1">
        <v>2034</v>
      </c>
      <c r="BJ29" s="1">
        <v>2035</v>
      </c>
      <c r="BK29" s="1">
        <v>2036</v>
      </c>
      <c r="BL29" s="1">
        <v>2037</v>
      </c>
      <c r="BM29" s="1">
        <v>2038</v>
      </c>
      <c r="BN29" s="1">
        <v>2039</v>
      </c>
      <c r="BO29" s="1">
        <v>2040</v>
      </c>
      <c r="BP29" s="1">
        <v>2041</v>
      </c>
      <c r="BQ29" s="1">
        <v>2042</v>
      </c>
      <c r="BR29" s="1">
        <v>2043</v>
      </c>
      <c r="BS29" s="1">
        <v>2044</v>
      </c>
      <c r="BT29" s="1">
        <v>2045</v>
      </c>
      <c r="BU29" s="1">
        <v>2046</v>
      </c>
      <c r="BV29" s="1">
        <v>2047</v>
      </c>
      <c r="BW29" s="1">
        <v>2048</v>
      </c>
      <c r="BX29" s="1">
        <v>2049</v>
      </c>
      <c r="BY29" s="1">
        <v>2050</v>
      </c>
      <c r="BZ29" s="1">
        <v>2051</v>
      </c>
      <c r="CA29" s="1">
        <v>2052</v>
      </c>
      <c r="CB29" s="1">
        <v>2053</v>
      </c>
      <c r="CC29" s="1">
        <v>2054</v>
      </c>
      <c r="CD29" s="1">
        <v>2055</v>
      </c>
      <c r="CE29" s="1">
        <v>2056</v>
      </c>
      <c r="CF29" s="1">
        <v>2057</v>
      </c>
      <c r="CG29" s="1">
        <v>2058</v>
      </c>
      <c r="CH29" s="1">
        <v>2059</v>
      </c>
      <c r="CI29" s="1">
        <v>2060</v>
      </c>
      <c r="CJ29" s="1">
        <v>2061</v>
      </c>
      <c r="CK29" s="1">
        <v>2062</v>
      </c>
      <c r="CL29" s="1">
        <v>2063</v>
      </c>
      <c r="CM29" s="1">
        <v>2064</v>
      </c>
      <c r="CN29" s="1">
        <v>2065</v>
      </c>
      <c r="CO29" s="1">
        <v>2066</v>
      </c>
      <c r="CP29" s="1">
        <v>2067</v>
      </c>
      <c r="CQ29" s="1">
        <v>2068</v>
      </c>
      <c r="CR29" s="1">
        <v>2069</v>
      </c>
      <c r="CS29" s="1">
        <v>2070</v>
      </c>
      <c r="CT29" s="1">
        <v>2071</v>
      </c>
    </row>
    <row r="30" spans="1:98">
      <c r="A30" s="1" t="str">
        <f>'Population Definitions'!$B$2</f>
        <v>atsi_0-4_M</v>
      </c>
      <c r="C30" t="s">
        <v>23</v>
      </c>
      <c r="D30" s="3"/>
      <c r="E30" s="3">
        <v>0</v>
      </c>
      <c r="F30" s="4" t="s">
        <v>24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>
      <c r="A31" s="1" t="str">
        <f>'Population Definitions'!$B$3</f>
        <v>atsi_5-14_M</v>
      </c>
      <c r="C31" t="s">
        <v>23</v>
      </c>
      <c r="D31" s="3"/>
      <c r="E31" s="3">
        <v>0</v>
      </c>
      <c r="F31" s="4" t="s">
        <v>24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>
      <c r="A32" s="1" t="str">
        <f>'Population Definitions'!$B$4</f>
        <v>atsi_15-29_M</v>
      </c>
      <c r="C32" t="s">
        <v>23</v>
      </c>
      <c r="D32" s="3"/>
      <c r="E32" s="3">
        <v>0</v>
      </c>
      <c r="F32" s="4" t="s">
        <v>24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>
      <c r="A33" s="1" t="str">
        <f>'Population Definitions'!$B$5</f>
        <v>atsi_30-49_M</v>
      </c>
      <c r="C33" t="s">
        <v>23</v>
      </c>
      <c r="D33" s="3"/>
      <c r="E33" s="3">
        <v>0</v>
      </c>
      <c r="F33" s="4" t="s">
        <v>24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>
      <c r="A34" s="1" t="str">
        <f>'Population Definitions'!$B$6</f>
        <v>atsi_50-64_M</v>
      </c>
      <c r="C34" t="s">
        <v>23</v>
      </c>
      <c r="D34" s="3"/>
      <c r="E34" s="3">
        <v>0</v>
      </c>
      <c r="F34" s="4" t="s">
        <v>24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>
      <c r="A35" s="1" t="str">
        <f>'Population Definitions'!$B$7</f>
        <v>atsi_65+_M</v>
      </c>
      <c r="C35" t="s">
        <v>23</v>
      </c>
      <c r="D35" s="3"/>
      <c r="E35" s="3">
        <v>0</v>
      </c>
      <c r="F35" s="4" t="s">
        <v>24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>
      <c r="A36" s="1" t="str">
        <f>'Population Definitions'!$B$8</f>
        <v>atsi_0-4_F</v>
      </c>
      <c r="C36" t="s">
        <v>23</v>
      </c>
      <c r="D36" s="3"/>
      <c r="E36" s="3">
        <v>0</v>
      </c>
      <c r="F36" s="4" t="s">
        <v>24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>
      <c r="A37" s="1" t="str">
        <f>'Population Definitions'!$B$9</f>
        <v>atsi_5-14_F</v>
      </c>
      <c r="C37" t="s">
        <v>23</v>
      </c>
      <c r="D37" s="3"/>
      <c r="E37" s="3">
        <v>0</v>
      </c>
      <c r="F37" s="4" t="s">
        <v>24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>
      <c r="A38" s="1" t="str">
        <f>'Population Definitions'!$B$10</f>
        <v>atsi_15-29_F</v>
      </c>
      <c r="C38" t="s">
        <v>23</v>
      </c>
      <c r="D38" s="3"/>
      <c r="E38" s="3">
        <v>0</v>
      </c>
      <c r="F38" s="4" t="s">
        <v>24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>
      <c r="A39" s="1" t="str">
        <f>'Population Definitions'!$B$11</f>
        <v>atsi_30-49_F</v>
      </c>
      <c r="C39" t="s">
        <v>23</v>
      </c>
      <c r="D39" s="3"/>
      <c r="E39" s="3">
        <v>0</v>
      </c>
      <c r="F39" s="4" t="s">
        <v>24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>
      <c r="A40" s="1" t="str">
        <f>'Population Definitions'!$B$12</f>
        <v>atsi_50-64_F</v>
      </c>
      <c r="C40" t="s">
        <v>23</v>
      </c>
      <c r="D40" s="3"/>
      <c r="E40" s="3">
        <v>0</v>
      </c>
      <c r="F40" s="4" t="s">
        <v>24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>
      <c r="A41" s="1" t="str">
        <f>'Population Definitions'!$B$13</f>
        <v>atsi_65+_F</v>
      </c>
      <c r="C41" t="s">
        <v>23</v>
      </c>
      <c r="D41" s="3"/>
      <c r="E41" s="3">
        <v>0</v>
      </c>
      <c r="F41" s="4" t="s">
        <v>24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3" spans="1:98">
      <c r="A43" s="1" t="s">
        <v>28</v>
      </c>
      <c r="B43" s="1" t="s">
        <v>17</v>
      </c>
      <c r="C43" s="1" t="s">
        <v>18</v>
      </c>
      <c r="D43" s="1" t="s">
        <v>19</v>
      </c>
      <c r="E43" s="1" t="s">
        <v>22</v>
      </c>
      <c r="F43" s="1"/>
      <c r="G43" s="1">
        <v>1980</v>
      </c>
      <c r="H43" s="1">
        <v>1981</v>
      </c>
      <c r="I43" s="1">
        <v>1982</v>
      </c>
      <c r="J43" s="1">
        <v>1983</v>
      </c>
      <c r="K43" s="1">
        <v>1984</v>
      </c>
      <c r="L43" s="1">
        <v>1985</v>
      </c>
      <c r="M43" s="1">
        <v>1986</v>
      </c>
      <c r="N43" s="1">
        <v>1987</v>
      </c>
      <c r="O43" s="1">
        <v>1988</v>
      </c>
      <c r="P43" s="1">
        <v>1989</v>
      </c>
      <c r="Q43" s="1">
        <v>1990</v>
      </c>
      <c r="R43" s="1">
        <v>1991</v>
      </c>
      <c r="S43" s="1">
        <v>1992</v>
      </c>
      <c r="T43" s="1">
        <v>1993</v>
      </c>
      <c r="U43" s="1">
        <v>1994</v>
      </c>
      <c r="V43" s="1">
        <v>1995</v>
      </c>
      <c r="W43" s="1">
        <v>1996</v>
      </c>
      <c r="X43" s="1">
        <v>1997</v>
      </c>
      <c r="Y43" s="1">
        <v>1998</v>
      </c>
      <c r="Z43" s="1">
        <v>1999</v>
      </c>
      <c r="AA43" s="1">
        <v>2000</v>
      </c>
      <c r="AB43" s="1">
        <v>2001</v>
      </c>
      <c r="AC43" s="1">
        <v>2002</v>
      </c>
      <c r="AD43" s="1">
        <v>2003</v>
      </c>
      <c r="AE43" s="1">
        <v>2004</v>
      </c>
      <c r="AF43" s="1">
        <v>2005</v>
      </c>
      <c r="AG43" s="1">
        <v>2006</v>
      </c>
      <c r="AH43" s="1">
        <v>2007</v>
      </c>
      <c r="AI43" s="1">
        <v>2008</v>
      </c>
      <c r="AJ43" s="1">
        <v>2009</v>
      </c>
      <c r="AK43" s="1">
        <v>2010</v>
      </c>
      <c r="AL43" s="1">
        <v>2011</v>
      </c>
      <c r="AM43" s="1">
        <v>2012</v>
      </c>
      <c r="AN43" s="1">
        <v>2013</v>
      </c>
      <c r="AO43" s="1">
        <v>2014</v>
      </c>
      <c r="AP43" s="1">
        <v>2015</v>
      </c>
      <c r="AQ43" s="1">
        <v>2016</v>
      </c>
      <c r="AR43" s="1">
        <v>2017</v>
      </c>
      <c r="AS43" s="1">
        <v>2018</v>
      </c>
      <c r="AT43" s="1">
        <v>2019</v>
      </c>
      <c r="AU43" s="1">
        <v>2020</v>
      </c>
      <c r="AV43" s="1">
        <v>2021</v>
      </c>
      <c r="AW43" s="1">
        <v>2022</v>
      </c>
      <c r="AX43" s="1">
        <v>2023</v>
      </c>
      <c r="AY43" s="1">
        <v>2024</v>
      </c>
      <c r="AZ43" s="1">
        <v>2025</v>
      </c>
      <c r="BA43" s="1">
        <v>2026</v>
      </c>
      <c r="BB43" s="1">
        <v>2027</v>
      </c>
      <c r="BC43" s="1">
        <v>2028</v>
      </c>
      <c r="BD43" s="1">
        <v>2029</v>
      </c>
      <c r="BE43" s="1">
        <v>2030</v>
      </c>
      <c r="BF43" s="1">
        <v>2031</v>
      </c>
      <c r="BG43" s="1">
        <v>2032</v>
      </c>
      <c r="BH43" s="1">
        <v>2033</v>
      </c>
      <c r="BI43" s="1">
        <v>2034</v>
      </c>
      <c r="BJ43" s="1">
        <v>2035</v>
      </c>
      <c r="BK43" s="1">
        <v>2036</v>
      </c>
      <c r="BL43" s="1">
        <v>2037</v>
      </c>
      <c r="BM43" s="1">
        <v>2038</v>
      </c>
      <c r="BN43" s="1">
        <v>2039</v>
      </c>
      <c r="BO43" s="1">
        <v>2040</v>
      </c>
      <c r="BP43" s="1">
        <v>2041</v>
      </c>
      <c r="BQ43" s="1">
        <v>2042</v>
      </c>
      <c r="BR43" s="1">
        <v>2043</v>
      </c>
      <c r="BS43" s="1">
        <v>2044</v>
      </c>
      <c r="BT43" s="1">
        <v>2045</v>
      </c>
      <c r="BU43" s="1">
        <v>2046</v>
      </c>
      <c r="BV43" s="1">
        <v>2047</v>
      </c>
      <c r="BW43" s="1">
        <v>2048</v>
      </c>
      <c r="BX43" s="1">
        <v>2049</v>
      </c>
      <c r="BY43" s="1">
        <v>2050</v>
      </c>
      <c r="BZ43" s="1">
        <v>2051</v>
      </c>
      <c r="CA43" s="1">
        <v>2052</v>
      </c>
      <c r="CB43" s="1">
        <v>2053</v>
      </c>
      <c r="CC43" s="1">
        <v>2054</v>
      </c>
      <c r="CD43" s="1">
        <v>2055</v>
      </c>
      <c r="CE43" s="1">
        <v>2056</v>
      </c>
      <c r="CF43" s="1">
        <v>2057</v>
      </c>
      <c r="CG43" s="1">
        <v>2058</v>
      </c>
      <c r="CH43" s="1">
        <v>2059</v>
      </c>
      <c r="CI43" s="1">
        <v>2060</v>
      </c>
      <c r="CJ43" s="1">
        <v>2061</v>
      </c>
      <c r="CK43" s="1">
        <v>2062</v>
      </c>
      <c r="CL43" s="1">
        <v>2063</v>
      </c>
      <c r="CM43" s="1">
        <v>2064</v>
      </c>
      <c r="CN43" s="1">
        <v>2065</v>
      </c>
      <c r="CO43" s="1">
        <v>2066</v>
      </c>
      <c r="CP43" s="1">
        <v>2067</v>
      </c>
      <c r="CQ43" s="1">
        <v>2068</v>
      </c>
      <c r="CR43" s="1">
        <v>2069</v>
      </c>
      <c r="CS43" s="1">
        <v>2070</v>
      </c>
      <c r="CT43" s="1">
        <v>2071</v>
      </c>
    </row>
    <row r="44" spans="1:98">
      <c r="A44" s="1" t="str">
        <f>'Population Definitions'!$B$2</f>
        <v>atsi_0-4_M</v>
      </c>
      <c r="C44" t="s">
        <v>23</v>
      </c>
      <c r="D44" s="3"/>
      <c r="E44" s="3">
        <v>0</v>
      </c>
      <c r="F44" s="4" t="s">
        <v>24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>
      <c r="A45" s="1" t="str">
        <f>'Population Definitions'!$B$3</f>
        <v>atsi_5-14_M</v>
      </c>
      <c r="C45" t="s">
        <v>23</v>
      </c>
      <c r="D45" s="3"/>
      <c r="E45" s="3">
        <v>0</v>
      </c>
      <c r="F45" s="4" t="s">
        <v>24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>
      <c r="A46" s="1" t="str">
        <f>'Population Definitions'!$B$4</f>
        <v>atsi_15-29_M</v>
      </c>
      <c r="C46" t="s">
        <v>23</v>
      </c>
      <c r="D46" s="3"/>
      <c r="E46" s="3">
        <v>0</v>
      </c>
      <c r="F46" s="4" t="s">
        <v>24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>
      <c r="A47" s="1" t="str">
        <f>'Population Definitions'!$B$5</f>
        <v>atsi_30-49_M</v>
      </c>
      <c r="C47" t="s">
        <v>23</v>
      </c>
      <c r="D47" s="3"/>
      <c r="E47" s="3">
        <v>0</v>
      </c>
      <c r="F47" s="4" t="s">
        <v>24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>
      <c r="A48" s="1" t="str">
        <f>'Population Definitions'!$B$6</f>
        <v>atsi_50-64_M</v>
      </c>
      <c r="C48" t="s">
        <v>23</v>
      </c>
      <c r="D48" s="3"/>
      <c r="E48" s="3">
        <v>0</v>
      </c>
      <c r="F48" s="4" t="s">
        <v>24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>
      <c r="A49" s="1" t="str">
        <f>'Population Definitions'!$B$7</f>
        <v>atsi_65+_M</v>
      </c>
      <c r="C49" t="s">
        <v>23</v>
      </c>
      <c r="D49" s="3"/>
      <c r="E49" s="3">
        <v>0</v>
      </c>
      <c r="F49" s="4" t="s">
        <v>24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>
      <c r="A50" s="1" t="str">
        <f>'Population Definitions'!$B$8</f>
        <v>atsi_0-4_F</v>
      </c>
      <c r="C50" t="s">
        <v>23</v>
      </c>
      <c r="D50" s="3"/>
      <c r="E50" s="3">
        <v>0</v>
      </c>
      <c r="F50" s="4" t="s">
        <v>24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>
      <c r="A51" s="1" t="str">
        <f>'Population Definitions'!$B$9</f>
        <v>atsi_5-14_F</v>
      </c>
      <c r="C51" t="s">
        <v>23</v>
      </c>
      <c r="D51" s="3"/>
      <c r="E51" s="3">
        <v>0</v>
      </c>
      <c r="F51" s="4" t="s">
        <v>24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2" spans="1:98">
      <c r="A52" s="1" t="str">
        <f>'Population Definitions'!$B$10</f>
        <v>atsi_15-29_F</v>
      </c>
      <c r="C52" t="s">
        <v>23</v>
      </c>
      <c r="D52" s="3"/>
      <c r="E52" s="3">
        <v>0</v>
      </c>
      <c r="F52" s="4" t="s">
        <v>24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</row>
    <row r="53" spans="1:98">
      <c r="A53" s="1" t="str">
        <f>'Population Definitions'!$B$11</f>
        <v>atsi_30-49_F</v>
      </c>
      <c r="C53" t="s">
        <v>23</v>
      </c>
      <c r="D53" s="3"/>
      <c r="E53" s="3">
        <v>0</v>
      </c>
      <c r="F53" s="4" t="s">
        <v>24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</row>
    <row r="54" spans="1:98">
      <c r="A54" s="1" t="str">
        <f>'Population Definitions'!$B$12</f>
        <v>atsi_50-64_F</v>
      </c>
      <c r="C54" t="s">
        <v>23</v>
      </c>
      <c r="D54" s="3"/>
      <c r="E54" s="3">
        <v>0</v>
      </c>
      <c r="F54" s="4" t="s">
        <v>24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>
      <c r="A55" s="1" t="str">
        <f>'Population Definitions'!$B$13</f>
        <v>atsi_65+_F</v>
      </c>
      <c r="C55" t="s">
        <v>23</v>
      </c>
      <c r="D55" s="3"/>
      <c r="E55" s="3">
        <v>0</v>
      </c>
      <c r="F55" s="4" t="s">
        <v>24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</sheetData>
  <conditionalFormatting sqref="E10">
    <cfRule type="expression" dxfId="0" priority="17">
      <formula>COUNTIF(G10:CT10,"&lt;&gt;" &amp; "")&gt;0</formula>
    </cfRule>
    <cfRule type="expression" dxfId="1" priority="18">
      <formula>AND(COUNTIF(G10:CT10,"&lt;&gt;" &amp; "")&gt;0,NOT(ISBLANK(E10)))</formula>
    </cfRule>
  </conditionalFormatting>
  <conditionalFormatting sqref="E11">
    <cfRule type="expression" dxfId="0" priority="19">
      <formula>COUNTIF(G11:CT11,"&lt;&gt;" &amp; "")&gt;0</formula>
    </cfRule>
    <cfRule type="expression" dxfId="1" priority="20">
      <formula>AND(COUNTIF(G11:CT11,"&lt;&gt;" &amp; "")&gt;0,NOT(ISBLANK(E11)))</formula>
    </cfRule>
  </conditionalFormatting>
  <conditionalFormatting sqref="E12">
    <cfRule type="expression" dxfId="0" priority="21">
      <formula>COUNTIF(G12:CT12,"&lt;&gt;" &amp; "")&gt;0</formula>
    </cfRule>
    <cfRule type="expression" dxfId="1" priority="22">
      <formula>AND(COUNTIF(G12:CT12,"&lt;&gt;" &amp; "")&gt;0,NOT(ISBLANK(E12)))</formula>
    </cfRule>
  </conditionalFormatting>
  <conditionalFormatting sqref="E13">
    <cfRule type="expression" dxfId="0" priority="23">
      <formula>COUNTIF(G13:CT13,"&lt;&gt;" &amp; "")&gt;0</formula>
    </cfRule>
    <cfRule type="expression" dxfId="1" priority="24">
      <formula>AND(COUNTIF(G13:CT13,"&lt;&gt;" &amp; "")&gt;0,NOT(ISBLANK(E13)))</formula>
    </cfRule>
  </conditionalFormatting>
  <conditionalFormatting sqref="E16">
    <cfRule type="expression" dxfId="0" priority="25">
      <formula>COUNTIF(G16:CT16,"&lt;&gt;" &amp; "")&gt;0</formula>
    </cfRule>
    <cfRule type="expression" dxfId="1" priority="26">
      <formula>AND(COUNTIF(G16:CT16,"&lt;&gt;" &amp; "")&gt;0,NOT(ISBLANK(E16)))</formula>
    </cfRule>
  </conditionalFormatting>
  <conditionalFormatting sqref="E17">
    <cfRule type="expression" dxfId="0" priority="27">
      <formula>COUNTIF(G17:CT17,"&lt;&gt;" &amp; "")&gt;0</formula>
    </cfRule>
    <cfRule type="expression" dxfId="1" priority="28">
      <formula>AND(COUNTIF(G17:CT17,"&lt;&gt;" &amp; "")&gt;0,NOT(ISBLANK(E17)))</formula>
    </cfRule>
  </conditionalFormatting>
  <conditionalFormatting sqref="E18">
    <cfRule type="expression" dxfId="0" priority="29">
      <formula>COUNTIF(G18:CT18,"&lt;&gt;" &amp; "")&gt;0</formula>
    </cfRule>
    <cfRule type="expression" dxfId="1" priority="30">
      <formula>AND(COUNTIF(G18:CT18,"&lt;&gt;" &amp; "")&gt;0,NOT(ISBLANK(E18)))</formula>
    </cfRule>
  </conditionalFormatting>
  <conditionalFormatting sqref="E19">
    <cfRule type="expression" dxfId="0" priority="31">
      <formula>COUNTIF(G19:CT19,"&lt;&gt;" &amp; "")&gt;0</formula>
    </cfRule>
    <cfRule type="expression" dxfId="1" priority="32">
      <formula>AND(COUNTIF(G19:CT19,"&lt;&gt;" &amp; "")&gt;0,NOT(ISBLANK(E19)))</formula>
    </cfRule>
  </conditionalFormatting>
  <conditionalFormatting sqref="E2">
    <cfRule type="expression" dxfId="0" priority="1">
      <formula>COUNTIF(G2:CT2,"&lt;&gt;" &amp; "")&gt;0</formula>
    </cfRule>
    <cfRule type="expression" dxfId="1" priority="2">
      <formula>AND(COUNTIF(G2:CT2,"&lt;&gt;" &amp; "")&gt;0,NOT(ISBLANK(E2)))</formula>
    </cfRule>
  </conditionalFormatting>
  <conditionalFormatting sqref="E20">
    <cfRule type="expression" dxfId="0" priority="33">
      <formula>COUNTIF(G20:CT20,"&lt;&gt;" &amp; "")&gt;0</formula>
    </cfRule>
    <cfRule type="expression" dxfId="1" priority="34">
      <formula>AND(COUNTIF(G20:CT20,"&lt;&gt;" &amp; "")&gt;0,NOT(ISBLANK(E20)))</formula>
    </cfRule>
  </conditionalFormatting>
  <conditionalFormatting sqref="E21">
    <cfRule type="expression" dxfId="0" priority="35">
      <formula>COUNTIF(G21:CT21,"&lt;&gt;" &amp; "")&gt;0</formula>
    </cfRule>
    <cfRule type="expression" dxfId="1" priority="36">
      <formula>AND(COUNTIF(G21:CT21,"&lt;&gt;" &amp; "")&gt;0,NOT(ISBLANK(E21)))</formula>
    </cfRule>
  </conditionalFormatting>
  <conditionalFormatting sqref="E22">
    <cfRule type="expression" dxfId="0" priority="37">
      <formula>COUNTIF(G22:CT22,"&lt;&gt;" &amp; "")&gt;0</formula>
    </cfRule>
    <cfRule type="expression" dxfId="1" priority="38">
      <formula>AND(COUNTIF(G22:CT22,"&lt;&gt;" &amp; "")&gt;0,NOT(ISBLANK(E22)))</formula>
    </cfRule>
  </conditionalFormatting>
  <conditionalFormatting sqref="E23">
    <cfRule type="expression" dxfId="0" priority="39">
      <formula>COUNTIF(G23:CT23,"&lt;&gt;" &amp; "")&gt;0</formula>
    </cfRule>
    <cfRule type="expression" dxfId="1" priority="40">
      <formula>AND(COUNTIF(G23:CT23,"&lt;&gt;" &amp; "")&gt;0,NOT(ISBLANK(E23)))</formula>
    </cfRule>
  </conditionalFormatting>
  <conditionalFormatting sqref="E24">
    <cfRule type="expression" dxfId="0" priority="41">
      <formula>COUNTIF(G24:CT24,"&lt;&gt;" &amp; "")&gt;0</formula>
    </cfRule>
    <cfRule type="expression" dxfId="1" priority="42">
      <formula>AND(COUNTIF(G24:CT24,"&lt;&gt;" &amp; "")&gt;0,NOT(ISBLANK(E24)))</formula>
    </cfRule>
  </conditionalFormatting>
  <conditionalFormatting sqref="E25">
    <cfRule type="expression" dxfId="0" priority="43">
      <formula>COUNTIF(G25:CT25,"&lt;&gt;" &amp; "")&gt;0</formula>
    </cfRule>
    <cfRule type="expression" dxfId="1" priority="44">
      <formula>AND(COUNTIF(G25:CT25,"&lt;&gt;" &amp; "")&gt;0,NOT(ISBLANK(E25)))</formula>
    </cfRule>
  </conditionalFormatting>
  <conditionalFormatting sqref="E26">
    <cfRule type="expression" dxfId="0" priority="45">
      <formula>COUNTIF(G26:CT26,"&lt;&gt;" &amp; "")&gt;0</formula>
    </cfRule>
    <cfRule type="expression" dxfId="1" priority="46">
      <formula>AND(COUNTIF(G26:CT26,"&lt;&gt;" &amp; "")&gt;0,NOT(ISBLANK(E26)))</formula>
    </cfRule>
  </conditionalFormatting>
  <conditionalFormatting sqref="E27">
    <cfRule type="expression" dxfId="0" priority="47">
      <formula>COUNTIF(G27:CT27,"&lt;&gt;" &amp; "")&gt;0</formula>
    </cfRule>
    <cfRule type="expression" dxfId="1" priority="48">
      <formula>AND(COUNTIF(G27:CT27,"&lt;&gt;" &amp; "")&gt;0,NOT(ISBLANK(E27)))</formula>
    </cfRule>
  </conditionalFormatting>
  <conditionalFormatting sqref="E3">
    <cfRule type="expression" dxfId="0" priority="3">
      <formula>COUNTIF(G3:CT3,"&lt;&gt;" &amp; "")&gt;0</formula>
    </cfRule>
    <cfRule type="expression" dxfId="1" priority="4">
      <formula>AND(COUNTIF(G3:CT3,"&lt;&gt;" &amp; "")&gt;0,NOT(ISBLANK(E3)))</formula>
    </cfRule>
  </conditionalFormatting>
  <conditionalFormatting sqref="E30">
    <cfRule type="expression" dxfId="0" priority="49">
      <formula>COUNTIF(G30:CT30,"&lt;&gt;" &amp; "")&gt;0</formula>
    </cfRule>
    <cfRule type="expression" dxfId="1" priority="50">
      <formula>AND(COUNTIF(G30:CT30,"&lt;&gt;" &amp; "")&gt;0,NOT(ISBLANK(E30)))</formula>
    </cfRule>
  </conditionalFormatting>
  <conditionalFormatting sqref="E31">
    <cfRule type="expression" dxfId="0" priority="51">
      <formula>COUNTIF(G31:CT31,"&lt;&gt;" &amp; "")&gt;0</formula>
    </cfRule>
    <cfRule type="expression" dxfId="1" priority="52">
      <formula>AND(COUNTIF(G31:CT31,"&lt;&gt;" &amp; "")&gt;0,NOT(ISBLANK(E31)))</formula>
    </cfRule>
  </conditionalFormatting>
  <conditionalFormatting sqref="E32">
    <cfRule type="expression" dxfId="0" priority="53">
      <formula>COUNTIF(G32:CT32,"&lt;&gt;" &amp; "")&gt;0</formula>
    </cfRule>
    <cfRule type="expression" dxfId="1" priority="54">
      <formula>AND(COUNTIF(G32:CT32,"&lt;&gt;" &amp; "")&gt;0,NOT(ISBLANK(E32)))</formula>
    </cfRule>
  </conditionalFormatting>
  <conditionalFormatting sqref="E33">
    <cfRule type="expression" dxfId="0" priority="55">
      <formula>COUNTIF(G33:CT33,"&lt;&gt;" &amp; "")&gt;0</formula>
    </cfRule>
    <cfRule type="expression" dxfId="1" priority="56">
      <formula>AND(COUNTIF(G33:CT33,"&lt;&gt;" &amp; "")&gt;0,NOT(ISBLANK(E33)))</formula>
    </cfRule>
  </conditionalFormatting>
  <conditionalFormatting sqref="E34">
    <cfRule type="expression" dxfId="0" priority="57">
      <formula>COUNTIF(G34:CT34,"&lt;&gt;" &amp; "")&gt;0</formula>
    </cfRule>
    <cfRule type="expression" dxfId="1" priority="58">
      <formula>AND(COUNTIF(G34:CT34,"&lt;&gt;" &amp; "")&gt;0,NOT(ISBLANK(E34)))</formula>
    </cfRule>
  </conditionalFormatting>
  <conditionalFormatting sqref="E35">
    <cfRule type="expression" dxfId="0" priority="59">
      <formula>COUNTIF(G35:CT35,"&lt;&gt;" &amp; "")&gt;0</formula>
    </cfRule>
    <cfRule type="expression" dxfId="1" priority="60">
      <formula>AND(COUNTIF(G35:CT35,"&lt;&gt;" &amp; "")&gt;0,NOT(ISBLANK(E35)))</formula>
    </cfRule>
  </conditionalFormatting>
  <conditionalFormatting sqref="E36">
    <cfRule type="expression" dxfId="0" priority="61">
      <formula>COUNTIF(G36:CT36,"&lt;&gt;" &amp; "")&gt;0</formula>
    </cfRule>
    <cfRule type="expression" dxfId="1" priority="62">
      <formula>AND(COUNTIF(G36:CT36,"&lt;&gt;" &amp; "")&gt;0,NOT(ISBLANK(E36)))</formula>
    </cfRule>
  </conditionalFormatting>
  <conditionalFormatting sqref="E37">
    <cfRule type="expression" dxfId="0" priority="63">
      <formula>COUNTIF(G37:CT37,"&lt;&gt;" &amp; "")&gt;0</formula>
    </cfRule>
    <cfRule type="expression" dxfId="1" priority="64">
      <formula>AND(COUNTIF(G37:CT37,"&lt;&gt;" &amp; "")&gt;0,NOT(ISBLANK(E37)))</formula>
    </cfRule>
  </conditionalFormatting>
  <conditionalFormatting sqref="E38">
    <cfRule type="expression" dxfId="0" priority="65">
      <formula>COUNTIF(G38:CT38,"&lt;&gt;" &amp; "")&gt;0</formula>
    </cfRule>
    <cfRule type="expression" dxfId="1" priority="66">
      <formula>AND(COUNTIF(G38:CT38,"&lt;&gt;" &amp; "")&gt;0,NOT(ISBLANK(E38)))</formula>
    </cfRule>
  </conditionalFormatting>
  <conditionalFormatting sqref="E39">
    <cfRule type="expression" dxfId="0" priority="67">
      <formula>COUNTIF(G39:CT39,"&lt;&gt;" &amp; "")&gt;0</formula>
    </cfRule>
    <cfRule type="expression" dxfId="1" priority="68">
      <formula>AND(COUNTIF(G39:CT39,"&lt;&gt;" &amp; "")&gt;0,NOT(ISBLANK(E39)))</formula>
    </cfRule>
  </conditionalFormatting>
  <conditionalFormatting sqref="E4">
    <cfRule type="expression" dxfId="0" priority="5">
      <formula>COUNTIF(G4:CT4,"&lt;&gt;" &amp; "")&gt;0</formula>
    </cfRule>
    <cfRule type="expression" dxfId="1" priority="6">
      <formula>AND(COUNTIF(G4:CT4,"&lt;&gt;" &amp; "")&gt;0,NOT(ISBLANK(E4)))</formula>
    </cfRule>
  </conditionalFormatting>
  <conditionalFormatting sqref="E40">
    <cfRule type="expression" dxfId="0" priority="69">
      <formula>COUNTIF(G40:CT40,"&lt;&gt;" &amp; "")&gt;0</formula>
    </cfRule>
    <cfRule type="expression" dxfId="1" priority="70">
      <formula>AND(COUNTIF(G40:CT40,"&lt;&gt;" &amp; "")&gt;0,NOT(ISBLANK(E40)))</formula>
    </cfRule>
  </conditionalFormatting>
  <conditionalFormatting sqref="E41">
    <cfRule type="expression" dxfId="0" priority="71">
      <formula>COUNTIF(G41:CT41,"&lt;&gt;" &amp; "")&gt;0</formula>
    </cfRule>
    <cfRule type="expression" dxfId="1" priority="72">
      <formula>AND(COUNTIF(G41:CT41,"&lt;&gt;" &amp; "")&gt;0,NOT(ISBLANK(E41)))</formula>
    </cfRule>
  </conditionalFormatting>
  <conditionalFormatting sqref="E44">
    <cfRule type="expression" dxfId="0" priority="73">
      <formula>COUNTIF(G44:CT44,"&lt;&gt;" &amp; "")&gt;0</formula>
    </cfRule>
    <cfRule type="expression" dxfId="1" priority="74">
      <formula>AND(COUNTIF(G44:CT44,"&lt;&gt;" &amp; "")&gt;0,NOT(ISBLANK(E44)))</formula>
    </cfRule>
  </conditionalFormatting>
  <conditionalFormatting sqref="E45">
    <cfRule type="expression" dxfId="0" priority="75">
      <formula>COUNTIF(G45:CT45,"&lt;&gt;" &amp; "")&gt;0</formula>
    </cfRule>
    <cfRule type="expression" dxfId="1" priority="76">
      <formula>AND(COUNTIF(G45:CT45,"&lt;&gt;" &amp; "")&gt;0,NOT(ISBLANK(E45)))</formula>
    </cfRule>
  </conditionalFormatting>
  <conditionalFormatting sqref="E46">
    <cfRule type="expression" dxfId="0" priority="77">
      <formula>COUNTIF(G46:CT46,"&lt;&gt;" &amp; "")&gt;0</formula>
    </cfRule>
    <cfRule type="expression" dxfId="1" priority="78">
      <formula>AND(COUNTIF(G46:CT46,"&lt;&gt;" &amp; "")&gt;0,NOT(ISBLANK(E46)))</formula>
    </cfRule>
  </conditionalFormatting>
  <conditionalFormatting sqref="E47">
    <cfRule type="expression" dxfId="0" priority="79">
      <formula>COUNTIF(G47:CT47,"&lt;&gt;" &amp; "")&gt;0</formula>
    </cfRule>
    <cfRule type="expression" dxfId="1" priority="80">
      <formula>AND(COUNTIF(G47:CT47,"&lt;&gt;" &amp; "")&gt;0,NOT(ISBLANK(E47)))</formula>
    </cfRule>
  </conditionalFormatting>
  <conditionalFormatting sqref="E48">
    <cfRule type="expression" dxfId="0" priority="81">
      <formula>COUNTIF(G48:CT48,"&lt;&gt;" &amp; "")&gt;0</formula>
    </cfRule>
    <cfRule type="expression" dxfId="1" priority="82">
      <formula>AND(COUNTIF(G48:CT48,"&lt;&gt;" &amp; "")&gt;0,NOT(ISBLANK(E48)))</formula>
    </cfRule>
  </conditionalFormatting>
  <conditionalFormatting sqref="E49">
    <cfRule type="expression" dxfId="0" priority="83">
      <formula>COUNTIF(G49:CT49,"&lt;&gt;" &amp; "")&gt;0</formula>
    </cfRule>
    <cfRule type="expression" dxfId="1" priority="84">
      <formula>AND(COUNTIF(G49:CT49,"&lt;&gt;" &amp; "")&gt;0,NOT(ISBLANK(E49)))</formula>
    </cfRule>
  </conditionalFormatting>
  <conditionalFormatting sqref="E5">
    <cfRule type="expression" dxfId="0" priority="7">
      <formula>COUNTIF(G5:CT5,"&lt;&gt;" &amp; "")&gt;0</formula>
    </cfRule>
    <cfRule type="expression" dxfId="1" priority="8">
      <formula>AND(COUNTIF(G5:CT5,"&lt;&gt;" &amp; "")&gt;0,NOT(ISBLANK(E5)))</formula>
    </cfRule>
  </conditionalFormatting>
  <conditionalFormatting sqref="E50">
    <cfRule type="expression" dxfId="0" priority="85">
      <formula>COUNTIF(G50:CT50,"&lt;&gt;" &amp; "")&gt;0</formula>
    </cfRule>
    <cfRule type="expression" dxfId="1" priority="86">
      <formula>AND(COUNTIF(G50:CT50,"&lt;&gt;" &amp; "")&gt;0,NOT(ISBLANK(E50)))</formula>
    </cfRule>
  </conditionalFormatting>
  <conditionalFormatting sqref="E51">
    <cfRule type="expression" dxfId="0" priority="87">
      <formula>COUNTIF(G51:CT51,"&lt;&gt;" &amp; "")&gt;0</formula>
    </cfRule>
    <cfRule type="expression" dxfId="1" priority="88">
      <formula>AND(COUNTIF(G51:CT51,"&lt;&gt;" &amp; "")&gt;0,NOT(ISBLANK(E51)))</formula>
    </cfRule>
  </conditionalFormatting>
  <conditionalFormatting sqref="E52">
    <cfRule type="expression" dxfId="0" priority="89">
      <formula>COUNTIF(G52:CT52,"&lt;&gt;" &amp; "")&gt;0</formula>
    </cfRule>
    <cfRule type="expression" dxfId="1" priority="90">
      <formula>AND(COUNTIF(G52:CT52,"&lt;&gt;" &amp; "")&gt;0,NOT(ISBLANK(E52)))</formula>
    </cfRule>
  </conditionalFormatting>
  <conditionalFormatting sqref="E53">
    <cfRule type="expression" dxfId="0" priority="91">
      <formula>COUNTIF(G53:CT53,"&lt;&gt;" &amp; "")&gt;0</formula>
    </cfRule>
    <cfRule type="expression" dxfId="1" priority="92">
      <formula>AND(COUNTIF(G53:CT53,"&lt;&gt;" &amp; "")&gt;0,NOT(ISBLANK(E53)))</formula>
    </cfRule>
  </conditionalFormatting>
  <conditionalFormatting sqref="E54">
    <cfRule type="expression" dxfId="0" priority="93">
      <formula>COUNTIF(G54:CT54,"&lt;&gt;" &amp; "")&gt;0</formula>
    </cfRule>
    <cfRule type="expression" dxfId="1" priority="94">
      <formula>AND(COUNTIF(G54:CT54,"&lt;&gt;" &amp; "")&gt;0,NOT(ISBLANK(E54)))</formula>
    </cfRule>
  </conditionalFormatting>
  <conditionalFormatting sqref="E55">
    <cfRule type="expression" dxfId="0" priority="95">
      <formula>COUNTIF(G55:CT55,"&lt;&gt;" &amp; "")&gt;0</formula>
    </cfRule>
    <cfRule type="expression" dxfId="1" priority="96">
      <formula>AND(COUNTIF(G55:CT55,"&lt;&gt;" &amp; "")&gt;0,NOT(ISBLANK(E55)))</formula>
    </cfRule>
  </conditionalFormatting>
  <conditionalFormatting sqref="E6">
    <cfRule type="expression" dxfId="0" priority="9">
      <formula>COUNTIF(G6:CT6,"&lt;&gt;" &amp; "")&gt;0</formula>
    </cfRule>
    <cfRule type="expression" dxfId="1" priority="10">
      <formula>AND(COUNTIF(G6:CT6,"&lt;&gt;" &amp; "")&gt;0,NOT(ISBLANK(E6)))</formula>
    </cfRule>
  </conditionalFormatting>
  <conditionalFormatting sqref="E7">
    <cfRule type="expression" dxfId="0" priority="11">
      <formula>COUNTIF(G7:CT7,"&lt;&gt;" &amp; "")&gt;0</formula>
    </cfRule>
    <cfRule type="expression" dxfId="1" priority="12">
      <formula>AND(COUNTIF(G7:CT7,"&lt;&gt;" &amp; "")&gt;0,NOT(ISBLANK(E7)))</formula>
    </cfRule>
  </conditionalFormatting>
  <conditionalFormatting sqref="E8">
    <cfRule type="expression" dxfId="0" priority="13">
      <formula>COUNTIF(G8:CT8,"&lt;&gt;" &amp; "")&gt;0</formula>
    </cfRule>
    <cfRule type="expression" dxfId="1" priority="14">
      <formula>AND(COUNTIF(G8:CT8,"&lt;&gt;" &amp; "")&gt;0,NOT(ISBLANK(E8)))</formula>
    </cfRule>
  </conditionalFormatting>
  <conditionalFormatting sqref="E9">
    <cfRule type="expression" dxfId="0" priority="15">
      <formula>COUNTIF(G9:CT9,"&lt;&gt;" &amp; "")&gt;0</formula>
    </cfRule>
    <cfRule type="expression" dxfId="1" priority="16">
      <formula>AND(COUNTIF(G9:CT9,"&lt;&gt;" &amp; "")&gt;0,NOT(ISBLANK(E9)))</formula>
    </cfRule>
  </conditionalFormatting>
  <dataValidations count="48">
    <dataValidation type="list" allowBlank="1" showInputMessage="1" showErrorMessage="1" sqref="C2">
      <formula1>"Number (per year)"</formula1>
    </dataValidation>
    <dataValidation type="list" allowBlank="1" showInputMessage="1" showErrorMessage="1" sqref="C3">
      <formula1>"Number (per year)"</formula1>
    </dataValidation>
    <dataValidation type="list" allowBlank="1" showInputMessage="1" showErrorMessage="1" sqref="C4">
      <formula1>"Number (per year)"</formula1>
    </dataValidation>
    <dataValidation type="list" allowBlank="1" showInputMessage="1" showErrorMessage="1" sqref="C5">
      <formula1>"Number (per year)"</formula1>
    </dataValidation>
    <dataValidation type="list" allowBlank="1" showInputMessage="1" showErrorMessage="1" sqref="C6">
      <formula1>"Number (per year)"</formula1>
    </dataValidation>
    <dataValidation type="list" allowBlank="1" showInputMessage="1" showErrorMessage="1" sqref="C7">
      <formula1>"Number (per year)"</formula1>
    </dataValidation>
    <dataValidation type="list" allowBlank="1" showInputMessage="1" showErrorMessage="1" sqref="C8">
      <formula1>"Number (per year)"</formula1>
    </dataValidation>
    <dataValidation type="list" allowBlank="1" showInputMessage="1" showErrorMessage="1" sqref="C9">
      <formula1>"Number (per year)"</formula1>
    </dataValidation>
    <dataValidation type="list" allowBlank="1" showInputMessage="1" showErrorMessage="1" sqref="C10">
      <formula1>"Number (per year)"</formula1>
    </dataValidation>
    <dataValidation type="list" allowBlank="1" showInputMessage="1" showErrorMessage="1" sqref="C11">
      <formula1>"Number (per year)"</formula1>
    </dataValidation>
    <dataValidation type="list" allowBlank="1" showInputMessage="1" showErrorMessage="1" sqref="C12">
      <formula1>"Number (per year)"</formula1>
    </dataValidation>
    <dataValidation type="list" allowBlank="1" showInputMessage="1" showErrorMessage="1" sqref="C13">
      <formula1>"Number (per year)"</formula1>
    </dataValidation>
    <dataValidation type="list" allowBlank="1" showInputMessage="1" showErrorMessage="1" sqref="C16">
      <formula1>"Rate (per year)"</formula1>
    </dataValidation>
    <dataValidation type="list" allowBlank="1" showInputMessage="1" showErrorMessage="1" sqref="C17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4">
      <formula1>"Number (per year)"</formula1>
    </dataValidation>
    <dataValidation type="list" allowBlank="1" showInputMessage="1" showErrorMessage="1" sqref="C35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1">
      <formula1>"Number (per year)"</formula1>
    </dataValidation>
    <dataValidation type="list" allowBlank="1" showInputMessage="1" showErrorMessage="1" sqref="C52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CV162"/>
  <sheetViews>
    <sheetView workbookViewId="0"/>
  </sheetViews>
  <sheetFormatPr defaultRowHeight="15"/>
  <cols>
    <col min="1" max="1" width="18.28515625" customWidth="1"/>
    <col min="2" max="2" width="12.7109375" customWidth="1"/>
    <col min="3" max="3" width="23.7109375" customWidth="1"/>
    <col min="4" max="4" width="21.5703125" customWidth="1"/>
    <col min="5" max="5" width="18.28515625" customWidth="1"/>
    <col min="6" max="6" width="14.85546875" customWidth="1"/>
    <col min="7" max="8" width="12.7109375" customWidth="1"/>
    <col min="9" max="9" width="13.85546875" customWidth="1"/>
    <col min="10" max="12" width="14.85546875" customWidth="1"/>
    <col min="13" max="13" width="12.7109375" customWidth="1"/>
    <col min="14" max="100" width="9.42578125" customWidth="1"/>
  </cols>
  <sheetData>
    <row r="1" spans="1:13">
      <c r="A1" s="1" t="s">
        <v>0</v>
      </c>
      <c r="B1" s="1" t="s">
        <v>1</v>
      </c>
      <c r="C1" s="1" t="s">
        <v>31</v>
      </c>
      <c r="D1" s="1" t="s">
        <v>32</v>
      </c>
    </row>
    <row r="2" spans="1:13">
      <c r="A2" t="s">
        <v>29</v>
      </c>
      <c r="B2" t="s">
        <v>30</v>
      </c>
      <c r="C2" t="s">
        <v>4</v>
      </c>
      <c r="D2" t="s">
        <v>4</v>
      </c>
    </row>
    <row r="4" spans="1:13">
      <c r="B4" s="1" t="str">
        <f>'Population Definitions'!$B$2</f>
        <v>atsi_0-4_M</v>
      </c>
      <c r="C4" s="1" t="str">
        <f>'Population Definitions'!$B$3</f>
        <v>atsi_5-14_M</v>
      </c>
      <c r="D4" s="1" t="str">
        <f>'Population Definitions'!$B$4</f>
        <v>atsi_15-29_M</v>
      </c>
      <c r="E4" s="1" t="str">
        <f>'Population Definitions'!$B$5</f>
        <v>atsi_30-49_M</v>
      </c>
      <c r="F4" s="1" t="str">
        <f>'Population Definitions'!$B$6</f>
        <v>atsi_50-64_M</v>
      </c>
      <c r="G4" s="1" t="str">
        <f>'Population Definitions'!$B$7</f>
        <v>atsi_65+_M</v>
      </c>
      <c r="H4" s="1" t="str">
        <f>'Population Definitions'!$B$8</f>
        <v>atsi_0-4_F</v>
      </c>
      <c r="I4" s="1" t="str">
        <f>'Population Definitions'!$B$9</f>
        <v>atsi_5-14_F</v>
      </c>
      <c r="J4" s="1" t="str">
        <f>'Population Definitions'!$B$10</f>
        <v>atsi_15-29_F</v>
      </c>
      <c r="K4" s="1" t="str">
        <f>'Population Definitions'!$B$11</f>
        <v>atsi_30-49_F</v>
      </c>
      <c r="L4" s="1" t="str">
        <f>'Population Definitions'!$B$12</f>
        <v>atsi_50-64_F</v>
      </c>
      <c r="M4" s="1" t="str">
        <f>'Population Definitions'!$B$13</f>
        <v>atsi_65+_F</v>
      </c>
    </row>
    <row r="5" spans="1:13">
      <c r="A5" s="1" t="str">
        <f>'Population Definitions'!$B$2</f>
        <v>atsi_0-4_M</v>
      </c>
      <c r="B5" s="4" t="s">
        <v>33</v>
      </c>
      <c r="C5" s="5" t="s">
        <v>34</v>
      </c>
      <c r="D5" s="5" t="s">
        <v>35</v>
      </c>
      <c r="E5" s="5" t="s">
        <v>35</v>
      </c>
      <c r="F5" s="5" t="s">
        <v>35</v>
      </c>
      <c r="G5" s="5" t="s">
        <v>35</v>
      </c>
      <c r="H5" s="5" t="s">
        <v>35</v>
      </c>
      <c r="I5" s="5" t="s">
        <v>35</v>
      </c>
      <c r="J5" s="5" t="s">
        <v>35</v>
      </c>
      <c r="K5" s="5" t="s">
        <v>35</v>
      </c>
      <c r="L5" s="5" t="s">
        <v>35</v>
      </c>
      <c r="M5" s="5" t="s">
        <v>35</v>
      </c>
    </row>
    <row r="6" spans="1:13">
      <c r="A6" s="1" t="str">
        <f>'Population Definitions'!$B$3</f>
        <v>atsi_5-14_M</v>
      </c>
      <c r="B6" s="5" t="s">
        <v>35</v>
      </c>
      <c r="C6" s="4" t="s">
        <v>33</v>
      </c>
      <c r="D6" s="5" t="s">
        <v>34</v>
      </c>
      <c r="E6" s="5" t="s">
        <v>35</v>
      </c>
      <c r="F6" s="5" t="s">
        <v>35</v>
      </c>
      <c r="G6" s="5" t="s">
        <v>35</v>
      </c>
      <c r="H6" s="5" t="s">
        <v>35</v>
      </c>
      <c r="I6" s="5" t="s">
        <v>35</v>
      </c>
      <c r="J6" s="5" t="s">
        <v>35</v>
      </c>
      <c r="K6" s="5" t="s">
        <v>35</v>
      </c>
      <c r="L6" s="5" t="s">
        <v>35</v>
      </c>
      <c r="M6" s="5" t="s">
        <v>35</v>
      </c>
    </row>
    <row r="7" spans="1:13">
      <c r="A7" s="1" t="str">
        <f>'Population Definitions'!$B$4</f>
        <v>atsi_15-29_M</v>
      </c>
      <c r="B7" s="5" t="s">
        <v>35</v>
      </c>
      <c r="C7" s="5" t="s">
        <v>35</v>
      </c>
      <c r="D7" s="4" t="s">
        <v>33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5" t="s">
        <v>35</v>
      </c>
      <c r="K7" s="5" t="s">
        <v>35</v>
      </c>
      <c r="L7" s="5" t="s">
        <v>35</v>
      </c>
      <c r="M7" s="5" t="s">
        <v>35</v>
      </c>
    </row>
    <row r="8" spans="1:13">
      <c r="A8" s="1" t="str">
        <f>'Population Definitions'!$B$5</f>
        <v>atsi_30-49_M</v>
      </c>
      <c r="B8" s="5" t="s">
        <v>35</v>
      </c>
      <c r="C8" s="5" t="s">
        <v>35</v>
      </c>
      <c r="D8" s="5" t="s">
        <v>35</v>
      </c>
      <c r="E8" s="4" t="s">
        <v>33</v>
      </c>
      <c r="F8" s="5" t="s">
        <v>34</v>
      </c>
      <c r="G8" s="5" t="s">
        <v>35</v>
      </c>
      <c r="H8" s="5" t="s">
        <v>35</v>
      </c>
      <c r="I8" s="5" t="s">
        <v>35</v>
      </c>
      <c r="J8" s="5" t="s">
        <v>35</v>
      </c>
      <c r="K8" s="5" t="s">
        <v>35</v>
      </c>
      <c r="L8" s="5" t="s">
        <v>35</v>
      </c>
      <c r="M8" s="5" t="s">
        <v>35</v>
      </c>
    </row>
    <row r="9" spans="1:13">
      <c r="A9" s="1" t="str">
        <f>'Population Definitions'!$B$6</f>
        <v>atsi_50-64_M</v>
      </c>
      <c r="B9" s="5" t="s">
        <v>35</v>
      </c>
      <c r="C9" s="5" t="s">
        <v>35</v>
      </c>
      <c r="D9" s="5" t="s">
        <v>35</v>
      </c>
      <c r="E9" s="5" t="s">
        <v>35</v>
      </c>
      <c r="F9" s="4" t="s">
        <v>33</v>
      </c>
      <c r="G9" s="5" t="s">
        <v>34</v>
      </c>
      <c r="H9" s="5" t="s">
        <v>35</v>
      </c>
      <c r="I9" s="5" t="s">
        <v>35</v>
      </c>
      <c r="J9" s="5" t="s">
        <v>35</v>
      </c>
      <c r="K9" s="5" t="s">
        <v>35</v>
      </c>
      <c r="L9" s="5" t="s">
        <v>35</v>
      </c>
      <c r="M9" s="5" t="s">
        <v>35</v>
      </c>
    </row>
    <row r="10" spans="1:13">
      <c r="A10" s="1" t="str">
        <f>'Population Definitions'!$B$7</f>
        <v>atsi_65+_M</v>
      </c>
      <c r="B10" s="5" t="s">
        <v>35</v>
      </c>
      <c r="C10" s="5" t="s">
        <v>35</v>
      </c>
      <c r="D10" s="5" t="s">
        <v>35</v>
      </c>
      <c r="E10" s="5" t="s">
        <v>35</v>
      </c>
      <c r="F10" s="5" t="s">
        <v>35</v>
      </c>
      <c r="G10" s="4" t="s">
        <v>33</v>
      </c>
      <c r="H10" s="5" t="s">
        <v>35</v>
      </c>
      <c r="I10" s="5" t="s">
        <v>35</v>
      </c>
      <c r="J10" s="5" t="s">
        <v>35</v>
      </c>
      <c r="K10" s="5" t="s">
        <v>35</v>
      </c>
      <c r="L10" s="5" t="s">
        <v>35</v>
      </c>
      <c r="M10" s="5" t="s">
        <v>35</v>
      </c>
    </row>
    <row r="11" spans="1:13">
      <c r="A11" s="1" t="str">
        <f>'Population Definitions'!$B$8</f>
        <v>atsi_0-4_F</v>
      </c>
      <c r="B11" s="5" t="s">
        <v>35</v>
      </c>
      <c r="C11" s="5" t="s">
        <v>35</v>
      </c>
      <c r="D11" s="5" t="s">
        <v>35</v>
      </c>
      <c r="E11" s="5" t="s">
        <v>35</v>
      </c>
      <c r="F11" s="5" t="s">
        <v>35</v>
      </c>
      <c r="G11" s="5" t="s">
        <v>35</v>
      </c>
      <c r="H11" s="4" t="s">
        <v>33</v>
      </c>
      <c r="I11" s="5" t="s">
        <v>34</v>
      </c>
      <c r="J11" s="5" t="s">
        <v>35</v>
      </c>
      <c r="K11" s="5" t="s">
        <v>35</v>
      </c>
      <c r="L11" s="5" t="s">
        <v>35</v>
      </c>
      <c r="M11" s="5" t="s">
        <v>35</v>
      </c>
    </row>
    <row r="12" spans="1:13">
      <c r="A12" s="1" t="str">
        <f>'Population Definitions'!$B$9</f>
        <v>atsi_5-14_F</v>
      </c>
      <c r="B12" s="5" t="s">
        <v>35</v>
      </c>
      <c r="C12" s="5" t="s">
        <v>35</v>
      </c>
      <c r="D12" s="5" t="s">
        <v>35</v>
      </c>
      <c r="E12" s="5" t="s">
        <v>35</v>
      </c>
      <c r="F12" s="5" t="s">
        <v>35</v>
      </c>
      <c r="G12" s="5" t="s">
        <v>35</v>
      </c>
      <c r="H12" s="5" t="s">
        <v>35</v>
      </c>
      <c r="I12" s="4" t="s">
        <v>33</v>
      </c>
      <c r="J12" s="5" t="s">
        <v>34</v>
      </c>
      <c r="K12" s="5" t="s">
        <v>35</v>
      </c>
      <c r="L12" s="5" t="s">
        <v>35</v>
      </c>
      <c r="M12" s="5" t="s">
        <v>35</v>
      </c>
    </row>
    <row r="13" spans="1:13">
      <c r="A13" s="1" t="str">
        <f>'Population Definitions'!$B$10</f>
        <v>atsi_15-29_F</v>
      </c>
      <c r="B13" s="5" t="s">
        <v>35</v>
      </c>
      <c r="C13" s="5" t="s">
        <v>35</v>
      </c>
      <c r="D13" s="5" t="s">
        <v>35</v>
      </c>
      <c r="E13" s="5" t="s">
        <v>35</v>
      </c>
      <c r="F13" s="5" t="s">
        <v>35</v>
      </c>
      <c r="G13" s="5" t="s">
        <v>35</v>
      </c>
      <c r="H13" s="5" t="s">
        <v>35</v>
      </c>
      <c r="I13" s="5" t="s">
        <v>35</v>
      </c>
      <c r="J13" s="4" t="s">
        <v>33</v>
      </c>
      <c r="K13" s="5" t="s">
        <v>34</v>
      </c>
      <c r="L13" s="5" t="s">
        <v>35</v>
      </c>
      <c r="M13" s="5" t="s">
        <v>35</v>
      </c>
    </row>
    <row r="14" spans="1:13">
      <c r="A14" s="1" t="str">
        <f>'Population Definitions'!$B$11</f>
        <v>atsi_30-49_F</v>
      </c>
      <c r="B14" s="5" t="s">
        <v>35</v>
      </c>
      <c r="C14" s="5" t="s">
        <v>35</v>
      </c>
      <c r="D14" s="5" t="s">
        <v>35</v>
      </c>
      <c r="E14" s="5" t="s">
        <v>35</v>
      </c>
      <c r="F14" s="5" t="s">
        <v>35</v>
      </c>
      <c r="G14" s="5" t="s">
        <v>35</v>
      </c>
      <c r="H14" s="5" t="s">
        <v>35</v>
      </c>
      <c r="I14" s="5" t="s">
        <v>35</v>
      </c>
      <c r="J14" s="5" t="s">
        <v>35</v>
      </c>
      <c r="K14" s="4" t="s">
        <v>33</v>
      </c>
      <c r="L14" s="5" t="s">
        <v>34</v>
      </c>
      <c r="M14" s="5" t="s">
        <v>35</v>
      </c>
    </row>
    <row r="15" spans="1:13">
      <c r="A15" s="1" t="str">
        <f>'Population Definitions'!$B$12</f>
        <v>atsi_50-64_F</v>
      </c>
      <c r="B15" s="5" t="s">
        <v>35</v>
      </c>
      <c r="C15" s="5" t="s">
        <v>35</v>
      </c>
      <c r="D15" s="5" t="s">
        <v>35</v>
      </c>
      <c r="E15" s="5" t="s">
        <v>35</v>
      </c>
      <c r="F15" s="5" t="s">
        <v>35</v>
      </c>
      <c r="G15" s="5" t="s">
        <v>35</v>
      </c>
      <c r="H15" s="5" t="s">
        <v>35</v>
      </c>
      <c r="I15" s="5" t="s">
        <v>35</v>
      </c>
      <c r="J15" s="5" t="s">
        <v>35</v>
      </c>
      <c r="K15" s="5" t="s">
        <v>35</v>
      </c>
      <c r="L15" s="4" t="s">
        <v>33</v>
      </c>
      <c r="M15" s="5" t="s">
        <v>34</v>
      </c>
    </row>
    <row r="16" spans="1:13">
      <c r="A16" s="1" t="str">
        <f>'Population Definitions'!$B$13</f>
        <v>atsi_65+_F</v>
      </c>
      <c r="B16" s="5" t="s">
        <v>35</v>
      </c>
      <c r="C16" s="5" t="s">
        <v>35</v>
      </c>
      <c r="D16" s="5" t="s">
        <v>35</v>
      </c>
      <c r="E16" s="5" t="s">
        <v>35</v>
      </c>
      <c r="F16" s="5" t="s">
        <v>35</v>
      </c>
      <c r="G16" s="5" t="s">
        <v>35</v>
      </c>
      <c r="H16" s="5" t="s">
        <v>35</v>
      </c>
      <c r="I16" s="5" t="s">
        <v>35</v>
      </c>
      <c r="J16" s="5" t="s">
        <v>35</v>
      </c>
      <c r="K16" s="5" t="s">
        <v>35</v>
      </c>
      <c r="L16" s="5" t="s">
        <v>35</v>
      </c>
      <c r="M16" s="4" t="s">
        <v>33</v>
      </c>
    </row>
    <row r="18" spans="1:100">
      <c r="A18" s="1" t="s">
        <v>36</v>
      </c>
      <c r="B18" s="1"/>
      <c r="C18" s="1" t="s">
        <v>37</v>
      </c>
      <c r="D18" s="1" t="s">
        <v>17</v>
      </c>
      <c r="E18" s="1" t="s">
        <v>18</v>
      </c>
      <c r="F18" s="1" t="s">
        <v>19</v>
      </c>
      <c r="G18" s="1" t="s">
        <v>22</v>
      </c>
      <c r="H18" s="1"/>
      <c r="I18" s="1">
        <v>1980</v>
      </c>
      <c r="J18" s="1">
        <v>1981</v>
      </c>
      <c r="K18" s="1">
        <v>1982</v>
      </c>
      <c r="L18" s="1">
        <v>1983</v>
      </c>
      <c r="M18" s="1">
        <v>1984</v>
      </c>
      <c r="N18" s="1">
        <v>1985</v>
      </c>
      <c r="O18" s="1">
        <v>1986</v>
      </c>
      <c r="P18" s="1">
        <v>1987</v>
      </c>
      <c r="Q18" s="1">
        <v>1988</v>
      </c>
      <c r="R18" s="1">
        <v>1989</v>
      </c>
      <c r="S18" s="1">
        <v>1990</v>
      </c>
      <c r="T18" s="1">
        <v>1991</v>
      </c>
      <c r="U18" s="1">
        <v>1992</v>
      </c>
      <c r="V18" s="1">
        <v>1993</v>
      </c>
      <c r="W18" s="1">
        <v>1994</v>
      </c>
      <c r="X18" s="1">
        <v>1995</v>
      </c>
      <c r="Y18" s="1">
        <v>1996</v>
      </c>
      <c r="Z18" s="1">
        <v>1997</v>
      </c>
      <c r="AA18" s="1">
        <v>1998</v>
      </c>
      <c r="AB18" s="1">
        <v>1999</v>
      </c>
      <c r="AC18" s="1">
        <v>2000</v>
      </c>
      <c r="AD18" s="1">
        <v>2001</v>
      </c>
      <c r="AE18" s="1">
        <v>2002</v>
      </c>
      <c r="AF18" s="1">
        <v>2003</v>
      </c>
      <c r="AG18" s="1">
        <v>2004</v>
      </c>
      <c r="AH18" s="1">
        <v>2005</v>
      </c>
      <c r="AI18" s="1">
        <v>2006</v>
      </c>
      <c r="AJ18" s="1">
        <v>2007</v>
      </c>
      <c r="AK18" s="1">
        <v>2008</v>
      </c>
      <c r="AL18" s="1">
        <v>2009</v>
      </c>
      <c r="AM18" s="1">
        <v>2010</v>
      </c>
      <c r="AN18" s="1">
        <v>2011</v>
      </c>
      <c r="AO18" s="1">
        <v>2012</v>
      </c>
      <c r="AP18" s="1">
        <v>2013</v>
      </c>
      <c r="AQ18" s="1">
        <v>2014</v>
      </c>
      <c r="AR18" s="1">
        <v>2015</v>
      </c>
      <c r="AS18" s="1">
        <v>2016</v>
      </c>
      <c r="AT18" s="1">
        <v>2017</v>
      </c>
      <c r="AU18" s="1">
        <v>2018</v>
      </c>
      <c r="AV18" s="1">
        <v>2019</v>
      </c>
      <c r="AW18" s="1">
        <v>2020</v>
      </c>
      <c r="AX18" s="1">
        <v>2021</v>
      </c>
      <c r="AY18" s="1">
        <v>2022</v>
      </c>
      <c r="AZ18" s="1">
        <v>2023</v>
      </c>
      <c r="BA18" s="1">
        <v>2024</v>
      </c>
      <c r="BB18" s="1">
        <v>2025</v>
      </c>
      <c r="BC18" s="1">
        <v>2026</v>
      </c>
      <c r="BD18" s="1">
        <v>2027</v>
      </c>
      <c r="BE18" s="1">
        <v>2028</v>
      </c>
      <c r="BF18" s="1">
        <v>2029</v>
      </c>
      <c r="BG18" s="1">
        <v>2030</v>
      </c>
      <c r="BH18" s="1">
        <v>2031</v>
      </c>
      <c r="BI18" s="1">
        <v>2032</v>
      </c>
      <c r="BJ18" s="1">
        <v>2033</v>
      </c>
      <c r="BK18" s="1">
        <v>2034</v>
      </c>
      <c r="BL18" s="1">
        <v>2035</v>
      </c>
      <c r="BM18" s="1">
        <v>2036</v>
      </c>
      <c r="BN18" s="1">
        <v>2037</v>
      </c>
      <c r="BO18" s="1">
        <v>2038</v>
      </c>
      <c r="BP18" s="1">
        <v>2039</v>
      </c>
      <c r="BQ18" s="1">
        <v>2040</v>
      </c>
      <c r="BR18" s="1">
        <v>2041</v>
      </c>
      <c r="BS18" s="1">
        <v>2042</v>
      </c>
      <c r="BT18" s="1">
        <v>2043</v>
      </c>
      <c r="BU18" s="1">
        <v>2044</v>
      </c>
      <c r="BV18" s="1">
        <v>2045</v>
      </c>
      <c r="BW18" s="1">
        <v>2046</v>
      </c>
      <c r="BX18" s="1">
        <v>2047</v>
      </c>
      <c r="BY18" s="1">
        <v>2048</v>
      </c>
      <c r="BZ18" s="1">
        <v>2049</v>
      </c>
      <c r="CA18" s="1">
        <v>2050</v>
      </c>
      <c r="CB18" s="1">
        <v>2051</v>
      </c>
      <c r="CC18" s="1">
        <v>2052</v>
      </c>
      <c r="CD18" s="1">
        <v>2053</v>
      </c>
      <c r="CE18" s="1">
        <v>2054</v>
      </c>
      <c r="CF18" s="1">
        <v>2055</v>
      </c>
      <c r="CG18" s="1">
        <v>2056</v>
      </c>
      <c r="CH18" s="1">
        <v>2057</v>
      </c>
      <c r="CI18" s="1">
        <v>2058</v>
      </c>
      <c r="CJ18" s="1">
        <v>2059</v>
      </c>
      <c r="CK18" s="1">
        <v>2060</v>
      </c>
      <c r="CL18" s="1">
        <v>2061</v>
      </c>
      <c r="CM18" s="1">
        <v>2062</v>
      </c>
      <c r="CN18" s="1">
        <v>2063</v>
      </c>
      <c r="CO18" s="1">
        <v>2064</v>
      </c>
      <c r="CP18" s="1">
        <v>2065</v>
      </c>
      <c r="CQ18" s="1">
        <v>2066</v>
      </c>
      <c r="CR18" s="1">
        <v>2067</v>
      </c>
      <c r="CS18" s="1">
        <v>2068</v>
      </c>
      <c r="CT18" s="1">
        <v>2069</v>
      </c>
      <c r="CU18" s="1">
        <v>2070</v>
      </c>
      <c r="CV18" s="1">
        <v>2071</v>
      </c>
    </row>
    <row r="19" spans="1:100">
      <c r="A19" s="1" t="str">
        <f>IF($B$5="Y",'Population Definitions'!$B$2,"...")</f>
        <v>...</v>
      </c>
      <c r="B19" s="4" t="str">
        <f>IF($B$5="Y","---&gt;","...")</f>
        <v>...</v>
      </c>
      <c r="C19" s="1" t="str">
        <f>IF($B$5="Y",'Population Definitions'!$B$2,"...")</f>
        <v>...</v>
      </c>
      <c r="E19" s="2"/>
      <c r="F19" s="3"/>
      <c r="G19" s="2"/>
      <c r="H19" s="4" t="str">
        <f>IF($B$5="Y","OR","...")</f>
        <v>...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spans="1:100">
      <c r="A20" s="1" t="str">
        <f>IF($C$5="Y",'Population Definitions'!$B$2,"...")</f>
        <v>atsi_0-4_M</v>
      </c>
      <c r="B20" s="4" t="str">
        <f>IF($C$5="Y","---&gt;","...")</f>
        <v>---&gt;</v>
      </c>
      <c r="C20" s="1" t="str">
        <f>IF($C$5="Y",'Population Definitions'!$B$3,"...")</f>
        <v>atsi_5-14_M</v>
      </c>
      <c r="E20" s="3" t="s">
        <v>26</v>
      </c>
      <c r="F20" s="3"/>
      <c r="G20" s="3"/>
      <c r="H20" s="4" t="str">
        <f>IF($C$5="Y","OR","...")</f>
        <v>OR</v>
      </c>
      <c r="I20" s="3">
        <v>0.2160949242156704</v>
      </c>
      <c r="J20" s="3">
        <v>0.2139351015792358</v>
      </c>
      <c r="K20" s="3">
        <v>0.2145487349156134</v>
      </c>
      <c r="L20" s="3">
        <v>0.2101104837155991</v>
      </c>
      <c r="M20" s="3">
        <v>0.2077172408189971</v>
      </c>
      <c r="N20" s="3">
        <v>0.2103059970819297</v>
      </c>
      <c r="O20" s="3">
        <v>0.2070454454574276</v>
      </c>
      <c r="P20" s="3">
        <v>0.2061936918446946</v>
      </c>
      <c r="Q20" s="3">
        <v>0.20656926619802</v>
      </c>
      <c r="R20" s="3">
        <v>0.2053756584398584</v>
      </c>
      <c r="S20" s="3">
        <v>0.2024381410298517</v>
      </c>
      <c r="T20" s="3">
        <v>0.2002105171165001</v>
      </c>
      <c r="U20" s="3">
        <v>0.1995984377974767</v>
      </c>
      <c r="V20" s="3">
        <v>0.1975990743270749</v>
      </c>
      <c r="W20" s="3">
        <v>0.1975716339995217</v>
      </c>
      <c r="X20" s="3">
        <v>0.1960170447718829</v>
      </c>
      <c r="Y20" s="3">
        <v>0.1958038088015584</v>
      </c>
      <c r="Z20" s="3">
        <v>0.1944714522249944</v>
      </c>
      <c r="AA20" s="3">
        <v>0.1930696904644255</v>
      </c>
      <c r="AB20" s="3">
        <v>0.1918717061447141</v>
      </c>
      <c r="AC20" s="3">
        <v>0.1901016357593891</v>
      </c>
      <c r="AD20" s="3">
        <v>0.188563669651292</v>
      </c>
      <c r="AE20" s="3">
        <v>0.1880695893496049</v>
      </c>
      <c r="AF20" s="3">
        <v>0.1871234344850751</v>
      </c>
      <c r="AG20" s="3">
        <v>0.1857405311544726</v>
      </c>
      <c r="AH20" s="3">
        <v>0.1846869462701553</v>
      </c>
      <c r="AI20" s="3">
        <v>0.1839712876237297</v>
      </c>
      <c r="AJ20" s="3">
        <v>0.1840258877638462</v>
      </c>
      <c r="AK20" s="3">
        <v>0.184179450260361</v>
      </c>
      <c r="AL20" s="3">
        <v>0.1829886555371035</v>
      </c>
      <c r="AM20" s="3">
        <v>0.1822135954876679</v>
      </c>
      <c r="AN20" s="3">
        <v>0.2052677806547825</v>
      </c>
      <c r="AO20" s="3">
        <v>0.2091572683387304</v>
      </c>
      <c r="AP20" s="3">
        <v>0.207637592313432</v>
      </c>
      <c r="AQ20" s="3">
        <v>0.208155423857127</v>
      </c>
      <c r="AR20" s="3">
        <v>0.2054474121648494</v>
      </c>
      <c r="AS20" s="3">
        <v>0.2069533117420115</v>
      </c>
      <c r="AT20" s="3">
        <v>0.2102605224705638</v>
      </c>
      <c r="AU20" s="3">
        <v>0.2096990598693673</v>
      </c>
      <c r="AV20" s="3">
        <v>0.2117024150644813</v>
      </c>
      <c r="AW20" s="3">
        <v>0.2093965526815101</v>
      </c>
      <c r="AX20" s="3">
        <v>0.2071751474522905</v>
      </c>
      <c r="AY20" s="3">
        <v>0.203083831119716</v>
      </c>
      <c r="AZ20" s="3">
        <v>0.2016636026226006</v>
      </c>
      <c r="BA20" s="3">
        <v>0.1921782022708743</v>
      </c>
      <c r="BB20" s="3">
        <v>0.1865092328479636</v>
      </c>
      <c r="BC20" s="3">
        <v>0.2005620467823411</v>
      </c>
      <c r="BD20" s="3">
        <v>0.2014048574326149</v>
      </c>
      <c r="BE20" s="3">
        <v>0.2017176343600675</v>
      </c>
      <c r="BF20" s="3">
        <v>0.2020154661316717</v>
      </c>
      <c r="BG20" s="3">
        <v>0.2024730870125854</v>
      </c>
      <c r="BH20" s="3">
        <v>0.2028614954683195</v>
      </c>
      <c r="BI20" s="3">
        <v>0.2033521707622949</v>
      </c>
      <c r="BJ20" s="3">
        <v>0.2038148064106498</v>
      </c>
      <c r="BK20" s="3">
        <v>0.2042440040861462</v>
      </c>
      <c r="BL20" s="3">
        <v>0.20464328152831</v>
      </c>
      <c r="BM20" s="3">
        <v>0.204863535634205</v>
      </c>
      <c r="BN20" s="3">
        <v>0.2051988893260872</v>
      </c>
      <c r="BO20" s="3">
        <v>0.2056291278850458</v>
      </c>
      <c r="BP20" s="3">
        <v>0.2060494926340606</v>
      </c>
      <c r="BQ20" s="3">
        <v>0.2064977293541469</v>
      </c>
      <c r="BR20" s="3">
        <v>0.2069553815138735</v>
      </c>
      <c r="BS20" s="3">
        <v>0.2074341720150241</v>
      </c>
      <c r="BT20" s="3">
        <v>0.2078875812469917</v>
      </c>
      <c r="BU20" s="3">
        <v>0.2083179680097904</v>
      </c>
      <c r="BV20" s="3">
        <v>0.2086650423003613</v>
      </c>
      <c r="BW20" s="3">
        <v>0.2088884145885408</v>
      </c>
      <c r="BX20" s="3">
        <v>0.2090817841828612</v>
      </c>
      <c r="BY20" s="3">
        <v>0.2092006280528304</v>
      </c>
      <c r="BZ20" s="3">
        <v>0.2092783226031797</v>
      </c>
      <c r="CA20" s="3">
        <v>0.2093150531396546</v>
      </c>
      <c r="CB20" s="3">
        <v>0.2093059363012275</v>
      </c>
      <c r="CC20" s="3">
        <v>0.2092801017808616</v>
      </c>
      <c r="CD20" s="3">
        <v>0.2092587951034286</v>
      </c>
      <c r="CE20" s="3">
        <v>0.2091636695830928</v>
      </c>
      <c r="CF20" s="3">
        <v>0.2089724313361235</v>
      </c>
      <c r="CG20" s="3">
        <v>0.2087553067938769</v>
      </c>
      <c r="CH20" s="3">
        <v>0.2085861948730661</v>
      </c>
      <c r="CI20" s="3">
        <v>0.2083883888978362</v>
      </c>
      <c r="CJ20" s="3">
        <v>0.2081717205615448</v>
      </c>
      <c r="CK20" s="3">
        <v>0.207958428391654</v>
      </c>
      <c r="CL20" s="3">
        <v>0.207836828633292</v>
      </c>
      <c r="CM20" s="3">
        <v>0.2077563021391804</v>
      </c>
      <c r="CN20" s="3">
        <v>0.2077239798756453</v>
      </c>
      <c r="CO20" s="3">
        <v>0.2076976529537473</v>
      </c>
      <c r="CP20" s="3">
        <v>0.2076116978111345</v>
      </c>
      <c r="CQ20" s="3">
        <v>0.2075506676741232</v>
      </c>
      <c r="CR20" s="3">
        <v>0.2075866073025582</v>
      </c>
      <c r="CS20" s="3">
        <v>0.2076347819623083</v>
      </c>
      <c r="CT20" s="3">
        <v>0.207677890804134</v>
      </c>
      <c r="CU20" s="3">
        <v>0.2076946470259853</v>
      </c>
      <c r="CV20" s="3"/>
    </row>
    <row r="21" spans="1:100">
      <c r="A21" s="1" t="str">
        <f>IF($D$5="Y",'Population Definitions'!$B$2,"...")</f>
        <v>...</v>
      </c>
      <c r="B21" s="4" t="str">
        <f>IF($D$5="Y","---&gt;","...")</f>
        <v>...</v>
      </c>
      <c r="C21" s="1" t="str">
        <f>IF($D$5="Y",'Population Definitions'!$B$4,"...")</f>
        <v>...</v>
      </c>
      <c r="E21" s="2"/>
      <c r="F21" s="3"/>
      <c r="G21" s="2"/>
      <c r="H21" s="4" t="str">
        <f>IF($D$5="Y","OR","...")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spans="1:100">
      <c r="A22" s="1" t="str">
        <f>IF($E$5="Y",'Population Definitions'!$B$2,"...")</f>
        <v>...</v>
      </c>
      <c r="B22" s="4" t="str">
        <f>IF($E$5="Y","---&gt;","...")</f>
        <v>...</v>
      </c>
      <c r="C22" s="1" t="str">
        <f>IF($E$5="Y",'Population Definitions'!$B$5,"...")</f>
        <v>...</v>
      </c>
      <c r="E22" s="2"/>
      <c r="F22" s="3"/>
      <c r="G22" s="2"/>
      <c r="H22" s="4" t="str">
        <f>IF($E$5="Y","OR","...")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</row>
    <row r="23" spans="1:100">
      <c r="A23" s="1" t="str">
        <f>IF($F$5="Y",'Population Definitions'!$B$2,"...")</f>
        <v>...</v>
      </c>
      <c r="B23" s="4" t="str">
        <f>IF($F$5="Y","---&gt;","...")</f>
        <v>...</v>
      </c>
      <c r="C23" s="1" t="str">
        <f>IF($F$5="Y",'Population Definitions'!$B$6,"...")</f>
        <v>...</v>
      </c>
      <c r="E23" s="2"/>
      <c r="F23" s="3"/>
      <c r="G23" s="2"/>
      <c r="H23" s="4" t="str">
        <f>IF($F$5="Y","OR","...")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</row>
    <row r="24" spans="1:100">
      <c r="A24" s="1" t="str">
        <f>IF($G$5="Y",'Population Definitions'!$B$2,"...")</f>
        <v>...</v>
      </c>
      <c r="B24" s="4" t="str">
        <f>IF($G$5="Y","---&gt;","...")</f>
        <v>...</v>
      </c>
      <c r="C24" s="1" t="str">
        <f>IF($G$5="Y",'Population Definitions'!$B$7,"...")</f>
        <v>...</v>
      </c>
      <c r="E24" s="2"/>
      <c r="F24" s="3"/>
      <c r="G24" s="2"/>
      <c r="H24" s="4" t="str">
        <f>IF($G$5="Y","OR","...")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</row>
    <row r="25" spans="1:100">
      <c r="A25" s="1" t="str">
        <f>IF($H$5="Y",'Population Definitions'!$B$2,"...")</f>
        <v>...</v>
      </c>
      <c r="B25" s="4" t="str">
        <f>IF($H$5="Y","---&gt;","...")</f>
        <v>...</v>
      </c>
      <c r="C25" s="1" t="str">
        <f>IF($H$5="Y",'Population Definitions'!$B$8,"...")</f>
        <v>...</v>
      </c>
      <c r="E25" s="2"/>
      <c r="F25" s="3"/>
      <c r="G25" s="2"/>
      <c r="H25" s="4" t="str">
        <f>IF($H$5="Y","OR","...")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</row>
    <row r="26" spans="1:100">
      <c r="A26" s="1" t="str">
        <f>IF($I$5="Y",'Population Definitions'!$B$2,"...")</f>
        <v>...</v>
      </c>
      <c r="B26" s="4" t="str">
        <f>IF($I$5="Y","---&gt;","...")</f>
        <v>...</v>
      </c>
      <c r="C26" s="1" t="str">
        <f>IF($I$5="Y",'Population Definitions'!$B$9,"...")</f>
        <v>...</v>
      </c>
      <c r="E26" s="2"/>
      <c r="F26" s="3"/>
      <c r="G26" s="2"/>
      <c r="H26" s="4" t="str">
        <f>IF($I$5="Y","OR","...")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</row>
    <row r="27" spans="1:100">
      <c r="A27" s="1" t="str">
        <f>IF($J$5="Y",'Population Definitions'!$B$2,"...")</f>
        <v>...</v>
      </c>
      <c r="B27" s="4" t="str">
        <f>IF($J$5="Y","---&gt;","...")</f>
        <v>...</v>
      </c>
      <c r="C27" s="1" t="str">
        <f>IF($J$5="Y",'Population Definitions'!$B$10,"...")</f>
        <v>...</v>
      </c>
      <c r="E27" s="2"/>
      <c r="F27" s="3"/>
      <c r="G27" s="2"/>
      <c r="H27" s="4" t="str">
        <f>IF($J$5="Y","OR","...")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</row>
    <row r="28" spans="1:100">
      <c r="A28" s="1" t="str">
        <f>IF($K$5="Y",'Population Definitions'!$B$2,"...")</f>
        <v>...</v>
      </c>
      <c r="B28" s="4" t="str">
        <f>IF($K$5="Y","---&gt;","...")</f>
        <v>...</v>
      </c>
      <c r="C28" s="1" t="str">
        <f>IF($K$5="Y",'Population Definitions'!$B$11,"...")</f>
        <v>...</v>
      </c>
      <c r="E28" s="2"/>
      <c r="F28" s="3"/>
      <c r="G28" s="2"/>
      <c r="H28" s="4" t="str">
        <f>IF($K$5="Y","OR","...")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</row>
    <row r="29" spans="1:100">
      <c r="A29" s="1" t="str">
        <f>IF($L$5="Y",'Population Definitions'!$B$2,"...")</f>
        <v>...</v>
      </c>
      <c r="B29" s="4" t="str">
        <f>IF($L$5="Y","---&gt;","...")</f>
        <v>...</v>
      </c>
      <c r="C29" s="1" t="str">
        <f>IF($L$5="Y",'Population Definitions'!$B$12,"...")</f>
        <v>...</v>
      </c>
      <c r="E29" s="2"/>
      <c r="F29" s="3"/>
      <c r="G29" s="2"/>
      <c r="H29" s="4" t="str">
        <f>IF($L$5="Y","OR","...")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</row>
    <row r="30" spans="1:100">
      <c r="A30" s="1" t="str">
        <f>IF($M$5="Y",'Population Definitions'!$B$2,"...")</f>
        <v>...</v>
      </c>
      <c r="B30" s="4" t="str">
        <f>IF($M$5="Y","---&gt;","...")</f>
        <v>...</v>
      </c>
      <c r="C30" s="1" t="str">
        <f>IF($M$5="Y",'Population Definitions'!$B$13,"...")</f>
        <v>...</v>
      </c>
      <c r="E30" s="2"/>
      <c r="F30" s="3"/>
      <c r="G30" s="2"/>
      <c r="H30" s="4" t="str">
        <f>IF($M$5="Y","OR","...")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</row>
    <row r="31" spans="1:100">
      <c r="A31" s="1" t="str">
        <f>IF($B$6="Y",'Population Definitions'!$B$3,"...")</f>
        <v>...</v>
      </c>
      <c r="B31" s="4" t="str">
        <f>IF($B$6="Y","---&gt;","...")</f>
        <v>...</v>
      </c>
      <c r="C31" s="1" t="str">
        <f>IF($B$6="Y",'Population Definitions'!$B$2,"...")</f>
        <v>...</v>
      </c>
      <c r="E31" s="2"/>
      <c r="F31" s="3"/>
      <c r="G31" s="2"/>
      <c r="H31" s="4" t="str">
        <f>IF($B$6="Y","OR","...")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>
      <c r="A32" s="1" t="str">
        <f>IF($C$6="Y",'Population Definitions'!$B$3,"...")</f>
        <v>...</v>
      </c>
      <c r="B32" s="4" t="str">
        <f>IF($C$6="Y","---&gt;","...")</f>
        <v>...</v>
      </c>
      <c r="C32" s="1" t="str">
        <f>IF($C$6="Y",'Population Definitions'!$B$3,"...")</f>
        <v>...</v>
      </c>
      <c r="E32" s="2"/>
      <c r="F32" s="3"/>
      <c r="G32" s="2"/>
      <c r="H32" s="4" t="str">
        <f>IF($C$6="Y","OR","...")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>
      <c r="A33" s="1" t="str">
        <f>IF($D$6="Y",'Population Definitions'!$B$3,"...")</f>
        <v>atsi_5-14_M</v>
      </c>
      <c r="B33" s="4" t="str">
        <f>IF($D$6="Y","---&gt;","...")</f>
        <v>---&gt;</v>
      </c>
      <c r="C33" s="1" t="str">
        <f>IF($D$6="Y",'Population Definitions'!$B$4,"...")</f>
        <v>atsi_15-29_M</v>
      </c>
      <c r="E33" s="3" t="s">
        <v>26</v>
      </c>
      <c r="F33" s="3"/>
      <c r="G33" s="3"/>
      <c r="H33" s="4" t="str">
        <f>IF($D$6="Y","OR","...")</f>
        <v>OR</v>
      </c>
      <c r="I33" s="3">
        <v>0.1061194921796861</v>
      </c>
      <c r="J33" s="3">
        <v>0.1048497366439478</v>
      </c>
      <c r="K33" s="3">
        <v>0.1051002847319829</v>
      </c>
      <c r="L33" s="3">
        <v>0.1025887971451718</v>
      </c>
      <c r="M33" s="3">
        <v>0.101190207745579</v>
      </c>
      <c r="N33" s="3">
        <v>0.1027127690047883</v>
      </c>
      <c r="O33" s="3">
        <v>0.1007863318288483</v>
      </c>
      <c r="P33" s="3">
        <v>0.1003045615156792</v>
      </c>
      <c r="Q33" s="3">
        <v>0.1005139076390136</v>
      </c>
      <c r="R33" s="3">
        <v>0.09984247450663977</v>
      </c>
      <c r="S33" s="3">
        <v>0.09811605767144242</v>
      </c>
      <c r="T33" s="3">
        <v>0.09680598382391854</v>
      </c>
      <c r="U33" s="3">
        <v>0.09646009348778521</v>
      </c>
      <c r="V33" s="3">
        <v>0.09525737086662157</v>
      </c>
      <c r="W33" s="3">
        <v>0.0952379296836367</v>
      </c>
      <c r="X33" s="3">
        <v>0.09432711729071859</v>
      </c>
      <c r="Y33" s="3">
        <v>0.09416751685828108</v>
      </c>
      <c r="Z33" s="3">
        <v>0.09341627027800894</v>
      </c>
      <c r="AA33" s="3">
        <v>0.09257831771313957</v>
      </c>
      <c r="AB33" s="3">
        <v>0.09189299330491234</v>
      </c>
      <c r="AC33" s="3">
        <v>0.0908027244561488</v>
      </c>
      <c r="AD33" s="3">
        <v>0.08989101922120353</v>
      </c>
      <c r="AE33" s="3">
        <v>0.08959547742293482</v>
      </c>
      <c r="AF33" s="3">
        <v>0.08908772379362419</v>
      </c>
      <c r="AG33" s="3">
        <v>0.08821781803378623</v>
      </c>
      <c r="AH33" s="3">
        <v>0.0876261197451373</v>
      </c>
      <c r="AI33" s="3">
        <v>0.0871955628839821</v>
      </c>
      <c r="AJ33" s="3">
        <v>0.08725189099580111</v>
      </c>
      <c r="AK33" s="3">
        <v>0.08733710453041729</v>
      </c>
      <c r="AL33" s="3">
        <v>0.08661085511561685</v>
      </c>
      <c r="AM33" s="3">
        <v>0.08613070895832982</v>
      </c>
      <c r="AN33" s="3">
        <v>0.09439638954285622</v>
      </c>
      <c r="AO33" s="3">
        <v>0.09505646180268412</v>
      </c>
      <c r="AP33" s="3">
        <v>0.09357772197031092</v>
      </c>
      <c r="AQ33" s="3">
        <v>0.09308895264281636</v>
      </c>
      <c r="AR33" s="3">
        <v>0.09322330212728697</v>
      </c>
      <c r="AS33" s="3">
        <v>0.09234444978403399</v>
      </c>
      <c r="AT33" s="3">
        <v>0.09073387078514329</v>
      </c>
      <c r="AU33" s="3">
        <v>0.09084276632823507</v>
      </c>
      <c r="AV33" s="3">
        <v>0.09675442856986373</v>
      </c>
      <c r="AW33" s="3">
        <v>0.0971881395526656</v>
      </c>
      <c r="AX33" s="3">
        <v>0.1019625441377011</v>
      </c>
      <c r="AY33" s="3">
        <v>0.1051583089212679</v>
      </c>
      <c r="AZ33" s="3">
        <v>0.1050697158701345</v>
      </c>
      <c r="BA33" s="3">
        <v>0.1051813434635094</v>
      </c>
      <c r="BB33" s="3">
        <v>0.103811635327687</v>
      </c>
      <c r="BC33" s="3">
        <v>0.105214219513197</v>
      </c>
      <c r="BD33" s="3">
        <v>0.10620640321248</v>
      </c>
      <c r="BE33" s="3">
        <v>0.1051098492674756</v>
      </c>
      <c r="BF33" s="3">
        <v>0.10324283359353</v>
      </c>
      <c r="BG33" s="3">
        <v>0.1023102076631688</v>
      </c>
      <c r="BH33" s="3">
        <v>0.09926457104615108</v>
      </c>
      <c r="BI33" s="3">
        <v>0.09951490709360518</v>
      </c>
      <c r="BJ33" s="3">
        <v>0.09975681371838888</v>
      </c>
      <c r="BK33" s="3">
        <v>0.09998484775634969</v>
      </c>
      <c r="BL33" s="3">
        <v>0.1002017887030598</v>
      </c>
      <c r="BM33" s="3">
        <v>0.1003245598578829</v>
      </c>
      <c r="BN33" s="3">
        <v>0.1005134116657603</v>
      </c>
      <c r="BO33" s="3">
        <v>0.1007566764703633</v>
      </c>
      <c r="BP33" s="3">
        <v>0.1009985912697507</v>
      </c>
      <c r="BQ33" s="3">
        <v>0.1012563387230628</v>
      </c>
      <c r="BR33" s="3">
        <v>0.1015175553745647</v>
      </c>
      <c r="BS33" s="3">
        <v>0.1017913624060082</v>
      </c>
      <c r="BT33" s="3">
        <v>0.1020487282404414</v>
      </c>
      <c r="BU33" s="3">
        <v>0.1022898693933835</v>
      </c>
      <c r="BV33" s="3">
        <v>0.102482976537247</v>
      </c>
      <c r="BW33" s="3">
        <v>0.1026074252796815</v>
      </c>
      <c r="BX33" s="3">
        <v>0.102713734821126</v>
      </c>
      <c r="BY33" s="3">
        <v>0.1027758812163837</v>
      </c>
      <c r="BZ33" s="3">
        <v>0.1028149039106386</v>
      </c>
      <c r="CA33" s="3">
        <v>0.1028322267207067</v>
      </c>
      <c r="CB33" s="3">
        <v>0.1028275586073401</v>
      </c>
      <c r="CC33" s="3">
        <v>0.1028122595132834</v>
      </c>
      <c r="CD33" s="3">
        <v>0.1027995303037704</v>
      </c>
      <c r="CE33" s="3">
        <v>0.1027468290797295</v>
      </c>
      <c r="CF33" s="3">
        <v>0.1026415215305788</v>
      </c>
      <c r="CG33" s="3">
        <v>0.1025242475297274</v>
      </c>
      <c r="CH33" s="3">
        <v>0.1024330435923244</v>
      </c>
      <c r="CI33" s="3">
        <v>0.1023259854658446</v>
      </c>
      <c r="CJ33" s="3">
        <v>0.1022075960660345</v>
      </c>
      <c r="CK33" s="3">
        <v>0.102090240226132</v>
      </c>
      <c r="CL33" s="3">
        <v>0.1020262034523931</v>
      </c>
      <c r="CM33" s="3">
        <v>0.1019827167792936</v>
      </c>
      <c r="CN33" s="3">
        <v>0.1019682559052937</v>
      </c>
      <c r="CO33" s="3">
        <v>0.1019550354225529</v>
      </c>
      <c r="CP33" s="3">
        <v>0.1019076442256472</v>
      </c>
      <c r="CQ33" s="3">
        <v>0.1018738999475848</v>
      </c>
      <c r="CR33" s="3">
        <v>0.101895427058802</v>
      </c>
      <c r="CS33" s="3">
        <v>0.1019246936976537</v>
      </c>
      <c r="CT33" s="3">
        <v>0.1019487777988</v>
      </c>
      <c r="CU33" s="3">
        <v>0.1019578230517637</v>
      </c>
      <c r="CV33" s="3"/>
    </row>
    <row r="34" spans="1:100">
      <c r="A34" s="1" t="str">
        <f>IF($E$6="Y",'Population Definitions'!$B$3,"...")</f>
        <v>...</v>
      </c>
      <c r="B34" s="4" t="str">
        <f>IF($E$6="Y","---&gt;","...")</f>
        <v>...</v>
      </c>
      <c r="C34" s="1" t="str">
        <f>IF($E$6="Y",'Population Definitions'!$B$5,"...")</f>
        <v>...</v>
      </c>
      <c r="E34" s="2"/>
      <c r="F34" s="3"/>
      <c r="G34" s="2"/>
      <c r="H34" s="4" t="str">
        <f>IF($E$6="Y","OR","...")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>
      <c r="A35" s="1" t="str">
        <f>IF($F$6="Y",'Population Definitions'!$B$3,"...")</f>
        <v>...</v>
      </c>
      <c r="B35" s="4" t="str">
        <f>IF($F$6="Y","---&gt;","...")</f>
        <v>...</v>
      </c>
      <c r="C35" s="1" t="str">
        <f>IF($F$6="Y",'Population Definitions'!$B$6,"...")</f>
        <v>...</v>
      </c>
      <c r="E35" s="2"/>
      <c r="F35" s="3"/>
      <c r="G35" s="2"/>
      <c r="H35" s="4" t="str">
        <f>IF($F$6="Y","OR","...")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>
      <c r="A36" s="1" t="str">
        <f>IF($G$6="Y",'Population Definitions'!$B$3,"...")</f>
        <v>...</v>
      </c>
      <c r="B36" s="4" t="str">
        <f>IF($G$6="Y","---&gt;","...")</f>
        <v>...</v>
      </c>
      <c r="C36" s="1" t="str">
        <f>IF($G$6="Y",'Population Definitions'!$B$7,"...")</f>
        <v>...</v>
      </c>
      <c r="E36" s="2"/>
      <c r="F36" s="3"/>
      <c r="G36" s="2"/>
      <c r="H36" s="4" t="str">
        <f>IF($G$6="Y","OR","...")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>
      <c r="A37" s="1" t="str">
        <f>IF($H$6="Y",'Population Definitions'!$B$3,"...")</f>
        <v>...</v>
      </c>
      <c r="B37" s="4" t="str">
        <f>IF($H$6="Y","---&gt;","...")</f>
        <v>...</v>
      </c>
      <c r="C37" s="1" t="str">
        <f>IF($H$6="Y",'Population Definitions'!$B$8,"...")</f>
        <v>...</v>
      </c>
      <c r="E37" s="2"/>
      <c r="F37" s="3"/>
      <c r="G37" s="2"/>
      <c r="H37" s="4" t="str">
        <f>IF($H$6="Y","OR","...")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>
      <c r="A38" s="1" t="str">
        <f>IF($I$6="Y",'Population Definitions'!$B$3,"...")</f>
        <v>...</v>
      </c>
      <c r="B38" s="4" t="str">
        <f>IF($I$6="Y","---&gt;","...")</f>
        <v>...</v>
      </c>
      <c r="C38" s="1" t="str">
        <f>IF($I$6="Y",'Population Definitions'!$B$9,"...")</f>
        <v>...</v>
      </c>
      <c r="E38" s="2"/>
      <c r="F38" s="3"/>
      <c r="G38" s="2"/>
      <c r="H38" s="4" t="str">
        <f>IF($I$6="Y","OR","...")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>
      <c r="A39" s="1" t="str">
        <f>IF($J$6="Y",'Population Definitions'!$B$3,"...")</f>
        <v>...</v>
      </c>
      <c r="B39" s="4" t="str">
        <f>IF($J$6="Y","---&gt;","...")</f>
        <v>...</v>
      </c>
      <c r="C39" s="1" t="str">
        <f>IF($J$6="Y",'Population Definitions'!$B$10,"...")</f>
        <v>...</v>
      </c>
      <c r="E39" s="2"/>
      <c r="F39" s="3"/>
      <c r="G39" s="2"/>
      <c r="H39" s="4" t="str">
        <f>IF($J$6="Y","OR","...")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>
      <c r="A40" s="1" t="str">
        <f>IF($K$6="Y",'Population Definitions'!$B$3,"...")</f>
        <v>...</v>
      </c>
      <c r="B40" s="4" t="str">
        <f>IF($K$6="Y","---&gt;","...")</f>
        <v>...</v>
      </c>
      <c r="C40" s="1" t="str">
        <f>IF($K$6="Y",'Population Definitions'!$B$11,"...")</f>
        <v>...</v>
      </c>
      <c r="E40" s="2"/>
      <c r="F40" s="3"/>
      <c r="G40" s="2"/>
      <c r="H40" s="4" t="str">
        <f>IF($K$6="Y","OR","...")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>
      <c r="A41" s="1" t="str">
        <f>IF($L$6="Y",'Population Definitions'!$B$3,"...")</f>
        <v>...</v>
      </c>
      <c r="B41" s="4" t="str">
        <f>IF($L$6="Y","---&gt;","...")</f>
        <v>...</v>
      </c>
      <c r="C41" s="1" t="str">
        <f>IF($L$6="Y",'Population Definitions'!$B$12,"...")</f>
        <v>...</v>
      </c>
      <c r="E41" s="2"/>
      <c r="F41" s="3"/>
      <c r="G41" s="2"/>
      <c r="H41" s="4" t="str">
        <f>IF($L$6="Y","OR","...")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>
      <c r="A42" s="1" t="str">
        <f>IF($M$6="Y",'Population Definitions'!$B$3,"...")</f>
        <v>...</v>
      </c>
      <c r="B42" s="4" t="str">
        <f>IF($M$6="Y","---&gt;","...")</f>
        <v>...</v>
      </c>
      <c r="C42" s="1" t="str">
        <f>IF($M$6="Y",'Population Definitions'!$B$13,"...")</f>
        <v>...</v>
      </c>
      <c r="E42" s="2"/>
      <c r="F42" s="3"/>
      <c r="G42" s="2"/>
      <c r="H42" s="4" t="str">
        <f>IF($M$6="Y","OR","...")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>
      <c r="A43" s="1" t="str">
        <f>IF($B$7="Y",'Population Definitions'!$B$4,"...")</f>
        <v>...</v>
      </c>
      <c r="B43" s="4" t="str">
        <f>IF($B$7="Y","---&gt;","...")</f>
        <v>...</v>
      </c>
      <c r="C43" s="1" t="str">
        <f>IF($B$7="Y",'Population Definitions'!$B$2,"...")</f>
        <v>...</v>
      </c>
      <c r="E43" s="2"/>
      <c r="F43" s="3"/>
      <c r="G43" s="2"/>
      <c r="H43" s="4" t="str">
        <f>IF($B$7="Y","OR","...")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>
      <c r="A44" s="1" t="str">
        <f>IF($C$7="Y",'Population Definitions'!$B$4,"...")</f>
        <v>...</v>
      </c>
      <c r="B44" s="4" t="str">
        <f>IF($C$7="Y","---&gt;","...")</f>
        <v>...</v>
      </c>
      <c r="C44" s="1" t="str">
        <f>IF($C$7="Y",'Population Definitions'!$B$3,"...")</f>
        <v>...</v>
      </c>
      <c r="E44" s="2"/>
      <c r="F44" s="3"/>
      <c r="G44" s="2"/>
      <c r="H44" s="4" t="str">
        <f>IF($C$7="Y","OR","...")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>
      <c r="A45" s="1" t="str">
        <f>IF($D$7="Y",'Population Definitions'!$B$4,"...")</f>
        <v>...</v>
      </c>
      <c r="B45" s="4" t="str">
        <f>IF($D$7="Y","---&gt;","...")</f>
        <v>...</v>
      </c>
      <c r="C45" s="1" t="str">
        <f>IF($D$7="Y",'Population Definitions'!$B$4,"...")</f>
        <v>...</v>
      </c>
      <c r="E45" s="2"/>
      <c r="F45" s="3"/>
      <c r="G45" s="2"/>
      <c r="H45" s="4" t="str">
        <f>IF($D$7="Y","OR","...")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>
      <c r="A46" s="1" t="str">
        <f>IF($E$7="Y",'Population Definitions'!$B$4,"...")</f>
        <v>atsi_15-29_M</v>
      </c>
      <c r="B46" s="4" t="str">
        <f>IF($E$7="Y","---&gt;","...")</f>
        <v>---&gt;</v>
      </c>
      <c r="C46" s="1" t="str">
        <f>IF($E$7="Y",'Population Definitions'!$B$5,"...")</f>
        <v>atsi_30-49_M</v>
      </c>
      <c r="E46" s="3" t="s">
        <v>26</v>
      </c>
      <c r="F46" s="3"/>
      <c r="G46" s="3"/>
      <c r="H46" s="4" t="str">
        <f>IF($E$7="Y","OR","...")</f>
        <v>OR</v>
      </c>
      <c r="I46" s="3">
        <v>0.06800457144956318</v>
      </c>
      <c r="J46" s="3">
        <v>0.06700134607462893</v>
      </c>
      <c r="K46" s="3">
        <v>0.06705236875159343</v>
      </c>
      <c r="L46" s="3">
        <v>0.06506460467246546</v>
      </c>
      <c r="M46" s="3">
        <v>0.0642414835772171</v>
      </c>
      <c r="N46" s="3">
        <v>0.06512271484864311</v>
      </c>
      <c r="O46" s="3">
        <v>0.06353225334617298</v>
      </c>
      <c r="P46" s="3">
        <v>0.06318220623034969</v>
      </c>
      <c r="Q46" s="3">
        <v>0.06299993503395512</v>
      </c>
      <c r="R46" s="3">
        <v>0.06269184118736641</v>
      </c>
      <c r="S46" s="3">
        <v>0.06130776347537617</v>
      </c>
      <c r="T46" s="3">
        <v>0.06040013328891489</v>
      </c>
      <c r="U46" s="3">
        <v>0.06022778745328627</v>
      </c>
      <c r="V46" s="3">
        <v>0.05923051213235467</v>
      </c>
      <c r="W46" s="3">
        <v>0.0592084776934641</v>
      </c>
      <c r="X46" s="3">
        <v>0.05830548636214582</v>
      </c>
      <c r="Y46" s="3">
        <v>0.05813049840366939</v>
      </c>
      <c r="Z46" s="3">
        <v>0.05731672472686759</v>
      </c>
      <c r="AA46" s="3">
        <v>0.05654301639850311</v>
      </c>
      <c r="AB46" s="3">
        <v>0.05584138699606884</v>
      </c>
      <c r="AC46" s="3">
        <v>0.05528747600205405</v>
      </c>
      <c r="AD46" s="3">
        <v>0.05481348192957463</v>
      </c>
      <c r="AE46" s="3">
        <v>0.05470860712494854</v>
      </c>
      <c r="AF46" s="3">
        <v>0.05429331096346403</v>
      </c>
      <c r="AG46" s="3">
        <v>0.05379275835117128</v>
      </c>
      <c r="AH46" s="3">
        <v>0.05326323517042575</v>
      </c>
      <c r="AI46" s="3">
        <v>0.05303772946728681</v>
      </c>
      <c r="AJ46" s="3">
        <v>0.05309304433273877</v>
      </c>
      <c r="AK46" s="3">
        <v>0.05323385150863536</v>
      </c>
      <c r="AL46" s="3">
        <v>0.05266517490358904</v>
      </c>
      <c r="AM46" s="3">
        <v>0.05233314316953181</v>
      </c>
      <c r="AN46" s="3">
        <v>0.0555096277245935</v>
      </c>
      <c r="AO46" s="3">
        <v>0.05659555522611411</v>
      </c>
      <c r="AP46" s="3">
        <v>0.05657273427169651</v>
      </c>
      <c r="AQ46" s="3">
        <v>0.05519583018872291</v>
      </c>
      <c r="AR46" s="3">
        <v>0.05575743683485007</v>
      </c>
      <c r="AS46" s="3">
        <v>0.05516112035108011</v>
      </c>
      <c r="AT46" s="3">
        <v>0.0551382404641374</v>
      </c>
      <c r="AU46" s="3">
        <v>0.05681508663734079</v>
      </c>
      <c r="AV46" s="3">
        <v>0.05960890140450603</v>
      </c>
      <c r="AW46" s="3">
        <v>0.05994811406798686</v>
      </c>
      <c r="AX46" s="3">
        <v>0.05797182683572023</v>
      </c>
      <c r="AY46" s="3">
        <v>0.0595745514267297</v>
      </c>
      <c r="AZ46" s="3">
        <v>0.05850748147728654</v>
      </c>
      <c r="BA46" s="3">
        <v>0.06001846418579172</v>
      </c>
      <c r="BB46" s="3">
        <v>0.05921235587397089</v>
      </c>
      <c r="BC46" s="3">
        <v>0.05829185886712655</v>
      </c>
      <c r="BD46" s="3">
        <v>0.06002204828800724</v>
      </c>
      <c r="BE46" s="3">
        <v>0.05999097117627882</v>
      </c>
      <c r="BF46" s="3">
        <v>0.06007326261399279</v>
      </c>
      <c r="BG46" s="3">
        <v>0.06058254214166588</v>
      </c>
      <c r="BH46" s="3">
        <v>0.06049042024220184</v>
      </c>
      <c r="BI46" s="3">
        <v>0.06070001295204795</v>
      </c>
      <c r="BJ46" s="3">
        <v>0.06089878940886814</v>
      </c>
      <c r="BK46" s="3">
        <v>0.06108911511187626</v>
      </c>
      <c r="BL46" s="3">
        <v>0.06126862757302876</v>
      </c>
      <c r="BM46" s="3">
        <v>0.06138233749411995</v>
      </c>
      <c r="BN46" s="3">
        <v>0.06154279029857385</v>
      </c>
      <c r="BO46" s="3">
        <v>0.06174045851197663</v>
      </c>
      <c r="BP46" s="3">
        <v>0.06193941222591977</v>
      </c>
      <c r="BQ46" s="3">
        <v>0.06215087725988876</v>
      </c>
      <c r="BR46" s="3">
        <v>0.06236731403556539</v>
      </c>
      <c r="BS46" s="3">
        <v>0.06259122039316592</v>
      </c>
      <c r="BT46" s="3">
        <v>0.06280692083305139</v>
      </c>
      <c r="BU46" s="3">
        <v>0.0630045800539666</v>
      </c>
      <c r="BV46" s="3">
        <v>0.06316568535581941</v>
      </c>
      <c r="BW46" s="3">
        <v>0.06328009766768843</v>
      </c>
      <c r="BX46" s="3">
        <v>0.06337751982951285</v>
      </c>
      <c r="BY46" s="3">
        <v>0.06343451485130712</v>
      </c>
      <c r="BZ46" s="3">
        <v>0.06347881007115787</v>
      </c>
      <c r="CA46" s="3">
        <v>0.06350150697484162</v>
      </c>
      <c r="CB46" s="3">
        <v>0.06350853388162803</v>
      </c>
      <c r="CC46" s="3">
        <v>0.06351479962307717</v>
      </c>
      <c r="CD46" s="3">
        <v>0.0635164784466692</v>
      </c>
      <c r="CE46" s="3">
        <v>0.06348169553473297</v>
      </c>
      <c r="CF46" s="3">
        <v>0.06341190780214477</v>
      </c>
      <c r="CG46" s="3">
        <v>0.06333059452764599</v>
      </c>
      <c r="CH46" s="3">
        <v>0.06326914611314879</v>
      </c>
      <c r="CI46" s="3">
        <v>0.06319515581539122</v>
      </c>
      <c r="CJ46" s="3">
        <v>0.0631138059651942</v>
      </c>
      <c r="CK46" s="3">
        <v>0.06303141814066804</v>
      </c>
      <c r="CL46" s="3">
        <v>0.06298998185433355</v>
      </c>
      <c r="CM46" s="3">
        <v>0.06296403044873747</v>
      </c>
      <c r="CN46" s="3">
        <v>0.0629603538725467</v>
      </c>
      <c r="CO46" s="3">
        <v>0.06295716963632916</v>
      </c>
      <c r="CP46" s="3">
        <v>0.06292554647804546</v>
      </c>
      <c r="CQ46" s="3">
        <v>0.06290818146810956</v>
      </c>
      <c r="CR46" s="3">
        <v>0.06293478329537856</v>
      </c>
      <c r="CS46" s="3">
        <v>0.06296574300581777</v>
      </c>
      <c r="CT46" s="3">
        <v>0.06299078195129147</v>
      </c>
      <c r="CU46" s="3">
        <v>0.06300218682098492</v>
      </c>
      <c r="CV46" s="3"/>
    </row>
    <row r="47" spans="1:100">
      <c r="A47" s="1" t="str">
        <f>IF($F$7="Y",'Population Definitions'!$B$4,"...")</f>
        <v>...</v>
      </c>
      <c r="B47" s="4" t="str">
        <f>IF($F$7="Y","---&gt;","...")</f>
        <v>...</v>
      </c>
      <c r="C47" s="1" t="str">
        <f>IF($F$7="Y",'Population Definitions'!$B$6,"...")</f>
        <v>...</v>
      </c>
      <c r="E47" s="2"/>
      <c r="F47" s="3"/>
      <c r="G47" s="2"/>
      <c r="H47" s="4" t="str">
        <f>IF($F$7="Y","OR","...")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>
      <c r="A48" s="1" t="str">
        <f>IF($G$7="Y",'Population Definitions'!$B$4,"...")</f>
        <v>...</v>
      </c>
      <c r="B48" s="4" t="str">
        <f>IF($G$7="Y","---&gt;","...")</f>
        <v>...</v>
      </c>
      <c r="C48" s="1" t="str">
        <f>IF($G$7="Y",'Population Definitions'!$B$7,"...")</f>
        <v>...</v>
      </c>
      <c r="E48" s="2"/>
      <c r="F48" s="3"/>
      <c r="G48" s="2"/>
      <c r="H48" s="4" t="str">
        <f>IF($G$7="Y","OR","...")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>
      <c r="A49" s="1" t="str">
        <f>IF($H$7="Y",'Population Definitions'!$B$4,"...")</f>
        <v>...</v>
      </c>
      <c r="B49" s="4" t="str">
        <f>IF($H$7="Y","---&gt;","...")</f>
        <v>...</v>
      </c>
      <c r="C49" s="1" t="str">
        <f>IF($H$7="Y",'Population Definitions'!$B$8,"...")</f>
        <v>...</v>
      </c>
      <c r="E49" s="2"/>
      <c r="F49" s="3"/>
      <c r="G49" s="2"/>
      <c r="H49" s="4" t="str">
        <f>IF($H$7="Y","OR","...")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>
      <c r="A50" s="1" t="str">
        <f>IF($I$7="Y",'Population Definitions'!$B$4,"...")</f>
        <v>...</v>
      </c>
      <c r="B50" s="4" t="str">
        <f>IF($I$7="Y","---&gt;","...")</f>
        <v>...</v>
      </c>
      <c r="C50" s="1" t="str">
        <f>IF($I$7="Y",'Population Definitions'!$B$9,"...")</f>
        <v>...</v>
      </c>
      <c r="E50" s="2"/>
      <c r="F50" s="3"/>
      <c r="G50" s="2"/>
      <c r="H50" s="4" t="str">
        <f>IF($I$7="Y","OR","...")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>
      <c r="A51" s="1" t="str">
        <f>IF($J$7="Y",'Population Definitions'!$B$4,"...")</f>
        <v>...</v>
      </c>
      <c r="B51" s="4" t="str">
        <f>IF($J$7="Y","---&gt;","...")</f>
        <v>...</v>
      </c>
      <c r="C51" s="1" t="str">
        <f>IF($J$7="Y",'Population Definitions'!$B$10,"...")</f>
        <v>...</v>
      </c>
      <c r="E51" s="2"/>
      <c r="F51" s="3"/>
      <c r="G51" s="2"/>
      <c r="H51" s="4" t="str">
        <f>IF($J$7="Y","OR","...")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>
      <c r="A52" s="1" t="str">
        <f>IF($K$7="Y",'Population Definitions'!$B$4,"...")</f>
        <v>...</v>
      </c>
      <c r="B52" s="4" t="str">
        <f>IF($K$7="Y","---&gt;","...")</f>
        <v>...</v>
      </c>
      <c r="C52" s="1" t="str">
        <f>IF($K$7="Y",'Population Definitions'!$B$11,"...")</f>
        <v>...</v>
      </c>
      <c r="E52" s="2"/>
      <c r="F52" s="3"/>
      <c r="G52" s="2"/>
      <c r="H52" s="4" t="str">
        <f>IF($K$7="Y","OR","...")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>
      <c r="A53" s="1" t="str">
        <f>IF($L$7="Y",'Population Definitions'!$B$4,"...")</f>
        <v>...</v>
      </c>
      <c r="B53" s="4" t="str">
        <f>IF($L$7="Y","---&gt;","...")</f>
        <v>...</v>
      </c>
      <c r="C53" s="1" t="str">
        <f>IF($L$7="Y",'Population Definitions'!$B$12,"...")</f>
        <v>...</v>
      </c>
      <c r="E53" s="2"/>
      <c r="F53" s="3"/>
      <c r="G53" s="2"/>
      <c r="H53" s="4" t="str">
        <f>IF($L$7="Y","OR","...")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>
      <c r="A54" s="1" t="str">
        <f>IF($M$7="Y",'Population Definitions'!$B$4,"...")</f>
        <v>...</v>
      </c>
      <c r="B54" s="4" t="str">
        <f>IF($M$7="Y","---&gt;","...")</f>
        <v>...</v>
      </c>
      <c r="C54" s="1" t="str">
        <f>IF($M$7="Y",'Population Definitions'!$B$13,"...")</f>
        <v>...</v>
      </c>
      <c r="E54" s="2"/>
      <c r="F54" s="3"/>
      <c r="G54" s="2"/>
      <c r="H54" s="4" t="str">
        <f>IF($M$7="Y","OR","...")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>
      <c r="A55" s="1" t="str">
        <f>IF($B$8="Y",'Population Definitions'!$B$5,"...")</f>
        <v>...</v>
      </c>
      <c r="B55" s="4" t="str">
        <f>IF($B$8="Y","---&gt;","...")</f>
        <v>...</v>
      </c>
      <c r="C55" s="1" t="str">
        <f>IF($B$8="Y",'Population Definitions'!$B$2,"...")</f>
        <v>...</v>
      </c>
      <c r="E55" s="2"/>
      <c r="F55" s="3"/>
      <c r="G55" s="2"/>
      <c r="H55" s="4" t="str">
        <f>IF($B$8="Y","OR","...")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>
      <c r="A56" s="1" t="str">
        <f>IF($C$8="Y",'Population Definitions'!$B$5,"...")</f>
        <v>...</v>
      </c>
      <c r="B56" s="4" t="str">
        <f>IF($C$8="Y","---&gt;","...")</f>
        <v>...</v>
      </c>
      <c r="C56" s="1" t="str">
        <f>IF($C$8="Y",'Population Definitions'!$B$3,"...")</f>
        <v>...</v>
      </c>
      <c r="E56" s="2"/>
      <c r="F56" s="3"/>
      <c r="G56" s="2"/>
      <c r="H56" s="4" t="str">
        <f>IF($C$8="Y","OR","...")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>
      <c r="A57" s="1" t="str">
        <f>IF($D$8="Y",'Population Definitions'!$B$5,"...")</f>
        <v>...</v>
      </c>
      <c r="B57" s="4" t="str">
        <f>IF($D$8="Y","---&gt;","...")</f>
        <v>...</v>
      </c>
      <c r="C57" s="1" t="str">
        <f>IF($D$8="Y",'Population Definitions'!$B$4,"...")</f>
        <v>...</v>
      </c>
      <c r="E57" s="2"/>
      <c r="F57" s="3"/>
      <c r="G57" s="2"/>
      <c r="H57" s="4" t="str">
        <f>IF($D$8="Y","OR","...")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>
      <c r="A58" s="1" t="str">
        <f>IF($E$8="Y",'Population Definitions'!$B$5,"...")</f>
        <v>...</v>
      </c>
      <c r="B58" s="4" t="str">
        <f>IF($E$8="Y","---&gt;","...")</f>
        <v>...</v>
      </c>
      <c r="C58" s="1" t="str">
        <f>IF($E$8="Y",'Population Definitions'!$B$5,"...")</f>
        <v>...</v>
      </c>
      <c r="E58" s="2"/>
      <c r="F58" s="3"/>
      <c r="G58" s="2"/>
      <c r="H58" s="4" t="str">
        <f>IF($E$8="Y","OR","...")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>
      <c r="A59" s="1" t="str">
        <f>IF($F$8="Y",'Population Definitions'!$B$5,"...")</f>
        <v>atsi_30-49_M</v>
      </c>
      <c r="B59" s="4" t="str">
        <f>IF($F$8="Y","---&gt;","...")</f>
        <v>---&gt;</v>
      </c>
      <c r="C59" s="1" t="str">
        <f>IF($F$8="Y",'Population Definitions'!$B$6,"...")</f>
        <v>atsi_50-64_M</v>
      </c>
      <c r="E59" s="3" t="s">
        <v>26</v>
      </c>
      <c r="F59" s="3"/>
      <c r="G59" s="3"/>
      <c r="H59" s="4" t="str">
        <f>IF($F$8="Y","OR","...")</f>
        <v>OR</v>
      </c>
      <c r="I59" s="3">
        <v>0.04176705195034983</v>
      </c>
      <c r="J59" s="3">
        <v>0.04118846696742107</v>
      </c>
      <c r="K59" s="3">
        <v>0.04140492800520928</v>
      </c>
      <c r="L59" s="3">
        <v>0.04003345665167021</v>
      </c>
      <c r="M59" s="3">
        <v>0.03917522665976247</v>
      </c>
      <c r="N59" s="3">
        <v>0.04008279423394372</v>
      </c>
      <c r="O59" s="3">
        <v>0.03844167624613957</v>
      </c>
      <c r="P59" s="3">
        <v>0.0381786881491109</v>
      </c>
      <c r="Q59" s="3">
        <v>0.03775710424874505</v>
      </c>
      <c r="R59" s="3">
        <v>0.03759229411236598</v>
      </c>
      <c r="S59" s="3">
        <v>0.03619444571955228</v>
      </c>
      <c r="T59" s="3">
        <v>0.0352586345156573</v>
      </c>
      <c r="U59" s="3">
        <v>0.03521219710072072</v>
      </c>
      <c r="V59" s="3">
        <v>0.03420343093282013</v>
      </c>
      <c r="W59" s="3">
        <v>0.0341033348835752</v>
      </c>
      <c r="X59" s="3">
        <v>0.03309224816010899</v>
      </c>
      <c r="Y59" s="3">
        <v>0.0329540898664788</v>
      </c>
      <c r="Z59" s="3">
        <v>0.03228097826413063</v>
      </c>
      <c r="AA59" s="3">
        <v>0.0313725276748902</v>
      </c>
      <c r="AB59" s="3">
        <v>0.03082462084087536</v>
      </c>
      <c r="AC59" s="3">
        <v>0.0302680613427598</v>
      </c>
      <c r="AD59" s="3">
        <v>0.03001313217329269</v>
      </c>
      <c r="AE59" s="3">
        <v>0.02997777237905016</v>
      </c>
      <c r="AF59" s="3">
        <v>0.02950696852455368</v>
      </c>
      <c r="AG59" s="3">
        <v>0.02921038916482747</v>
      </c>
      <c r="AH59" s="3">
        <v>0.02859841855706029</v>
      </c>
      <c r="AI59" s="3">
        <v>0.02853650393099203</v>
      </c>
      <c r="AJ59" s="3">
        <v>0.0286394727552623</v>
      </c>
      <c r="AK59" s="3">
        <v>0.02872685342808598</v>
      </c>
      <c r="AL59" s="3">
        <v>0.02813413948033189</v>
      </c>
      <c r="AM59" s="3">
        <v>0.0278513005860195</v>
      </c>
      <c r="AN59" s="3">
        <v>0.04537696379213665</v>
      </c>
      <c r="AO59" s="3">
        <v>0.04470043035440649</v>
      </c>
      <c r="AP59" s="3">
        <v>0.04493681833897936</v>
      </c>
      <c r="AQ59" s="3">
        <v>0.04493983885776592</v>
      </c>
      <c r="AR59" s="3">
        <v>0.04461634915659102</v>
      </c>
      <c r="AS59" s="3">
        <v>0.04536367765525784</v>
      </c>
      <c r="AT59" s="3">
        <v>0.04577418208992806</v>
      </c>
      <c r="AU59" s="3">
        <v>0.04544701796946075</v>
      </c>
      <c r="AV59" s="3">
        <v>0.04939062509554907</v>
      </c>
      <c r="AW59" s="3">
        <v>0.05103310682492363</v>
      </c>
      <c r="AX59" s="3">
        <v>0.04911497192826995</v>
      </c>
      <c r="AY59" s="3">
        <v>0.04694071854818713</v>
      </c>
      <c r="AZ59" s="3">
        <v>0.04390090236244518</v>
      </c>
      <c r="BA59" s="3">
        <v>0.0418750494935755</v>
      </c>
      <c r="BB59" s="3">
        <v>0.04144450888637341</v>
      </c>
      <c r="BC59" s="3">
        <v>0.03916074846928341</v>
      </c>
      <c r="BD59" s="3">
        <v>0.03739539319775692</v>
      </c>
      <c r="BE59" s="3">
        <v>0.03752183418582988</v>
      </c>
      <c r="BF59" s="3">
        <v>0.03688998193900245</v>
      </c>
      <c r="BG59" s="3">
        <v>0.03880280625022503</v>
      </c>
      <c r="BH59" s="3">
        <v>0.03857026569618921</v>
      </c>
      <c r="BI59" s="3">
        <v>0.03875598273025116</v>
      </c>
      <c r="BJ59" s="3">
        <v>0.03893074378700149</v>
      </c>
      <c r="BK59" s="3">
        <v>0.03909580274299877</v>
      </c>
      <c r="BL59" s="3">
        <v>0.03925185557724037</v>
      </c>
      <c r="BM59" s="3">
        <v>0.03934389243964172</v>
      </c>
      <c r="BN59" s="3">
        <v>0.039490060317579</v>
      </c>
      <c r="BO59" s="3">
        <v>0.03966494050538384</v>
      </c>
      <c r="BP59" s="3">
        <v>0.03985143292380474</v>
      </c>
      <c r="BQ59" s="3">
        <v>0.04005132835937657</v>
      </c>
      <c r="BR59" s="3">
        <v>0.04025758299162454</v>
      </c>
      <c r="BS59" s="3">
        <v>0.04046902224105421</v>
      </c>
      <c r="BT59" s="3">
        <v>0.0406744673262362</v>
      </c>
      <c r="BU59" s="3">
        <v>0.0408539809816694</v>
      </c>
      <c r="BV59" s="3">
        <v>0.04100685479918108</v>
      </c>
      <c r="BW59" s="3">
        <v>0.04111145070569058</v>
      </c>
      <c r="BX59" s="3">
        <v>0.04118432715819479</v>
      </c>
      <c r="BY59" s="3">
        <v>0.0412216808156601</v>
      </c>
      <c r="BZ59" s="3">
        <v>0.04124943569847575</v>
      </c>
      <c r="CA59" s="3">
        <v>0.04125799036222241</v>
      </c>
      <c r="CB59" s="3">
        <v>0.04124720858406489</v>
      </c>
      <c r="CC59" s="3">
        <v>0.04123988382777508</v>
      </c>
      <c r="CD59" s="3">
        <v>0.04122191105112951</v>
      </c>
      <c r="CE59" s="3">
        <v>0.04117713919853568</v>
      </c>
      <c r="CF59" s="3">
        <v>0.04110541239539208</v>
      </c>
      <c r="CG59" s="3">
        <v>0.04102539097359329</v>
      </c>
      <c r="CH59" s="3">
        <v>0.04095955715708998</v>
      </c>
      <c r="CI59" s="3">
        <v>0.04089513035676749</v>
      </c>
      <c r="CJ59" s="3">
        <v>0.04082872157944754</v>
      </c>
      <c r="CK59" s="3">
        <v>0.04075295879704539</v>
      </c>
      <c r="CL59" s="3">
        <v>0.04071532505042864</v>
      </c>
      <c r="CM59" s="3">
        <v>0.04070305974130799</v>
      </c>
      <c r="CN59" s="3">
        <v>0.04071227786138034</v>
      </c>
      <c r="CO59" s="3">
        <v>0.04071689721103719</v>
      </c>
      <c r="CP59" s="3">
        <v>0.04070038348815351</v>
      </c>
      <c r="CQ59" s="3">
        <v>0.04069780209632411</v>
      </c>
      <c r="CR59" s="3">
        <v>0.04073433965982295</v>
      </c>
      <c r="CS59" s="3">
        <v>0.04077840614455913</v>
      </c>
      <c r="CT59" s="3">
        <v>0.04081061921187017</v>
      </c>
      <c r="CU59" s="3">
        <v>0.04083182299174935</v>
      </c>
      <c r="CV59" s="3"/>
    </row>
    <row r="60" spans="1:100">
      <c r="A60" s="1" t="str">
        <f>IF($G$8="Y",'Population Definitions'!$B$5,"...")</f>
        <v>...</v>
      </c>
      <c r="B60" s="4" t="str">
        <f>IF($G$8="Y","---&gt;","...")</f>
        <v>...</v>
      </c>
      <c r="C60" s="1" t="str">
        <f>IF($G$8="Y",'Population Definitions'!$B$7,"...")</f>
        <v>...</v>
      </c>
      <c r="E60" s="2"/>
      <c r="F60" s="3"/>
      <c r="G60" s="2"/>
      <c r="H60" s="4" t="str">
        <f>IF($G$8="Y","OR","...")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>
      <c r="A61" s="1" t="str">
        <f>IF($H$8="Y",'Population Definitions'!$B$5,"...")</f>
        <v>...</v>
      </c>
      <c r="B61" s="4" t="str">
        <f>IF($H$8="Y","---&gt;","...")</f>
        <v>...</v>
      </c>
      <c r="C61" s="1" t="str">
        <f>IF($H$8="Y",'Population Definitions'!$B$8,"...")</f>
        <v>...</v>
      </c>
      <c r="E61" s="2"/>
      <c r="F61" s="3"/>
      <c r="G61" s="2"/>
      <c r="H61" s="4" t="str">
        <f>IF($H$8="Y","OR","...")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>
      <c r="A62" s="1" t="str">
        <f>IF($I$8="Y",'Population Definitions'!$B$5,"...")</f>
        <v>...</v>
      </c>
      <c r="B62" s="4" t="str">
        <f>IF($I$8="Y","---&gt;","...")</f>
        <v>...</v>
      </c>
      <c r="C62" s="1" t="str">
        <f>IF($I$8="Y",'Population Definitions'!$B$9,"...")</f>
        <v>...</v>
      </c>
      <c r="E62" s="2"/>
      <c r="F62" s="3"/>
      <c r="G62" s="2"/>
      <c r="H62" s="4" t="str">
        <f>IF($I$8="Y","OR","...")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>
      <c r="A63" s="1" t="str">
        <f>IF($J$8="Y",'Population Definitions'!$B$5,"...")</f>
        <v>...</v>
      </c>
      <c r="B63" s="4" t="str">
        <f>IF($J$8="Y","---&gt;","...")</f>
        <v>...</v>
      </c>
      <c r="C63" s="1" t="str">
        <f>IF($J$8="Y",'Population Definitions'!$B$10,"...")</f>
        <v>...</v>
      </c>
      <c r="E63" s="2"/>
      <c r="F63" s="3"/>
      <c r="G63" s="2"/>
      <c r="H63" s="4" t="str">
        <f>IF($J$8="Y","OR","...")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>
      <c r="A64" s="1" t="str">
        <f>IF($K$8="Y",'Population Definitions'!$B$5,"...")</f>
        <v>...</v>
      </c>
      <c r="B64" s="4" t="str">
        <f>IF($K$8="Y","---&gt;","...")</f>
        <v>...</v>
      </c>
      <c r="C64" s="1" t="str">
        <f>IF($K$8="Y",'Population Definitions'!$B$11,"...")</f>
        <v>...</v>
      </c>
      <c r="E64" s="2"/>
      <c r="F64" s="3"/>
      <c r="G64" s="2"/>
      <c r="H64" s="4" t="str">
        <f>IF($K$8="Y","OR","...")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>
      <c r="A65" s="1" t="str">
        <f>IF($L$8="Y",'Population Definitions'!$B$5,"...")</f>
        <v>...</v>
      </c>
      <c r="B65" s="4" t="str">
        <f>IF($L$8="Y","---&gt;","...")</f>
        <v>...</v>
      </c>
      <c r="C65" s="1" t="str">
        <f>IF($L$8="Y",'Population Definitions'!$B$12,"...")</f>
        <v>...</v>
      </c>
      <c r="E65" s="2"/>
      <c r="F65" s="3"/>
      <c r="G65" s="2"/>
      <c r="H65" s="4" t="str">
        <f>IF($L$8="Y","OR","...")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>
      <c r="A66" s="1" t="str">
        <f>IF($M$8="Y",'Population Definitions'!$B$5,"...")</f>
        <v>...</v>
      </c>
      <c r="B66" s="4" t="str">
        <f>IF($M$8="Y","---&gt;","...")</f>
        <v>...</v>
      </c>
      <c r="C66" s="1" t="str">
        <f>IF($M$8="Y",'Population Definitions'!$B$13,"...")</f>
        <v>...</v>
      </c>
      <c r="E66" s="2"/>
      <c r="F66" s="3"/>
      <c r="G66" s="2"/>
      <c r="H66" s="4" t="str">
        <f>IF($M$8="Y","OR","...")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>
      <c r="A67" s="1" t="str">
        <f>IF($B$9="Y",'Population Definitions'!$B$6,"...")</f>
        <v>...</v>
      </c>
      <c r="B67" s="4" t="str">
        <f>IF($B$9="Y","---&gt;","...")</f>
        <v>...</v>
      </c>
      <c r="C67" s="1" t="str">
        <f>IF($B$9="Y",'Population Definitions'!$B$2,"...")</f>
        <v>...</v>
      </c>
      <c r="E67" s="2"/>
      <c r="F67" s="3"/>
      <c r="G67" s="2"/>
      <c r="H67" s="4" t="str">
        <f>IF($B$9="Y","OR","...")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>
      <c r="A68" s="1" t="str">
        <f>IF($C$9="Y",'Population Definitions'!$B$6,"...")</f>
        <v>...</v>
      </c>
      <c r="B68" s="4" t="str">
        <f>IF($C$9="Y","---&gt;","...")</f>
        <v>...</v>
      </c>
      <c r="C68" s="1" t="str">
        <f>IF($C$9="Y",'Population Definitions'!$B$3,"...")</f>
        <v>...</v>
      </c>
      <c r="E68" s="2"/>
      <c r="F68" s="3"/>
      <c r="G68" s="2"/>
      <c r="H68" s="4" t="str">
        <f>IF($C$9="Y","OR","...")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>
      <c r="A69" s="1" t="str">
        <f>IF($D$9="Y",'Population Definitions'!$B$6,"...")</f>
        <v>...</v>
      </c>
      <c r="B69" s="4" t="str">
        <f>IF($D$9="Y","---&gt;","...")</f>
        <v>...</v>
      </c>
      <c r="C69" s="1" t="str">
        <f>IF($D$9="Y",'Population Definitions'!$B$4,"...")</f>
        <v>...</v>
      </c>
      <c r="E69" s="2"/>
      <c r="F69" s="3"/>
      <c r="G69" s="2"/>
      <c r="H69" s="4" t="str">
        <f>IF($D$9="Y","OR","...")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>
      <c r="A70" s="1" t="str">
        <f>IF($E$9="Y",'Population Definitions'!$B$6,"...")</f>
        <v>...</v>
      </c>
      <c r="B70" s="4" t="str">
        <f>IF($E$9="Y","---&gt;","...")</f>
        <v>...</v>
      </c>
      <c r="C70" s="1" t="str">
        <f>IF($E$9="Y",'Population Definitions'!$B$5,"...")</f>
        <v>...</v>
      </c>
      <c r="E70" s="2"/>
      <c r="F70" s="3"/>
      <c r="G70" s="2"/>
      <c r="H70" s="4" t="str">
        <f>IF($E$9="Y","OR","...")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>
      <c r="A71" s="1" t="str">
        <f>IF($F$9="Y",'Population Definitions'!$B$6,"...")</f>
        <v>...</v>
      </c>
      <c r="B71" s="4" t="str">
        <f>IF($F$9="Y","---&gt;","...")</f>
        <v>...</v>
      </c>
      <c r="C71" s="1" t="str">
        <f>IF($F$9="Y",'Population Definitions'!$B$6,"...")</f>
        <v>...</v>
      </c>
      <c r="E71" s="2"/>
      <c r="F71" s="3"/>
      <c r="G71" s="2"/>
      <c r="H71" s="4" t="str">
        <f>IF($F$9="Y","OR","...")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>
      <c r="A72" s="1" t="str">
        <f>IF($G$9="Y",'Population Definitions'!$B$6,"...")</f>
        <v>atsi_50-64_M</v>
      </c>
      <c r="B72" s="4" t="str">
        <f>IF($G$9="Y","---&gt;","...")</f>
        <v>---&gt;</v>
      </c>
      <c r="C72" s="1" t="str">
        <f>IF($G$9="Y",'Population Definitions'!$B$7,"...")</f>
        <v>atsi_65+_M</v>
      </c>
      <c r="E72" s="3" t="s">
        <v>26</v>
      </c>
      <c r="F72" s="3"/>
      <c r="G72" s="3"/>
      <c r="H72" s="4" t="str">
        <f>IF($G$9="Y","OR","...")</f>
        <v>OR</v>
      </c>
      <c r="I72" s="3">
        <v>0.03789977285266706</v>
      </c>
      <c r="J72" s="3">
        <v>0.0375904253930688</v>
      </c>
      <c r="K72" s="3">
        <v>0.03840032713263413</v>
      </c>
      <c r="L72" s="3">
        <v>0.03632353837591105</v>
      </c>
      <c r="M72" s="3">
        <v>0.03580650418531645</v>
      </c>
      <c r="N72" s="3">
        <v>0.03717459206925146</v>
      </c>
      <c r="O72" s="3">
        <v>0.03522977152390995</v>
      </c>
      <c r="P72" s="3">
        <v>0.03528431035005686</v>
      </c>
      <c r="Q72" s="3">
        <v>0.03516127601600464</v>
      </c>
      <c r="R72" s="3">
        <v>0.03572612139694804</v>
      </c>
      <c r="S72" s="3">
        <v>0.0337960056131956</v>
      </c>
      <c r="T72" s="3">
        <v>0.0330887769992647</v>
      </c>
      <c r="U72" s="3">
        <v>0.03362819354199346</v>
      </c>
      <c r="V72" s="3">
        <v>0.03271467393119742</v>
      </c>
      <c r="W72" s="3">
        <v>0.03343950627992469</v>
      </c>
      <c r="X72" s="3">
        <v>0.03231483769924905</v>
      </c>
      <c r="Y72" s="3">
        <v>0.0326528181708659</v>
      </c>
      <c r="Z72" s="3">
        <v>0.03191060988112891</v>
      </c>
      <c r="AA72" s="3">
        <v>0.0311852665383379</v>
      </c>
      <c r="AB72" s="3">
        <v>0.03081196637614578</v>
      </c>
      <c r="AC72" s="3">
        <v>0.03036482529663323</v>
      </c>
      <c r="AD72" s="3">
        <v>0.02978880252186293</v>
      </c>
      <c r="AE72" s="3">
        <v>0.03028270701222059</v>
      </c>
      <c r="AF72" s="3">
        <v>0.02952718079040339</v>
      </c>
      <c r="AG72" s="3">
        <v>0.02920527630352941</v>
      </c>
      <c r="AH72" s="3">
        <v>0.02815760937905329</v>
      </c>
      <c r="AI72" s="3">
        <v>0.02826250696348256</v>
      </c>
      <c r="AJ72" s="3">
        <v>0.0282547537999082</v>
      </c>
      <c r="AK72" s="3">
        <v>0.02871454388145553</v>
      </c>
      <c r="AL72" s="3">
        <v>0.02747895229245269</v>
      </c>
      <c r="AM72" s="3">
        <v>0.02721499817974834</v>
      </c>
      <c r="AN72" s="3">
        <v>0.04489618137693881</v>
      </c>
      <c r="AO72" s="3">
        <v>0.04544621436046112</v>
      </c>
      <c r="AP72" s="3">
        <v>0.04226613625583142</v>
      </c>
      <c r="AQ72" s="3">
        <v>0.04514130999125051</v>
      </c>
      <c r="AR72" s="3">
        <v>0.04662242963455673</v>
      </c>
      <c r="AS72" s="3">
        <v>0.04683223844262793</v>
      </c>
      <c r="AT72" s="3">
        <v>0.04736167411342397</v>
      </c>
      <c r="AU72" s="3">
        <v>0.04659253040996481</v>
      </c>
      <c r="AV72" s="3">
        <v>0.05087091944607172</v>
      </c>
      <c r="AW72" s="3">
        <v>0.04961697448439573</v>
      </c>
      <c r="AX72" s="3">
        <v>0.05017151417839083</v>
      </c>
      <c r="AY72" s="3">
        <v>0.04927002970883069</v>
      </c>
      <c r="AZ72" s="3">
        <v>0.0508150420996652</v>
      </c>
      <c r="BA72" s="3">
        <v>0.05237997725341324</v>
      </c>
      <c r="BB72" s="3">
        <v>0.05604473034054456</v>
      </c>
      <c r="BC72" s="3">
        <v>0.05604092803297971</v>
      </c>
      <c r="BD72" s="3">
        <v>0.05660171231512304</v>
      </c>
      <c r="BE72" s="3">
        <v>0.05794237393157677</v>
      </c>
      <c r="BF72" s="3">
        <v>0.05818708563456432</v>
      </c>
      <c r="BG72" s="3">
        <v>0.05849906453498796</v>
      </c>
      <c r="BH72" s="3">
        <v>0.05981687279894474</v>
      </c>
      <c r="BI72" s="3">
        <v>0.06040677127779763</v>
      </c>
      <c r="BJ72" s="3">
        <v>0.06098564112298022</v>
      </c>
      <c r="BK72" s="3">
        <v>0.06154181686534384</v>
      </c>
      <c r="BL72" s="3">
        <v>0.0620734529362443</v>
      </c>
      <c r="BM72" s="3">
        <v>0.06248712217478454</v>
      </c>
      <c r="BN72" s="3">
        <v>0.06299509591493078</v>
      </c>
      <c r="BO72" s="3">
        <v>0.06353701240383988</v>
      </c>
      <c r="BP72" s="3">
        <v>0.06408333676418931</v>
      </c>
      <c r="BQ72" s="3">
        <v>0.06463746397682416</v>
      </c>
      <c r="BR72" s="3">
        <v>0.06518044912062722</v>
      </c>
      <c r="BS72" s="3">
        <v>0.06571518750019029</v>
      </c>
      <c r="BT72" s="3">
        <v>0.06621806447744928</v>
      </c>
      <c r="BU72" s="3">
        <v>0.06664933881867387</v>
      </c>
      <c r="BV72" s="3">
        <v>0.06702237431283339</v>
      </c>
      <c r="BW72" s="3">
        <v>0.06728470132114664</v>
      </c>
      <c r="BX72" s="3">
        <v>0.0674687339543987</v>
      </c>
      <c r="BY72" s="3">
        <v>0.0675739262539931</v>
      </c>
      <c r="BZ72" s="3">
        <v>0.06765922398377626</v>
      </c>
      <c r="CA72" s="3">
        <v>0.0677102567715699</v>
      </c>
      <c r="CB72" s="3">
        <v>0.06772572567496167</v>
      </c>
      <c r="CC72" s="3">
        <v>0.06772739675245604</v>
      </c>
      <c r="CD72" s="3">
        <v>0.06770610012739231</v>
      </c>
      <c r="CE72" s="3">
        <v>0.06764072780780928</v>
      </c>
      <c r="CF72" s="3">
        <v>0.06752856492101179</v>
      </c>
      <c r="CG72" s="3">
        <v>0.06740678551292913</v>
      </c>
      <c r="CH72" s="3">
        <v>0.06731392523363021</v>
      </c>
      <c r="CI72" s="3">
        <v>0.06721897521905099</v>
      </c>
      <c r="CJ72" s="3">
        <v>0.06711946092753011</v>
      </c>
      <c r="CK72" s="3">
        <v>0.0670043954425063</v>
      </c>
      <c r="CL72" s="3">
        <v>0.06695438639216816</v>
      </c>
      <c r="CM72" s="3">
        <v>0.06695337742297755</v>
      </c>
      <c r="CN72" s="3">
        <v>0.06698726367551283</v>
      </c>
      <c r="CO72" s="3">
        <v>0.06700696601857611</v>
      </c>
      <c r="CP72" s="3">
        <v>0.06699094386901161</v>
      </c>
      <c r="CQ72" s="3">
        <v>0.06699688808910269</v>
      </c>
      <c r="CR72" s="3">
        <v>0.06707801646015289</v>
      </c>
      <c r="CS72" s="3">
        <v>0.06716683302432867</v>
      </c>
      <c r="CT72" s="3">
        <v>0.06723658024417314</v>
      </c>
      <c r="CU72" s="3">
        <v>0.06728992928122608</v>
      </c>
      <c r="CV72" s="3"/>
    </row>
    <row r="73" spans="1:100">
      <c r="A73" s="1" t="str">
        <f>IF($H$9="Y",'Population Definitions'!$B$6,"...")</f>
        <v>...</v>
      </c>
      <c r="B73" s="4" t="str">
        <f>IF($H$9="Y","---&gt;","...")</f>
        <v>...</v>
      </c>
      <c r="C73" s="1" t="str">
        <f>IF($H$9="Y",'Population Definitions'!$B$8,"...")</f>
        <v>...</v>
      </c>
      <c r="E73" s="2"/>
      <c r="F73" s="3"/>
      <c r="G73" s="2"/>
      <c r="H73" s="4" t="str">
        <f>IF($H$9="Y","OR","...")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>
      <c r="A74" s="1" t="str">
        <f>IF($I$9="Y",'Population Definitions'!$B$6,"...")</f>
        <v>...</v>
      </c>
      <c r="B74" s="4" t="str">
        <f>IF($I$9="Y","---&gt;","...")</f>
        <v>...</v>
      </c>
      <c r="C74" s="1" t="str">
        <f>IF($I$9="Y",'Population Definitions'!$B$9,"...")</f>
        <v>...</v>
      </c>
      <c r="E74" s="2"/>
      <c r="F74" s="3"/>
      <c r="G74" s="2"/>
      <c r="H74" s="4" t="str">
        <f>IF($I$9="Y","OR","...")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>
      <c r="A75" s="1" t="str">
        <f>IF($J$9="Y",'Population Definitions'!$B$6,"...")</f>
        <v>...</v>
      </c>
      <c r="B75" s="4" t="str">
        <f>IF($J$9="Y","---&gt;","...")</f>
        <v>...</v>
      </c>
      <c r="C75" s="1" t="str">
        <f>IF($J$9="Y",'Population Definitions'!$B$10,"...")</f>
        <v>...</v>
      </c>
      <c r="E75" s="2"/>
      <c r="F75" s="3"/>
      <c r="G75" s="2"/>
      <c r="H75" s="4" t="str">
        <f>IF($J$9="Y","OR","...")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>
      <c r="A76" s="1" t="str">
        <f>IF($K$9="Y",'Population Definitions'!$B$6,"...")</f>
        <v>...</v>
      </c>
      <c r="B76" s="4" t="str">
        <f>IF($K$9="Y","---&gt;","...")</f>
        <v>...</v>
      </c>
      <c r="C76" s="1" t="str">
        <f>IF($K$9="Y",'Population Definitions'!$B$11,"...")</f>
        <v>...</v>
      </c>
      <c r="E76" s="2"/>
      <c r="F76" s="3"/>
      <c r="G76" s="2"/>
      <c r="H76" s="4" t="str">
        <f>IF($K$9="Y","OR","...")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>
      <c r="A77" s="1" t="str">
        <f>IF($L$9="Y",'Population Definitions'!$B$6,"...")</f>
        <v>...</v>
      </c>
      <c r="B77" s="4" t="str">
        <f>IF($L$9="Y","---&gt;","...")</f>
        <v>...</v>
      </c>
      <c r="C77" s="1" t="str">
        <f>IF($L$9="Y",'Population Definitions'!$B$12,"...")</f>
        <v>...</v>
      </c>
      <c r="E77" s="2"/>
      <c r="F77" s="3"/>
      <c r="G77" s="2"/>
      <c r="H77" s="4" t="str">
        <f>IF($L$9="Y","OR","...")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>
      <c r="A78" s="1" t="str">
        <f>IF($M$9="Y",'Population Definitions'!$B$6,"...")</f>
        <v>...</v>
      </c>
      <c r="B78" s="4" t="str">
        <f>IF($M$9="Y","---&gt;","...")</f>
        <v>...</v>
      </c>
      <c r="C78" s="1" t="str">
        <f>IF($M$9="Y",'Population Definitions'!$B$13,"...")</f>
        <v>...</v>
      </c>
      <c r="E78" s="2"/>
      <c r="F78" s="3"/>
      <c r="G78" s="2"/>
      <c r="H78" s="4" t="str">
        <f>IF($M$9="Y","OR","...")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>
      <c r="A79" s="1" t="str">
        <f>IF($B$10="Y",'Population Definitions'!$B$7,"...")</f>
        <v>...</v>
      </c>
      <c r="B79" s="4" t="str">
        <f>IF($B$10="Y","---&gt;","...")</f>
        <v>...</v>
      </c>
      <c r="C79" s="1" t="str">
        <f>IF($B$10="Y",'Population Definitions'!$B$2,"...")</f>
        <v>...</v>
      </c>
      <c r="E79" s="2"/>
      <c r="F79" s="3"/>
      <c r="G79" s="2"/>
      <c r="H79" s="4" t="str">
        <f>IF($B$10="Y","OR","...")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>
      <c r="A80" s="1" t="str">
        <f>IF($C$10="Y",'Population Definitions'!$B$7,"...")</f>
        <v>...</v>
      </c>
      <c r="B80" s="4" t="str">
        <f>IF($C$10="Y","---&gt;","...")</f>
        <v>...</v>
      </c>
      <c r="C80" s="1" t="str">
        <f>IF($C$10="Y",'Population Definitions'!$B$3,"...")</f>
        <v>...</v>
      </c>
      <c r="E80" s="2"/>
      <c r="F80" s="3"/>
      <c r="G80" s="2"/>
      <c r="H80" s="4" t="str">
        <f>IF($C$10="Y","OR","...")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>
      <c r="A81" s="1" t="str">
        <f>IF($D$10="Y",'Population Definitions'!$B$7,"...")</f>
        <v>...</v>
      </c>
      <c r="B81" s="4" t="str">
        <f>IF($D$10="Y","---&gt;","...")</f>
        <v>...</v>
      </c>
      <c r="C81" s="1" t="str">
        <f>IF($D$10="Y",'Population Definitions'!$B$4,"...")</f>
        <v>...</v>
      </c>
      <c r="E81" s="2"/>
      <c r="F81" s="3"/>
      <c r="G81" s="2"/>
      <c r="H81" s="4" t="str">
        <f>IF($D$10="Y","OR","...")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>
      <c r="A82" s="1" t="str">
        <f>IF($E$10="Y",'Population Definitions'!$B$7,"...")</f>
        <v>...</v>
      </c>
      <c r="B82" s="4" t="str">
        <f>IF($E$10="Y","---&gt;","...")</f>
        <v>...</v>
      </c>
      <c r="C82" s="1" t="str">
        <f>IF($E$10="Y",'Population Definitions'!$B$5,"...")</f>
        <v>...</v>
      </c>
      <c r="E82" s="2"/>
      <c r="F82" s="3"/>
      <c r="G82" s="2"/>
      <c r="H82" s="4" t="str">
        <f>IF($E$10="Y","OR","...")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>
      <c r="A83" s="1" t="str">
        <f>IF($F$10="Y",'Population Definitions'!$B$7,"...")</f>
        <v>...</v>
      </c>
      <c r="B83" s="4" t="str">
        <f>IF($F$10="Y","---&gt;","...")</f>
        <v>...</v>
      </c>
      <c r="C83" s="1" t="str">
        <f>IF($F$10="Y",'Population Definitions'!$B$6,"...")</f>
        <v>...</v>
      </c>
      <c r="E83" s="2"/>
      <c r="F83" s="3"/>
      <c r="G83" s="2"/>
      <c r="H83" s="4" t="str">
        <f>IF($F$10="Y","OR","...")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>
      <c r="A84" s="1" t="str">
        <f>IF($G$10="Y",'Population Definitions'!$B$7,"...")</f>
        <v>...</v>
      </c>
      <c r="B84" s="4" t="str">
        <f>IF($G$10="Y","---&gt;","...")</f>
        <v>...</v>
      </c>
      <c r="C84" s="1" t="str">
        <f>IF($G$10="Y",'Population Definitions'!$B$7,"...")</f>
        <v>...</v>
      </c>
      <c r="E84" s="2"/>
      <c r="F84" s="3"/>
      <c r="G84" s="2"/>
      <c r="H84" s="4" t="str">
        <f>IF($G$10="Y","OR","...")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>
      <c r="A85" s="1" t="str">
        <f>IF($H$10="Y",'Population Definitions'!$B$7,"...")</f>
        <v>...</v>
      </c>
      <c r="B85" s="4" t="str">
        <f>IF($H$10="Y","---&gt;","...")</f>
        <v>...</v>
      </c>
      <c r="C85" s="1" t="str">
        <f>IF($H$10="Y",'Population Definitions'!$B$8,"...")</f>
        <v>...</v>
      </c>
      <c r="E85" s="2"/>
      <c r="F85" s="3"/>
      <c r="G85" s="2"/>
      <c r="H85" s="4" t="str">
        <f>IF($H$10="Y","OR","...")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>
      <c r="A86" s="1" t="str">
        <f>IF($I$10="Y",'Population Definitions'!$B$7,"...")</f>
        <v>...</v>
      </c>
      <c r="B86" s="4" t="str">
        <f>IF($I$10="Y","---&gt;","...")</f>
        <v>...</v>
      </c>
      <c r="C86" s="1" t="str">
        <f>IF($I$10="Y",'Population Definitions'!$B$9,"...")</f>
        <v>...</v>
      </c>
      <c r="E86" s="2"/>
      <c r="F86" s="3"/>
      <c r="G86" s="2"/>
      <c r="H86" s="4" t="str">
        <f>IF($I$10="Y","OR","...")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>
      <c r="A87" s="1" t="str">
        <f>IF($J$10="Y",'Population Definitions'!$B$7,"...")</f>
        <v>...</v>
      </c>
      <c r="B87" s="4" t="str">
        <f>IF($J$10="Y","---&gt;","...")</f>
        <v>...</v>
      </c>
      <c r="C87" s="1" t="str">
        <f>IF($J$10="Y",'Population Definitions'!$B$10,"...")</f>
        <v>...</v>
      </c>
      <c r="E87" s="2"/>
      <c r="F87" s="3"/>
      <c r="G87" s="2"/>
      <c r="H87" s="4" t="str">
        <f>IF($J$10="Y","OR","...")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>
      <c r="A88" s="1" t="str">
        <f>IF($K$10="Y",'Population Definitions'!$B$7,"...")</f>
        <v>...</v>
      </c>
      <c r="B88" s="4" t="str">
        <f>IF($K$10="Y","---&gt;","...")</f>
        <v>...</v>
      </c>
      <c r="C88" s="1" t="str">
        <f>IF($K$10="Y",'Population Definitions'!$B$11,"...")</f>
        <v>...</v>
      </c>
      <c r="E88" s="2"/>
      <c r="F88" s="3"/>
      <c r="G88" s="2"/>
      <c r="H88" s="4" t="str">
        <f>IF($K$10="Y","OR","...")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>
      <c r="A89" s="1" t="str">
        <f>IF($L$10="Y",'Population Definitions'!$B$7,"...")</f>
        <v>...</v>
      </c>
      <c r="B89" s="4" t="str">
        <f>IF($L$10="Y","---&gt;","...")</f>
        <v>...</v>
      </c>
      <c r="C89" s="1" t="str">
        <f>IF($L$10="Y",'Population Definitions'!$B$12,"...")</f>
        <v>...</v>
      </c>
      <c r="E89" s="2"/>
      <c r="F89" s="3"/>
      <c r="G89" s="2"/>
      <c r="H89" s="4" t="str">
        <f>IF($L$10="Y","OR","...")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>
      <c r="A90" s="1" t="str">
        <f>IF($M$10="Y",'Population Definitions'!$B$7,"...")</f>
        <v>...</v>
      </c>
      <c r="B90" s="4" t="str">
        <f>IF($M$10="Y","---&gt;","...")</f>
        <v>...</v>
      </c>
      <c r="C90" s="1" t="str">
        <f>IF($M$10="Y",'Population Definitions'!$B$13,"...")</f>
        <v>...</v>
      </c>
      <c r="E90" s="2"/>
      <c r="F90" s="3"/>
      <c r="G90" s="2"/>
      <c r="H90" s="4" t="str">
        <f>IF($M$10="Y","OR","...")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>
      <c r="A91" s="1" t="str">
        <f>IF($B$11="Y",'Population Definitions'!$B$8,"...")</f>
        <v>...</v>
      </c>
      <c r="B91" s="4" t="str">
        <f>IF($B$11="Y","---&gt;","...")</f>
        <v>...</v>
      </c>
      <c r="C91" s="1" t="str">
        <f>IF($B$11="Y",'Population Definitions'!$B$2,"...")</f>
        <v>...</v>
      </c>
      <c r="E91" s="2"/>
      <c r="F91" s="3"/>
      <c r="G91" s="2"/>
      <c r="H91" s="4" t="str">
        <f>IF($B$11="Y","OR","...")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>
      <c r="A92" s="1" t="str">
        <f>IF($C$11="Y",'Population Definitions'!$B$8,"...")</f>
        <v>...</v>
      </c>
      <c r="B92" s="4" t="str">
        <f>IF($C$11="Y","---&gt;","...")</f>
        <v>...</v>
      </c>
      <c r="C92" s="1" t="str">
        <f>IF($C$11="Y",'Population Definitions'!$B$3,"...")</f>
        <v>...</v>
      </c>
      <c r="E92" s="2"/>
      <c r="F92" s="3"/>
      <c r="G92" s="2"/>
      <c r="H92" s="4" t="str">
        <f>IF($C$11="Y","OR","...")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>
      <c r="A93" s="1" t="str">
        <f>IF($D$11="Y",'Population Definitions'!$B$8,"...")</f>
        <v>...</v>
      </c>
      <c r="B93" s="4" t="str">
        <f>IF($D$11="Y","---&gt;","...")</f>
        <v>...</v>
      </c>
      <c r="C93" s="1" t="str">
        <f>IF($D$11="Y",'Population Definitions'!$B$4,"...")</f>
        <v>...</v>
      </c>
      <c r="E93" s="2"/>
      <c r="F93" s="3"/>
      <c r="G93" s="2"/>
      <c r="H93" s="4" t="str">
        <f>IF($D$11="Y","OR","...")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>
      <c r="A94" s="1" t="str">
        <f>IF($E$11="Y",'Population Definitions'!$B$8,"...")</f>
        <v>...</v>
      </c>
      <c r="B94" s="4" t="str">
        <f>IF($E$11="Y","---&gt;","...")</f>
        <v>...</v>
      </c>
      <c r="C94" s="1" t="str">
        <f>IF($E$11="Y",'Population Definitions'!$B$5,"...")</f>
        <v>...</v>
      </c>
      <c r="E94" s="2"/>
      <c r="F94" s="3"/>
      <c r="G94" s="2"/>
      <c r="H94" s="4" t="str">
        <f>IF($E$11="Y","OR","...")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>
      <c r="A95" s="1" t="str">
        <f>IF($F$11="Y",'Population Definitions'!$B$8,"...")</f>
        <v>...</v>
      </c>
      <c r="B95" s="4" t="str">
        <f>IF($F$11="Y","---&gt;","...")</f>
        <v>...</v>
      </c>
      <c r="C95" s="1" t="str">
        <f>IF($F$11="Y",'Population Definitions'!$B$6,"...")</f>
        <v>...</v>
      </c>
      <c r="E95" s="2"/>
      <c r="F95" s="3"/>
      <c r="G95" s="2"/>
      <c r="H95" s="4" t="str">
        <f>IF($F$11="Y","OR","...")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>
      <c r="A96" s="1" t="str">
        <f>IF($G$11="Y",'Population Definitions'!$B$8,"...")</f>
        <v>...</v>
      </c>
      <c r="B96" s="4" t="str">
        <f>IF($G$11="Y","---&gt;","...")</f>
        <v>...</v>
      </c>
      <c r="C96" s="1" t="str">
        <f>IF($G$11="Y",'Population Definitions'!$B$7,"...")</f>
        <v>...</v>
      </c>
      <c r="E96" s="2"/>
      <c r="F96" s="3"/>
      <c r="G96" s="2"/>
      <c r="H96" s="4" t="str">
        <f>IF($G$11="Y","OR","...")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>
      <c r="A97" s="1" t="str">
        <f>IF($H$11="Y",'Population Definitions'!$B$8,"...")</f>
        <v>...</v>
      </c>
      <c r="B97" s="4" t="str">
        <f>IF($H$11="Y","---&gt;","...")</f>
        <v>...</v>
      </c>
      <c r="C97" s="1" t="str">
        <f>IF($H$11="Y",'Population Definitions'!$B$8,"...")</f>
        <v>...</v>
      </c>
      <c r="E97" s="2"/>
      <c r="F97" s="3"/>
      <c r="G97" s="2"/>
      <c r="H97" s="4" t="str">
        <f>IF($H$11="Y","OR","...")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>
      <c r="A98" s="1" t="str">
        <f>IF($I$11="Y",'Population Definitions'!$B$8,"...")</f>
        <v>atsi_0-4_F</v>
      </c>
      <c r="B98" s="4" t="str">
        <f>IF($I$11="Y","---&gt;","...")</f>
        <v>---&gt;</v>
      </c>
      <c r="C98" s="1" t="str">
        <f>IF($I$11="Y",'Population Definitions'!$B$9,"...")</f>
        <v>atsi_5-14_F</v>
      </c>
      <c r="E98" s="3" t="s">
        <v>26</v>
      </c>
      <c r="F98" s="3"/>
      <c r="G98" s="3"/>
      <c r="H98" s="4" t="str">
        <f>IF($I$11="Y","OR","...")</f>
        <v>OR</v>
      </c>
      <c r="I98" s="3">
        <v>0.2047728250638069</v>
      </c>
      <c r="J98" s="3">
        <v>0.2033028441856224</v>
      </c>
      <c r="K98" s="3">
        <v>0.2047219344605659</v>
      </c>
      <c r="L98" s="3">
        <v>0.202201157864162</v>
      </c>
      <c r="M98" s="3">
        <v>0.2010554219599567</v>
      </c>
      <c r="N98" s="3">
        <v>0.2036090814259401</v>
      </c>
      <c r="O98" s="3">
        <v>0.2008678679050184</v>
      </c>
      <c r="P98" s="3">
        <v>0.2000247429804099</v>
      </c>
      <c r="Q98" s="3">
        <v>0.2000627828066523</v>
      </c>
      <c r="R98" s="3">
        <v>0.200027197897286</v>
      </c>
      <c r="S98" s="3">
        <v>0.1974045602904069</v>
      </c>
      <c r="T98" s="3">
        <v>0.1964253819723766</v>
      </c>
      <c r="U98" s="3">
        <v>0.1966077476535926</v>
      </c>
      <c r="V98" s="3">
        <v>0.1949547130270459</v>
      </c>
      <c r="W98" s="3">
        <v>0.1952919408394878</v>
      </c>
      <c r="X98" s="3">
        <v>0.1944931350349545</v>
      </c>
      <c r="Y98" s="3">
        <v>0.1942658781613374</v>
      </c>
      <c r="Z98" s="3">
        <v>0.1943937553118937</v>
      </c>
      <c r="AA98" s="3">
        <v>0.1926206071600273</v>
      </c>
      <c r="AB98" s="3">
        <v>0.1920229779024673</v>
      </c>
      <c r="AC98" s="3">
        <v>0.1914962799748044</v>
      </c>
      <c r="AD98" s="3">
        <v>0.1902582653703335</v>
      </c>
      <c r="AE98" s="3">
        <v>0.1912101017769861</v>
      </c>
      <c r="AF98" s="3">
        <v>0.1900930699639512</v>
      </c>
      <c r="AG98" s="3">
        <v>0.1892087595676605</v>
      </c>
      <c r="AH98" s="3">
        <v>0.1880421989229787</v>
      </c>
      <c r="AI98" s="3">
        <v>0.1882665666371978</v>
      </c>
      <c r="AJ98" s="3">
        <v>0.1887338714792383</v>
      </c>
      <c r="AK98" s="3">
        <v>0.1889073040858349</v>
      </c>
      <c r="AL98" s="3">
        <v>0.1877621533842889</v>
      </c>
      <c r="AM98" s="3">
        <v>0.1871797247822227</v>
      </c>
      <c r="AN98" s="3">
        <v>0.2111828279761002</v>
      </c>
      <c r="AO98" s="3">
        <v>0.2117288808454795</v>
      </c>
      <c r="AP98" s="3">
        <v>0.213091532117888</v>
      </c>
      <c r="AQ98" s="3">
        <v>0.2174990057835017</v>
      </c>
      <c r="AR98" s="3">
        <v>0.216431626449882</v>
      </c>
      <c r="AS98" s="3">
        <v>0.2183529199071922</v>
      </c>
      <c r="AT98" s="3">
        <v>0.2152946321272028</v>
      </c>
      <c r="AU98" s="3">
        <v>0.2117363116458713</v>
      </c>
      <c r="AV98" s="3">
        <v>0.2175321689058095</v>
      </c>
      <c r="AW98" s="3">
        <v>0.2134498294875206</v>
      </c>
      <c r="AX98" s="3">
        <v>0.2110521585523946</v>
      </c>
      <c r="AY98" s="3">
        <v>0.2032600319259677</v>
      </c>
      <c r="AZ98" s="3">
        <v>0.2001868813104234</v>
      </c>
      <c r="BA98" s="3">
        <v>0.1951067408378919</v>
      </c>
      <c r="BB98" s="3">
        <v>0.1913513614932419</v>
      </c>
      <c r="BC98" s="3">
        <v>0.2041913564007007</v>
      </c>
      <c r="BD98" s="3">
        <v>0.205245288543055</v>
      </c>
      <c r="BE98" s="3">
        <v>0.2058376456710537</v>
      </c>
      <c r="BF98" s="3">
        <v>0.2064187488777253</v>
      </c>
      <c r="BG98" s="3">
        <v>0.2071904972257399</v>
      </c>
      <c r="BH98" s="3">
        <v>0.2079103534179171</v>
      </c>
      <c r="BI98" s="3">
        <v>0.2088519579876095</v>
      </c>
      <c r="BJ98" s="3">
        <v>0.2097791527558733</v>
      </c>
      <c r="BK98" s="3">
        <v>0.2106620306803934</v>
      </c>
      <c r="BL98" s="3">
        <v>0.2115474926185451</v>
      </c>
      <c r="BM98" s="3">
        <v>0.2122709635648635</v>
      </c>
      <c r="BN98" s="3">
        <v>0.2131022464992808</v>
      </c>
      <c r="BO98" s="3">
        <v>0.2140562317576817</v>
      </c>
      <c r="BP98" s="3">
        <v>0.2150431063376864</v>
      </c>
      <c r="BQ98" s="3">
        <v>0.216078526945121</v>
      </c>
      <c r="BR98" s="3">
        <v>0.2171380240831939</v>
      </c>
      <c r="BS98" s="3">
        <v>0.2181769326040917</v>
      </c>
      <c r="BT98" s="3">
        <v>0.2191678200058274</v>
      </c>
      <c r="BU98" s="3">
        <v>0.2200460428866613</v>
      </c>
      <c r="BV98" s="3">
        <v>0.2208506334254149</v>
      </c>
      <c r="BW98" s="3">
        <v>0.2215031487855951</v>
      </c>
      <c r="BX98" s="3">
        <v>0.2220850860090021</v>
      </c>
      <c r="BY98" s="3">
        <v>0.222552917156132</v>
      </c>
      <c r="BZ98" s="3">
        <v>0.2229732985380375</v>
      </c>
      <c r="CA98" s="3">
        <v>0.2233067352102126</v>
      </c>
      <c r="CB98" s="3">
        <v>0.223590055862858</v>
      </c>
      <c r="CC98" s="3">
        <v>0.2238371557746497</v>
      </c>
      <c r="CD98" s="3">
        <v>0.2240182182979408</v>
      </c>
      <c r="CE98" s="3">
        <v>0.2241019670047009</v>
      </c>
      <c r="CF98" s="3">
        <v>0.2240917586086255</v>
      </c>
      <c r="CG98" s="3">
        <v>0.2240094838915962</v>
      </c>
      <c r="CH98" s="3">
        <v>0.2239257471189829</v>
      </c>
      <c r="CI98" s="3">
        <v>0.2238171935658431</v>
      </c>
      <c r="CJ98" s="3">
        <v>0.2237384411446635</v>
      </c>
      <c r="CK98" s="3">
        <v>0.2236277012090828</v>
      </c>
      <c r="CL98" s="3">
        <v>0.2236218559737279</v>
      </c>
      <c r="CM98" s="3">
        <v>0.2236781113946839</v>
      </c>
      <c r="CN98" s="3">
        <v>0.2237993071907149</v>
      </c>
      <c r="CO98" s="3">
        <v>0.2239638691566541</v>
      </c>
      <c r="CP98" s="3">
        <v>0.2240995539394474</v>
      </c>
      <c r="CQ98" s="3">
        <v>0.2242265598353239</v>
      </c>
      <c r="CR98" s="3">
        <v>0.2244431534794274</v>
      </c>
      <c r="CS98" s="3">
        <v>0.2247034847840486</v>
      </c>
      <c r="CT98" s="3">
        <v>0.224931503693992</v>
      </c>
      <c r="CU98" s="3">
        <v>0.2251542148224866</v>
      </c>
      <c r="CV98" s="3"/>
    </row>
    <row r="99" spans="1:100">
      <c r="A99" s="1" t="str">
        <f>IF($J$11="Y",'Population Definitions'!$B$8,"...")</f>
        <v>...</v>
      </c>
      <c r="B99" s="4" t="str">
        <f>IF($J$11="Y","---&gt;","...")</f>
        <v>...</v>
      </c>
      <c r="C99" s="1" t="str">
        <f>IF($J$11="Y",'Population Definitions'!$B$10,"...")</f>
        <v>...</v>
      </c>
      <c r="E99" s="2"/>
      <c r="F99" s="3"/>
      <c r="G99" s="2"/>
      <c r="H99" s="4" t="str">
        <f>IF($J$11="Y","OR","...")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>
      <c r="A100" s="1" t="str">
        <f>IF($K$11="Y",'Population Definitions'!$B$8,"...")</f>
        <v>...</v>
      </c>
      <c r="B100" s="4" t="str">
        <f>IF($K$11="Y","---&gt;","...")</f>
        <v>...</v>
      </c>
      <c r="C100" s="1" t="str">
        <f>IF($K$11="Y",'Population Definitions'!$B$11,"...")</f>
        <v>...</v>
      </c>
      <c r="E100" s="2"/>
      <c r="F100" s="3"/>
      <c r="G100" s="2"/>
      <c r="H100" s="4" t="str">
        <f>IF($K$11="Y","OR","...")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>
      <c r="A101" s="1" t="str">
        <f>IF($L$11="Y",'Population Definitions'!$B$8,"...")</f>
        <v>...</v>
      </c>
      <c r="B101" s="4" t="str">
        <f>IF($L$11="Y","---&gt;","...")</f>
        <v>...</v>
      </c>
      <c r="C101" s="1" t="str">
        <f>IF($L$11="Y",'Population Definitions'!$B$12,"...")</f>
        <v>...</v>
      </c>
      <c r="E101" s="2"/>
      <c r="F101" s="3"/>
      <c r="G101" s="2"/>
      <c r="H101" s="4" t="str">
        <f>IF($L$11="Y","OR","...")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>
      <c r="A102" s="1" t="str">
        <f>IF($M$11="Y",'Population Definitions'!$B$8,"...")</f>
        <v>...</v>
      </c>
      <c r="B102" s="4" t="str">
        <f>IF($M$11="Y","---&gt;","...")</f>
        <v>...</v>
      </c>
      <c r="C102" s="1" t="str">
        <f>IF($M$11="Y",'Population Definitions'!$B$13,"...")</f>
        <v>...</v>
      </c>
      <c r="E102" s="2"/>
      <c r="F102" s="3"/>
      <c r="G102" s="2"/>
      <c r="H102" s="4" t="str">
        <f>IF($M$11="Y","OR","...")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>
      <c r="A103" s="1" t="str">
        <f>IF($B$12="Y",'Population Definitions'!$B$9,"...")</f>
        <v>...</v>
      </c>
      <c r="B103" s="4" t="str">
        <f>IF($B$12="Y","---&gt;","...")</f>
        <v>...</v>
      </c>
      <c r="C103" s="1" t="str">
        <f>IF($B$12="Y",'Population Definitions'!$B$2,"...")</f>
        <v>...</v>
      </c>
      <c r="E103" s="2"/>
      <c r="F103" s="3"/>
      <c r="G103" s="2"/>
      <c r="H103" s="4" t="str">
        <f>IF($B$12="Y","OR","...")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>
      <c r="A104" s="1" t="str">
        <f>IF($C$12="Y",'Population Definitions'!$B$9,"...")</f>
        <v>...</v>
      </c>
      <c r="B104" s="4" t="str">
        <f>IF($C$12="Y","---&gt;","...")</f>
        <v>...</v>
      </c>
      <c r="C104" s="1" t="str">
        <f>IF($C$12="Y",'Population Definitions'!$B$3,"...")</f>
        <v>...</v>
      </c>
      <c r="E104" s="2"/>
      <c r="F104" s="3"/>
      <c r="G104" s="2"/>
      <c r="H104" s="4" t="str">
        <f>IF($C$12="Y","OR","...")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>
      <c r="A105" s="1" t="str">
        <f>IF($D$12="Y",'Population Definitions'!$B$9,"...")</f>
        <v>...</v>
      </c>
      <c r="B105" s="4" t="str">
        <f>IF($D$12="Y","---&gt;","...")</f>
        <v>...</v>
      </c>
      <c r="C105" s="1" t="str">
        <f>IF($D$12="Y",'Population Definitions'!$B$4,"...")</f>
        <v>...</v>
      </c>
      <c r="E105" s="2"/>
      <c r="F105" s="3"/>
      <c r="G105" s="2"/>
      <c r="H105" s="4" t="str">
        <f>IF($D$12="Y","OR","...")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>
      <c r="A106" s="1" t="str">
        <f>IF($E$12="Y",'Population Definitions'!$B$9,"...")</f>
        <v>...</v>
      </c>
      <c r="B106" s="4" t="str">
        <f>IF($E$12="Y","---&gt;","...")</f>
        <v>...</v>
      </c>
      <c r="C106" s="1" t="str">
        <f>IF($E$12="Y",'Population Definitions'!$B$5,"...")</f>
        <v>...</v>
      </c>
      <c r="E106" s="2"/>
      <c r="F106" s="3"/>
      <c r="G106" s="2"/>
      <c r="H106" s="4" t="str">
        <f>IF($E$12="Y","OR","...")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>
      <c r="A107" s="1" t="str">
        <f>IF($F$12="Y",'Population Definitions'!$B$9,"...")</f>
        <v>...</v>
      </c>
      <c r="B107" s="4" t="str">
        <f>IF($F$12="Y","---&gt;","...")</f>
        <v>...</v>
      </c>
      <c r="C107" s="1" t="str">
        <f>IF($F$12="Y",'Population Definitions'!$B$6,"...")</f>
        <v>...</v>
      </c>
      <c r="E107" s="2"/>
      <c r="F107" s="3"/>
      <c r="G107" s="2"/>
      <c r="H107" s="4" t="str">
        <f>IF($F$12="Y","OR","...")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>
      <c r="A108" s="1" t="str">
        <f>IF($G$12="Y",'Population Definitions'!$B$9,"...")</f>
        <v>...</v>
      </c>
      <c r="B108" s="4" t="str">
        <f>IF($G$12="Y","---&gt;","...")</f>
        <v>...</v>
      </c>
      <c r="C108" s="1" t="str">
        <f>IF($G$12="Y",'Population Definitions'!$B$7,"...")</f>
        <v>...</v>
      </c>
      <c r="E108" s="2"/>
      <c r="F108" s="3"/>
      <c r="G108" s="2"/>
      <c r="H108" s="4" t="str">
        <f>IF($G$12="Y","OR","...")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>
      <c r="A109" s="1" t="str">
        <f>IF($H$12="Y",'Population Definitions'!$B$9,"...")</f>
        <v>...</v>
      </c>
      <c r="B109" s="4" t="str">
        <f>IF($H$12="Y","---&gt;","...")</f>
        <v>...</v>
      </c>
      <c r="C109" s="1" t="str">
        <f>IF($H$12="Y",'Population Definitions'!$B$8,"...")</f>
        <v>...</v>
      </c>
      <c r="E109" s="2"/>
      <c r="F109" s="3"/>
      <c r="G109" s="2"/>
      <c r="H109" s="4" t="str">
        <f>IF($H$12="Y","OR","...")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>
      <c r="A110" s="1" t="str">
        <f>IF($I$12="Y",'Population Definitions'!$B$9,"...")</f>
        <v>...</v>
      </c>
      <c r="B110" s="4" t="str">
        <f>IF($I$12="Y","---&gt;","...")</f>
        <v>...</v>
      </c>
      <c r="C110" s="1" t="str">
        <f>IF($I$12="Y",'Population Definitions'!$B$9,"...")</f>
        <v>...</v>
      </c>
      <c r="E110" s="2"/>
      <c r="F110" s="3"/>
      <c r="G110" s="2"/>
      <c r="H110" s="4" t="str">
        <f>IF($I$12="Y","OR","...")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>
      <c r="A111" s="1" t="str">
        <f>IF($J$12="Y",'Population Definitions'!$B$9,"...")</f>
        <v>atsi_5-14_F</v>
      </c>
      <c r="B111" s="4" t="str">
        <f>IF($J$12="Y","---&gt;","...")</f>
        <v>---&gt;</v>
      </c>
      <c r="C111" s="1" t="str">
        <f>IF($J$12="Y",'Population Definitions'!$B$10,"...")</f>
        <v>atsi_15-29_F</v>
      </c>
      <c r="E111" s="3" t="s">
        <v>26</v>
      </c>
      <c r="F111" s="3"/>
      <c r="G111" s="3"/>
      <c r="H111" s="4" t="str">
        <f>IF($J$12="Y","OR","...")</f>
        <v>OR</v>
      </c>
      <c r="I111" s="3">
        <v>0.1005699875087819</v>
      </c>
      <c r="J111" s="3">
        <v>0.09974969887708771</v>
      </c>
      <c r="K111" s="3">
        <v>0.1006376484918512</v>
      </c>
      <c r="L111" s="3">
        <v>0.09910361965630581</v>
      </c>
      <c r="M111" s="3">
        <v>0.09840993561376017</v>
      </c>
      <c r="N111" s="3">
        <v>0.09996716341417829</v>
      </c>
      <c r="O111" s="3">
        <v>0.09831600032759742</v>
      </c>
      <c r="P111" s="3">
        <v>0.09782822172888836</v>
      </c>
      <c r="Q111" s="3">
        <v>0.09783729256126736</v>
      </c>
      <c r="R111" s="3">
        <v>0.0978254668369931</v>
      </c>
      <c r="S111" s="3">
        <v>0.0962534554040806</v>
      </c>
      <c r="T111" s="3">
        <v>0.09566487721791526</v>
      </c>
      <c r="U111" s="3">
        <v>0.0957802594372518</v>
      </c>
      <c r="V111" s="3">
        <v>0.09476298971592657</v>
      </c>
      <c r="W111" s="3">
        <v>0.09496299064998381</v>
      </c>
      <c r="X111" s="3">
        <v>0.09444546120443799</v>
      </c>
      <c r="Y111" s="3">
        <v>0.0943617199919539</v>
      </c>
      <c r="Z111" s="3">
        <v>0.09446412986055856</v>
      </c>
      <c r="AA111" s="3">
        <v>0.09342088767748798</v>
      </c>
      <c r="AB111" s="3">
        <v>0.09303445645205748</v>
      </c>
      <c r="AC111" s="3">
        <v>0.09273209780163628</v>
      </c>
      <c r="AD111" s="3">
        <v>0.09201784446698288</v>
      </c>
      <c r="AE111" s="3">
        <v>0.09256934024481071</v>
      </c>
      <c r="AF111" s="3">
        <v>0.09191455306363293</v>
      </c>
      <c r="AG111" s="3">
        <v>0.09140512828430201</v>
      </c>
      <c r="AH111" s="3">
        <v>0.09069081293292737</v>
      </c>
      <c r="AI111" s="3">
        <v>0.09084046436712633</v>
      </c>
      <c r="AJ111" s="3">
        <v>0.09109457716737085</v>
      </c>
      <c r="AK111" s="3">
        <v>0.09123353836815447</v>
      </c>
      <c r="AL111" s="3">
        <v>0.09051511756716372</v>
      </c>
      <c r="AM111" s="3">
        <v>0.09018273803467498</v>
      </c>
      <c r="AN111" s="3">
        <v>0.0987335707855993</v>
      </c>
      <c r="AO111" s="3">
        <v>0.09673084021974192</v>
      </c>
      <c r="AP111" s="3">
        <v>0.0955686550659014</v>
      </c>
      <c r="AQ111" s="3">
        <v>0.09535990108769085</v>
      </c>
      <c r="AR111" s="3">
        <v>0.0966525052536123</v>
      </c>
      <c r="AS111" s="3">
        <v>0.09309192688307573</v>
      </c>
      <c r="AT111" s="3">
        <v>0.09289113212014752</v>
      </c>
      <c r="AU111" s="3">
        <v>0.09245949234267543</v>
      </c>
      <c r="AV111" s="3">
        <v>0.09814293597133612</v>
      </c>
      <c r="AW111" s="3">
        <v>0.101609549955737</v>
      </c>
      <c r="AX111" s="3">
        <v>0.106135693760556</v>
      </c>
      <c r="AY111" s="3">
        <v>0.107238558740135</v>
      </c>
      <c r="AZ111" s="3">
        <v>0.1085765074513043</v>
      </c>
      <c r="BA111" s="3">
        <v>0.1095093801770682</v>
      </c>
      <c r="BB111" s="3">
        <v>0.1086682975986662</v>
      </c>
      <c r="BC111" s="3">
        <v>0.1102694775192808</v>
      </c>
      <c r="BD111" s="3">
        <v>0.1075641179589105</v>
      </c>
      <c r="BE111" s="3">
        <v>0.1048372776493461</v>
      </c>
      <c r="BF111" s="3">
        <v>0.105165022323564</v>
      </c>
      <c r="BG111" s="3">
        <v>0.1036295592974887</v>
      </c>
      <c r="BH111" s="3">
        <v>0.1014292869358949</v>
      </c>
      <c r="BI111" s="3">
        <v>0.1019197034516375</v>
      </c>
      <c r="BJ111" s="3">
        <v>0.1024079585960062</v>
      </c>
      <c r="BK111" s="3">
        <v>0.1028787809589869</v>
      </c>
      <c r="BL111" s="3">
        <v>0.103359507018387</v>
      </c>
      <c r="BM111" s="3">
        <v>0.1037561469708659</v>
      </c>
      <c r="BN111" s="3">
        <v>0.1042178712056572</v>
      </c>
      <c r="BO111" s="3">
        <v>0.1047501069105932</v>
      </c>
      <c r="BP111" s="3">
        <v>0.1053048116120936</v>
      </c>
      <c r="BQ111" s="3">
        <v>0.1058891664281406</v>
      </c>
      <c r="BR111" s="3">
        <v>0.1064846695122678</v>
      </c>
      <c r="BS111" s="3">
        <v>0.1070686142516349</v>
      </c>
      <c r="BT111" s="3">
        <v>0.1076195024352173</v>
      </c>
      <c r="BU111" s="3">
        <v>0.1081043216918546</v>
      </c>
      <c r="BV111" s="3">
        <v>0.1085460396410287</v>
      </c>
      <c r="BW111" s="3">
        <v>0.1089012318742145</v>
      </c>
      <c r="BX111" s="3">
        <v>0.1092146505778448</v>
      </c>
      <c r="BY111" s="3">
        <v>0.109463564198433</v>
      </c>
      <c r="BZ111" s="3">
        <v>0.1096883759376753</v>
      </c>
      <c r="CA111" s="3">
        <v>0.1098650468667056</v>
      </c>
      <c r="CB111" s="3">
        <v>0.110017802483817</v>
      </c>
      <c r="CC111" s="3">
        <v>0.1101516508246757</v>
      </c>
      <c r="CD111" s="3">
        <v>0.1102487946210891</v>
      </c>
      <c r="CE111" s="3">
        <v>0.1102948907807019</v>
      </c>
      <c r="CF111" s="3">
        <v>0.1102917804122408</v>
      </c>
      <c r="CG111" s="3">
        <v>0.1102502905678249</v>
      </c>
      <c r="CH111" s="3">
        <v>0.1102100179197905</v>
      </c>
      <c r="CI111" s="3">
        <v>0.1101568964740417</v>
      </c>
      <c r="CJ111" s="3">
        <v>0.1101194674377722</v>
      </c>
      <c r="CK111" s="3">
        <v>0.1100625952865801</v>
      </c>
      <c r="CL111" s="3">
        <v>0.1100643420245713</v>
      </c>
      <c r="CM111" s="3">
        <v>0.1101014001996846</v>
      </c>
      <c r="CN111" s="3">
        <v>0.1101750176208188</v>
      </c>
      <c r="CO111" s="3">
        <v>0.1102702360972599</v>
      </c>
      <c r="CP111" s="3">
        <v>0.1103484087192398</v>
      </c>
      <c r="CQ111" s="3">
        <v>0.1104251911811396</v>
      </c>
      <c r="CR111" s="3">
        <v>0.1105489331992525</v>
      </c>
      <c r="CS111" s="3">
        <v>0.1106950981093614</v>
      </c>
      <c r="CT111" s="3">
        <v>0.1108220173050849</v>
      </c>
      <c r="CU111" s="3">
        <v>0.1109479516290032</v>
      </c>
      <c r="CV111" s="3"/>
    </row>
    <row r="112" spans="1:100">
      <c r="A112" s="1" t="str">
        <f>IF($K$12="Y",'Population Definitions'!$B$9,"...")</f>
        <v>...</v>
      </c>
      <c r="B112" s="4" t="str">
        <f>IF($K$12="Y","---&gt;","...")</f>
        <v>...</v>
      </c>
      <c r="C112" s="1" t="str">
        <f>IF($K$12="Y",'Population Definitions'!$B$11,"...")</f>
        <v>...</v>
      </c>
      <c r="E112" s="2"/>
      <c r="F112" s="3"/>
      <c r="G112" s="2"/>
      <c r="H112" s="4" t="str">
        <f>IF($K$12="Y","OR","...")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>
      <c r="A113" s="1" t="str">
        <f>IF($L$12="Y",'Population Definitions'!$B$9,"...")</f>
        <v>...</v>
      </c>
      <c r="B113" s="4" t="str">
        <f>IF($L$12="Y","---&gt;","...")</f>
        <v>...</v>
      </c>
      <c r="C113" s="1" t="str">
        <f>IF($L$12="Y",'Population Definitions'!$B$12,"...")</f>
        <v>...</v>
      </c>
      <c r="E113" s="2"/>
      <c r="F113" s="3"/>
      <c r="G113" s="2"/>
      <c r="H113" s="4" t="str">
        <f>IF($L$12="Y","OR","...")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>
      <c r="A114" s="1" t="str">
        <f>IF($M$12="Y",'Population Definitions'!$B$9,"...")</f>
        <v>...</v>
      </c>
      <c r="B114" s="4" t="str">
        <f>IF($M$12="Y","---&gt;","...")</f>
        <v>...</v>
      </c>
      <c r="C114" s="1" t="str">
        <f>IF($M$12="Y",'Population Definitions'!$B$13,"...")</f>
        <v>...</v>
      </c>
      <c r="E114" s="2"/>
      <c r="F114" s="3"/>
      <c r="G114" s="2"/>
      <c r="H114" s="4" t="str">
        <f>IF($M$12="Y","OR","...")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>
      <c r="A115" s="1" t="str">
        <f>IF($B$13="Y",'Population Definitions'!$B$10,"...")</f>
        <v>...</v>
      </c>
      <c r="B115" s="4" t="str">
        <f>IF($B$13="Y","---&gt;","...")</f>
        <v>...</v>
      </c>
      <c r="C115" s="1" t="str">
        <f>IF($B$13="Y",'Population Definitions'!$B$2,"...")</f>
        <v>...</v>
      </c>
      <c r="E115" s="2"/>
      <c r="F115" s="3"/>
      <c r="G115" s="2"/>
      <c r="H115" s="4" t="str">
        <f>IF($B$13="Y","OR","...")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>
      <c r="A116" s="1" t="str">
        <f>IF($C$13="Y",'Population Definitions'!$B$10,"...")</f>
        <v>...</v>
      </c>
      <c r="B116" s="4" t="str">
        <f>IF($C$13="Y","---&gt;","...")</f>
        <v>...</v>
      </c>
      <c r="C116" s="1" t="str">
        <f>IF($C$13="Y",'Population Definitions'!$B$3,"...")</f>
        <v>...</v>
      </c>
      <c r="E116" s="2"/>
      <c r="F116" s="3"/>
      <c r="G116" s="2"/>
      <c r="H116" s="4" t="str">
        <f>IF($C$13="Y","OR","...")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>
      <c r="A117" s="1" t="str">
        <f>IF($D$13="Y",'Population Definitions'!$B$10,"...")</f>
        <v>...</v>
      </c>
      <c r="B117" s="4" t="str">
        <f>IF($D$13="Y","---&gt;","...")</f>
        <v>...</v>
      </c>
      <c r="C117" s="1" t="str">
        <f>IF($D$13="Y",'Population Definitions'!$B$4,"...")</f>
        <v>...</v>
      </c>
      <c r="E117" s="2"/>
      <c r="F117" s="3"/>
      <c r="G117" s="2"/>
      <c r="H117" s="4" t="str">
        <f>IF($D$13="Y","OR","...")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>
      <c r="A118" s="1" t="str">
        <f>IF($E$13="Y",'Population Definitions'!$B$10,"...")</f>
        <v>...</v>
      </c>
      <c r="B118" s="4" t="str">
        <f>IF($E$13="Y","---&gt;","...")</f>
        <v>...</v>
      </c>
      <c r="C118" s="1" t="str">
        <f>IF($E$13="Y",'Population Definitions'!$B$5,"...")</f>
        <v>...</v>
      </c>
      <c r="E118" s="2"/>
      <c r="F118" s="3"/>
      <c r="G118" s="2"/>
      <c r="H118" s="4" t="str">
        <f>IF($E$13="Y","OR","...")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>
      <c r="A119" s="1" t="str">
        <f>IF($F$13="Y",'Population Definitions'!$B$10,"...")</f>
        <v>...</v>
      </c>
      <c r="B119" s="4" t="str">
        <f>IF($F$13="Y","---&gt;","...")</f>
        <v>...</v>
      </c>
      <c r="C119" s="1" t="str">
        <f>IF($F$13="Y",'Population Definitions'!$B$6,"...")</f>
        <v>...</v>
      </c>
      <c r="E119" s="2"/>
      <c r="F119" s="3"/>
      <c r="G119" s="2"/>
      <c r="H119" s="4" t="str">
        <f>IF($F$13="Y","OR","...")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>
      <c r="A120" s="1" t="str">
        <f>IF($G$13="Y",'Population Definitions'!$B$10,"...")</f>
        <v>...</v>
      </c>
      <c r="B120" s="4" t="str">
        <f>IF($G$13="Y","---&gt;","...")</f>
        <v>...</v>
      </c>
      <c r="C120" s="1" t="str">
        <f>IF($G$13="Y",'Population Definitions'!$B$7,"...")</f>
        <v>...</v>
      </c>
      <c r="E120" s="2"/>
      <c r="F120" s="3"/>
      <c r="G120" s="2"/>
      <c r="H120" s="4" t="str">
        <f>IF($G$13="Y","OR","...")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>
      <c r="A121" s="1" t="str">
        <f>IF($H$13="Y",'Population Definitions'!$B$10,"...")</f>
        <v>...</v>
      </c>
      <c r="B121" s="4" t="str">
        <f>IF($H$13="Y","---&gt;","...")</f>
        <v>...</v>
      </c>
      <c r="C121" s="1" t="str">
        <f>IF($H$13="Y",'Population Definitions'!$B$8,"...")</f>
        <v>...</v>
      </c>
      <c r="E121" s="2"/>
      <c r="F121" s="3"/>
      <c r="G121" s="2"/>
      <c r="H121" s="4" t="str">
        <f>IF($H$13="Y","OR","...")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>
      <c r="A122" s="1" t="str">
        <f>IF($I$13="Y",'Population Definitions'!$B$10,"...")</f>
        <v>...</v>
      </c>
      <c r="B122" s="4" t="str">
        <f>IF($I$13="Y","---&gt;","...")</f>
        <v>...</v>
      </c>
      <c r="C122" s="1" t="str">
        <f>IF($I$13="Y",'Population Definitions'!$B$9,"...")</f>
        <v>...</v>
      </c>
      <c r="E122" s="2"/>
      <c r="F122" s="3"/>
      <c r="G122" s="2"/>
      <c r="H122" s="4" t="str">
        <f>IF($I$13="Y","OR","...")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>
      <c r="A123" s="1" t="str">
        <f>IF($J$13="Y",'Population Definitions'!$B$10,"...")</f>
        <v>...</v>
      </c>
      <c r="B123" s="4" t="str">
        <f>IF($J$13="Y","---&gt;","...")</f>
        <v>...</v>
      </c>
      <c r="C123" s="1" t="str">
        <f>IF($J$13="Y",'Population Definitions'!$B$10,"...")</f>
        <v>...</v>
      </c>
      <c r="E123" s="2"/>
      <c r="F123" s="3"/>
      <c r="G123" s="2"/>
      <c r="H123" s="4" t="str">
        <f>IF($J$13="Y","OR","...")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>
      <c r="A124" s="1" t="str">
        <f>IF($K$13="Y",'Population Definitions'!$B$10,"...")</f>
        <v>atsi_15-29_F</v>
      </c>
      <c r="B124" s="4" t="str">
        <f>IF($K$13="Y","---&gt;","...")</f>
        <v>---&gt;</v>
      </c>
      <c r="C124" s="1" t="str">
        <f>IF($K$13="Y",'Population Definitions'!$B$11,"...")</f>
        <v>atsi_30-49_F</v>
      </c>
      <c r="E124" s="3" t="s">
        <v>26</v>
      </c>
      <c r="F124" s="3"/>
      <c r="G124" s="3"/>
      <c r="H124" s="4" t="str">
        <f>IF($K$13="Y","OR","...")</f>
        <v>OR</v>
      </c>
      <c r="I124" s="3">
        <v>0.06307270539365839</v>
      </c>
      <c r="J124" s="3">
        <v>0.06234121217730368</v>
      </c>
      <c r="K124" s="3">
        <v>0.06314250666830866</v>
      </c>
      <c r="L124" s="3">
        <v>0.06187174655101258</v>
      </c>
      <c r="M124" s="3">
        <v>0.06125490496949976</v>
      </c>
      <c r="N124" s="3">
        <v>0.06246678895076888</v>
      </c>
      <c r="O124" s="3">
        <v>0.06106538788721425</v>
      </c>
      <c r="P124" s="3">
        <v>0.06068847765451496</v>
      </c>
      <c r="Q124" s="3">
        <v>0.06066737841691194</v>
      </c>
      <c r="R124" s="3">
        <v>0.06079842736192985</v>
      </c>
      <c r="S124" s="3">
        <v>0.05943048247218495</v>
      </c>
      <c r="T124" s="3">
        <v>0.05883780628672622</v>
      </c>
      <c r="U124" s="3">
        <v>0.05912939936271246</v>
      </c>
      <c r="V124" s="3">
        <v>0.05832706477750528</v>
      </c>
      <c r="W124" s="3">
        <v>0.05855402448020988</v>
      </c>
      <c r="X124" s="3">
        <v>0.05795785923705359</v>
      </c>
      <c r="Y124" s="3">
        <v>0.05804529272552153</v>
      </c>
      <c r="Z124" s="3">
        <v>0.05792648104240483</v>
      </c>
      <c r="AA124" s="3">
        <v>0.05704377048454309</v>
      </c>
      <c r="AB124" s="3">
        <v>0.05670744506061896</v>
      </c>
      <c r="AC124" s="3">
        <v>0.0564631618102072</v>
      </c>
      <c r="AD124" s="3">
        <v>0.05608995813172048</v>
      </c>
      <c r="AE124" s="3">
        <v>0.05657831266990867</v>
      </c>
      <c r="AF124" s="3">
        <v>0.05599538244773872</v>
      </c>
      <c r="AG124" s="3">
        <v>0.05554592432907388</v>
      </c>
      <c r="AH124" s="3">
        <v>0.05507840000209194</v>
      </c>
      <c r="AI124" s="3">
        <v>0.05511864189007205</v>
      </c>
      <c r="AJ124" s="3">
        <v>0.05539607515278945</v>
      </c>
      <c r="AK124" s="3">
        <v>0.05557553596950994</v>
      </c>
      <c r="AL124" s="3">
        <v>0.05493167485870558</v>
      </c>
      <c r="AM124" s="3">
        <v>0.05467903225498756</v>
      </c>
      <c r="AN124" s="3">
        <v>0.05876341540382858</v>
      </c>
      <c r="AO124" s="3">
        <v>0.06036782238139025</v>
      </c>
      <c r="AP124" s="3">
        <v>0.05885303894332183</v>
      </c>
      <c r="AQ124" s="3">
        <v>0.0606962813366712</v>
      </c>
      <c r="AR124" s="3">
        <v>0.06128887812985191</v>
      </c>
      <c r="AS124" s="3">
        <v>0.05919877103344102</v>
      </c>
      <c r="AT124" s="3">
        <v>0.05898580123011948</v>
      </c>
      <c r="AU124" s="3">
        <v>0.05990551846312645</v>
      </c>
      <c r="AV124" s="3">
        <v>0.06243122585261621</v>
      </c>
      <c r="AW124" s="3">
        <v>0.06346230938259245</v>
      </c>
      <c r="AX124" s="3">
        <v>0.06222678970465173</v>
      </c>
      <c r="AY124" s="3">
        <v>0.06189409104806139</v>
      </c>
      <c r="AZ124" s="3">
        <v>0.06126065668004999</v>
      </c>
      <c r="BA124" s="3">
        <v>0.06141881664697612</v>
      </c>
      <c r="BB124" s="3">
        <v>0.06045966174881486</v>
      </c>
      <c r="BC124" s="3">
        <v>0.06100482929235761</v>
      </c>
      <c r="BD124" s="3">
        <v>0.0609359412381068</v>
      </c>
      <c r="BE124" s="3">
        <v>0.06148215750270784</v>
      </c>
      <c r="BF124" s="3">
        <v>0.06172537540168195</v>
      </c>
      <c r="BG124" s="3">
        <v>0.06335394733203002</v>
      </c>
      <c r="BH124" s="3">
        <v>0.0622198355115504</v>
      </c>
      <c r="BI124" s="3">
        <v>0.06262325445621636</v>
      </c>
      <c r="BJ124" s="3">
        <v>0.06302602718750649</v>
      </c>
      <c r="BK124" s="3">
        <v>0.06340774126932509</v>
      </c>
      <c r="BL124" s="3">
        <v>0.06380235773332871</v>
      </c>
      <c r="BM124" s="3">
        <v>0.06413270250029023</v>
      </c>
      <c r="BN124" s="3">
        <v>0.06450914933037641</v>
      </c>
      <c r="BO124" s="3">
        <v>0.0649354956640007</v>
      </c>
      <c r="BP124" s="3">
        <v>0.0653790715988089</v>
      </c>
      <c r="BQ124" s="3">
        <v>0.06584558491461247</v>
      </c>
      <c r="BR124" s="3">
        <v>0.06632092415165489</v>
      </c>
      <c r="BS124" s="3">
        <v>0.06679010189716776</v>
      </c>
      <c r="BT124" s="3">
        <v>0.06723212504685903</v>
      </c>
      <c r="BU124" s="3">
        <v>0.06762357194527131</v>
      </c>
      <c r="BV124" s="3">
        <v>0.06798126532790837</v>
      </c>
      <c r="BW124" s="3">
        <v>0.06827196088060757</v>
      </c>
      <c r="BX124" s="3">
        <v>0.06852920582088008</v>
      </c>
      <c r="BY124" s="3">
        <v>0.06873540728499554</v>
      </c>
      <c r="BZ124" s="3">
        <v>0.06892344024818754</v>
      </c>
      <c r="CA124" s="3">
        <v>0.0690708547252135</v>
      </c>
      <c r="CB124" s="3">
        <v>0.06920304590957684</v>
      </c>
      <c r="CC124" s="3">
        <v>0.06931763638139946</v>
      </c>
      <c r="CD124" s="3">
        <v>0.06940085918323252</v>
      </c>
      <c r="CE124" s="3">
        <v>0.06944865271406148</v>
      </c>
      <c r="CF124" s="3">
        <v>0.06945352556009485</v>
      </c>
      <c r="CG124" s="3">
        <v>0.06943312847155457</v>
      </c>
      <c r="CH124" s="3">
        <v>0.0694153230512103</v>
      </c>
      <c r="CI124" s="3">
        <v>0.06938124663077891</v>
      </c>
      <c r="CJ124" s="3">
        <v>0.06935929669484814</v>
      </c>
      <c r="CK124" s="3">
        <v>0.06932233695295693</v>
      </c>
      <c r="CL124" s="3">
        <v>0.06933233551846346</v>
      </c>
      <c r="CM124" s="3">
        <v>0.06936742357123279</v>
      </c>
      <c r="CN124" s="3">
        <v>0.06943046174901801</v>
      </c>
      <c r="CO124" s="3">
        <v>0.06951193143767317</v>
      </c>
      <c r="CP124" s="3">
        <v>0.06957810705393334</v>
      </c>
      <c r="CQ124" s="3">
        <v>0.06964297816777584</v>
      </c>
      <c r="CR124" s="3">
        <v>0.06974577409824589</v>
      </c>
      <c r="CS124" s="3">
        <v>0.06986386014846062</v>
      </c>
      <c r="CT124" s="3">
        <v>0.06996888628780466</v>
      </c>
      <c r="CU124" s="3">
        <v>0.07007071777120116</v>
      </c>
      <c r="CV124" s="3"/>
    </row>
    <row r="125" spans="1:100">
      <c r="A125" s="1" t="str">
        <f>IF($L$13="Y",'Population Definitions'!$B$10,"...")</f>
        <v>...</v>
      </c>
      <c r="B125" s="4" t="str">
        <f>IF($L$13="Y","---&gt;","...")</f>
        <v>...</v>
      </c>
      <c r="C125" s="1" t="str">
        <f>IF($L$13="Y",'Population Definitions'!$B$12,"...")</f>
        <v>...</v>
      </c>
      <c r="E125" s="2"/>
      <c r="F125" s="3"/>
      <c r="G125" s="2"/>
      <c r="H125" s="4" t="str">
        <f>IF($L$13="Y","OR","...")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>
      <c r="A126" s="1" t="str">
        <f>IF($M$13="Y",'Population Definitions'!$B$10,"...")</f>
        <v>...</v>
      </c>
      <c r="B126" s="4" t="str">
        <f>IF($M$13="Y","---&gt;","...")</f>
        <v>...</v>
      </c>
      <c r="C126" s="1" t="str">
        <f>IF($M$13="Y",'Population Definitions'!$B$13,"...")</f>
        <v>...</v>
      </c>
      <c r="E126" s="2"/>
      <c r="F126" s="3"/>
      <c r="G126" s="2"/>
      <c r="H126" s="4" t="str">
        <f>IF($M$13="Y","OR","...")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>
      <c r="A127" s="1" t="str">
        <f>IF($B$14="Y",'Population Definitions'!$B$11,"...")</f>
        <v>...</v>
      </c>
      <c r="B127" s="4" t="str">
        <f>IF($B$14="Y","---&gt;","...")</f>
        <v>...</v>
      </c>
      <c r="C127" s="1" t="str">
        <f>IF($B$14="Y",'Population Definitions'!$B$2,"...")</f>
        <v>...</v>
      </c>
      <c r="E127" s="2"/>
      <c r="F127" s="3"/>
      <c r="G127" s="2"/>
      <c r="H127" s="4" t="str">
        <f>IF($B$14="Y","OR","...")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>
      <c r="A128" s="1" t="str">
        <f>IF($C$14="Y",'Population Definitions'!$B$11,"...")</f>
        <v>...</v>
      </c>
      <c r="B128" s="4" t="str">
        <f>IF($C$14="Y","---&gt;","...")</f>
        <v>...</v>
      </c>
      <c r="C128" s="1" t="str">
        <f>IF($C$14="Y",'Population Definitions'!$B$3,"...")</f>
        <v>...</v>
      </c>
      <c r="E128" s="2"/>
      <c r="F128" s="3"/>
      <c r="G128" s="2"/>
      <c r="H128" s="4" t="str">
        <f>IF($C$14="Y","OR","...")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>
      <c r="A129" s="1" t="str">
        <f>IF($D$14="Y",'Population Definitions'!$B$11,"...")</f>
        <v>...</v>
      </c>
      <c r="B129" s="4" t="str">
        <f>IF($D$14="Y","---&gt;","...")</f>
        <v>...</v>
      </c>
      <c r="C129" s="1" t="str">
        <f>IF($D$14="Y",'Population Definitions'!$B$4,"...")</f>
        <v>...</v>
      </c>
      <c r="E129" s="2"/>
      <c r="F129" s="3"/>
      <c r="G129" s="2"/>
      <c r="H129" s="4" t="str">
        <f>IF($D$14="Y","OR","...")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>
      <c r="A130" s="1" t="str">
        <f>IF($E$14="Y",'Population Definitions'!$B$11,"...")</f>
        <v>...</v>
      </c>
      <c r="B130" s="4" t="str">
        <f>IF($E$14="Y","---&gt;","...")</f>
        <v>...</v>
      </c>
      <c r="C130" s="1" t="str">
        <f>IF($E$14="Y",'Population Definitions'!$B$5,"...")</f>
        <v>...</v>
      </c>
      <c r="E130" s="2"/>
      <c r="F130" s="3"/>
      <c r="G130" s="2"/>
      <c r="H130" s="4" t="str">
        <f>IF($E$14="Y","OR","...")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>
      <c r="A131" s="1" t="str">
        <f>IF($F$14="Y",'Population Definitions'!$B$11,"...")</f>
        <v>...</v>
      </c>
      <c r="B131" s="4" t="str">
        <f>IF($F$14="Y","---&gt;","...")</f>
        <v>...</v>
      </c>
      <c r="C131" s="1" t="str">
        <f>IF($F$14="Y",'Population Definitions'!$B$6,"...")</f>
        <v>...</v>
      </c>
      <c r="E131" s="2"/>
      <c r="F131" s="3"/>
      <c r="G131" s="2"/>
      <c r="H131" s="4" t="str">
        <f>IF($F$14="Y","OR","...")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>
      <c r="A132" s="1" t="str">
        <f>IF($G$14="Y",'Population Definitions'!$B$11,"...")</f>
        <v>...</v>
      </c>
      <c r="B132" s="4" t="str">
        <f>IF($G$14="Y","---&gt;","...")</f>
        <v>...</v>
      </c>
      <c r="C132" s="1" t="str">
        <f>IF($G$14="Y",'Population Definitions'!$B$7,"...")</f>
        <v>...</v>
      </c>
      <c r="E132" s="2"/>
      <c r="F132" s="3"/>
      <c r="G132" s="2"/>
      <c r="H132" s="4" t="str">
        <f>IF($G$14="Y","OR","...")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>
      <c r="A133" s="1" t="str">
        <f>IF($H$14="Y",'Population Definitions'!$B$11,"...")</f>
        <v>...</v>
      </c>
      <c r="B133" s="4" t="str">
        <f>IF($H$14="Y","---&gt;","...")</f>
        <v>...</v>
      </c>
      <c r="C133" s="1" t="str">
        <f>IF($H$14="Y",'Population Definitions'!$B$8,"...")</f>
        <v>...</v>
      </c>
      <c r="E133" s="2"/>
      <c r="F133" s="3"/>
      <c r="G133" s="2"/>
      <c r="H133" s="4" t="str">
        <f>IF($H$14="Y","OR","...")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>
      <c r="A134" s="1" t="str">
        <f>IF($I$14="Y",'Population Definitions'!$B$11,"...")</f>
        <v>...</v>
      </c>
      <c r="B134" s="4" t="str">
        <f>IF($I$14="Y","---&gt;","...")</f>
        <v>...</v>
      </c>
      <c r="C134" s="1" t="str">
        <f>IF($I$14="Y",'Population Definitions'!$B$9,"...")</f>
        <v>...</v>
      </c>
      <c r="E134" s="2"/>
      <c r="F134" s="3"/>
      <c r="G134" s="2"/>
      <c r="H134" s="4" t="str">
        <f>IF($I$14="Y","OR","...")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>
      <c r="A135" s="1" t="str">
        <f>IF($J$14="Y",'Population Definitions'!$B$11,"...")</f>
        <v>...</v>
      </c>
      <c r="B135" s="4" t="str">
        <f>IF($J$14="Y","---&gt;","...")</f>
        <v>...</v>
      </c>
      <c r="C135" s="1" t="str">
        <f>IF($J$14="Y",'Population Definitions'!$B$10,"...")</f>
        <v>...</v>
      </c>
      <c r="E135" s="2"/>
      <c r="F135" s="3"/>
      <c r="G135" s="2"/>
      <c r="H135" s="4" t="str">
        <f>IF($J$14="Y","OR","...")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>
      <c r="A136" s="1" t="str">
        <f>IF($K$14="Y",'Population Definitions'!$B$11,"...")</f>
        <v>...</v>
      </c>
      <c r="B136" s="4" t="str">
        <f>IF($K$14="Y","---&gt;","...")</f>
        <v>...</v>
      </c>
      <c r="C136" s="1" t="str">
        <f>IF($K$14="Y",'Population Definitions'!$B$11,"...")</f>
        <v>...</v>
      </c>
      <c r="E136" s="2"/>
      <c r="F136" s="3"/>
      <c r="G136" s="2"/>
      <c r="H136" s="4" t="str">
        <f>IF($K$14="Y","OR","...")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>
      <c r="A137" s="1" t="str">
        <f>IF($L$14="Y",'Population Definitions'!$B$11,"...")</f>
        <v>atsi_30-49_F</v>
      </c>
      <c r="B137" s="4" t="str">
        <f>IF($L$14="Y","---&gt;","...")</f>
        <v>---&gt;</v>
      </c>
      <c r="C137" s="1" t="str">
        <f>IF($L$14="Y",'Population Definitions'!$B$12,"...")</f>
        <v>atsi_50-64_F</v>
      </c>
      <c r="E137" s="3" t="s">
        <v>26</v>
      </c>
      <c r="F137" s="3"/>
      <c r="G137" s="3"/>
      <c r="H137" s="4" t="str">
        <f>IF($L$14="Y","OR","...")</f>
        <v>OR</v>
      </c>
      <c r="I137" s="3">
        <v>0.03472877691991182</v>
      </c>
      <c r="J137" s="3">
        <v>0.03427271822847665</v>
      </c>
      <c r="K137" s="3">
        <v>0.03522786729380062</v>
      </c>
      <c r="L137" s="3">
        <v>0.03413169044391706</v>
      </c>
      <c r="M137" s="3">
        <v>0.03360463026147955</v>
      </c>
      <c r="N137" s="3">
        <v>0.03477676551369612</v>
      </c>
      <c r="O137" s="3">
        <v>0.03351574746276662</v>
      </c>
      <c r="P137" s="3">
        <v>0.0332374585647715</v>
      </c>
      <c r="Q137" s="3">
        <v>0.03310769740778117</v>
      </c>
      <c r="R137" s="3">
        <v>0.03333890268154919</v>
      </c>
      <c r="S137" s="3">
        <v>0.03225295234547718</v>
      </c>
      <c r="T137" s="3">
        <v>0.03165337366432323</v>
      </c>
      <c r="U137" s="3">
        <v>0.0319450568708799</v>
      </c>
      <c r="V137" s="3">
        <v>0.03116041998955816</v>
      </c>
      <c r="W137" s="3">
        <v>0.03140059959579281</v>
      </c>
      <c r="X137" s="3">
        <v>0.03088033023060424</v>
      </c>
      <c r="Y137" s="3">
        <v>0.03099206491816976</v>
      </c>
      <c r="Z137" s="3">
        <v>0.03074067203376473</v>
      </c>
      <c r="AA137" s="3">
        <v>0.02993369347973187</v>
      </c>
      <c r="AB137" s="3">
        <v>0.02957589374799125</v>
      </c>
      <c r="AC137" s="3">
        <v>0.02946214983915934</v>
      </c>
      <c r="AD137" s="3">
        <v>0.02921606542374899</v>
      </c>
      <c r="AE137" s="3">
        <v>0.02974640813945019</v>
      </c>
      <c r="AF137" s="3">
        <v>0.02911036085038925</v>
      </c>
      <c r="AG137" s="3">
        <v>0.02883515392167061</v>
      </c>
      <c r="AH137" s="3">
        <v>0.02843293744450257</v>
      </c>
      <c r="AI137" s="3">
        <v>0.02850017839012819</v>
      </c>
      <c r="AJ137" s="3">
        <v>0.02870913003760181</v>
      </c>
      <c r="AK137" s="3">
        <v>0.02897535887491186</v>
      </c>
      <c r="AL137" s="3">
        <v>0.02825331938413657</v>
      </c>
      <c r="AM137" s="3">
        <v>0.02813782407770117</v>
      </c>
      <c r="AN137" s="3">
        <v>0.0477847789398194</v>
      </c>
      <c r="AO137" s="3">
        <v>0.04861618689519321</v>
      </c>
      <c r="AP137" s="3">
        <v>0.04742836115094991</v>
      </c>
      <c r="AQ137" s="3">
        <v>0.04859539007572328</v>
      </c>
      <c r="AR137" s="3">
        <v>0.04862857652525553</v>
      </c>
      <c r="AS137" s="3">
        <v>0.04925008107315525</v>
      </c>
      <c r="AT137" s="3">
        <v>0.05138347840382907</v>
      </c>
      <c r="AU137" s="3">
        <v>0.05198285251196982</v>
      </c>
      <c r="AV137" s="3">
        <v>0.05222896535901252</v>
      </c>
      <c r="AW137" s="3">
        <v>0.05454335810167843</v>
      </c>
      <c r="AX137" s="3">
        <v>0.052493380780579</v>
      </c>
      <c r="AY137" s="3">
        <v>0.04988807038533948</v>
      </c>
      <c r="AZ137" s="3">
        <v>0.0474668744420965</v>
      </c>
      <c r="BA137" s="3">
        <v>0.04503430381682814</v>
      </c>
      <c r="BB137" s="3">
        <v>0.04396832030186656</v>
      </c>
      <c r="BC137" s="3">
        <v>0.04240618819596183</v>
      </c>
      <c r="BD137" s="3">
        <v>0.04260422530850817</v>
      </c>
      <c r="BE137" s="3">
        <v>0.04297873978567251</v>
      </c>
      <c r="BF137" s="3">
        <v>0.04179382498916396</v>
      </c>
      <c r="BG137" s="3">
        <v>0.04326724175420958</v>
      </c>
      <c r="BH137" s="3">
        <v>0.04212859165669885</v>
      </c>
      <c r="BI137" s="3">
        <v>0.04248349261616326</v>
      </c>
      <c r="BJ137" s="3">
        <v>0.04283931871509962</v>
      </c>
      <c r="BK137" s="3">
        <v>0.04317466248825889</v>
      </c>
      <c r="BL137" s="3">
        <v>0.04353034964587197</v>
      </c>
      <c r="BM137" s="3">
        <v>0.04381483009006377</v>
      </c>
      <c r="BN137" s="3">
        <v>0.04415154773043021</v>
      </c>
      <c r="BO137" s="3">
        <v>0.04453989975888129</v>
      </c>
      <c r="BP137" s="3">
        <v>0.0449503855966929</v>
      </c>
      <c r="BQ137" s="3">
        <v>0.04538874282462319</v>
      </c>
      <c r="BR137" s="3">
        <v>0.04582995693694489</v>
      </c>
      <c r="BS137" s="3">
        <v>0.04626414046563434</v>
      </c>
      <c r="BT137" s="3">
        <v>0.04666960529612779</v>
      </c>
      <c r="BU137" s="3">
        <v>0.0470268618244146</v>
      </c>
      <c r="BV137" s="3">
        <v>0.04735750767731065</v>
      </c>
      <c r="BW137" s="3">
        <v>0.04761724620110837</v>
      </c>
      <c r="BX137" s="3">
        <v>0.04784346034982968</v>
      </c>
      <c r="BY137" s="3">
        <v>0.04801343315129056</v>
      </c>
      <c r="BZ137" s="3">
        <v>0.04816803765852852</v>
      </c>
      <c r="CA137" s="3">
        <v>0.04828746200538313</v>
      </c>
      <c r="CB137" s="3">
        <v>0.04838730081886666</v>
      </c>
      <c r="CC137" s="3">
        <v>0.04847142742003891</v>
      </c>
      <c r="CD137" s="3">
        <v>0.04852877954778646</v>
      </c>
      <c r="CE137" s="3">
        <v>0.04855536550420782</v>
      </c>
      <c r="CF137" s="3">
        <v>0.04854160913994893</v>
      </c>
      <c r="CG137" s="3">
        <v>0.04850537742913356</v>
      </c>
      <c r="CH137" s="3">
        <v>0.04847421480701015</v>
      </c>
      <c r="CI137" s="3">
        <v>0.04843561954537847</v>
      </c>
      <c r="CJ137" s="3">
        <v>0.04840427887009756</v>
      </c>
      <c r="CK137" s="3">
        <v>0.04837094148596573</v>
      </c>
      <c r="CL137" s="3">
        <v>0.04837144354521092</v>
      </c>
      <c r="CM137" s="3">
        <v>0.0484038366490574</v>
      </c>
      <c r="CN137" s="3">
        <v>0.04846619539673979</v>
      </c>
      <c r="CO137" s="3">
        <v>0.04854138023841728</v>
      </c>
      <c r="CP137" s="3">
        <v>0.04860244508644201</v>
      </c>
      <c r="CQ137" s="3">
        <v>0.04867649574096011</v>
      </c>
      <c r="CR137" s="3">
        <v>0.04878032819964017</v>
      </c>
      <c r="CS137" s="3">
        <v>0.04889076467603704</v>
      </c>
      <c r="CT137" s="3">
        <v>0.04899102642823357</v>
      </c>
      <c r="CU137" s="3">
        <v>0.0490938475284924</v>
      </c>
      <c r="CV137" s="3"/>
    </row>
    <row r="138" spans="1:100">
      <c r="A138" s="1" t="str">
        <f>IF($M$14="Y",'Population Definitions'!$B$11,"...")</f>
        <v>...</v>
      </c>
      <c r="B138" s="4" t="str">
        <f>IF($M$14="Y","---&gt;","...")</f>
        <v>...</v>
      </c>
      <c r="C138" s="1" t="str">
        <f>IF($M$14="Y",'Population Definitions'!$B$13,"...")</f>
        <v>...</v>
      </c>
      <c r="E138" s="2"/>
      <c r="F138" s="3"/>
      <c r="G138" s="2"/>
      <c r="H138" s="4" t="str">
        <f>IF($M$14="Y","OR","...")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>
      <c r="A139" s="1" t="str">
        <f>IF($B$15="Y",'Population Definitions'!$B$12,"...")</f>
        <v>...</v>
      </c>
      <c r="B139" s="4" t="str">
        <f>IF($B$15="Y","---&gt;","...")</f>
        <v>...</v>
      </c>
      <c r="C139" s="1" t="str">
        <f>IF($B$15="Y",'Population Definitions'!$B$2,"...")</f>
        <v>...</v>
      </c>
      <c r="E139" s="2"/>
      <c r="F139" s="3"/>
      <c r="G139" s="2"/>
      <c r="H139" s="4" t="str">
        <f>IF($B$15="Y","OR","...")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>
      <c r="A140" s="1" t="str">
        <f>IF($C$15="Y",'Population Definitions'!$B$12,"...")</f>
        <v>...</v>
      </c>
      <c r="B140" s="4" t="str">
        <f>IF($C$15="Y","---&gt;","...")</f>
        <v>...</v>
      </c>
      <c r="C140" s="1" t="str">
        <f>IF($C$15="Y",'Population Definitions'!$B$3,"...")</f>
        <v>...</v>
      </c>
      <c r="E140" s="2"/>
      <c r="F140" s="3"/>
      <c r="G140" s="2"/>
      <c r="H140" s="4" t="str">
        <f>IF($C$15="Y","OR","...")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>
      <c r="A141" s="1" t="str">
        <f>IF($D$15="Y",'Population Definitions'!$B$12,"...")</f>
        <v>...</v>
      </c>
      <c r="B141" s="4" t="str">
        <f>IF($D$15="Y","---&gt;","...")</f>
        <v>...</v>
      </c>
      <c r="C141" s="1" t="str">
        <f>IF($D$15="Y",'Population Definitions'!$B$4,"...")</f>
        <v>...</v>
      </c>
      <c r="E141" s="2"/>
      <c r="F141" s="3"/>
      <c r="G141" s="2"/>
      <c r="H141" s="4" t="str">
        <f>IF($D$15="Y","OR","...")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>
      <c r="A142" s="1" t="str">
        <f>IF($E$15="Y",'Population Definitions'!$B$12,"...")</f>
        <v>...</v>
      </c>
      <c r="B142" s="4" t="str">
        <f>IF($E$15="Y","---&gt;","...")</f>
        <v>...</v>
      </c>
      <c r="C142" s="1" t="str">
        <f>IF($E$15="Y",'Population Definitions'!$B$5,"...")</f>
        <v>...</v>
      </c>
      <c r="E142" s="2"/>
      <c r="F142" s="3"/>
      <c r="G142" s="2"/>
      <c r="H142" s="4" t="str">
        <f>IF($E$15="Y","OR","...")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>
      <c r="A143" s="1" t="str">
        <f>IF($F$15="Y",'Population Definitions'!$B$12,"...")</f>
        <v>...</v>
      </c>
      <c r="B143" s="4" t="str">
        <f>IF($F$15="Y","---&gt;","...")</f>
        <v>...</v>
      </c>
      <c r="C143" s="1" t="str">
        <f>IF($F$15="Y",'Population Definitions'!$B$6,"...")</f>
        <v>...</v>
      </c>
      <c r="E143" s="2"/>
      <c r="F143" s="3"/>
      <c r="G143" s="2"/>
      <c r="H143" s="4" t="str">
        <f>IF($F$15="Y","OR","...")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>
      <c r="A144" s="1" t="str">
        <f>IF($G$15="Y",'Population Definitions'!$B$12,"...")</f>
        <v>...</v>
      </c>
      <c r="B144" s="4" t="str">
        <f>IF($G$15="Y","---&gt;","...")</f>
        <v>...</v>
      </c>
      <c r="C144" s="1" t="str">
        <f>IF($G$15="Y",'Population Definitions'!$B$7,"...")</f>
        <v>...</v>
      </c>
      <c r="E144" s="2"/>
      <c r="F144" s="3"/>
      <c r="G144" s="2"/>
      <c r="H144" s="4" t="str">
        <f>IF($G$15="Y","OR","...")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>
      <c r="A145" s="1" t="str">
        <f>IF($H$15="Y",'Population Definitions'!$B$12,"...")</f>
        <v>...</v>
      </c>
      <c r="B145" s="4" t="str">
        <f>IF($H$15="Y","---&gt;","...")</f>
        <v>...</v>
      </c>
      <c r="C145" s="1" t="str">
        <f>IF($H$15="Y",'Population Definitions'!$B$8,"...")</f>
        <v>...</v>
      </c>
      <c r="E145" s="2"/>
      <c r="F145" s="3"/>
      <c r="G145" s="2"/>
      <c r="H145" s="4" t="str">
        <f>IF($H$15="Y","OR","...")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>
      <c r="A146" s="1" t="str">
        <f>IF($I$15="Y",'Population Definitions'!$B$12,"...")</f>
        <v>...</v>
      </c>
      <c r="B146" s="4" t="str">
        <f>IF($I$15="Y","---&gt;","...")</f>
        <v>...</v>
      </c>
      <c r="C146" s="1" t="str">
        <f>IF($I$15="Y",'Population Definitions'!$B$9,"...")</f>
        <v>...</v>
      </c>
      <c r="E146" s="2"/>
      <c r="F146" s="3"/>
      <c r="G146" s="2"/>
      <c r="H146" s="4" t="str">
        <f>IF($I$15="Y","OR","...")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>
      <c r="A147" s="1" t="str">
        <f>IF($J$15="Y",'Population Definitions'!$B$12,"...")</f>
        <v>...</v>
      </c>
      <c r="B147" s="4" t="str">
        <f>IF($J$15="Y","---&gt;","...")</f>
        <v>...</v>
      </c>
      <c r="C147" s="1" t="str">
        <f>IF($J$15="Y",'Population Definitions'!$B$10,"...")</f>
        <v>...</v>
      </c>
      <c r="E147" s="2"/>
      <c r="F147" s="3"/>
      <c r="G147" s="2"/>
      <c r="H147" s="4" t="str">
        <f>IF($J$15="Y","OR","...")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>
      <c r="A148" s="1" t="str">
        <f>IF($K$15="Y",'Population Definitions'!$B$12,"...")</f>
        <v>...</v>
      </c>
      <c r="B148" s="4" t="str">
        <f>IF($K$15="Y","---&gt;","...")</f>
        <v>...</v>
      </c>
      <c r="C148" s="1" t="str">
        <f>IF($K$15="Y",'Population Definitions'!$B$11,"...")</f>
        <v>...</v>
      </c>
      <c r="E148" s="2"/>
      <c r="F148" s="3"/>
      <c r="G148" s="2"/>
      <c r="H148" s="4" t="str">
        <f>IF($K$15="Y","OR","...")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>
      <c r="A149" s="1" t="str">
        <f>IF($L$15="Y",'Population Definitions'!$B$12,"...")</f>
        <v>...</v>
      </c>
      <c r="B149" s="4" t="str">
        <f>IF($L$15="Y","---&gt;","...")</f>
        <v>...</v>
      </c>
      <c r="C149" s="1" t="str">
        <f>IF($L$15="Y",'Population Definitions'!$B$12,"...")</f>
        <v>...</v>
      </c>
      <c r="E149" s="2"/>
      <c r="F149" s="3"/>
      <c r="G149" s="2"/>
      <c r="H149" s="4" t="str">
        <f>IF($L$15="Y","OR","...")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>
      <c r="A150" s="1" t="str">
        <f>IF($M$15="Y",'Population Definitions'!$B$12,"...")</f>
        <v>atsi_50-64_F</v>
      </c>
      <c r="B150" s="4" t="str">
        <f>IF($M$15="Y","---&gt;","...")</f>
        <v>---&gt;</v>
      </c>
      <c r="C150" s="1" t="str">
        <f>IF($M$15="Y",'Population Definitions'!$B$13,"...")</f>
        <v>atsi_65+_F</v>
      </c>
      <c r="E150" s="3" t="s">
        <v>26</v>
      </c>
      <c r="F150" s="3"/>
      <c r="G150" s="3"/>
      <c r="H150" s="4" t="str">
        <f>IF($M$15="Y","OR","...")</f>
        <v>OR</v>
      </c>
      <c r="I150" s="3">
        <v>0.03808388080468383</v>
      </c>
      <c r="J150" s="3">
        <v>0.03749547588305538</v>
      </c>
      <c r="K150" s="3">
        <v>0.03870033788191622</v>
      </c>
      <c r="L150" s="3">
        <v>0.03676324457323264</v>
      </c>
      <c r="M150" s="3">
        <v>0.03660282779392916</v>
      </c>
      <c r="N150" s="3">
        <v>0.03873908876048483</v>
      </c>
      <c r="O150" s="3">
        <v>0.03677992777617673</v>
      </c>
      <c r="P150" s="3">
        <v>0.0367187653731923</v>
      </c>
      <c r="Q150" s="3">
        <v>0.03646241903556838</v>
      </c>
      <c r="R150" s="3">
        <v>0.03739336516979643</v>
      </c>
      <c r="S150" s="3">
        <v>0.03580548452171727</v>
      </c>
      <c r="T150" s="3">
        <v>0.03500772954333674</v>
      </c>
      <c r="U150" s="3">
        <v>0.03585497935521284</v>
      </c>
      <c r="V150" s="3">
        <v>0.03486503389234713</v>
      </c>
      <c r="W150" s="3">
        <v>0.03588977627307926</v>
      </c>
      <c r="X150" s="3">
        <v>0.03520242902937002</v>
      </c>
      <c r="Y150" s="3">
        <v>0.0355382152526585</v>
      </c>
      <c r="Z150" s="3">
        <v>0.03552201928003831</v>
      </c>
      <c r="AA150" s="3">
        <v>0.03443103474601415</v>
      </c>
      <c r="AB150" s="3">
        <v>0.03442264244439022</v>
      </c>
      <c r="AC150" s="3">
        <v>0.0342902487300038</v>
      </c>
      <c r="AD150" s="3">
        <v>0.03396292535339823</v>
      </c>
      <c r="AE150" s="3">
        <v>0.03489889494988628</v>
      </c>
      <c r="AF150" s="3">
        <v>0.03415941143981524</v>
      </c>
      <c r="AG150" s="3">
        <v>0.03391520751274998</v>
      </c>
      <c r="AH150" s="3">
        <v>0.03316454280391739</v>
      </c>
      <c r="AI150" s="3">
        <v>0.03350649053191385</v>
      </c>
      <c r="AJ150" s="3">
        <v>0.03366715534237389</v>
      </c>
      <c r="AK150" s="3">
        <v>0.03448240139218814</v>
      </c>
      <c r="AL150" s="3">
        <v>0.0328677399651667</v>
      </c>
      <c r="AM150" s="3">
        <v>0.03286754478173662</v>
      </c>
      <c r="AN150" s="3">
        <v>0.0503953496619491</v>
      </c>
      <c r="AO150" s="3">
        <v>0.0470167286218185</v>
      </c>
      <c r="AP150" s="3">
        <v>0.04871445233005203</v>
      </c>
      <c r="AQ150" s="3">
        <v>0.05255946371491535</v>
      </c>
      <c r="AR150" s="3">
        <v>0.05359964336401138</v>
      </c>
      <c r="AS150" s="3">
        <v>0.05395265236958222</v>
      </c>
      <c r="AT150" s="3">
        <v>0.05592026283919455</v>
      </c>
      <c r="AU150" s="3">
        <v>0.05510012851869268</v>
      </c>
      <c r="AV150" s="3">
        <v>0.05558828169823744</v>
      </c>
      <c r="AW150" s="3">
        <v>0.05450242255206525</v>
      </c>
      <c r="AX150" s="3">
        <v>0.05424402340932611</v>
      </c>
      <c r="AY150" s="3">
        <v>0.05417722076301337</v>
      </c>
      <c r="AZ150" s="3">
        <v>0.05547643549885758</v>
      </c>
      <c r="BA150" s="3">
        <v>0.05737582826023482</v>
      </c>
      <c r="BB150" s="3">
        <v>0.06251409361680831</v>
      </c>
      <c r="BC150" s="3">
        <v>0.06264205020758699</v>
      </c>
      <c r="BD150" s="3">
        <v>0.064526466429907</v>
      </c>
      <c r="BE150" s="3">
        <v>0.06431784828916458</v>
      </c>
      <c r="BF150" s="3">
        <v>0.06520990016125888</v>
      </c>
      <c r="BG150" s="3">
        <v>0.06587041993097392</v>
      </c>
      <c r="BH150" s="3">
        <v>0.06807943009325133</v>
      </c>
      <c r="BI150" s="3">
        <v>0.06900309541568998</v>
      </c>
      <c r="BJ150" s="3">
        <v>0.06993904410568179</v>
      </c>
      <c r="BK150" s="3">
        <v>0.07085017729184598</v>
      </c>
      <c r="BL150" s="3">
        <v>0.07180331585199684</v>
      </c>
      <c r="BM150" s="3">
        <v>0.07262300619545721</v>
      </c>
      <c r="BN150" s="3">
        <v>0.07353543435892958</v>
      </c>
      <c r="BO150" s="3">
        <v>0.07453068496953129</v>
      </c>
      <c r="BP150" s="3">
        <v>0.07556489369647075</v>
      </c>
      <c r="BQ150" s="3">
        <v>0.07663855226555889</v>
      </c>
      <c r="BR150" s="3">
        <v>0.07770118487854281</v>
      </c>
      <c r="BS150" s="3">
        <v>0.07873397670639314</v>
      </c>
      <c r="BT150" s="3">
        <v>0.0796887498997781</v>
      </c>
      <c r="BU150" s="3">
        <v>0.08053533846116871</v>
      </c>
      <c r="BV150" s="3">
        <v>0.08130591436653407</v>
      </c>
      <c r="BW150" s="3">
        <v>0.08193027661690903</v>
      </c>
      <c r="BX150" s="3">
        <v>0.08245598208407721</v>
      </c>
      <c r="BY150" s="3">
        <v>0.08287296482675506</v>
      </c>
      <c r="BZ150" s="3">
        <v>0.08324095106562715</v>
      </c>
      <c r="CA150" s="3">
        <v>0.08353709538416947</v>
      </c>
      <c r="CB150" s="3">
        <v>0.08378980596510682</v>
      </c>
      <c r="CC150" s="3">
        <v>0.08399561513656782</v>
      </c>
      <c r="CD150" s="3">
        <v>0.08413951378178561</v>
      </c>
      <c r="CE150" s="3">
        <v>0.08423216160188543</v>
      </c>
      <c r="CF150" s="3">
        <v>0.08424035573715484</v>
      </c>
      <c r="CG150" s="3">
        <v>0.08421123536888574</v>
      </c>
      <c r="CH150" s="3">
        <v>0.08418650604133894</v>
      </c>
      <c r="CI150" s="3">
        <v>0.0841463902380247</v>
      </c>
      <c r="CJ150" s="3">
        <v>0.08411790650281817</v>
      </c>
      <c r="CK150" s="3">
        <v>0.08408297313925549</v>
      </c>
      <c r="CL150" s="3">
        <v>0.08411482077022768</v>
      </c>
      <c r="CM150" s="3">
        <v>0.08421060543473675</v>
      </c>
      <c r="CN150" s="3">
        <v>0.08435641158557078</v>
      </c>
      <c r="CO150" s="3">
        <v>0.08452769024989862</v>
      </c>
      <c r="CP150" s="3">
        <v>0.08466547603311445</v>
      </c>
      <c r="CQ150" s="3">
        <v>0.08483306936059867</v>
      </c>
      <c r="CR150" s="3">
        <v>0.08505588956272503</v>
      </c>
      <c r="CS150" s="3">
        <v>0.08527698502236705</v>
      </c>
      <c r="CT150" s="3">
        <v>0.08549315613575216</v>
      </c>
      <c r="CU150" s="3">
        <v>0.08570907324224042</v>
      </c>
      <c r="CV150" s="3"/>
    </row>
    <row r="151" spans="1:100">
      <c r="A151" s="1" t="str">
        <f>IF($B$16="Y",'Population Definitions'!$B$13,"...")</f>
        <v>...</v>
      </c>
      <c r="B151" s="4" t="str">
        <f>IF($B$16="Y","---&gt;","...")</f>
        <v>...</v>
      </c>
      <c r="C151" s="1" t="str">
        <f>IF($B$16="Y",'Population Definitions'!$B$2,"...")</f>
        <v>...</v>
      </c>
      <c r="E151" s="2"/>
      <c r="F151" s="3"/>
      <c r="G151" s="2"/>
      <c r="H151" s="4" t="str">
        <f>IF($B$16="Y","OR","...")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>
      <c r="A152" s="1" t="str">
        <f>IF($C$16="Y",'Population Definitions'!$B$13,"...")</f>
        <v>...</v>
      </c>
      <c r="B152" s="4" t="str">
        <f>IF($C$16="Y","---&gt;","...")</f>
        <v>...</v>
      </c>
      <c r="C152" s="1" t="str">
        <f>IF($C$16="Y",'Population Definitions'!$B$3,"...")</f>
        <v>...</v>
      </c>
      <c r="E152" s="2"/>
      <c r="F152" s="3"/>
      <c r="G152" s="2"/>
      <c r="H152" s="4" t="str">
        <f>IF($C$16="Y","OR","...")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>
      <c r="A153" s="1" t="str">
        <f>IF($D$16="Y",'Population Definitions'!$B$13,"...")</f>
        <v>...</v>
      </c>
      <c r="B153" s="4" t="str">
        <f>IF($D$16="Y","---&gt;","...")</f>
        <v>...</v>
      </c>
      <c r="C153" s="1" t="str">
        <f>IF($D$16="Y",'Population Definitions'!$B$4,"...")</f>
        <v>...</v>
      </c>
      <c r="E153" s="2"/>
      <c r="F153" s="3"/>
      <c r="G153" s="2"/>
      <c r="H153" s="4" t="str">
        <f>IF($D$16="Y","OR","...")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>
      <c r="A154" s="1" t="str">
        <f>IF($E$16="Y",'Population Definitions'!$B$13,"...")</f>
        <v>...</v>
      </c>
      <c r="B154" s="4" t="str">
        <f>IF($E$16="Y","---&gt;","...")</f>
        <v>...</v>
      </c>
      <c r="C154" s="1" t="str">
        <f>IF($E$16="Y",'Population Definitions'!$B$5,"...")</f>
        <v>...</v>
      </c>
      <c r="E154" s="2"/>
      <c r="F154" s="3"/>
      <c r="G154" s="2"/>
      <c r="H154" s="4" t="str">
        <f>IF($E$16="Y","OR","...")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>
      <c r="A155" s="1" t="str">
        <f>IF($F$16="Y",'Population Definitions'!$B$13,"...")</f>
        <v>...</v>
      </c>
      <c r="B155" s="4" t="str">
        <f>IF($F$16="Y","---&gt;","...")</f>
        <v>...</v>
      </c>
      <c r="C155" s="1" t="str">
        <f>IF($F$16="Y",'Population Definitions'!$B$6,"...")</f>
        <v>...</v>
      </c>
      <c r="E155" s="2"/>
      <c r="F155" s="3"/>
      <c r="G155" s="2"/>
      <c r="H155" s="4" t="str">
        <f>IF($F$16="Y","OR","...")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>
      <c r="A156" s="1" t="str">
        <f>IF($G$16="Y",'Population Definitions'!$B$13,"...")</f>
        <v>...</v>
      </c>
      <c r="B156" s="4" t="str">
        <f>IF($G$16="Y","---&gt;","...")</f>
        <v>...</v>
      </c>
      <c r="C156" s="1" t="str">
        <f>IF($G$16="Y",'Population Definitions'!$B$7,"...")</f>
        <v>...</v>
      </c>
      <c r="E156" s="2"/>
      <c r="F156" s="3"/>
      <c r="G156" s="2"/>
      <c r="H156" s="4" t="str">
        <f>IF($G$16="Y","OR","...")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>
      <c r="A157" s="1" t="str">
        <f>IF($H$16="Y",'Population Definitions'!$B$13,"...")</f>
        <v>...</v>
      </c>
      <c r="B157" s="4" t="str">
        <f>IF($H$16="Y","---&gt;","...")</f>
        <v>...</v>
      </c>
      <c r="C157" s="1" t="str">
        <f>IF($H$16="Y",'Population Definitions'!$B$8,"...")</f>
        <v>...</v>
      </c>
      <c r="E157" s="2"/>
      <c r="F157" s="3"/>
      <c r="G157" s="2"/>
      <c r="H157" s="4" t="str">
        <f>IF($H$16="Y","OR","...")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>
      <c r="A158" s="1" t="str">
        <f>IF($I$16="Y",'Population Definitions'!$B$13,"...")</f>
        <v>...</v>
      </c>
      <c r="B158" s="4" t="str">
        <f>IF($I$16="Y","---&gt;","...")</f>
        <v>...</v>
      </c>
      <c r="C158" s="1" t="str">
        <f>IF($I$16="Y",'Population Definitions'!$B$9,"...")</f>
        <v>...</v>
      </c>
      <c r="E158" s="2"/>
      <c r="F158" s="3"/>
      <c r="G158" s="2"/>
      <c r="H158" s="4" t="str">
        <f>IF($I$16="Y","OR","...")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>
      <c r="A159" s="1" t="str">
        <f>IF($J$16="Y",'Population Definitions'!$B$13,"...")</f>
        <v>...</v>
      </c>
      <c r="B159" s="4" t="str">
        <f>IF($J$16="Y","---&gt;","...")</f>
        <v>...</v>
      </c>
      <c r="C159" s="1" t="str">
        <f>IF($J$16="Y",'Population Definitions'!$B$10,"...")</f>
        <v>...</v>
      </c>
      <c r="E159" s="2"/>
      <c r="F159" s="3"/>
      <c r="G159" s="2"/>
      <c r="H159" s="4" t="str">
        <f>IF($J$16="Y","OR","...")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>
      <c r="A160" s="1" t="str">
        <f>IF($K$16="Y",'Population Definitions'!$B$13,"...")</f>
        <v>...</v>
      </c>
      <c r="B160" s="4" t="str">
        <f>IF($K$16="Y","---&gt;","...")</f>
        <v>...</v>
      </c>
      <c r="C160" s="1" t="str">
        <f>IF($K$16="Y",'Population Definitions'!$B$11,"...")</f>
        <v>...</v>
      </c>
      <c r="E160" s="2"/>
      <c r="F160" s="3"/>
      <c r="G160" s="2"/>
      <c r="H160" s="4" t="str">
        <f>IF($K$16="Y","OR","...")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>
      <c r="A161" s="1" t="str">
        <f>IF($L$16="Y",'Population Definitions'!$B$13,"...")</f>
        <v>...</v>
      </c>
      <c r="B161" s="4" t="str">
        <f>IF($L$16="Y","---&gt;","...")</f>
        <v>...</v>
      </c>
      <c r="C161" s="1" t="str">
        <f>IF($L$16="Y",'Population Definitions'!$B$12,"...")</f>
        <v>...</v>
      </c>
      <c r="E161" s="2"/>
      <c r="F161" s="3"/>
      <c r="G161" s="2"/>
      <c r="H161" s="4" t="str">
        <f>IF($L$16="Y","OR","...")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>
      <c r="A162" s="1" t="str">
        <f>IF($M$16="Y",'Population Definitions'!$B$13,"...")</f>
        <v>...</v>
      </c>
      <c r="B162" s="4" t="str">
        <f>IF($M$16="Y","---&gt;","...")</f>
        <v>...</v>
      </c>
      <c r="C162" s="1" t="str">
        <f>IF($M$16="Y",'Population Definitions'!$B$13,"...")</f>
        <v>...</v>
      </c>
      <c r="E162" s="2"/>
      <c r="F162" s="3"/>
      <c r="G162" s="2"/>
      <c r="H162" s="4" t="str">
        <f>IF($M$16="Y","OR","...")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</sheetData>
  <conditionalFormatting sqref="B10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B11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B12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B13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B14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B15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B16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B6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B7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B8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B9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C10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1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C12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C13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C14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C15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C16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C8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C9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D10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0:CV100">
    <cfRule type="expression" dxfId="4" priority="510">
      <formula>$K$11&lt;&gt;"Y"</formula>
    </cfRule>
  </conditionalFormatting>
  <conditionalFormatting sqref="D101:CV101">
    <cfRule type="expression" dxfId="4" priority="513">
      <formula>$L$11&lt;&gt;"Y"</formula>
    </cfRule>
  </conditionalFormatting>
  <conditionalFormatting sqref="D102:CV102">
    <cfRule type="expression" dxfId="4" priority="516">
      <formula>$M$11&lt;&gt;"Y"</formula>
    </cfRule>
  </conditionalFormatting>
  <conditionalFormatting sqref="D103:CV103">
    <cfRule type="expression" dxfId="4" priority="519">
      <formula>$B$12&lt;&gt;"Y"</formula>
    </cfRule>
  </conditionalFormatting>
  <conditionalFormatting sqref="D104:CV104">
    <cfRule type="expression" dxfId="4" priority="522">
      <formula>$C$12&lt;&gt;"Y"</formula>
    </cfRule>
  </conditionalFormatting>
  <conditionalFormatting sqref="D105:CV105">
    <cfRule type="expression" dxfId="4" priority="525">
      <formula>$D$12&lt;&gt;"Y"</formula>
    </cfRule>
  </conditionalFormatting>
  <conditionalFormatting sqref="D106:CV106">
    <cfRule type="expression" dxfId="4" priority="528">
      <formula>$E$12&lt;&gt;"Y"</formula>
    </cfRule>
  </conditionalFormatting>
  <conditionalFormatting sqref="D107:CV107">
    <cfRule type="expression" dxfId="4" priority="531">
      <formula>$F$12&lt;&gt;"Y"</formula>
    </cfRule>
  </conditionalFormatting>
  <conditionalFormatting sqref="D108:CV108">
    <cfRule type="expression" dxfId="4" priority="534">
      <formula>$G$12&lt;&gt;"Y"</formula>
    </cfRule>
  </conditionalFormatting>
  <conditionalFormatting sqref="D109:CV109">
    <cfRule type="expression" dxfId="4" priority="537">
      <formula>$H$12&lt;&gt;"Y"</formula>
    </cfRule>
  </conditionalFormatting>
  <conditionalFormatting sqref="D11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D110:CV110">
    <cfRule type="expression" dxfId="4" priority="540">
      <formula>$I$12&lt;&gt;"Y"</formula>
    </cfRule>
  </conditionalFormatting>
  <conditionalFormatting sqref="D111:CV111">
    <cfRule type="expression" dxfId="4" priority="543">
      <formula>$J$12&lt;&gt;"Y"</formula>
    </cfRule>
  </conditionalFormatting>
  <conditionalFormatting sqref="D112:CV112">
    <cfRule type="expression" dxfId="4" priority="546">
      <formula>$K$12&lt;&gt;"Y"</formula>
    </cfRule>
  </conditionalFormatting>
  <conditionalFormatting sqref="D113:CV113">
    <cfRule type="expression" dxfId="4" priority="549">
      <formula>$L$12&lt;&gt;"Y"</formula>
    </cfRule>
  </conditionalFormatting>
  <conditionalFormatting sqref="D114:CV114">
    <cfRule type="expression" dxfId="4" priority="552">
      <formula>$M$12&lt;&gt;"Y"</formula>
    </cfRule>
  </conditionalFormatting>
  <conditionalFormatting sqref="D115:CV115">
    <cfRule type="expression" dxfId="4" priority="555">
      <formula>$B$13&lt;&gt;"Y"</formula>
    </cfRule>
  </conditionalFormatting>
  <conditionalFormatting sqref="D116:CV116">
    <cfRule type="expression" dxfId="4" priority="558">
      <formula>$C$13&lt;&gt;"Y"</formula>
    </cfRule>
  </conditionalFormatting>
  <conditionalFormatting sqref="D117:CV117">
    <cfRule type="expression" dxfId="4" priority="561">
      <formula>$D$13&lt;&gt;"Y"</formula>
    </cfRule>
  </conditionalFormatting>
  <conditionalFormatting sqref="D118:CV118">
    <cfRule type="expression" dxfId="4" priority="564">
      <formula>$E$13&lt;&gt;"Y"</formula>
    </cfRule>
  </conditionalFormatting>
  <conditionalFormatting sqref="D119:CV119">
    <cfRule type="expression" dxfId="4" priority="567">
      <formula>$F$13&lt;&gt;"Y"</formula>
    </cfRule>
  </conditionalFormatting>
  <conditionalFormatting sqref="D12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D120:CV120">
    <cfRule type="expression" dxfId="4" priority="570">
      <formula>$G$13&lt;&gt;"Y"</formula>
    </cfRule>
  </conditionalFormatting>
  <conditionalFormatting sqref="D121:CV121">
    <cfRule type="expression" dxfId="4" priority="573">
      <formula>$H$13&lt;&gt;"Y"</formula>
    </cfRule>
  </conditionalFormatting>
  <conditionalFormatting sqref="D122:CV122">
    <cfRule type="expression" dxfId="4" priority="576">
      <formula>$I$13&lt;&gt;"Y"</formula>
    </cfRule>
  </conditionalFormatting>
  <conditionalFormatting sqref="D123:CV123">
    <cfRule type="expression" dxfId="4" priority="579">
      <formula>$J$13&lt;&gt;"Y"</formula>
    </cfRule>
  </conditionalFormatting>
  <conditionalFormatting sqref="D124:CV124">
    <cfRule type="expression" dxfId="4" priority="582">
      <formula>$K$13&lt;&gt;"Y"</formula>
    </cfRule>
  </conditionalFormatting>
  <conditionalFormatting sqref="D125:CV125">
    <cfRule type="expression" dxfId="4" priority="585">
      <formula>$L$13&lt;&gt;"Y"</formula>
    </cfRule>
  </conditionalFormatting>
  <conditionalFormatting sqref="D126:CV126">
    <cfRule type="expression" dxfId="4" priority="588">
      <formula>$M$13&lt;&gt;"Y"</formula>
    </cfRule>
  </conditionalFormatting>
  <conditionalFormatting sqref="D127:CV127">
    <cfRule type="expression" dxfId="4" priority="591">
      <formula>$B$14&lt;&gt;"Y"</formula>
    </cfRule>
  </conditionalFormatting>
  <conditionalFormatting sqref="D128:CV128">
    <cfRule type="expression" dxfId="4" priority="594">
      <formula>$C$14&lt;&gt;"Y"</formula>
    </cfRule>
  </conditionalFormatting>
  <conditionalFormatting sqref="D129:CV129">
    <cfRule type="expression" dxfId="4" priority="597">
      <formula>$D$14&lt;&gt;"Y"</formula>
    </cfRule>
  </conditionalFormatting>
  <conditionalFormatting sqref="D13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D130:CV130">
    <cfRule type="expression" dxfId="4" priority="600">
      <formula>$E$14&lt;&gt;"Y"</formula>
    </cfRule>
  </conditionalFormatting>
  <conditionalFormatting sqref="D131:CV131">
    <cfRule type="expression" dxfId="4" priority="603">
      <formula>$F$14&lt;&gt;"Y"</formula>
    </cfRule>
  </conditionalFormatting>
  <conditionalFormatting sqref="D132:CV132">
    <cfRule type="expression" dxfId="4" priority="606">
      <formula>$G$14&lt;&gt;"Y"</formula>
    </cfRule>
  </conditionalFormatting>
  <conditionalFormatting sqref="D133:CV133">
    <cfRule type="expression" dxfId="4" priority="609">
      <formula>$H$14&lt;&gt;"Y"</formula>
    </cfRule>
  </conditionalFormatting>
  <conditionalFormatting sqref="D134:CV134">
    <cfRule type="expression" dxfId="4" priority="612">
      <formula>$I$14&lt;&gt;"Y"</formula>
    </cfRule>
  </conditionalFormatting>
  <conditionalFormatting sqref="D135:CV135">
    <cfRule type="expression" dxfId="4" priority="615">
      <formula>$J$14&lt;&gt;"Y"</formula>
    </cfRule>
  </conditionalFormatting>
  <conditionalFormatting sqref="D136:CV136">
    <cfRule type="expression" dxfId="4" priority="618">
      <formula>$K$14&lt;&gt;"Y"</formula>
    </cfRule>
  </conditionalFormatting>
  <conditionalFormatting sqref="D137:CV137">
    <cfRule type="expression" dxfId="4" priority="621">
      <formula>$L$14&lt;&gt;"Y"</formula>
    </cfRule>
  </conditionalFormatting>
  <conditionalFormatting sqref="D138:CV138">
    <cfRule type="expression" dxfId="4" priority="624">
      <formula>$M$14&lt;&gt;"Y"</formula>
    </cfRule>
  </conditionalFormatting>
  <conditionalFormatting sqref="D139:CV139">
    <cfRule type="expression" dxfId="4" priority="627">
      <formula>$B$15&lt;&gt;"Y"</formula>
    </cfRule>
  </conditionalFormatting>
  <conditionalFormatting sqref="D14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D140:CV140">
    <cfRule type="expression" dxfId="4" priority="630">
      <formula>$C$15&lt;&gt;"Y"</formula>
    </cfRule>
  </conditionalFormatting>
  <conditionalFormatting sqref="D141:CV141">
    <cfRule type="expression" dxfId="4" priority="633">
      <formula>$D$15&lt;&gt;"Y"</formula>
    </cfRule>
  </conditionalFormatting>
  <conditionalFormatting sqref="D142:CV142">
    <cfRule type="expression" dxfId="4" priority="636">
      <formula>$E$15&lt;&gt;"Y"</formula>
    </cfRule>
  </conditionalFormatting>
  <conditionalFormatting sqref="D143:CV143">
    <cfRule type="expression" dxfId="4" priority="639">
      <formula>$F$15&lt;&gt;"Y"</formula>
    </cfRule>
  </conditionalFormatting>
  <conditionalFormatting sqref="D144:CV144">
    <cfRule type="expression" dxfId="4" priority="642">
      <formula>$G$15&lt;&gt;"Y"</formula>
    </cfRule>
  </conditionalFormatting>
  <conditionalFormatting sqref="D145:CV145">
    <cfRule type="expression" dxfId="4" priority="645">
      <formula>$H$15&lt;&gt;"Y"</formula>
    </cfRule>
  </conditionalFormatting>
  <conditionalFormatting sqref="D146:CV146">
    <cfRule type="expression" dxfId="4" priority="648">
      <formula>$I$15&lt;&gt;"Y"</formula>
    </cfRule>
  </conditionalFormatting>
  <conditionalFormatting sqref="D147:CV147">
    <cfRule type="expression" dxfId="4" priority="651">
      <formula>$J$15&lt;&gt;"Y"</formula>
    </cfRule>
  </conditionalFormatting>
  <conditionalFormatting sqref="D148:CV148">
    <cfRule type="expression" dxfId="4" priority="654">
      <formula>$K$15&lt;&gt;"Y"</formula>
    </cfRule>
  </conditionalFormatting>
  <conditionalFormatting sqref="D149:CV149">
    <cfRule type="expression" dxfId="4" priority="657">
      <formula>$L$15&lt;&gt;"Y"</formula>
    </cfRule>
  </conditionalFormatting>
  <conditionalFormatting sqref="D15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D150:CV150">
    <cfRule type="expression" dxfId="4" priority="660">
      <formula>$M$15&lt;&gt;"Y"</formula>
    </cfRule>
  </conditionalFormatting>
  <conditionalFormatting sqref="D151:CV151">
    <cfRule type="expression" dxfId="4" priority="663">
      <formula>$B$16&lt;&gt;"Y"</formula>
    </cfRule>
  </conditionalFormatting>
  <conditionalFormatting sqref="D152:CV152">
    <cfRule type="expression" dxfId="4" priority="666">
      <formula>$C$16&lt;&gt;"Y"</formula>
    </cfRule>
  </conditionalFormatting>
  <conditionalFormatting sqref="D153:CV153">
    <cfRule type="expression" dxfId="4" priority="669">
      <formula>$D$16&lt;&gt;"Y"</formula>
    </cfRule>
  </conditionalFormatting>
  <conditionalFormatting sqref="D154:CV154">
    <cfRule type="expression" dxfId="4" priority="672">
      <formula>$E$16&lt;&gt;"Y"</formula>
    </cfRule>
  </conditionalFormatting>
  <conditionalFormatting sqref="D155:CV155">
    <cfRule type="expression" dxfId="4" priority="675">
      <formula>$F$16&lt;&gt;"Y"</formula>
    </cfRule>
  </conditionalFormatting>
  <conditionalFormatting sqref="D156:CV156">
    <cfRule type="expression" dxfId="4" priority="678">
      <formula>$G$16&lt;&gt;"Y"</formula>
    </cfRule>
  </conditionalFormatting>
  <conditionalFormatting sqref="D157:CV157">
    <cfRule type="expression" dxfId="4" priority="681">
      <formula>$H$16&lt;&gt;"Y"</formula>
    </cfRule>
  </conditionalFormatting>
  <conditionalFormatting sqref="D158:CV158">
    <cfRule type="expression" dxfId="4" priority="684">
      <formula>$I$16&lt;&gt;"Y"</formula>
    </cfRule>
  </conditionalFormatting>
  <conditionalFormatting sqref="D159:CV159">
    <cfRule type="expression" dxfId="4" priority="687">
      <formula>$J$16&lt;&gt;"Y"</formula>
    </cfRule>
  </conditionalFormatting>
  <conditionalFormatting sqref="D16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D160:CV160">
    <cfRule type="expression" dxfId="4" priority="690">
      <formula>$K$16&lt;&gt;"Y"</formula>
    </cfRule>
  </conditionalFormatting>
  <conditionalFormatting sqref="D161:CV161">
    <cfRule type="expression" dxfId="4" priority="693">
      <formula>$L$16&lt;&gt;"Y"</formula>
    </cfRule>
  </conditionalFormatting>
  <conditionalFormatting sqref="D162:CV162">
    <cfRule type="expression" dxfId="4" priority="696">
      <formula>$M$16&lt;&gt;"Y"</formula>
    </cfRule>
  </conditionalFormatting>
  <conditionalFormatting sqref="D19:CV19">
    <cfRule type="expression" dxfId="4" priority="267">
      <formula>$B$5&lt;&gt;"Y"</formula>
    </cfRule>
  </conditionalFormatting>
  <conditionalFormatting sqref="D20:CV20">
    <cfRule type="expression" dxfId="4" priority="270">
      <formula>$C$5&lt;&gt;"Y"</formula>
    </cfRule>
  </conditionalFormatting>
  <conditionalFormatting sqref="D21:CV21">
    <cfRule type="expression" dxfId="4" priority="273">
      <formula>$D$5&lt;&gt;"Y"</formula>
    </cfRule>
  </conditionalFormatting>
  <conditionalFormatting sqref="D22:CV22">
    <cfRule type="expression" dxfId="4" priority="276">
      <formula>$E$5&lt;&gt;"Y"</formula>
    </cfRule>
  </conditionalFormatting>
  <conditionalFormatting sqref="D23:CV23">
    <cfRule type="expression" dxfId="4" priority="279">
      <formula>$F$5&lt;&gt;"Y"</formula>
    </cfRule>
  </conditionalFormatting>
  <conditionalFormatting sqref="D24:CV24">
    <cfRule type="expression" dxfId="4" priority="282">
      <formula>$G$5&lt;&gt;"Y"</formula>
    </cfRule>
  </conditionalFormatting>
  <conditionalFormatting sqref="D25:CV25">
    <cfRule type="expression" dxfId="4" priority="285">
      <formula>$H$5&lt;&gt;"Y"</formula>
    </cfRule>
  </conditionalFormatting>
  <conditionalFormatting sqref="D26:CV26">
    <cfRule type="expression" dxfId="4" priority="288">
      <formula>$I$5&lt;&gt;"Y"</formula>
    </cfRule>
  </conditionalFormatting>
  <conditionalFormatting sqref="D27:CV27">
    <cfRule type="expression" dxfId="4" priority="291">
      <formula>$J$5&lt;&gt;"Y"</formula>
    </cfRule>
  </conditionalFormatting>
  <conditionalFormatting sqref="D28:CV28">
    <cfRule type="expression" dxfId="4" priority="294">
      <formula>$K$5&lt;&gt;"Y"</formula>
    </cfRule>
  </conditionalFormatting>
  <conditionalFormatting sqref="D29:CV29">
    <cfRule type="expression" dxfId="4" priority="297">
      <formula>$L$5&lt;&gt;"Y"</formula>
    </cfRule>
  </conditionalFormatting>
  <conditionalFormatting sqref="D30:CV30">
    <cfRule type="expression" dxfId="4" priority="300">
      <formula>$M$5&lt;&gt;"Y"</formula>
    </cfRule>
  </conditionalFormatting>
  <conditionalFormatting sqref="D31:CV31">
    <cfRule type="expression" dxfId="4" priority="303">
      <formula>$B$6&lt;&gt;"Y"</formula>
    </cfRule>
  </conditionalFormatting>
  <conditionalFormatting sqref="D32:CV32">
    <cfRule type="expression" dxfId="4" priority="306">
      <formula>$C$6&lt;&gt;"Y"</formula>
    </cfRule>
  </conditionalFormatting>
  <conditionalFormatting sqref="D33:CV33">
    <cfRule type="expression" dxfId="4" priority="309">
      <formula>$D$6&lt;&gt;"Y"</formula>
    </cfRule>
  </conditionalFormatting>
  <conditionalFormatting sqref="D34:CV34">
    <cfRule type="expression" dxfId="4" priority="312">
      <formula>$E$6&lt;&gt;"Y"</formula>
    </cfRule>
  </conditionalFormatting>
  <conditionalFormatting sqref="D35:CV35">
    <cfRule type="expression" dxfId="4" priority="315">
      <formula>$F$6&lt;&gt;"Y"</formula>
    </cfRule>
  </conditionalFormatting>
  <conditionalFormatting sqref="D36:CV36">
    <cfRule type="expression" dxfId="4" priority="318">
      <formula>$G$6&lt;&gt;"Y"</formula>
    </cfRule>
  </conditionalFormatting>
  <conditionalFormatting sqref="D37:CV37">
    <cfRule type="expression" dxfId="4" priority="321">
      <formula>$H$6&lt;&gt;"Y"</formula>
    </cfRule>
  </conditionalFormatting>
  <conditionalFormatting sqref="D38:CV38">
    <cfRule type="expression" dxfId="4" priority="324">
      <formula>$I$6&lt;&gt;"Y"</formula>
    </cfRule>
  </conditionalFormatting>
  <conditionalFormatting sqref="D39:CV39">
    <cfRule type="expression" dxfId="4" priority="327">
      <formula>$J$6&lt;&gt;"Y"</formula>
    </cfRule>
  </conditionalFormatting>
  <conditionalFormatting sqref="D40:CV40">
    <cfRule type="expression" dxfId="4" priority="330">
      <formula>$K$6&lt;&gt;"Y"</formula>
    </cfRule>
  </conditionalFormatting>
  <conditionalFormatting sqref="D41:CV41">
    <cfRule type="expression" dxfId="4" priority="333">
      <formula>$L$6&lt;&gt;"Y"</formula>
    </cfRule>
  </conditionalFormatting>
  <conditionalFormatting sqref="D42:CV42">
    <cfRule type="expression" dxfId="4" priority="336">
      <formula>$M$6&lt;&gt;"Y"</formula>
    </cfRule>
  </conditionalFormatting>
  <conditionalFormatting sqref="D43:CV43">
    <cfRule type="expression" dxfId="4" priority="339">
      <formula>$B$7&lt;&gt;"Y"</formula>
    </cfRule>
  </conditionalFormatting>
  <conditionalFormatting sqref="D44:CV44">
    <cfRule type="expression" dxfId="4" priority="342">
      <formula>$C$7&lt;&gt;"Y"</formula>
    </cfRule>
  </conditionalFormatting>
  <conditionalFormatting sqref="D45:CV45">
    <cfRule type="expression" dxfId="4" priority="345">
      <formula>$D$7&lt;&gt;"Y"</formula>
    </cfRule>
  </conditionalFormatting>
  <conditionalFormatting sqref="D46:CV46">
    <cfRule type="expression" dxfId="4" priority="348">
      <formula>$E$7&lt;&gt;"Y"</formula>
    </cfRule>
  </conditionalFormatting>
  <conditionalFormatting sqref="D47:CV47">
    <cfRule type="expression" dxfId="4" priority="351">
      <formula>$F$7&lt;&gt;"Y"</formula>
    </cfRule>
  </conditionalFormatting>
  <conditionalFormatting sqref="D48:CV48">
    <cfRule type="expression" dxfId="4" priority="354">
      <formula>$G$7&lt;&gt;"Y"</formula>
    </cfRule>
  </conditionalFormatting>
  <conditionalFormatting sqref="D49:CV49">
    <cfRule type="expression" dxfId="4" priority="357">
      <formula>$H$7&lt;&gt;"Y"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:CV50">
    <cfRule type="expression" dxfId="4" priority="360">
      <formula>$I$7&lt;&gt;"Y"</formula>
    </cfRule>
  </conditionalFormatting>
  <conditionalFormatting sqref="D51:CV51">
    <cfRule type="expression" dxfId="4" priority="363">
      <formula>$J$7&lt;&gt;"Y"</formula>
    </cfRule>
  </conditionalFormatting>
  <conditionalFormatting sqref="D52:CV52">
    <cfRule type="expression" dxfId="4" priority="366">
      <formula>$K$7&lt;&gt;"Y"</formula>
    </cfRule>
  </conditionalFormatting>
  <conditionalFormatting sqref="D53:CV53">
    <cfRule type="expression" dxfId="4" priority="369">
      <formula>$L$7&lt;&gt;"Y"</formula>
    </cfRule>
  </conditionalFormatting>
  <conditionalFormatting sqref="D54:CV54">
    <cfRule type="expression" dxfId="4" priority="372">
      <formula>$M$7&lt;&gt;"Y"</formula>
    </cfRule>
  </conditionalFormatting>
  <conditionalFormatting sqref="D55:CV55">
    <cfRule type="expression" dxfId="4" priority="375">
      <formula>$B$8&lt;&gt;"Y"</formula>
    </cfRule>
  </conditionalFormatting>
  <conditionalFormatting sqref="D56:CV56">
    <cfRule type="expression" dxfId="4" priority="378">
      <formula>$C$8&lt;&gt;"Y"</formula>
    </cfRule>
  </conditionalFormatting>
  <conditionalFormatting sqref="D57:CV57">
    <cfRule type="expression" dxfId="4" priority="381">
      <formula>$D$8&lt;&gt;"Y"</formula>
    </cfRule>
  </conditionalFormatting>
  <conditionalFormatting sqref="D58:CV58">
    <cfRule type="expression" dxfId="4" priority="384">
      <formula>$E$8&lt;&gt;"Y"</formula>
    </cfRule>
  </conditionalFormatting>
  <conditionalFormatting sqref="D59:CV59">
    <cfRule type="expression" dxfId="4" priority="387">
      <formula>$F$8&lt;&gt;"Y"</formula>
    </cfRule>
  </conditionalFormatting>
  <conditionalFormatting sqref="D6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D60:CV60">
    <cfRule type="expression" dxfId="4" priority="390">
      <formula>$G$8&lt;&gt;"Y"</formula>
    </cfRule>
  </conditionalFormatting>
  <conditionalFormatting sqref="D61:CV61">
    <cfRule type="expression" dxfId="4" priority="393">
      <formula>$H$8&lt;&gt;"Y"</formula>
    </cfRule>
  </conditionalFormatting>
  <conditionalFormatting sqref="D62:CV62">
    <cfRule type="expression" dxfId="4" priority="396">
      <formula>$I$8&lt;&gt;"Y"</formula>
    </cfRule>
  </conditionalFormatting>
  <conditionalFormatting sqref="D63:CV63">
    <cfRule type="expression" dxfId="4" priority="399">
      <formula>$J$8&lt;&gt;"Y"</formula>
    </cfRule>
  </conditionalFormatting>
  <conditionalFormatting sqref="D64:CV64">
    <cfRule type="expression" dxfId="4" priority="402">
      <formula>$K$8&lt;&gt;"Y"</formula>
    </cfRule>
  </conditionalFormatting>
  <conditionalFormatting sqref="D65:CV65">
    <cfRule type="expression" dxfId="4" priority="405">
      <formula>$L$8&lt;&gt;"Y"</formula>
    </cfRule>
  </conditionalFormatting>
  <conditionalFormatting sqref="D66:CV66">
    <cfRule type="expression" dxfId="4" priority="408">
      <formula>$M$8&lt;&gt;"Y"</formula>
    </cfRule>
  </conditionalFormatting>
  <conditionalFormatting sqref="D67:CV67">
    <cfRule type="expression" dxfId="4" priority="411">
      <formula>$B$9&lt;&gt;"Y"</formula>
    </cfRule>
  </conditionalFormatting>
  <conditionalFormatting sqref="D68:CV68">
    <cfRule type="expression" dxfId="4" priority="414">
      <formula>$C$9&lt;&gt;"Y"</formula>
    </cfRule>
  </conditionalFormatting>
  <conditionalFormatting sqref="D69:CV69">
    <cfRule type="expression" dxfId="4" priority="417">
      <formula>$D$9&lt;&gt;"Y"</formula>
    </cfRule>
  </conditionalFormatting>
  <conditionalFormatting sqref="D70:CV70">
    <cfRule type="expression" dxfId="4" priority="420">
      <formula>$E$9&lt;&gt;"Y"</formula>
    </cfRule>
  </conditionalFormatting>
  <conditionalFormatting sqref="D71:CV71">
    <cfRule type="expression" dxfId="4" priority="423">
      <formula>$F$9&lt;&gt;"Y"</formula>
    </cfRule>
  </conditionalFormatting>
  <conditionalFormatting sqref="D72:CV72">
    <cfRule type="expression" dxfId="4" priority="426">
      <formula>$G$9&lt;&gt;"Y"</formula>
    </cfRule>
  </conditionalFormatting>
  <conditionalFormatting sqref="D73:CV73">
    <cfRule type="expression" dxfId="4" priority="429">
      <formula>$H$9&lt;&gt;"Y"</formula>
    </cfRule>
  </conditionalFormatting>
  <conditionalFormatting sqref="D74:CV74">
    <cfRule type="expression" dxfId="4" priority="432">
      <formula>$I$9&lt;&gt;"Y"</formula>
    </cfRule>
  </conditionalFormatting>
  <conditionalFormatting sqref="D75:CV75">
    <cfRule type="expression" dxfId="4" priority="435">
      <formula>$J$9&lt;&gt;"Y"</formula>
    </cfRule>
  </conditionalFormatting>
  <conditionalFormatting sqref="D76:CV76">
    <cfRule type="expression" dxfId="4" priority="438">
      <formula>$K$9&lt;&gt;"Y"</formula>
    </cfRule>
  </conditionalFormatting>
  <conditionalFormatting sqref="D77:CV77">
    <cfRule type="expression" dxfId="4" priority="441">
      <formula>$L$9&lt;&gt;"Y"</formula>
    </cfRule>
  </conditionalFormatting>
  <conditionalFormatting sqref="D78:CV78">
    <cfRule type="expression" dxfId="4" priority="444">
      <formula>$M$9&lt;&gt;"Y"</formula>
    </cfRule>
  </conditionalFormatting>
  <conditionalFormatting sqref="D79:CV79">
    <cfRule type="expression" dxfId="4" priority="447">
      <formula>$B$10&lt;&gt;"Y"</formula>
    </cfRule>
  </conditionalFormatting>
  <conditionalFormatting sqref="D8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D80:CV80">
    <cfRule type="expression" dxfId="4" priority="450">
      <formula>$C$10&lt;&gt;"Y"</formula>
    </cfRule>
  </conditionalFormatting>
  <conditionalFormatting sqref="D81:CV81">
    <cfRule type="expression" dxfId="4" priority="453">
      <formula>$D$10&lt;&gt;"Y"</formula>
    </cfRule>
  </conditionalFormatting>
  <conditionalFormatting sqref="D82:CV82">
    <cfRule type="expression" dxfId="4" priority="456">
      <formula>$E$10&lt;&gt;"Y"</formula>
    </cfRule>
  </conditionalFormatting>
  <conditionalFormatting sqref="D83:CV83">
    <cfRule type="expression" dxfId="4" priority="459">
      <formula>$F$10&lt;&gt;"Y"</formula>
    </cfRule>
  </conditionalFormatting>
  <conditionalFormatting sqref="D84:CV84">
    <cfRule type="expression" dxfId="4" priority="462">
      <formula>$G$10&lt;&gt;"Y"</formula>
    </cfRule>
  </conditionalFormatting>
  <conditionalFormatting sqref="D85:CV85">
    <cfRule type="expression" dxfId="4" priority="465">
      <formula>$H$10&lt;&gt;"Y"</formula>
    </cfRule>
  </conditionalFormatting>
  <conditionalFormatting sqref="D86:CV86">
    <cfRule type="expression" dxfId="4" priority="468">
      <formula>$I$10&lt;&gt;"Y"</formula>
    </cfRule>
  </conditionalFormatting>
  <conditionalFormatting sqref="D87:CV87">
    <cfRule type="expression" dxfId="4" priority="471">
      <formula>$J$10&lt;&gt;"Y"</formula>
    </cfRule>
  </conditionalFormatting>
  <conditionalFormatting sqref="D88:CV88">
    <cfRule type="expression" dxfId="4" priority="474">
      <formula>$K$10&lt;&gt;"Y"</formula>
    </cfRule>
  </conditionalFormatting>
  <conditionalFormatting sqref="D89:CV89">
    <cfRule type="expression" dxfId="4" priority="477">
      <formula>$L$10&lt;&gt;"Y"</formula>
    </cfRule>
  </conditionalFormatting>
  <conditionalFormatting sqref="D9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D90:CV90">
    <cfRule type="expression" dxfId="4" priority="480">
      <formula>$M$10&lt;&gt;"Y"</formula>
    </cfRule>
  </conditionalFormatting>
  <conditionalFormatting sqref="D91:CV91">
    <cfRule type="expression" dxfId="4" priority="483">
      <formula>$B$11&lt;&gt;"Y"</formula>
    </cfRule>
  </conditionalFormatting>
  <conditionalFormatting sqref="D92:CV92">
    <cfRule type="expression" dxfId="4" priority="486">
      <formula>$C$11&lt;&gt;"Y"</formula>
    </cfRule>
  </conditionalFormatting>
  <conditionalFormatting sqref="D93:CV93">
    <cfRule type="expression" dxfId="4" priority="489">
      <formula>$D$11&lt;&gt;"Y"</formula>
    </cfRule>
  </conditionalFormatting>
  <conditionalFormatting sqref="D94:CV94">
    <cfRule type="expression" dxfId="4" priority="492">
      <formula>$E$11&lt;&gt;"Y"</formula>
    </cfRule>
  </conditionalFormatting>
  <conditionalFormatting sqref="D95:CV95">
    <cfRule type="expression" dxfId="4" priority="495">
      <formula>$F$11&lt;&gt;"Y"</formula>
    </cfRule>
  </conditionalFormatting>
  <conditionalFormatting sqref="D96:CV96">
    <cfRule type="expression" dxfId="4" priority="498">
      <formula>$G$11&lt;&gt;"Y"</formula>
    </cfRule>
  </conditionalFormatting>
  <conditionalFormatting sqref="D97:CV97">
    <cfRule type="expression" dxfId="4" priority="501">
      <formula>$H$11&lt;&gt;"Y"</formula>
    </cfRule>
  </conditionalFormatting>
  <conditionalFormatting sqref="D98:CV98">
    <cfRule type="expression" dxfId="4" priority="504">
      <formula>$I$11&lt;&gt;"Y"</formula>
    </cfRule>
  </conditionalFormatting>
  <conditionalFormatting sqref="D99:CV99">
    <cfRule type="expression" dxfId="4" priority="507">
      <formula>$J$11&lt;&gt;"Y"</formula>
    </cfRule>
  </conditionalFormatting>
  <conditionalFormatting sqref="E10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E11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E12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E13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E14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E15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E16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E7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E9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F10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1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F12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F13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F14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F15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F16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F7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F8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G100">
    <cfRule type="expression" dxfId="0" priority="508">
      <formula>COUNTIF(I100:CV100,"&lt;&gt;" &amp; "")&gt;0</formula>
    </cfRule>
    <cfRule type="expression" dxfId="1" priority="509">
      <formula>AND(COUNTIF(I100:CV100,"&lt;&gt;" &amp; "")&gt;0,NOT(ISBLANK(G100)))</formula>
    </cfRule>
  </conditionalFormatting>
  <conditionalFormatting sqref="G101">
    <cfRule type="expression" dxfId="0" priority="511">
      <formula>COUNTIF(I101:CV101,"&lt;&gt;" &amp; "")&gt;0</formula>
    </cfRule>
    <cfRule type="expression" dxfId="1" priority="512">
      <formula>AND(COUNTIF(I101:CV101,"&lt;&gt;" &amp; "")&gt;0,NOT(ISBLANK(G101)))</formula>
    </cfRule>
  </conditionalFormatting>
  <conditionalFormatting sqref="G102">
    <cfRule type="expression" dxfId="0" priority="514">
      <formula>COUNTIF(I102:CV102,"&lt;&gt;" &amp; "")&gt;0</formula>
    </cfRule>
    <cfRule type="expression" dxfId="1" priority="515">
      <formula>AND(COUNTIF(I102:CV102,"&lt;&gt;" &amp; "")&gt;0,NOT(ISBLANK(G102)))</formula>
    </cfRule>
  </conditionalFormatting>
  <conditionalFormatting sqref="G103">
    <cfRule type="expression" dxfId="0" priority="517">
      <formula>COUNTIF(I103:CV103,"&lt;&gt;" &amp; "")&gt;0</formula>
    </cfRule>
    <cfRule type="expression" dxfId="1" priority="518">
      <formula>AND(COUNTIF(I103:CV103,"&lt;&gt;" &amp; "")&gt;0,NOT(ISBLANK(G103)))</formula>
    </cfRule>
  </conditionalFormatting>
  <conditionalFormatting sqref="G104">
    <cfRule type="expression" dxfId="0" priority="520">
      <formula>COUNTIF(I104:CV104,"&lt;&gt;" &amp; "")&gt;0</formula>
    </cfRule>
    <cfRule type="expression" dxfId="1" priority="521">
      <formula>AND(COUNTIF(I104:CV104,"&lt;&gt;" &amp; "")&gt;0,NOT(ISBLANK(G104)))</formula>
    </cfRule>
  </conditionalFormatting>
  <conditionalFormatting sqref="G105">
    <cfRule type="expression" dxfId="0" priority="523">
      <formula>COUNTIF(I105:CV105,"&lt;&gt;" &amp; "")&gt;0</formula>
    </cfRule>
    <cfRule type="expression" dxfId="1" priority="524">
      <formula>AND(COUNTIF(I105:CV105,"&lt;&gt;" &amp; "")&gt;0,NOT(ISBLANK(G105)))</formula>
    </cfRule>
  </conditionalFormatting>
  <conditionalFormatting sqref="G106">
    <cfRule type="expression" dxfId="0" priority="526">
      <formula>COUNTIF(I106:CV106,"&lt;&gt;" &amp; "")&gt;0</formula>
    </cfRule>
    <cfRule type="expression" dxfId="1" priority="527">
      <formula>AND(COUNTIF(I106:CV106,"&lt;&gt;" &amp; "")&gt;0,NOT(ISBLANK(G106)))</formula>
    </cfRule>
  </conditionalFormatting>
  <conditionalFormatting sqref="G107">
    <cfRule type="expression" dxfId="0" priority="529">
      <formula>COUNTIF(I107:CV107,"&lt;&gt;" &amp; "")&gt;0</formula>
    </cfRule>
    <cfRule type="expression" dxfId="1" priority="530">
      <formula>AND(COUNTIF(I107:CV107,"&lt;&gt;" &amp; "")&gt;0,NOT(ISBLANK(G107)))</formula>
    </cfRule>
  </conditionalFormatting>
  <conditionalFormatting sqref="G108">
    <cfRule type="expression" dxfId="0" priority="532">
      <formula>COUNTIF(I108:CV108,"&lt;&gt;" &amp; "")&gt;0</formula>
    </cfRule>
    <cfRule type="expression" dxfId="1" priority="533">
      <formula>AND(COUNTIF(I108:CV108,"&lt;&gt;" &amp; "")&gt;0,NOT(ISBLANK(G108)))</formula>
    </cfRule>
  </conditionalFormatting>
  <conditionalFormatting sqref="G109">
    <cfRule type="expression" dxfId="0" priority="535">
      <formula>COUNTIF(I109:CV109,"&lt;&gt;" &amp; "")&gt;0</formula>
    </cfRule>
    <cfRule type="expression" dxfId="1" priority="536">
      <formula>AND(COUNTIF(I109:CV109,"&lt;&gt;" &amp; "")&gt;0,NOT(ISBLANK(G109)))</formula>
    </cfRule>
  </conditionalFormatting>
  <conditionalFormatting sqref="G11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G110">
    <cfRule type="expression" dxfId="0" priority="538">
      <formula>COUNTIF(I110:CV110,"&lt;&gt;" &amp; "")&gt;0</formula>
    </cfRule>
    <cfRule type="expression" dxfId="1" priority="539">
      <formula>AND(COUNTIF(I110:CV110,"&lt;&gt;" &amp; "")&gt;0,NOT(ISBLANK(G110)))</formula>
    </cfRule>
  </conditionalFormatting>
  <conditionalFormatting sqref="G111">
    <cfRule type="expression" dxfId="0" priority="541">
      <formula>COUNTIF(I111:CV111,"&lt;&gt;" &amp; "")&gt;0</formula>
    </cfRule>
    <cfRule type="expression" dxfId="1" priority="542">
      <formula>AND(COUNTIF(I111:CV111,"&lt;&gt;" &amp; "")&gt;0,NOT(ISBLANK(G111)))</formula>
    </cfRule>
  </conditionalFormatting>
  <conditionalFormatting sqref="G112">
    <cfRule type="expression" dxfId="0" priority="544">
      <formula>COUNTIF(I112:CV112,"&lt;&gt;" &amp; "")&gt;0</formula>
    </cfRule>
    <cfRule type="expression" dxfId="1" priority="545">
      <formula>AND(COUNTIF(I112:CV112,"&lt;&gt;" &amp; "")&gt;0,NOT(ISBLANK(G112)))</formula>
    </cfRule>
  </conditionalFormatting>
  <conditionalFormatting sqref="G113">
    <cfRule type="expression" dxfId="0" priority="547">
      <formula>COUNTIF(I113:CV113,"&lt;&gt;" &amp; "")&gt;0</formula>
    </cfRule>
    <cfRule type="expression" dxfId="1" priority="548">
      <formula>AND(COUNTIF(I113:CV113,"&lt;&gt;" &amp; "")&gt;0,NOT(ISBLANK(G113)))</formula>
    </cfRule>
  </conditionalFormatting>
  <conditionalFormatting sqref="G114">
    <cfRule type="expression" dxfId="0" priority="550">
      <formula>COUNTIF(I114:CV114,"&lt;&gt;" &amp; "")&gt;0</formula>
    </cfRule>
    <cfRule type="expression" dxfId="1" priority="551">
      <formula>AND(COUNTIF(I114:CV114,"&lt;&gt;" &amp; "")&gt;0,NOT(ISBLANK(G114)))</formula>
    </cfRule>
  </conditionalFormatting>
  <conditionalFormatting sqref="G115">
    <cfRule type="expression" dxfId="0" priority="553">
      <formula>COUNTIF(I115:CV115,"&lt;&gt;" &amp; "")&gt;0</formula>
    </cfRule>
    <cfRule type="expression" dxfId="1" priority="554">
      <formula>AND(COUNTIF(I115:CV115,"&lt;&gt;" &amp; "")&gt;0,NOT(ISBLANK(G115)))</formula>
    </cfRule>
  </conditionalFormatting>
  <conditionalFormatting sqref="G116">
    <cfRule type="expression" dxfId="0" priority="556">
      <formula>COUNTIF(I116:CV116,"&lt;&gt;" &amp; "")&gt;0</formula>
    </cfRule>
    <cfRule type="expression" dxfId="1" priority="557">
      <formula>AND(COUNTIF(I116:CV116,"&lt;&gt;" &amp; "")&gt;0,NOT(ISBLANK(G116)))</formula>
    </cfRule>
  </conditionalFormatting>
  <conditionalFormatting sqref="G117">
    <cfRule type="expression" dxfId="0" priority="559">
      <formula>COUNTIF(I117:CV117,"&lt;&gt;" &amp; "")&gt;0</formula>
    </cfRule>
    <cfRule type="expression" dxfId="1" priority="560">
      <formula>AND(COUNTIF(I117:CV117,"&lt;&gt;" &amp; "")&gt;0,NOT(ISBLANK(G117)))</formula>
    </cfRule>
  </conditionalFormatting>
  <conditionalFormatting sqref="G118">
    <cfRule type="expression" dxfId="0" priority="562">
      <formula>COUNTIF(I118:CV118,"&lt;&gt;" &amp; "")&gt;0</formula>
    </cfRule>
    <cfRule type="expression" dxfId="1" priority="563">
      <formula>AND(COUNTIF(I118:CV118,"&lt;&gt;" &amp; "")&gt;0,NOT(ISBLANK(G118)))</formula>
    </cfRule>
  </conditionalFormatting>
  <conditionalFormatting sqref="G119">
    <cfRule type="expression" dxfId="0" priority="565">
      <formula>COUNTIF(I119:CV119,"&lt;&gt;" &amp; "")&gt;0</formula>
    </cfRule>
    <cfRule type="expression" dxfId="1" priority="566">
      <formula>AND(COUNTIF(I119:CV119,"&lt;&gt;" &amp; "")&gt;0,NOT(ISBLANK(G119)))</formula>
    </cfRule>
  </conditionalFormatting>
  <conditionalFormatting sqref="G12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G120">
    <cfRule type="expression" dxfId="0" priority="568">
      <formula>COUNTIF(I120:CV120,"&lt;&gt;" &amp; "")&gt;0</formula>
    </cfRule>
    <cfRule type="expression" dxfId="1" priority="569">
      <formula>AND(COUNTIF(I120:CV120,"&lt;&gt;" &amp; "")&gt;0,NOT(ISBLANK(G120)))</formula>
    </cfRule>
  </conditionalFormatting>
  <conditionalFormatting sqref="G121">
    <cfRule type="expression" dxfId="0" priority="571">
      <formula>COUNTIF(I121:CV121,"&lt;&gt;" &amp; "")&gt;0</formula>
    </cfRule>
    <cfRule type="expression" dxfId="1" priority="572">
      <formula>AND(COUNTIF(I121:CV121,"&lt;&gt;" &amp; "")&gt;0,NOT(ISBLANK(G121)))</formula>
    </cfRule>
  </conditionalFormatting>
  <conditionalFormatting sqref="G122">
    <cfRule type="expression" dxfId="0" priority="574">
      <formula>COUNTIF(I122:CV122,"&lt;&gt;" &amp; "")&gt;0</formula>
    </cfRule>
    <cfRule type="expression" dxfId="1" priority="575">
      <formula>AND(COUNTIF(I122:CV122,"&lt;&gt;" &amp; "")&gt;0,NOT(ISBLANK(G122)))</formula>
    </cfRule>
  </conditionalFormatting>
  <conditionalFormatting sqref="G123">
    <cfRule type="expression" dxfId="0" priority="577">
      <formula>COUNTIF(I123:CV123,"&lt;&gt;" &amp; "")&gt;0</formula>
    </cfRule>
    <cfRule type="expression" dxfId="1" priority="578">
      <formula>AND(COUNTIF(I123:CV123,"&lt;&gt;" &amp; "")&gt;0,NOT(ISBLANK(G123)))</formula>
    </cfRule>
  </conditionalFormatting>
  <conditionalFormatting sqref="G124">
    <cfRule type="expression" dxfId="0" priority="580">
      <formula>COUNTIF(I124:CV124,"&lt;&gt;" &amp; "")&gt;0</formula>
    </cfRule>
    <cfRule type="expression" dxfId="1" priority="581">
      <formula>AND(COUNTIF(I124:CV124,"&lt;&gt;" &amp; "")&gt;0,NOT(ISBLANK(G124)))</formula>
    </cfRule>
  </conditionalFormatting>
  <conditionalFormatting sqref="G125">
    <cfRule type="expression" dxfId="0" priority="583">
      <formula>COUNTIF(I125:CV125,"&lt;&gt;" &amp; "")&gt;0</formula>
    </cfRule>
    <cfRule type="expression" dxfId="1" priority="584">
      <formula>AND(COUNTIF(I125:CV125,"&lt;&gt;" &amp; "")&gt;0,NOT(ISBLANK(G125)))</formula>
    </cfRule>
  </conditionalFormatting>
  <conditionalFormatting sqref="G126">
    <cfRule type="expression" dxfId="0" priority="586">
      <formula>COUNTIF(I126:CV126,"&lt;&gt;" &amp; "")&gt;0</formula>
    </cfRule>
    <cfRule type="expression" dxfId="1" priority="587">
      <formula>AND(COUNTIF(I126:CV126,"&lt;&gt;" &amp; "")&gt;0,NOT(ISBLANK(G126)))</formula>
    </cfRule>
  </conditionalFormatting>
  <conditionalFormatting sqref="G127">
    <cfRule type="expression" dxfId="0" priority="589">
      <formula>COUNTIF(I127:CV127,"&lt;&gt;" &amp; "")&gt;0</formula>
    </cfRule>
    <cfRule type="expression" dxfId="1" priority="590">
      <formula>AND(COUNTIF(I127:CV127,"&lt;&gt;" &amp; "")&gt;0,NOT(ISBLANK(G127)))</formula>
    </cfRule>
  </conditionalFormatting>
  <conditionalFormatting sqref="G128">
    <cfRule type="expression" dxfId="0" priority="592">
      <formula>COUNTIF(I128:CV128,"&lt;&gt;" &amp; "")&gt;0</formula>
    </cfRule>
    <cfRule type="expression" dxfId="1" priority="593">
      <formula>AND(COUNTIF(I128:CV128,"&lt;&gt;" &amp; "")&gt;0,NOT(ISBLANK(G128)))</formula>
    </cfRule>
  </conditionalFormatting>
  <conditionalFormatting sqref="G129">
    <cfRule type="expression" dxfId="0" priority="595">
      <formula>COUNTIF(I129:CV129,"&lt;&gt;" &amp; "")&gt;0</formula>
    </cfRule>
    <cfRule type="expression" dxfId="1" priority="596">
      <formula>AND(COUNTIF(I129:CV129,"&lt;&gt;" &amp; "")&gt;0,NOT(ISBLANK(G129)))</formula>
    </cfRule>
  </conditionalFormatting>
  <conditionalFormatting sqref="G13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G130">
    <cfRule type="expression" dxfId="0" priority="598">
      <formula>COUNTIF(I130:CV130,"&lt;&gt;" &amp; "")&gt;0</formula>
    </cfRule>
    <cfRule type="expression" dxfId="1" priority="599">
      <formula>AND(COUNTIF(I130:CV130,"&lt;&gt;" &amp; "")&gt;0,NOT(ISBLANK(G130)))</formula>
    </cfRule>
  </conditionalFormatting>
  <conditionalFormatting sqref="G131">
    <cfRule type="expression" dxfId="0" priority="601">
      <formula>COUNTIF(I131:CV131,"&lt;&gt;" &amp; "")&gt;0</formula>
    </cfRule>
    <cfRule type="expression" dxfId="1" priority="602">
      <formula>AND(COUNTIF(I131:CV131,"&lt;&gt;" &amp; "")&gt;0,NOT(ISBLANK(G131)))</formula>
    </cfRule>
  </conditionalFormatting>
  <conditionalFormatting sqref="G132">
    <cfRule type="expression" dxfId="0" priority="604">
      <formula>COUNTIF(I132:CV132,"&lt;&gt;" &amp; "")&gt;0</formula>
    </cfRule>
    <cfRule type="expression" dxfId="1" priority="605">
      <formula>AND(COUNTIF(I132:CV132,"&lt;&gt;" &amp; "")&gt;0,NOT(ISBLANK(G132)))</formula>
    </cfRule>
  </conditionalFormatting>
  <conditionalFormatting sqref="G133">
    <cfRule type="expression" dxfId="0" priority="607">
      <formula>COUNTIF(I133:CV133,"&lt;&gt;" &amp; "")&gt;0</formula>
    </cfRule>
    <cfRule type="expression" dxfId="1" priority="608">
      <formula>AND(COUNTIF(I133:CV133,"&lt;&gt;" &amp; "")&gt;0,NOT(ISBLANK(G133)))</formula>
    </cfRule>
  </conditionalFormatting>
  <conditionalFormatting sqref="G134">
    <cfRule type="expression" dxfId="0" priority="610">
      <formula>COUNTIF(I134:CV134,"&lt;&gt;" &amp; "")&gt;0</formula>
    </cfRule>
    <cfRule type="expression" dxfId="1" priority="611">
      <formula>AND(COUNTIF(I134:CV134,"&lt;&gt;" &amp; "")&gt;0,NOT(ISBLANK(G134)))</formula>
    </cfRule>
  </conditionalFormatting>
  <conditionalFormatting sqref="G135">
    <cfRule type="expression" dxfId="0" priority="613">
      <formula>COUNTIF(I135:CV135,"&lt;&gt;" &amp; "")&gt;0</formula>
    </cfRule>
    <cfRule type="expression" dxfId="1" priority="614">
      <formula>AND(COUNTIF(I135:CV135,"&lt;&gt;" &amp; "")&gt;0,NOT(ISBLANK(G135)))</formula>
    </cfRule>
  </conditionalFormatting>
  <conditionalFormatting sqref="G136">
    <cfRule type="expression" dxfId="0" priority="616">
      <formula>COUNTIF(I136:CV136,"&lt;&gt;" &amp; "")&gt;0</formula>
    </cfRule>
    <cfRule type="expression" dxfId="1" priority="617">
      <formula>AND(COUNTIF(I136:CV136,"&lt;&gt;" &amp; "")&gt;0,NOT(ISBLANK(G136)))</formula>
    </cfRule>
  </conditionalFormatting>
  <conditionalFormatting sqref="G137">
    <cfRule type="expression" dxfId="0" priority="619">
      <formula>COUNTIF(I137:CV137,"&lt;&gt;" &amp; "")&gt;0</formula>
    </cfRule>
    <cfRule type="expression" dxfId="1" priority="620">
      <formula>AND(COUNTIF(I137:CV137,"&lt;&gt;" &amp; "")&gt;0,NOT(ISBLANK(G137)))</formula>
    </cfRule>
  </conditionalFormatting>
  <conditionalFormatting sqref="G138">
    <cfRule type="expression" dxfId="0" priority="622">
      <formula>COUNTIF(I138:CV138,"&lt;&gt;" &amp; "")&gt;0</formula>
    </cfRule>
    <cfRule type="expression" dxfId="1" priority="623">
      <formula>AND(COUNTIF(I138:CV138,"&lt;&gt;" &amp; "")&gt;0,NOT(ISBLANK(G138)))</formula>
    </cfRule>
  </conditionalFormatting>
  <conditionalFormatting sqref="G139">
    <cfRule type="expression" dxfId="0" priority="625">
      <formula>COUNTIF(I139:CV139,"&lt;&gt;" &amp; "")&gt;0</formula>
    </cfRule>
    <cfRule type="expression" dxfId="1" priority="626">
      <formula>AND(COUNTIF(I139:CV139,"&lt;&gt;" &amp; "")&gt;0,NOT(ISBLANK(G139)))</formula>
    </cfRule>
  </conditionalFormatting>
  <conditionalFormatting sqref="G14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G140">
    <cfRule type="expression" dxfId="0" priority="628">
      <formula>COUNTIF(I140:CV140,"&lt;&gt;" &amp; "")&gt;0</formula>
    </cfRule>
    <cfRule type="expression" dxfId="1" priority="629">
      <formula>AND(COUNTIF(I140:CV140,"&lt;&gt;" &amp; "")&gt;0,NOT(ISBLANK(G140)))</formula>
    </cfRule>
  </conditionalFormatting>
  <conditionalFormatting sqref="G141">
    <cfRule type="expression" dxfId="0" priority="631">
      <formula>COUNTIF(I141:CV141,"&lt;&gt;" &amp; "")&gt;0</formula>
    </cfRule>
    <cfRule type="expression" dxfId="1" priority="632">
      <formula>AND(COUNTIF(I141:CV141,"&lt;&gt;" &amp; "")&gt;0,NOT(ISBLANK(G141)))</formula>
    </cfRule>
  </conditionalFormatting>
  <conditionalFormatting sqref="G142">
    <cfRule type="expression" dxfId="0" priority="634">
      <formula>COUNTIF(I142:CV142,"&lt;&gt;" &amp; "")&gt;0</formula>
    </cfRule>
    <cfRule type="expression" dxfId="1" priority="635">
      <formula>AND(COUNTIF(I142:CV142,"&lt;&gt;" &amp; "")&gt;0,NOT(ISBLANK(G142)))</formula>
    </cfRule>
  </conditionalFormatting>
  <conditionalFormatting sqref="G143">
    <cfRule type="expression" dxfId="0" priority="637">
      <formula>COUNTIF(I143:CV143,"&lt;&gt;" &amp; "")&gt;0</formula>
    </cfRule>
    <cfRule type="expression" dxfId="1" priority="638">
      <formula>AND(COUNTIF(I143:CV143,"&lt;&gt;" &amp; "")&gt;0,NOT(ISBLANK(G143)))</formula>
    </cfRule>
  </conditionalFormatting>
  <conditionalFormatting sqref="G144">
    <cfRule type="expression" dxfId="0" priority="640">
      <formula>COUNTIF(I144:CV144,"&lt;&gt;" &amp; "")&gt;0</formula>
    </cfRule>
    <cfRule type="expression" dxfId="1" priority="641">
      <formula>AND(COUNTIF(I144:CV144,"&lt;&gt;" &amp; "")&gt;0,NOT(ISBLANK(G144)))</formula>
    </cfRule>
  </conditionalFormatting>
  <conditionalFormatting sqref="G145">
    <cfRule type="expression" dxfId="0" priority="643">
      <formula>COUNTIF(I145:CV145,"&lt;&gt;" &amp; "")&gt;0</formula>
    </cfRule>
    <cfRule type="expression" dxfId="1" priority="644">
      <formula>AND(COUNTIF(I145:CV145,"&lt;&gt;" &amp; "")&gt;0,NOT(ISBLANK(G145)))</formula>
    </cfRule>
  </conditionalFormatting>
  <conditionalFormatting sqref="G146">
    <cfRule type="expression" dxfId="0" priority="646">
      <formula>COUNTIF(I146:CV146,"&lt;&gt;" &amp; "")&gt;0</formula>
    </cfRule>
    <cfRule type="expression" dxfId="1" priority="647">
      <formula>AND(COUNTIF(I146:CV146,"&lt;&gt;" &amp; "")&gt;0,NOT(ISBLANK(G146)))</formula>
    </cfRule>
  </conditionalFormatting>
  <conditionalFormatting sqref="G147">
    <cfRule type="expression" dxfId="0" priority="649">
      <formula>COUNTIF(I147:CV147,"&lt;&gt;" &amp; "")&gt;0</formula>
    </cfRule>
    <cfRule type="expression" dxfId="1" priority="650">
      <formula>AND(COUNTIF(I147:CV147,"&lt;&gt;" &amp; "")&gt;0,NOT(ISBLANK(G147)))</formula>
    </cfRule>
  </conditionalFormatting>
  <conditionalFormatting sqref="G148">
    <cfRule type="expression" dxfId="0" priority="652">
      <formula>COUNTIF(I148:CV148,"&lt;&gt;" &amp; "")&gt;0</formula>
    </cfRule>
    <cfRule type="expression" dxfId="1" priority="653">
      <formula>AND(COUNTIF(I148:CV148,"&lt;&gt;" &amp; "")&gt;0,NOT(ISBLANK(G148)))</formula>
    </cfRule>
  </conditionalFormatting>
  <conditionalFormatting sqref="G149">
    <cfRule type="expression" dxfId="0" priority="655">
      <formula>COUNTIF(I149:CV149,"&lt;&gt;" &amp; "")&gt;0</formula>
    </cfRule>
    <cfRule type="expression" dxfId="1" priority="656">
      <formula>AND(COUNTIF(I149:CV149,"&lt;&gt;" &amp; "")&gt;0,NOT(ISBLANK(G149)))</formula>
    </cfRule>
  </conditionalFormatting>
  <conditionalFormatting sqref="G15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G150">
    <cfRule type="expression" dxfId="0" priority="658">
      <formula>COUNTIF(I150:CV150,"&lt;&gt;" &amp; "")&gt;0</formula>
    </cfRule>
    <cfRule type="expression" dxfId="1" priority="659">
      <formula>AND(COUNTIF(I150:CV150,"&lt;&gt;" &amp; "")&gt;0,NOT(ISBLANK(G150)))</formula>
    </cfRule>
  </conditionalFormatting>
  <conditionalFormatting sqref="G151">
    <cfRule type="expression" dxfId="0" priority="661">
      <formula>COUNTIF(I151:CV151,"&lt;&gt;" &amp; "")&gt;0</formula>
    </cfRule>
    <cfRule type="expression" dxfId="1" priority="662">
      <formula>AND(COUNTIF(I151:CV151,"&lt;&gt;" &amp; "")&gt;0,NOT(ISBLANK(G151)))</formula>
    </cfRule>
  </conditionalFormatting>
  <conditionalFormatting sqref="G152">
    <cfRule type="expression" dxfId="0" priority="664">
      <formula>COUNTIF(I152:CV152,"&lt;&gt;" &amp; "")&gt;0</formula>
    </cfRule>
    <cfRule type="expression" dxfId="1" priority="665">
      <formula>AND(COUNTIF(I152:CV152,"&lt;&gt;" &amp; "")&gt;0,NOT(ISBLANK(G152)))</formula>
    </cfRule>
  </conditionalFormatting>
  <conditionalFormatting sqref="G153">
    <cfRule type="expression" dxfId="0" priority="667">
      <formula>COUNTIF(I153:CV153,"&lt;&gt;" &amp; "")&gt;0</formula>
    </cfRule>
    <cfRule type="expression" dxfId="1" priority="668">
      <formula>AND(COUNTIF(I153:CV153,"&lt;&gt;" &amp; "")&gt;0,NOT(ISBLANK(G153)))</formula>
    </cfRule>
  </conditionalFormatting>
  <conditionalFormatting sqref="G154">
    <cfRule type="expression" dxfId="0" priority="670">
      <formula>COUNTIF(I154:CV154,"&lt;&gt;" &amp; "")&gt;0</formula>
    </cfRule>
    <cfRule type="expression" dxfId="1" priority="671">
      <formula>AND(COUNTIF(I154:CV154,"&lt;&gt;" &amp; "")&gt;0,NOT(ISBLANK(G154)))</formula>
    </cfRule>
  </conditionalFormatting>
  <conditionalFormatting sqref="G155">
    <cfRule type="expression" dxfId="0" priority="673">
      <formula>COUNTIF(I155:CV155,"&lt;&gt;" &amp; "")&gt;0</formula>
    </cfRule>
    <cfRule type="expression" dxfId="1" priority="674">
      <formula>AND(COUNTIF(I155:CV155,"&lt;&gt;" &amp; "")&gt;0,NOT(ISBLANK(G155)))</formula>
    </cfRule>
  </conditionalFormatting>
  <conditionalFormatting sqref="G156">
    <cfRule type="expression" dxfId="0" priority="676">
      <formula>COUNTIF(I156:CV156,"&lt;&gt;" &amp; "")&gt;0</formula>
    </cfRule>
    <cfRule type="expression" dxfId="1" priority="677">
      <formula>AND(COUNTIF(I156:CV156,"&lt;&gt;" &amp; "")&gt;0,NOT(ISBLANK(G156)))</formula>
    </cfRule>
  </conditionalFormatting>
  <conditionalFormatting sqref="G157">
    <cfRule type="expression" dxfId="0" priority="679">
      <formula>COUNTIF(I157:CV157,"&lt;&gt;" &amp; "")&gt;0</formula>
    </cfRule>
    <cfRule type="expression" dxfId="1" priority="680">
      <formula>AND(COUNTIF(I157:CV157,"&lt;&gt;" &amp; "")&gt;0,NOT(ISBLANK(G157)))</formula>
    </cfRule>
  </conditionalFormatting>
  <conditionalFormatting sqref="G158">
    <cfRule type="expression" dxfId="0" priority="682">
      <formula>COUNTIF(I158:CV158,"&lt;&gt;" &amp; "")&gt;0</formula>
    </cfRule>
    <cfRule type="expression" dxfId="1" priority="683">
      <formula>AND(COUNTIF(I158:CV158,"&lt;&gt;" &amp; "")&gt;0,NOT(ISBLANK(G158)))</formula>
    </cfRule>
  </conditionalFormatting>
  <conditionalFormatting sqref="G159">
    <cfRule type="expression" dxfId="0" priority="685">
      <formula>COUNTIF(I159:CV159,"&lt;&gt;" &amp; "")&gt;0</formula>
    </cfRule>
    <cfRule type="expression" dxfId="1" priority="686">
      <formula>AND(COUNTIF(I159:CV159,"&lt;&gt;" &amp; "")&gt;0,NOT(ISBLANK(G159)))</formula>
    </cfRule>
  </conditionalFormatting>
  <conditionalFormatting sqref="G16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G160">
    <cfRule type="expression" dxfId="0" priority="688">
      <formula>COUNTIF(I160:CV160,"&lt;&gt;" &amp; "")&gt;0</formula>
    </cfRule>
    <cfRule type="expression" dxfId="1" priority="689">
      <formula>AND(COUNTIF(I160:CV160,"&lt;&gt;" &amp; "")&gt;0,NOT(ISBLANK(G160)))</formula>
    </cfRule>
  </conditionalFormatting>
  <conditionalFormatting sqref="G161">
    <cfRule type="expression" dxfId="0" priority="691">
      <formula>COUNTIF(I161:CV161,"&lt;&gt;" &amp; "")&gt;0</formula>
    </cfRule>
    <cfRule type="expression" dxfId="1" priority="692">
      <formula>AND(COUNTIF(I161:CV161,"&lt;&gt;" &amp; "")&gt;0,NOT(ISBLANK(G161)))</formula>
    </cfRule>
  </conditionalFormatting>
  <conditionalFormatting sqref="G162">
    <cfRule type="expression" dxfId="0" priority="694">
      <formula>COUNTIF(I162:CV162,"&lt;&gt;" &amp; "")&gt;0</formula>
    </cfRule>
    <cfRule type="expression" dxfId="1" priority="695">
      <formula>AND(COUNTIF(I162:CV162,"&lt;&gt;" &amp; "")&gt;0,NOT(ISBLANK(G162)))</formula>
    </cfRule>
  </conditionalFormatting>
  <conditionalFormatting sqref="G19">
    <cfRule type="expression" dxfId="0" priority="265">
      <formula>COUNTIF(I19:CV19,"&lt;&gt;" &amp; "")&gt;0</formula>
    </cfRule>
    <cfRule type="expression" dxfId="1" priority="266">
      <formula>AND(COUNTIF(I19:CV19,"&lt;&gt;" &amp; "")&gt;0,NOT(ISBLANK(G19)))</formula>
    </cfRule>
  </conditionalFormatting>
  <conditionalFormatting sqref="G20">
    <cfRule type="expression" dxfId="0" priority="268">
      <formula>COUNTIF(I20:CV20,"&lt;&gt;" &amp; "")&gt;0</formula>
    </cfRule>
    <cfRule type="expression" dxfId="1" priority="269">
      <formula>AND(COUNTIF(I20:CV20,"&lt;&gt;" &amp; "")&gt;0,NOT(ISBLANK(G20)))</formula>
    </cfRule>
  </conditionalFormatting>
  <conditionalFormatting sqref="G21">
    <cfRule type="expression" dxfId="0" priority="271">
      <formula>COUNTIF(I21:CV21,"&lt;&gt;" &amp; "")&gt;0</formula>
    </cfRule>
    <cfRule type="expression" dxfId="1" priority="272">
      <formula>AND(COUNTIF(I21:CV21,"&lt;&gt;" &amp; "")&gt;0,NOT(ISBLANK(G21)))</formula>
    </cfRule>
  </conditionalFormatting>
  <conditionalFormatting sqref="G22">
    <cfRule type="expression" dxfId="0" priority="274">
      <formula>COUNTIF(I22:CV22,"&lt;&gt;" &amp; "")&gt;0</formula>
    </cfRule>
    <cfRule type="expression" dxfId="1" priority="275">
      <formula>AND(COUNTIF(I22:CV22,"&lt;&gt;" &amp; "")&gt;0,NOT(ISBLANK(G22)))</formula>
    </cfRule>
  </conditionalFormatting>
  <conditionalFormatting sqref="G23">
    <cfRule type="expression" dxfId="0" priority="277">
      <formula>COUNTIF(I23:CV23,"&lt;&gt;" &amp; "")&gt;0</formula>
    </cfRule>
    <cfRule type="expression" dxfId="1" priority="278">
      <formula>AND(COUNTIF(I23:CV23,"&lt;&gt;" &amp; "")&gt;0,NOT(ISBLANK(G23)))</formula>
    </cfRule>
  </conditionalFormatting>
  <conditionalFormatting sqref="G24">
    <cfRule type="expression" dxfId="0" priority="280">
      <formula>COUNTIF(I24:CV24,"&lt;&gt;" &amp; "")&gt;0</formula>
    </cfRule>
    <cfRule type="expression" dxfId="1" priority="281">
      <formula>AND(COUNTIF(I24:CV24,"&lt;&gt;" &amp; "")&gt;0,NOT(ISBLANK(G24)))</formula>
    </cfRule>
  </conditionalFormatting>
  <conditionalFormatting sqref="G25">
    <cfRule type="expression" dxfId="0" priority="283">
      <formula>COUNTIF(I25:CV25,"&lt;&gt;" &amp; "")&gt;0</formula>
    </cfRule>
    <cfRule type="expression" dxfId="1" priority="284">
      <formula>AND(COUNTIF(I25:CV25,"&lt;&gt;" &amp; "")&gt;0,NOT(ISBLANK(G25)))</formula>
    </cfRule>
  </conditionalFormatting>
  <conditionalFormatting sqref="G26">
    <cfRule type="expression" dxfId="0" priority="286">
      <formula>COUNTIF(I26:CV26,"&lt;&gt;" &amp; "")&gt;0</formula>
    </cfRule>
    <cfRule type="expression" dxfId="1" priority="287">
      <formula>AND(COUNTIF(I26:CV26,"&lt;&gt;" &amp; "")&gt;0,NOT(ISBLANK(G26)))</formula>
    </cfRule>
  </conditionalFormatting>
  <conditionalFormatting sqref="G27">
    <cfRule type="expression" dxfId="0" priority="289">
      <formula>COUNTIF(I27:CV27,"&lt;&gt;" &amp; "")&gt;0</formula>
    </cfRule>
    <cfRule type="expression" dxfId="1" priority="290">
      <formula>AND(COUNTIF(I27:CV27,"&lt;&gt;" &amp; "")&gt;0,NOT(ISBLANK(G27)))</formula>
    </cfRule>
  </conditionalFormatting>
  <conditionalFormatting sqref="G28">
    <cfRule type="expression" dxfId="0" priority="292">
      <formula>COUNTIF(I28:CV28,"&lt;&gt;" &amp; "")&gt;0</formula>
    </cfRule>
    <cfRule type="expression" dxfId="1" priority="293">
      <formula>AND(COUNTIF(I28:CV28,"&lt;&gt;" &amp; "")&gt;0,NOT(ISBLANK(G28)))</formula>
    </cfRule>
  </conditionalFormatting>
  <conditionalFormatting sqref="G29">
    <cfRule type="expression" dxfId="0" priority="295">
      <formula>COUNTIF(I29:CV29,"&lt;&gt;" &amp; "")&gt;0</formula>
    </cfRule>
    <cfRule type="expression" dxfId="1" priority="296">
      <formula>AND(COUNTIF(I29:CV29,"&lt;&gt;" &amp; "")&gt;0,NOT(ISBLANK(G29)))</formula>
    </cfRule>
  </conditionalFormatting>
  <conditionalFormatting sqref="G30">
    <cfRule type="expression" dxfId="0" priority="298">
      <formula>COUNTIF(I30:CV30,"&lt;&gt;" &amp; "")&gt;0</formula>
    </cfRule>
    <cfRule type="expression" dxfId="1" priority="299">
      <formula>AND(COUNTIF(I30:CV30,"&lt;&gt;" &amp; "")&gt;0,NOT(ISBLANK(G30)))</formula>
    </cfRule>
  </conditionalFormatting>
  <conditionalFormatting sqref="G31">
    <cfRule type="expression" dxfId="0" priority="301">
      <formula>COUNTIF(I31:CV31,"&lt;&gt;" &amp; "")&gt;0</formula>
    </cfRule>
    <cfRule type="expression" dxfId="1" priority="302">
      <formula>AND(COUNTIF(I31:CV31,"&lt;&gt;" &amp; "")&gt;0,NOT(ISBLANK(G31)))</formula>
    </cfRule>
  </conditionalFormatting>
  <conditionalFormatting sqref="G32">
    <cfRule type="expression" dxfId="0" priority="304">
      <formula>COUNTIF(I32:CV32,"&lt;&gt;" &amp; "")&gt;0</formula>
    </cfRule>
    <cfRule type="expression" dxfId="1" priority="305">
      <formula>AND(COUNTIF(I32:CV32,"&lt;&gt;" &amp; "")&gt;0,NOT(ISBLANK(G32)))</formula>
    </cfRule>
  </conditionalFormatting>
  <conditionalFormatting sqref="G33">
    <cfRule type="expression" dxfId="0" priority="307">
      <formula>COUNTIF(I33:CV33,"&lt;&gt;" &amp; "")&gt;0</formula>
    </cfRule>
    <cfRule type="expression" dxfId="1" priority="308">
      <formula>AND(COUNTIF(I33:CV33,"&lt;&gt;" &amp; "")&gt;0,NOT(ISBLANK(G33)))</formula>
    </cfRule>
  </conditionalFormatting>
  <conditionalFormatting sqref="G34">
    <cfRule type="expression" dxfId="0" priority="310">
      <formula>COUNTIF(I34:CV34,"&lt;&gt;" &amp; "")&gt;0</formula>
    </cfRule>
    <cfRule type="expression" dxfId="1" priority="311">
      <formula>AND(COUNTIF(I34:CV34,"&lt;&gt;" &amp; "")&gt;0,NOT(ISBLANK(G34)))</formula>
    </cfRule>
  </conditionalFormatting>
  <conditionalFormatting sqref="G35">
    <cfRule type="expression" dxfId="0" priority="313">
      <formula>COUNTIF(I35:CV35,"&lt;&gt;" &amp; "")&gt;0</formula>
    </cfRule>
    <cfRule type="expression" dxfId="1" priority="314">
      <formula>AND(COUNTIF(I35:CV35,"&lt;&gt;" &amp; "")&gt;0,NOT(ISBLANK(G35)))</formula>
    </cfRule>
  </conditionalFormatting>
  <conditionalFormatting sqref="G36">
    <cfRule type="expression" dxfId="0" priority="316">
      <formula>COUNTIF(I36:CV36,"&lt;&gt;" &amp; "")&gt;0</formula>
    </cfRule>
    <cfRule type="expression" dxfId="1" priority="317">
      <formula>AND(COUNTIF(I36:CV36,"&lt;&gt;" &amp; "")&gt;0,NOT(ISBLANK(G36)))</formula>
    </cfRule>
  </conditionalFormatting>
  <conditionalFormatting sqref="G37">
    <cfRule type="expression" dxfId="0" priority="319">
      <formula>COUNTIF(I37:CV37,"&lt;&gt;" &amp; "")&gt;0</formula>
    </cfRule>
    <cfRule type="expression" dxfId="1" priority="320">
      <formula>AND(COUNTIF(I37:CV37,"&lt;&gt;" &amp; "")&gt;0,NOT(ISBLANK(G37)))</formula>
    </cfRule>
  </conditionalFormatting>
  <conditionalFormatting sqref="G38">
    <cfRule type="expression" dxfId="0" priority="322">
      <formula>COUNTIF(I38:CV38,"&lt;&gt;" &amp; "")&gt;0</formula>
    </cfRule>
    <cfRule type="expression" dxfId="1" priority="323">
      <formula>AND(COUNTIF(I38:CV38,"&lt;&gt;" &amp; "")&gt;0,NOT(ISBLANK(G38)))</formula>
    </cfRule>
  </conditionalFormatting>
  <conditionalFormatting sqref="G39">
    <cfRule type="expression" dxfId="0" priority="325">
      <formula>COUNTIF(I39:CV39,"&lt;&gt;" &amp; "")&gt;0</formula>
    </cfRule>
    <cfRule type="expression" dxfId="1" priority="326">
      <formula>AND(COUNTIF(I39:CV39,"&lt;&gt;" &amp; "")&gt;0,NOT(ISBLANK(G39)))</formula>
    </cfRule>
  </conditionalFormatting>
  <conditionalFormatting sqref="G40">
    <cfRule type="expression" dxfId="0" priority="328">
      <formula>COUNTIF(I40:CV40,"&lt;&gt;" &amp; "")&gt;0</formula>
    </cfRule>
    <cfRule type="expression" dxfId="1" priority="329">
      <formula>AND(COUNTIF(I40:CV40,"&lt;&gt;" &amp; "")&gt;0,NOT(ISBLANK(G40)))</formula>
    </cfRule>
  </conditionalFormatting>
  <conditionalFormatting sqref="G41">
    <cfRule type="expression" dxfId="0" priority="331">
      <formula>COUNTIF(I41:CV41,"&lt;&gt;" &amp; "")&gt;0</formula>
    </cfRule>
    <cfRule type="expression" dxfId="1" priority="332">
      <formula>AND(COUNTIF(I41:CV41,"&lt;&gt;" &amp; "")&gt;0,NOT(ISBLANK(G41)))</formula>
    </cfRule>
  </conditionalFormatting>
  <conditionalFormatting sqref="G42">
    <cfRule type="expression" dxfId="0" priority="334">
      <formula>COUNTIF(I42:CV42,"&lt;&gt;" &amp; "")&gt;0</formula>
    </cfRule>
    <cfRule type="expression" dxfId="1" priority="335">
      <formula>AND(COUNTIF(I42:CV42,"&lt;&gt;" &amp; "")&gt;0,NOT(ISBLANK(G42)))</formula>
    </cfRule>
  </conditionalFormatting>
  <conditionalFormatting sqref="G43">
    <cfRule type="expression" dxfId="0" priority="337">
      <formula>COUNTIF(I43:CV43,"&lt;&gt;" &amp; "")&gt;0</formula>
    </cfRule>
    <cfRule type="expression" dxfId="1" priority="338">
      <formula>AND(COUNTIF(I43:CV43,"&lt;&gt;" &amp; "")&gt;0,NOT(ISBLANK(G43)))</formula>
    </cfRule>
  </conditionalFormatting>
  <conditionalFormatting sqref="G44">
    <cfRule type="expression" dxfId="0" priority="340">
      <formula>COUNTIF(I44:CV44,"&lt;&gt;" &amp; "")&gt;0</formula>
    </cfRule>
    <cfRule type="expression" dxfId="1" priority="341">
      <formula>AND(COUNTIF(I44:CV44,"&lt;&gt;" &amp; "")&gt;0,NOT(ISBLANK(G44)))</formula>
    </cfRule>
  </conditionalFormatting>
  <conditionalFormatting sqref="G45">
    <cfRule type="expression" dxfId="0" priority="343">
      <formula>COUNTIF(I45:CV45,"&lt;&gt;" &amp; "")&gt;0</formula>
    </cfRule>
    <cfRule type="expression" dxfId="1" priority="344">
      <formula>AND(COUNTIF(I45:CV45,"&lt;&gt;" &amp; "")&gt;0,NOT(ISBLANK(G45)))</formula>
    </cfRule>
  </conditionalFormatting>
  <conditionalFormatting sqref="G46">
    <cfRule type="expression" dxfId="0" priority="346">
      <formula>COUNTIF(I46:CV46,"&lt;&gt;" &amp; "")&gt;0</formula>
    </cfRule>
    <cfRule type="expression" dxfId="1" priority="347">
      <formula>AND(COUNTIF(I46:CV46,"&lt;&gt;" &amp; "")&gt;0,NOT(ISBLANK(G46)))</formula>
    </cfRule>
  </conditionalFormatting>
  <conditionalFormatting sqref="G47">
    <cfRule type="expression" dxfId="0" priority="349">
      <formula>COUNTIF(I47:CV47,"&lt;&gt;" &amp; "")&gt;0</formula>
    </cfRule>
    <cfRule type="expression" dxfId="1" priority="350">
      <formula>AND(COUNTIF(I47:CV47,"&lt;&gt;" &amp; "")&gt;0,NOT(ISBLANK(G47)))</formula>
    </cfRule>
  </conditionalFormatting>
  <conditionalFormatting sqref="G48">
    <cfRule type="expression" dxfId="0" priority="352">
      <formula>COUNTIF(I48:CV48,"&lt;&gt;" &amp; "")&gt;0</formula>
    </cfRule>
    <cfRule type="expression" dxfId="1" priority="353">
      <formula>AND(COUNTIF(I48:CV48,"&lt;&gt;" &amp; "")&gt;0,NOT(ISBLANK(G48)))</formula>
    </cfRule>
  </conditionalFormatting>
  <conditionalFormatting sqref="G49">
    <cfRule type="expression" dxfId="0" priority="355">
      <formula>COUNTIF(I49:CV49,"&lt;&gt;" &amp; "")&gt;0</formula>
    </cfRule>
    <cfRule type="expression" dxfId="1" priority="356">
      <formula>AND(COUNTIF(I49:CV49,"&lt;&gt;" &amp; "")&gt;0,NOT(ISBLANK(G49)))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358">
      <formula>COUNTIF(I50:CV50,"&lt;&gt;" &amp; "")&gt;0</formula>
    </cfRule>
    <cfRule type="expression" dxfId="1" priority="359">
      <formula>AND(COUNTIF(I50:CV50,"&lt;&gt;" &amp; "")&gt;0,NOT(ISBLANK(G50)))</formula>
    </cfRule>
  </conditionalFormatting>
  <conditionalFormatting sqref="G51">
    <cfRule type="expression" dxfId="0" priority="361">
      <formula>COUNTIF(I51:CV51,"&lt;&gt;" &amp; "")&gt;0</formula>
    </cfRule>
    <cfRule type="expression" dxfId="1" priority="362">
      <formula>AND(COUNTIF(I51:CV51,"&lt;&gt;" &amp; "")&gt;0,NOT(ISBLANK(G51)))</formula>
    </cfRule>
  </conditionalFormatting>
  <conditionalFormatting sqref="G52">
    <cfRule type="expression" dxfId="0" priority="364">
      <formula>COUNTIF(I52:CV52,"&lt;&gt;" &amp; "")&gt;0</formula>
    </cfRule>
    <cfRule type="expression" dxfId="1" priority="365">
      <formula>AND(COUNTIF(I52:CV52,"&lt;&gt;" &amp; "")&gt;0,NOT(ISBLANK(G52)))</formula>
    </cfRule>
  </conditionalFormatting>
  <conditionalFormatting sqref="G53">
    <cfRule type="expression" dxfId="0" priority="367">
      <formula>COUNTIF(I53:CV53,"&lt;&gt;" &amp; "")&gt;0</formula>
    </cfRule>
    <cfRule type="expression" dxfId="1" priority="368">
      <formula>AND(COUNTIF(I53:CV53,"&lt;&gt;" &amp; "")&gt;0,NOT(ISBLANK(G53)))</formula>
    </cfRule>
  </conditionalFormatting>
  <conditionalFormatting sqref="G54">
    <cfRule type="expression" dxfId="0" priority="370">
      <formula>COUNTIF(I54:CV54,"&lt;&gt;" &amp; "")&gt;0</formula>
    </cfRule>
    <cfRule type="expression" dxfId="1" priority="371">
      <formula>AND(COUNTIF(I54:CV54,"&lt;&gt;" &amp; "")&gt;0,NOT(ISBLANK(G54)))</formula>
    </cfRule>
  </conditionalFormatting>
  <conditionalFormatting sqref="G55">
    <cfRule type="expression" dxfId="0" priority="373">
      <formula>COUNTIF(I55:CV55,"&lt;&gt;" &amp; "")&gt;0</formula>
    </cfRule>
    <cfRule type="expression" dxfId="1" priority="374">
      <formula>AND(COUNTIF(I55:CV55,"&lt;&gt;" &amp; "")&gt;0,NOT(ISBLANK(G55)))</formula>
    </cfRule>
  </conditionalFormatting>
  <conditionalFormatting sqref="G56">
    <cfRule type="expression" dxfId="0" priority="376">
      <formula>COUNTIF(I56:CV56,"&lt;&gt;" &amp; "")&gt;0</formula>
    </cfRule>
    <cfRule type="expression" dxfId="1" priority="377">
      <formula>AND(COUNTIF(I56:CV56,"&lt;&gt;" &amp; "")&gt;0,NOT(ISBLANK(G56)))</formula>
    </cfRule>
  </conditionalFormatting>
  <conditionalFormatting sqref="G57">
    <cfRule type="expression" dxfId="0" priority="379">
      <formula>COUNTIF(I57:CV57,"&lt;&gt;" &amp; "")&gt;0</formula>
    </cfRule>
    <cfRule type="expression" dxfId="1" priority="380">
      <formula>AND(COUNTIF(I57:CV57,"&lt;&gt;" &amp; "")&gt;0,NOT(ISBLANK(G57)))</formula>
    </cfRule>
  </conditionalFormatting>
  <conditionalFormatting sqref="G58">
    <cfRule type="expression" dxfId="0" priority="382">
      <formula>COUNTIF(I58:CV58,"&lt;&gt;" &amp; "")&gt;0</formula>
    </cfRule>
    <cfRule type="expression" dxfId="1" priority="383">
      <formula>AND(COUNTIF(I58:CV58,"&lt;&gt;" &amp; "")&gt;0,NOT(ISBLANK(G58)))</formula>
    </cfRule>
  </conditionalFormatting>
  <conditionalFormatting sqref="G59">
    <cfRule type="expression" dxfId="0" priority="385">
      <formula>COUNTIF(I59:CV59,"&lt;&gt;" &amp; "")&gt;0</formula>
    </cfRule>
    <cfRule type="expression" dxfId="1" priority="386">
      <formula>AND(COUNTIF(I59:CV59,"&lt;&gt;" &amp; "")&gt;0,NOT(ISBLANK(G59)))</formula>
    </cfRule>
  </conditionalFormatting>
  <conditionalFormatting sqref="G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G60">
    <cfRule type="expression" dxfId="0" priority="388">
      <formula>COUNTIF(I60:CV60,"&lt;&gt;" &amp; "")&gt;0</formula>
    </cfRule>
    <cfRule type="expression" dxfId="1" priority="389">
      <formula>AND(COUNTIF(I60:CV60,"&lt;&gt;" &amp; "")&gt;0,NOT(ISBLANK(G60)))</formula>
    </cfRule>
  </conditionalFormatting>
  <conditionalFormatting sqref="G61">
    <cfRule type="expression" dxfId="0" priority="391">
      <formula>COUNTIF(I61:CV61,"&lt;&gt;" &amp; "")&gt;0</formula>
    </cfRule>
    <cfRule type="expression" dxfId="1" priority="392">
      <formula>AND(COUNTIF(I61:CV61,"&lt;&gt;" &amp; "")&gt;0,NOT(ISBLANK(G61)))</formula>
    </cfRule>
  </conditionalFormatting>
  <conditionalFormatting sqref="G62">
    <cfRule type="expression" dxfId="0" priority="394">
      <formula>COUNTIF(I62:CV62,"&lt;&gt;" &amp; "")&gt;0</formula>
    </cfRule>
    <cfRule type="expression" dxfId="1" priority="395">
      <formula>AND(COUNTIF(I62:CV62,"&lt;&gt;" &amp; "")&gt;0,NOT(ISBLANK(G62)))</formula>
    </cfRule>
  </conditionalFormatting>
  <conditionalFormatting sqref="G63">
    <cfRule type="expression" dxfId="0" priority="397">
      <formula>COUNTIF(I63:CV63,"&lt;&gt;" &amp; "")&gt;0</formula>
    </cfRule>
    <cfRule type="expression" dxfId="1" priority="398">
      <formula>AND(COUNTIF(I63:CV63,"&lt;&gt;" &amp; "")&gt;0,NOT(ISBLANK(G63)))</formula>
    </cfRule>
  </conditionalFormatting>
  <conditionalFormatting sqref="G64">
    <cfRule type="expression" dxfId="0" priority="400">
      <formula>COUNTIF(I64:CV64,"&lt;&gt;" &amp; "")&gt;0</formula>
    </cfRule>
    <cfRule type="expression" dxfId="1" priority="401">
      <formula>AND(COUNTIF(I64:CV64,"&lt;&gt;" &amp; "")&gt;0,NOT(ISBLANK(G64)))</formula>
    </cfRule>
  </conditionalFormatting>
  <conditionalFormatting sqref="G65">
    <cfRule type="expression" dxfId="0" priority="403">
      <formula>COUNTIF(I65:CV65,"&lt;&gt;" &amp; "")&gt;0</formula>
    </cfRule>
    <cfRule type="expression" dxfId="1" priority="404">
      <formula>AND(COUNTIF(I65:CV65,"&lt;&gt;" &amp; "")&gt;0,NOT(ISBLANK(G65)))</formula>
    </cfRule>
  </conditionalFormatting>
  <conditionalFormatting sqref="G66">
    <cfRule type="expression" dxfId="0" priority="406">
      <formula>COUNTIF(I66:CV66,"&lt;&gt;" &amp; "")&gt;0</formula>
    </cfRule>
    <cfRule type="expression" dxfId="1" priority="407">
      <formula>AND(COUNTIF(I66:CV66,"&lt;&gt;" &amp; "")&gt;0,NOT(ISBLANK(G66)))</formula>
    </cfRule>
  </conditionalFormatting>
  <conditionalFormatting sqref="G67">
    <cfRule type="expression" dxfId="0" priority="409">
      <formula>COUNTIF(I67:CV67,"&lt;&gt;" &amp; "")&gt;0</formula>
    </cfRule>
    <cfRule type="expression" dxfId="1" priority="410">
      <formula>AND(COUNTIF(I67:CV67,"&lt;&gt;" &amp; "")&gt;0,NOT(ISBLANK(G67)))</formula>
    </cfRule>
  </conditionalFormatting>
  <conditionalFormatting sqref="G68">
    <cfRule type="expression" dxfId="0" priority="412">
      <formula>COUNTIF(I68:CV68,"&lt;&gt;" &amp; "")&gt;0</formula>
    </cfRule>
    <cfRule type="expression" dxfId="1" priority="413">
      <formula>AND(COUNTIF(I68:CV68,"&lt;&gt;" &amp; "")&gt;0,NOT(ISBLANK(G68)))</formula>
    </cfRule>
  </conditionalFormatting>
  <conditionalFormatting sqref="G69">
    <cfRule type="expression" dxfId="0" priority="415">
      <formula>COUNTIF(I69:CV69,"&lt;&gt;" &amp; "")&gt;0</formula>
    </cfRule>
    <cfRule type="expression" dxfId="1" priority="416">
      <formula>AND(COUNTIF(I69:CV69,"&lt;&gt;" &amp; "")&gt;0,NOT(ISBLANK(G69)))</formula>
    </cfRule>
  </conditionalFormatting>
  <conditionalFormatting sqref="G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G70">
    <cfRule type="expression" dxfId="0" priority="418">
      <formula>COUNTIF(I70:CV70,"&lt;&gt;" &amp; "")&gt;0</formula>
    </cfRule>
    <cfRule type="expression" dxfId="1" priority="419">
      <formula>AND(COUNTIF(I70:CV70,"&lt;&gt;" &amp; "")&gt;0,NOT(ISBLANK(G70)))</formula>
    </cfRule>
  </conditionalFormatting>
  <conditionalFormatting sqref="G71">
    <cfRule type="expression" dxfId="0" priority="421">
      <formula>COUNTIF(I71:CV71,"&lt;&gt;" &amp; "")&gt;0</formula>
    </cfRule>
    <cfRule type="expression" dxfId="1" priority="422">
      <formula>AND(COUNTIF(I71:CV71,"&lt;&gt;" &amp; "")&gt;0,NOT(ISBLANK(G71)))</formula>
    </cfRule>
  </conditionalFormatting>
  <conditionalFormatting sqref="G72">
    <cfRule type="expression" dxfId="0" priority="424">
      <formula>COUNTIF(I72:CV72,"&lt;&gt;" &amp; "")&gt;0</formula>
    </cfRule>
    <cfRule type="expression" dxfId="1" priority="425">
      <formula>AND(COUNTIF(I72:CV72,"&lt;&gt;" &amp; "")&gt;0,NOT(ISBLANK(G72)))</formula>
    </cfRule>
  </conditionalFormatting>
  <conditionalFormatting sqref="G73">
    <cfRule type="expression" dxfId="0" priority="427">
      <formula>COUNTIF(I73:CV73,"&lt;&gt;" &amp; "")&gt;0</formula>
    </cfRule>
    <cfRule type="expression" dxfId="1" priority="428">
      <formula>AND(COUNTIF(I73:CV73,"&lt;&gt;" &amp; "")&gt;0,NOT(ISBLANK(G73)))</formula>
    </cfRule>
  </conditionalFormatting>
  <conditionalFormatting sqref="G74">
    <cfRule type="expression" dxfId="0" priority="430">
      <formula>COUNTIF(I74:CV74,"&lt;&gt;" &amp; "")&gt;0</formula>
    </cfRule>
    <cfRule type="expression" dxfId="1" priority="431">
      <formula>AND(COUNTIF(I74:CV74,"&lt;&gt;" &amp; "")&gt;0,NOT(ISBLANK(G74)))</formula>
    </cfRule>
  </conditionalFormatting>
  <conditionalFormatting sqref="G75">
    <cfRule type="expression" dxfId="0" priority="433">
      <formula>COUNTIF(I75:CV75,"&lt;&gt;" &amp; "")&gt;0</formula>
    </cfRule>
    <cfRule type="expression" dxfId="1" priority="434">
      <formula>AND(COUNTIF(I75:CV75,"&lt;&gt;" &amp; "")&gt;0,NOT(ISBLANK(G75)))</formula>
    </cfRule>
  </conditionalFormatting>
  <conditionalFormatting sqref="G76">
    <cfRule type="expression" dxfId="0" priority="436">
      <formula>COUNTIF(I76:CV76,"&lt;&gt;" &amp; "")&gt;0</formula>
    </cfRule>
    <cfRule type="expression" dxfId="1" priority="437">
      <formula>AND(COUNTIF(I76:CV76,"&lt;&gt;" &amp; "")&gt;0,NOT(ISBLANK(G76)))</formula>
    </cfRule>
  </conditionalFormatting>
  <conditionalFormatting sqref="G77">
    <cfRule type="expression" dxfId="0" priority="439">
      <formula>COUNTIF(I77:CV77,"&lt;&gt;" &amp; "")&gt;0</formula>
    </cfRule>
    <cfRule type="expression" dxfId="1" priority="440">
      <formula>AND(COUNTIF(I77:CV77,"&lt;&gt;" &amp; "")&gt;0,NOT(ISBLANK(G77)))</formula>
    </cfRule>
  </conditionalFormatting>
  <conditionalFormatting sqref="G78">
    <cfRule type="expression" dxfId="0" priority="442">
      <formula>COUNTIF(I78:CV78,"&lt;&gt;" &amp; "")&gt;0</formula>
    </cfRule>
    <cfRule type="expression" dxfId="1" priority="443">
      <formula>AND(COUNTIF(I78:CV78,"&lt;&gt;" &amp; "")&gt;0,NOT(ISBLANK(G78)))</formula>
    </cfRule>
  </conditionalFormatting>
  <conditionalFormatting sqref="G79">
    <cfRule type="expression" dxfId="0" priority="445">
      <formula>COUNTIF(I79:CV79,"&lt;&gt;" &amp; "")&gt;0</formula>
    </cfRule>
    <cfRule type="expression" dxfId="1" priority="446">
      <formula>AND(COUNTIF(I79:CV79,"&lt;&gt;" &amp; "")&gt;0,NOT(ISBLANK(G79)))</formula>
    </cfRule>
  </conditionalFormatting>
  <conditionalFormatting sqref="G8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G80">
    <cfRule type="expression" dxfId="0" priority="448">
      <formula>COUNTIF(I80:CV80,"&lt;&gt;" &amp; "")&gt;0</formula>
    </cfRule>
    <cfRule type="expression" dxfId="1" priority="449">
      <formula>AND(COUNTIF(I80:CV80,"&lt;&gt;" &amp; "")&gt;0,NOT(ISBLANK(G80)))</formula>
    </cfRule>
  </conditionalFormatting>
  <conditionalFormatting sqref="G81">
    <cfRule type="expression" dxfId="0" priority="451">
      <formula>COUNTIF(I81:CV81,"&lt;&gt;" &amp; "")&gt;0</formula>
    </cfRule>
    <cfRule type="expression" dxfId="1" priority="452">
      <formula>AND(COUNTIF(I81:CV81,"&lt;&gt;" &amp; "")&gt;0,NOT(ISBLANK(G81)))</formula>
    </cfRule>
  </conditionalFormatting>
  <conditionalFormatting sqref="G82">
    <cfRule type="expression" dxfId="0" priority="454">
      <formula>COUNTIF(I82:CV82,"&lt;&gt;" &amp; "")&gt;0</formula>
    </cfRule>
    <cfRule type="expression" dxfId="1" priority="455">
      <formula>AND(COUNTIF(I82:CV82,"&lt;&gt;" &amp; "")&gt;0,NOT(ISBLANK(G82)))</formula>
    </cfRule>
  </conditionalFormatting>
  <conditionalFormatting sqref="G83">
    <cfRule type="expression" dxfId="0" priority="457">
      <formula>COUNTIF(I83:CV83,"&lt;&gt;" &amp; "")&gt;0</formula>
    </cfRule>
    <cfRule type="expression" dxfId="1" priority="458">
      <formula>AND(COUNTIF(I83:CV83,"&lt;&gt;" &amp; "")&gt;0,NOT(ISBLANK(G83)))</formula>
    </cfRule>
  </conditionalFormatting>
  <conditionalFormatting sqref="G84">
    <cfRule type="expression" dxfId="0" priority="460">
      <formula>COUNTIF(I84:CV84,"&lt;&gt;" &amp; "")&gt;0</formula>
    </cfRule>
    <cfRule type="expression" dxfId="1" priority="461">
      <formula>AND(COUNTIF(I84:CV84,"&lt;&gt;" &amp; "")&gt;0,NOT(ISBLANK(G84)))</formula>
    </cfRule>
  </conditionalFormatting>
  <conditionalFormatting sqref="G85">
    <cfRule type="expression" dxfId="0" priority="463">
      <formula>COUNTIF(I85:CV85,"&lt;&gt;" &amp; "")&gt;0</formula>
    </cfRule>
    <cfRule type="expression" dxfId="1" priority="464">
      <formula>AND(COUNTIF(I85:CV85,"&lt;&gt;" &amp; "")&gt;0,NOT(ISBLANK(G85)))</formula>
    </cfRule>
  </conditionalFormatting>
  <conditionalFormatting sqref="G86">
    <cfRule type="expression" dxfId="0" priority="466">
      <formula>COUNTIF(I86:CV86,"&lt;&gt;" &amp; "")&gt;0</formula>
    </cfRule>
    <cfRule type="expression" dxfId="1" priority="467">
      <formula>AND(COUNTIF(I86:CV86,"&lt;&gt;" &amp; "")&gt;0,NOT(ISBLANK(G86)))</formula>
    </cfRule>
  </conditionalFormatting>
  <conditionalFormatting sqref="G87">
    <cfRule type="expression" dxfId="0" priority="469">
      <formula>COUNTIF(I87:CV87,"&lt;&gt;" &amp; "")&gt;0</formula>
    </cfRule>
    <cfRule type="expression" dxfId="1" priority="470">
      <formula>AND(COUNTIF(I87:CV87,"&lt;&gt;" &amp; "")&gt;0,NOT(ISBLANK(G87)))</formula>
    </cfRule>
  </conditionalFormatting>
  <conditionalFormatting sqref="G88">
    <cfRule type="expression" dxfId="0" priority="472">
      <formula>COUNTIF(I88:CV88,"&lt;&gt;" &amp; "")&gt;0</formula>
    </cfRule>
    <cfRule type="expression" dxfId="1" priority="473">
      <formula>AND(COUNTIF(I88:CV88,"&lt;&gt;" &amp; "")&gt;0,NOT(ISBLANK(G88)))</formula>
    </cfRule>
  </conditionalFormatting>
  <conditionalFormatting sqref="G89">
    <cfRule type="expression" dxfId="0" priority="475">
      <formula>COUNTIF(I89:CV89,"&lt;&gt;" &amp; "")&gt;0</formula>
    </cfRule>
    <cfRule type="expression" dxfId="1" priority="476">
      <formula>AND(COUNTIF(I89:CV89,"&lt;&gt;" &amp; "")&gt;0,NOT(ISBLANK(G89)))</formula>
    </cfRule>
  </conditionalFormatting>
  <conditionalFormatting sqref="G9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G90">
    <cfRule type="expression" dxfId="0" priority="478">
      <formula>COUNTIF(I90:CV90,"&lt;&gt;" &amp; "")&gt;0</formula>
    </cfRule>
    <cfRule type="expression" dxfId="1" priority="479">
      <formula>AND(COUNTIF(I90:CV90,"&lt;&gt;" &amp; "")&gt;0,NOT(ISBLANK(G90)))</formula>
    </cfRule>
  </conditionalFormatting>
  <conditionalFormatting sqref="G91">
    <cfRule type="expression" dxfId="0" priority="481">
      <formula>COUNTIF(I91:CV91,"&lt;&gt;" &amp; "")&gt;0</formula>
    </cfRule>
    <cfRule type="expression" dxfId="1" priority="482">
      <formula>AND(COUNTIF(I91:CV91,"&lt;&gt;" &amp; "")&gt;0,NOT(ISBLANK(G91)))</formula>
    </cfRule>
  </conditionalFormatting>
  <conditionalFormatting sqref="G92">
    <cfRule type="expression" dxfId="0" priority="484">
      <formula>COUNTIF(I92:CV92,"&lt;&gt;" &amp; "")&gt;0</formula>
    </cfRule>
    <cfRule type="expression" dxfId="1" priority="485">
      <formula>AND(COUNTIF(I92:CV92,"&lt;&gt;" &amp; "")&gt;0,NOT(ISBLANK(G92)))</formula>
    </cfRule>
  </conditionalFormatting>
  <conditionalFormatting sqref="G93">
    <cfRule type="expression" dxfId="0" priority="487">
      <formula>COUNTIF(I93:CV93,"&lt;&gt;" &amp; "")&gt;0</formula>
    </cfRule>
    <cfRule type="expression" dxfId="1" priority="488">
      <formula>AND(COUNTIF(I93:CV93,"&lt;&gt;" &amp; "")&gt;0,NOT(ISBLANK(G93)))</formula>
    </cfRule>
  </conditionalFormatting>
  <conditionalFormatting sqref="G94">
    <cfRule type="expression" dxfId="0" priority="490">
      <formula>COUNTIF(I94:CV94,"&lt;&gt;" &amp; "")&gt;0</formula>
    </cfRule>
    <cfRule type="expression" dxfId="1" priority="491">
      <formula>AND(COUNTIF(I94:CV94,"&lt;&gt;" &amp; "")&gt;0,NOT(ISBLANK(G94)))</formula>
    </cfRule>
  </conditionalFormatting>
  <conditionalFormatting sqref="G95">
    <cfRule type="expression" dxfId="0" priority="493">
      <formula>COUNTIF(I95:CV95,"&lt;&gt;" &amp; "")&gt;0</formula>
    </cfRule>
    <cfRule type="expression" dxfId="1" priority="494">
      <formula>AND(COUNTIF(I95:CV95,"&lt;&gt;" &amp; "")&gt;0,NOT(ISBLANK(G95)))</formula>
    </cfRule>
  </conditionalFormatting>
  <conditionalFormatting sqref="G96">
    <cfRule type="expression" dxfId="0" priority="496">
      <formula>COUNTIF(I96:CV96,"&lt;&gt;" &amp; "")&gt;0</formula>
    </cfRule>
    <cfRule type="expression" dxfId="1" priority="497">
      <formula>AND(COUNTIF(I96:CV96,"&lt;&gt;" &amp; "")&gt;0,NOT(ISBLANK(G96)))</formula>
    </cfRule>
  </conditionalFormatting>
  <conditionalFormatting sqref="G97">
    <cfRule type="expression" dxfId="0" priority="499">
      <formula>COUNTIF(I97:CV97,"&lt;&gt;" &amp; "")&gt;0</formula>
    </cfRule>
    <cfRule type="expression" dxfId="1" priority="500">
      <formula>AND(COUNTIF(I97:CV97,"&lt;&gt;" &amp; "")&gt;0,NOT(ISBLANK(G97)))</formula>
    </cfRule>
  </conditionalFormatting>
  <conditionalFormatting sqref="G98">
    <cfRule type="expression" dxfId="0" priority="502">
      <formula>COUNTIF(I98:CV98,"&lt;&gt;" &amp; "")&gt;0</formula>
    </cfRule>
    <cfRule type="expression" dxfId="1" priority="503">
      <formula>AND(COUNTIF(I98:CV98,"&lt;&gt;" &amp; "")&gt;0,NOT(ISBLANK(G98)))</formula>
    </cfRule>
  </conditionalFormatting>
  <conditionalFormatting sqref="G99">
    <cfRule type="expression" dxfId="0" priority="505">
      <formula>COUNTIF(I99:CV99,"&lt;&gt;" &amp; "")&gt;0</formula>
    </cfRule>
    <cfRule type="expression" dxfId="1" priority="506">
      <formula>AND(COUNTIF(I99:CV99,"&lt;&gt;" &amp; "")&gt;0,NOT(ISBLANK(G99)))</formula>
    </cfRule>
  </conditionalFormatting>
  <conditionalFormatting sqref="H10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H12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H13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H14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H15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H16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H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H8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H9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10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I11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I13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I14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I15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I16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I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I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I9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10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J11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J12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J14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J15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J16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J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J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J9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10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K11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K12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K13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K15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K16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K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K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K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10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L11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L12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L13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L14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6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L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L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L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M11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M12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M13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M14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5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M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M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M9">
    <cfRule type="cellIs" dxfId="2" priority="109" operator="equal">
      <formula>"Y"</formula>
    </cfRule>
    <cfRule type="cellIs" dxfId="3" priority="110" operator="equal">
      <formula>"N"</formula>
    </cfRule>
  </conditionalFormatting>
  <dataValidations count="288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E19">
      <formula1>"Number (years),Rate (per year),Duration (years)"</formula1>
    </dataValidation>
    <dataValidation type="list" allowBlank="1" showInputMessage="1" showErrorMessage="1" sqref="E20">
      <formula1>"Number (years),Rate (per year),Duration (years)"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</dataValidations>
  <hyperlinks>
    <hyperlink ref="C5" location="Transfers!B20" display="Y"/>
    <hyperlink ref="D5" location="Transfers!B21" display="N"/>
    <hyperlink ref="E5" location="Transfers!B22" display="N"/>
    <hyperlink ref="F5" location="Transfers!B23" display="N"/>
    <hyperlink ref="G5" location="Transfers!B24" display="N"/>
    <hyperlink ref="H5" location="Transfers!B25" display="N"/>
    <hyperlink ref="I5" location="Transfers!B26" display="N"/>
    <hyperlink ref="J5" location="Transfers!B27" display="N"/>
    <hyperlink ref="K5" location="Transfers!B28" display="N"/>
    <hyperlink ref="L5" location="Transfers!B29" display="N"/>
    <hyperlink ref="M5" location="Transfers!B30" display="N"/>
    <hyperlink ref="B6" location="Transfers!B31" display="N"/>
    <hyperlink ref="D6" location="Transfers!B33" display="Y"/>
    <hyperlink ref="E6" location="Transfers!B34" display="N"/>
    <hyperlink ref="F6" location="Transfers!B35" display="N"/>
    <hyperlink ref="G6" location="Transfers!B36" display="N"/>
    <hyperlink ref="H6" location="Transfers!B37" display="N"/>
    <hyperlink ref="I6" location="Transfers!B38" display="N"/>
    <hyperlink ref="J6" location="Transfers!B39" display="N"/>
    <hyperlink ref="K6" location="Transfers!B40" display="N"/>
    <hyperlink ref="L6" location="Transfers!B41" display="N"/>
    <hyperlink ref="M6" location="Transfers!B42" display="N"/>
    <hyperlink ref="B7" location="Transfers!B43" display="N"/>
    <hyperlink ref="C7" location="Transfers!B44" display="N"/>
    <hyperlink ref="E7" location="Transfers!B46" display="Y"/>
    <hyperlink ref="F7" location="Transfers!B47" display="N"/>
    <hyperlink ref="G7" location="Transfers!B48" display="N"/>
    <hyperlink ref="H7" location="Transfers!B49" display="N"/>
    <hyperlink ref="I7" location="Transfers!B50" display="N"/>
    <hyperlink ref="J7" location="Transfers!B51" display="N"/>
    <hyperlink ref="K7" location="Transfers!B52" display="N"/>
    <hyperlink ref="L7" location="Transfers!B53" display="N"/>
    <hyperlink ref="M7" location="Transfers!B54" display="N"/>
    <hyperlink ref="B8" location="Transfers!B55" display="N"/>
    <hyperlink ref="C8" location="Transfers!B56" display="N"/>
    <hyperlink ref="D8" location="Transfers!B57" display="N"/>
    <hyperlink ref="F8" location="Transfers!B59" display="Y"/>
    <hyperlink ref="G8" location="Transfers!B60" display="N"/>
    <hyperlink ref="H8" location="Transfers!B61" display="N"/>
    <hyperlink ref="I8" location="Transfers!B62" display="N"/>
    <hyperlink ref="J8" location="Transfers!B63" display="N"/>
    <hyperlink ref="K8" location="Transfers!B64" display="N"/>
    <hyperlink ref="L8" location="Transfers!B65" display="N"/>
    <hyperlink ref="M8" location="Transfers!B66" display="N"/>
    <hyperlink ref="B9" location="Transfers!B67" display="N"/>
    <hyperlink ref="C9" location="Transfers!B68" display="N"/>
    <hyperlink ref="D9" location="Transfers!B69" display="N"/>
    <hyperlink ref="E9" location="Transfers!B70" display="N"/>
    <hyperlink ref="G9" location="Transfers!B72" display="Y"/>
    <hyperlink ref="H9" location="Transfers!B73" display="N"/>
    <hyperlink ref="I9" location="Transfers!B74" display="N"/>
    <hyperlink ref="J9" location="Transfers!B75" display="N"/>
    <hyperlink ref="K9" location="Transfers!B76" display="N"/>
    <hyperlink ref="L9" location="Transfers!B77" display="N"/>
    <hyperlink ref="M9" location="Transfers!B78" display="N"/>
    <hyperlink ref="B10" location="Transfers!B79" display="N"/>
    <hyperlink ref="C10" location="Transfers!B80" display="N"/>
    <hyperlink ref="D10" location="Transfers!B81" display="N"/>
    <hyperlink ref="E10" location="Transfers!B82" display="N"/>
    <hyperlink ref="F10" location="Transfers!B83" display="N"/>
    <hyperlink ref="H10" location="Transfers!B85" display="N"/>
    <hyperlink ref="I10" location="Transfers!B86" display="N"/>
    <hyperlink ref="J10" location="Transfers!B87" display="N"/>
    <hyperlink ref="K10" location="Transfers!B88" display="N"/>
    <hyperlink ref="L10" location="Transfers!B89" display="N"/>
    <hyperlink ref="M10" location="Transfers!B90" display="N"/>
    <hyperlink ref="B11" location="Transfers!B91" display="N"/>
    <hyperlink ref="C11" location="Transfers!B92" display="N"/>
    <hyperlink ref="D11" location="Transfers!B93" display="N"/>
    <hyperlink ref="E11" location="Transfers!B94" display="N"/>
    <hyperlink ref="F11" location="Transfers!B95" display="N"/>
    <hyperlink ref="G11" location="Transfers!B96" display="N"/>
    <hyperlink ref="I11" location="Transfers!B98" display="Y"/>
    <hyperlink ref="J11" location="Transfers!B99" display="N"/>
    <hyperlink ref="K11" location="Transfers!B100" display="N"/>
    <hyperlink ref="L11" location="Transfers!B101" display="N"/>
    <hyperlink ref="M11" location="Transfers!B102" display="N"/>
    <hyperlink ref="B12" location="Transfers!B103" display="N"/>
    <hyperlink ref="C12" location="Transfers!B104" display="N"/>
    <hyperlink ref="D12" location="Transfers!B105" display="N"/>
    <hyperlink ref="E12" location="Transfers!B106" display="N"/>
    <hyperlink ref="F12" location="Transfers!B107" display="N"/>
    <hyperlink ref="G12" location="Transfers!B108" display="N"/>
    <hyperlink ref="H12" location="Transfers!B109" display="N"/>
    <hyperlink ref="J12" location="Transfers!B111" display="Y"/>
    <hyperlink ref="K12" location="Transfers!B112" display="N"/>
    <hyperlink ref="L12" location="Transfers!B113" display="N"/>
    <hyperlink ref="M12" location="Transfers!B114" display="N"/>
    <hyperlink ref="B13" location="Transfers!B115" display="N"/>
    <hyperlink ref="C13" location="Transfers!B116" display="N"/>
    <hyperlink ref="D13" location="Transfers!B117" display="N"/>
    <hyperlink ref="E13" location="Transfers!B118" display="N"/>
    <hyperlink ref="F13" location="Transfers!B119" display="N"/>
    <hyperlink ref="G13" location="Transfers!B120" display="N"/>
    <hyperlink ref="H13" location="Transfers!B121" display="N"/>
    <hyperlink ref="I13" location="Transfers!B122" display="N"/>
    <hyperlink ref="K13" location="Transfers!B124" display="Y"/>
    <hyperlink ref="L13" location="Transfers!B125" display="N"/>
    <hyperlink ref="M13" location="Transfers!B126" display="N"/>
    <hyperlink ref="B14" location="Transfers!B127" display="N"/>
    <hyperlink ref="C14" location="Transfers!B128" display="N"/>
    <hyperlink ref="D14" location="Transfers!B129" display="N"/>
    <hyperlink ref="E14" location="Transfers!B130" display="N"/>
    <hyperlink ref="F14" location="Transfers!B131" display="N"/>
    <hyperlink ref="G14" location="Transfers!B132" display="N"/>
    <hyperlink ref="H14" location="Transfers!B133" display="N"/>
    <hyperlink ref="I14" location="Transfers!B134" display="N"/>
    <hyperlink ref="J14" location="Transfers!B135" display="N"/>
    <hyperlink ref="L14" location="Transfers!B137" display="Y"/>
    <hyperlink ref="M14" location="Transfers!B138" display="N"/>
    <hyperlink ref="B15" location="Transfers!B139" display="N"/>
    <hyperlink ref="C15" location="Transfers!B140" display="N"/>
    <hyperlink ref="D15" location="Transfers!B141" display="N"/>
    <hyperlink ref="E15" location="Transfers!B142" display="N"/>
    <hyperlink ref="F15" location="Transfers!B143" display="N"/>
    <hyperlink ref="G15" location="Transfers!B144" display="N"/>
    <hyperlink ref="H15" location="Transfers!B145" display="N"/>
    <hyperlink ref="I15" location="Transfers!B146" display="N"/>
    <hyperlink ref="J15" location="Transfers!B147" display="N"/>
    <hyperlink ref="K15" location="Transfers!B148" display="N"/>
    <hyperlink ref="M15" location="Transfers!B150" display="Y"/>
    <hyperlink ref="B16" location="Transfers!B151" display="N"/>
    <hyperlink ref="C16" location="Transfers!B152" display="N"/>
    <hyperlink ref="D16" location="Transfers!B153" display="N"/>
    <hyperlink ref="E16" location="Transfers!B154" display="N"/>
    <hyperlink ref="F16" location="Transfers!B155" display="N"/>
    <hyperlink ref="G16" location="Transfers!B156" display="N"/>
    <hyperlink ref="H16" location="Transfers!B157" display="N"/>
    <hyperlink ref="I16" location="Transfers!B158" display="N"/>
    <hyperlink ref="J16" location="Transfers!B159" display="N"/>
    <hyperlink ref="K16" location="Transfers!B160" display="N"/>
    <hyperlink ref="L16" location="Transfers!B161" display="N"/>
    <hyperlink ref="B20" location="Transfers!$C$5" display="Transfers!$C$5"/>
    <hyperlink ref="B21" location="Transfers!$D$5" display="Transfers!$D$5"/>
    <hyperlink ref="B22" location="Transfers!$E$5" display="Transfers!$E$5"/>
    <hyperlink ref="B23" location="Transfers!$F$5" display="Transfers!$F$5"/>
    <hyperlink ref="B24" location="Transfers!$G$5" display="Transfers!$G$5"/>
    <hyperlink ref="B25" location="Transfers!$H$5" display="Transfers!$H$5"/>
    <hyperlink ref="B26" location="Transfers!$I$5" display="Transfers!$I$5"/>
    <hyperlink ref="B27" location="Transfers!$J$5" display="Transfers!$J$5"/>
    <hyperlink ref="B28" location="Transfers!$K$5" display="Transfers!$K$5"/>
    <hyperlink ref="B29" location="Transfers!$L$5" display="Transfers!$L$5"/>
    <hyperlink ref="B30" location="Transfers!$M$5" display="Transfers!$M$5"/>
    <hyperlink ref="B31" location="Transfers!$B$6" display="Transfers!$B$6"/>
    <hyperlink ref="B33" location="Transfers!$D$6" display="Transfers!$D$6"/>
    <hyperlink ref="B34" location="Transfers!$E$6" display="Transfers!$E$6"/>
    <hyperlink ref="B35" location="Transfers!$F$6" display="Transfers!$F$6"/>
    <hyperlink ref="B36" location="Transfers!$G$6" display="Transfers!$G$6"/>
    <hyperlink ref="B37" location="Transfers!$H$6" display="Transfers!$H$6"/>
    <hyperlink ref="B38" location="Transfers!$I$6" display="Transfers!$I$6"/>
    <hyperlink ref="B39" location="Transfers!$J$6" display="Transfers!$J$6"/>
    <hyperlink ref="B40" location="Transfers!$K$6" display="Transfers!$K$6"/>
    <hyperlink ref="B41" location="Transfers!$L$6" display="Transfers!$L$6"/>
    <hyperlink ref="B42" location="Transfers!$M$6" display="Transfers!$M$6"/>
    <hyperlink ref="B43" location="Transfers!$B$7" display="Transfers!$B$7"/>
    <hyperlink ref="B44" location="Transfers!$C$7" display="Transfers!$C$7"/>
    <hyperlink ref="B46" location="Transfers!$E$7" display="Transfers!$E$7"/>
    <hyperlink ref="B47" location="Transfers!$F$7" display="Transfers!$F$7"/>
    <hyperlink ref="B48" location="Transfers!$G$7" display="Transfers!$G$7"/>
    <hyperlink ref="B49" location="Transfers!$H$7" display="Transfers!$H$7"/>
    <hyperlink ref="B50" location="Transfers!$I$7" display="Transfers!$I$7"/>
    <hyperlink ref="B51" location="Transfers!$J$7" display="Transfers!$J$7"/>
    <hyperlink ref="B52" location="Transfers!$K$7" display="Transfers!$K$7"/>
    <hyperlink ref="B53" location="Transfers!$L$7" display="Transfers!$L$7"/>
    <hyperlink ref="B54" location="Transfers!$M$7" display="Transfers!$M$7"/>
    <hyperlink ref="B55" location="Transfers!$B$8" display="Transfers!$B$8"/>
    <hyperlink ref="B56" location="Transfers!$C$8" display="Transfers!$C$8"/>
    <hyperlink ref="B57" location="Transfers!$D$8" display="Transfers!$D$8"/>
    <hyperlink ref="B59" location="Transfers!$F$8" display="Transfers!$F$8"/>
    <hyperlink ref="B60" location="Transfers!$G$8" display="Transfers!$G$8"/>
    <hyperlink ref="B61" location="Transfers!$H$8" display="Transfers!$H$8"/>
    <hyperlink ref="B62" location="Transfers!$I$8" display="Transfers!$I$8"/>
    <hyperlink ref="B63" location="Transfers!$J$8" display="Transfers!$J$8"/>
    <hyperlink ref="B64" location="Transfers!$K$8" display="Transfers!$K$8"/>
    <hyperlink ref="B65" location="Transfers!$L$8" display="Transfers!$L$8"/>
    <hyperlink ref="B66" location="Transfers!$M$8" display="Transfers!$M$8"/>
    <hyperlink ref="B67" location="Transfers!$B$9" display="Transfers!$B$9"/>
    <hyperlink ref="B68" location="Transfers!$C$9" display="Transfers!$C$9"/>
    <hyperlink ref="B69" location="Transfers!$D$9" display="Transfers!$D$9"/>
    <hyperlink ref="B70" location="Transfers!$E$9" display="Transfers!$E$9"/>
    <hyperlink ref="B72" location="Transfers!$G$9" display="Transfers!$G$9"/>
    <hyperlink ref="B73" location="Transfers!$H$9" display="Transfers!$H$9"/>
    <hyperlink ref="B74" location="Transfers!$I$9" display="Transfers!$I$9"/>
    <hyperlink ref="B75" location="Transfers!$J$9" display="Transfers!$J$9"/>
    <hyperlink ref="B76" location="Transfers!$K$9" display="Transfers!$K$9"/>
    <hyperlink ref="B77" location="Transfers!$L$9" display="Transfers!$L$9"/>
    <hyperlink ref="B78" location="Transfers!$M$9" display="Transfers!$M$9"/>
    <hyperlink ref="B79" location="Transfers!$B$10" display="Transfers!$B$10"/>
    <hyperlink ref="B80" location="Transfers!$C$10" display="Transfers!$C$10"/>
    <hyperlink ref="B81" location="Transfers!$D$10" display="Transfers!$D$10"/>
    <hyperlink ref="B82" location="Transfers!$E$10" display="Transfers!$E$10"/>
    <hyperlink ref="B83" location="Transfers!$F$10" display="Transfers!$F$10"/>
    <hyperlink ref="B85" location="Transfers!$H$10" display="Transfers!$H$10"/>
    <hyperlink ref="B86" location="Transfers!$I$10" display="Transfers!$I$10"/>
    <hyperlink ref="B87" location="Transfers!$J$10" display="Transfers!$J$10"/>
    <hyperlink ref="B88" location="Transfers!$K$10" display="Transfers!$K$10"/>
    <hyperlink ref="B89" location="Transfers!$L$10" display="Transfers!$L$10"/>
    <hyperlink ref="B90" location="Transfers!$M$10" display="Transfers!$M$10"/>
    <hyperlink ref="B91" location="Transfers!$B$11" display="Transfers!$B$11"/>
    <hyperlink ref="B92" location="Transfers!$C$11" display="Transfers!$C$11"/>
    <hyperlink ref="B93" location="Transfers!$D$11" display="Transfers!$D$11"/>
    <hyperlink ref="B94" location="Transfers!$E$11" display="Transfers!$E$11"/>
    <hyperlink ref="B95" location="Transfers!$F$11" display="Transfers!$F$11"/>
    <hyperlink ref="B96" location="Transfers!$G$11" display="Transfers!$G$11"/>
    <hyperlink ref="B98" location="Transfers!$I$11" display="Transfers!$I$11"/>
    <hyperlink ref="B99" location="Transfers!$J$11" display="Transfers!$J$11"/>
    <hyperlink ref="B100" location="Transfers!$K$11" display="Transfers!$K$11"/>
    <hyperlink ref="B101" location="Transfers!$L$11" display="Transfers!$L$11"/>
    <hyperlink ref="B102" location="Transfers!$M$11" display="Transfers!$M$11"/>
    <hyperlink ref="B103" location="Transfers!$B$12" display="Transfers!$B$12"/>
    <hyperlink ref="B104" location="Transfers!$C$12" display="Transfers!$C$12"/>
    <hyperlink ref="B105" location="Transfers!$D$12" display="Transfers!$D$12"/>
    <hyperlink ref="B106" location="Transfers!$E$12" display="Transfers!$E$12"/>
    <hyperlink ref="B107" location="Transfers!$F$12" display="Transfers!$F$12"/>
    <hyperlink ref="B108" location="Transfers!$G$12" display="Transfers!$G$12"/>
    <hyperlink ref="B109" location="Transfers!$H$12" display="Transfers!$H$12"/>
    <hyperlink ref="B111" location="Transfers!$J$12" display="Transfers!$J$12"/>
    <hyperlink ref="B112" location="Transfers!$K$12" display="Transfers!$K$12"/>
    <hyperlink ref="B113" location="Transfers!$L$12" display="Transfers!$L$12"/>
    <hyperlink ref="B114" location="Transfers!$M$12" display="Transfers!$M$12"/>
    <hyperlink ref="B115" location="Transfers!$B$13" display="Transfers!$B$13"/>
    <hyperlink ref="B116" location="Transfers!$C$13" display="Transfers!$C$13"/>
    <hyperlink ref="B117" location="Transfers!$D$13" display="Transfers!$D$13"/>
    <hyperlink ref="B118" location="Transfers!$E$13" display="Transfers!$E$13"/>
    <hyperlink ref="B119" location="Transfers!$F$13" display="Transfers!$F$13"/>
    <hyperlink ref="B120" location="Transfers!$G$13" display="Transfers!$G$13"/>
    <hyperlink ref="B121" location="Transfers!$H$13" display="Transfers!$H$13"/>
    <hyperlink ref="B122" location="Transfers!$I$13" display="Transfers!$I$13"/>
    <hyperlink ref="B124" location="Transfers!$K$13" display="Transfers!$K$13"/>
    <hyperlink ref="B125" location="Transfers!$L$13" display="Transfers!$L$13"/>
    <hyperlink ref="B126" location="Transfers!$M$13" display="Transfers!$M$13"/>
    <hyperlink ref="B127" location="Transfers!$B$14" display="Transfers!$B$14"/>
    <hyperlink ref="B128" location="Transfers!$C$14" display="Transfers!$C$14"/>
    <hyperlink ref="B129" location="Transfers!$D$14" display="Transfers!$D$14"/>
    <hyperlink ref="B130" location="Transfers!$E$14" display="Transfers!$E$14"/>
    <hyperlink ref="B131" location="Transfers!$F$14" display="Transfers!$F$14"/>
    <hyperlink ref="B132" location="Transfers!$G$14" display="Transfers!$G$14"/>
    <hyperlink ref="B133" location="Transfers!$H$14" display="Transfers!$H$14"/>
    <hyperlink ref="B134" location="Transfers!$I$14" display="Transfers!$I$14"/>
    <hyperlink ref="B135" location="Transfers!$J$14" display="Transfers!$J$14"/>
    <hyperlink ref="B137" location="Transfers!$L$14" display="Transfers!$L$14"/>
    <hyperlink ref="B138" location="Transfers!$M$14" display="Transfers!$M$14"/>
    <hyperlink ref="B139" location="Transfers!$B$15" display="Transfers!$B$15"/>
    <hyperlink ref="B140" location="Transfers!$C$15" display="Transfers!$C$15"/>
    <hyperlink ref="B141" location="Transfers!$D$15" display="Transfers!$D$15"/>
    <hyperlink ref="B142" location="Transfers!$E$15" display="Transfers!$E$15"/>
    <hyperlink ref="B143" location="Transfers!$F$15" display="Transfers!$F$15"/>
    <hyperlink ref="B144" location="Transfers!$G$15" display="Transfers!$G$15"/>
    <hyperlink ref="B145" location="Transfers!$H$15" display="Transfers!$H$15"/>
    <hyperlink ref="B146" location="Transfers!$I$15" display="Transfers!$I$15"/>
    <hyperlink ref="B147" location="Transfers!$J$15" display="Transfers!$J$15"/>
    <hyperlink ref="B148" location="Transfers!$K$15" display="Transfers!$K$15"/>
    <hyperlink ref="B150" location="Transfers!$M$15" display="Transfers!$M$15"/>
    <hyperlink ref="B151" location="Transfers!$B$16" display="Transfers!$B$16"/>
    <hyperlink ref="B152" location="Transfers!$C$16" display="Transfers!$C$16"/>
    <hyperlink ref="B153" location="Transfers!$D$16" display="Transfers!$D$16"/>
    <hyperlink ref="B154" location="Transfers!$E$16" display="Transfers!$E$16"/>
    <hyperlink ref="B155" location="Transfers!$F$16" display="Transfers!$F$16"/>
    <hyperlink ref="B156" location="Transfers!$G$16" display="Transfers!$G$16"/>
    <hyperlink ref="B157" location="Transfers!$H$16" display="Transfers!$H$16"/>
    <hyperlink ref="B158" location="Transfers!$I$16" display="Transfers!$I$16"/>
    <hyperlink ref="B159" location="Transfers!$J$16" display="Transfers!$J$16"/>
    <hyperlink ref="B160" location="Transfers!$K$16" display="Transfers!$K$16"/>
    <hyperlink ref="B161" location="Transfers!$L$16" display="Transfers!$L$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 Definitions</vt:lpstr>
      <vt:lpstr>Population Size</vt:lpstr>
      <vt:lpstr>Population Flows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2026-09-09T04:49:07Z</dcterms:created>
  <dcterms:modified xsi:type="dcterms:W3CDTF">2026-09-09T04:49:07Z</dcterms:modified>
  <cp:category>atomica:databook</cp:category>
</cp:coreProperties>
</file>